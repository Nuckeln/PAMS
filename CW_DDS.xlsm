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date1904="1" updateLinks="never" codeName="DieseArbeitsmappe" defaultThemeVersion="166925"/>
  <mc:AlternateContent xmlns:mc="http://schemas.openxmlformats.org/markup-compatibility/2006">
    <mc:Choice Requires="x15">
      <x15ac:absPath xmlns:x15ac="http://schemas.microsoft.com/office/spreadsheetml/2010/11/ac" url="https://bat.sharepoint.com/sites/DE10-DE10_SFG/Shared Documents/General/Logistics FG Ger Domestic/"/>
    </mc:Choice>
  </mc:AlternateContent>
  <xr:revisionPtr revIDLastSave="5543" documentId="1_{21EECCD4-E4A1-47E1-B6DC-174A80CF7BCE}" xr6:coauthVersionLast="47" xr6:coauthVersionMax="47" xr10:uidLastSave="{5FB74BFC-5B38-4FAD-A44B-A8567C2B1BEB}"/>
  <bookViews>
    <workbookView xWindow="-120" yWindow="-120" windowWidth="29040" windowHeight="15720" tabRatio="715" activeTab="1" xr2:uid="{00000000-000D-0000-FFFF-FFFF00000000}"/>
  </bookViews>
  <sheets>
    <sheet name="Outbound_Monitor" sheetId="4" r:id="rId1"/>
    <sheet name="Inbound_Monitor" sheetId="3" r:id="rId2"/>
    <sheet name="DropDown" sheetId="5" r:id="rId3"/>
    <sheet name="SDDS_Office (nicht nutzen)" sheetId="2" r:id="rId4"/>
    <sheet name="Schichtübergabe_Protokoll" sheetId="1" r:id="rId5"/>
    <sheet name="Diagramm1" sheetId="7" r:id="rId6"/>
  </sheets>
  <externalReferences>
    <externalReference r:id="rId7"/>
    <externalReference r:id="rId8"/>
    <externalReference r:id="rId9"/>
    <externalReference r:id="rId10"/>
    <externalReference r:id="rId11"/>
    <externalReference r:id="rId12"/>
  </externalReferences>
  <definedNames>
    <definedName name="_17.05.2017" localSheetId="1">#REF!</definedName>
    <definedName name="_17.05.2017" localSheetId="0">#REF!</definedName>
    <definedName name="_17.05.2017" localSheetId="4">#REF!</definedName>
    <definedName name="_17.05.2017">#REF!</definedName>
    <definedName name="_xlnm._FilterDatabase" localSheetId="1" hidden="1">Inbound_Monitor!$A$3:$R$4199</definedName>
    <definedName name="_xlnm._FilterDatabase" localSheetId="0" hidden="1">Outbound_Monitor!$A$3:$X$1320</definedName>
    <definedName name="_xlnm._FilterDatabase" localSheetId="4" hidden="1">Schichtübergabe_Protokoll!$A$1:$N$2</definedName>
    <definedName name="_Pic710">#N/A</definedName>
    <definedName name="_Pic810">#N/A</definedName>
    <definedName name="_Pic910">#N/A</definedName>
    <definedName name="a" localSheetId="1">[1]Input!#REF!</definedName>
    <definedName name="a" localSheetId="0">[1]Input!#REF!</definedName>
    <definedName name="a" localSheetId="4">[1]Input!#REF!</definedName>
    <definedName name="a">[1]Input!#REF!</definedName>
    <definedName name="CancelMultiSort" localSheetId="0">[2]!CancelMultiSort</definedName>
    <definedName name="CancelMultiSort">[2]!CancelMultiSort</definedName>
    <definedName name="CIL" localSheetId="1">#REF!</definedName>
    <definedName name="CIL" localSheetId="0">#REF!</definedName>
    <definedName name="CIL" localSheetId="4">#REF!</definedName>
    <definedName name="CIL">#REF!</definedName>
    <definedName name="cp">'[3]case per pallet'!$P$3:$R$848</definedName>
    <definedName name="d">[1]Input!#REF!</definedName>
    <definedName name="e" localSheetId="1">[1]Input!#REF!</definedName>
    <definedName name="e" localSheetId="0">[1]Input!#REF!</definedName>
    <definedName name="e" localSheetId="4">[1]Input!#REF!</definedName>
    <definedName name="e">[1]Input!#REF!</definedName>
    <definedName name="h" localSheetId="1">[1]Input!#REF!</definedName>
    <definedName name="h" localSheetId="0">[1]Input!#REF!</definedName>
    <definedName name="h" localSheetId="4">[1]Input!#REF!</definedName>
    <definedName name="h">[1]Input!#REF!</definedName>
    <definedName name="Hilgers_Ralf" localSheetId="1">'[4]Defect Log_alt'!#REF!</definedName>
    <definedName name="Hilgers_Ralf" localSheetId="0">'[4]Defect Log_alt'!#REF!</definedName>
    <definedName name="Hilgers_Ralf" localSheetId="4">'[4]Defect Log_alt'!#REF!</definedName>
    <definedName name="Hilgers_Ralf">'[4]Defect Log_alt'!#REF!</definedName>
    <definedName name="Jhsdf" localSheetId="4">[1]Input!#REF!</definedName>
    <definedName name="Jhsdf">[1]Input!#REF!</definedName>
    <definedName name="Module1.PrintMacro" localSheetId="0">[5]!Module1.PrintMacro</definedName>
    <definedName name="Module1.PrintMacro">[5]!Module1.PrintMacro</definedName>
    <definedName name="MultiSort" localSheetId="0">[2]!MultiSort</definedName>
    <definedName name="MultiSort">[2]!MultiSort</definedName>
    <definedName name="PrintMacro" localSheetId="0">[6]!PrintMacro</definedName>
    <definedName name="PrintMacro">[6]!PrintMacro</definedName>
    <definedName name="Protokoll_erstellt_von" localSheetId="1">#REF!</definedName>
    <definedName name="Protokoll_erstellt_von" localSheetId="0">#REF!</definedName>
    <definedName name="Protokoll_erstellt_von" localSheetId="4">#REF!</definedName>
    <definedName name="Protokoll_erstellt_von">#REF!</definedName>
    <definedName name="Ralf_Hilgers" localSheetId="1">'[4]Defect Log_alt'!#REF!</definedName>
    <definedName name="Ralf_Hilgers" localSheetId="0">'[4]Defect Log_alt'!#REF!</definedName>
    <definedName name="Ralf_Hilgers" localSheetId="4">'[4]Defect Log_alt'!#REF!</definedName>
    <definedName name="Ralf_Hilgers">'[4]Defect Log_alt'!#REF!</definedName>
    <definedName name="Sicherheitsverkleidung_Stickerapparat_1" localSheetId="1">'[4]Defect Log_alt'!#REF!</definedName>
    <definedName name="Sicherheitsverkleidung_Stickerapparat_1" localSheetId="0">'[4]Defect Log_alt'!#REF!</definedName>
    <definedName name="Sicherheitsverkleidung_Stickerapparat_1" localSheetId="4">'[4]Defect Log_alt'!#REF!</definedName>
    <definedName name="Sicherheitsverkleidung_Stickerapparat_1">'[4]Defect Log_alt'!#REF!</definedName>
    <definedName name="ValidateChangeInDialogSelection" localSheetId="1">Inbound_Monitor!ValidateChangeInDialogSelection</definedName>
    <definedName name="ValidateChangeInDialogSelection" localSheetId="0">Outbound_Monitor!ValidateChangeInDialogSelection</definedName>
    <definedName name="ValidateChangeInDialogSelection" localSheetId="4">Schichtübergabe_Protokoll!ValidateChangeInDialogSelection</definedName>
    <definedName name="ValidateChangeInDialogSelection" localSheetId="3">'SDDS_Office (nicht nutzen)'!ValidateChangeInDialogSelection</definedName>
    <definedName name="ValidateChangeInDialogSelection">[0]!ValidateChangeInDialogSelection</definedName>
    <definedName name="wewwe" localSheetId="1">[1]Input!#REF!</definedName>
    <definedName name="wewwe" localSheetId="0">[1]Input!#REF!</definedName>
    <definedName name="wewwe" localSheetId="4">[1]Input!#REF!</definedName>
    <definedName name="wewwe">[1]Input!#REF!</definedName>
    <definedName name="Z_00030C1C_9088_43F6_9B5B_70FC40A1C0BF_.wvu.FilterData" localSheetId="1" hidden="1">Inbound_Monitor!$A$2:$Q$2</definedName>
    <definedName name="Z_00030C1C_9088_43F6_9B5B_70FC40A1C0BF_.wvu.FilterData" localSheetId="0" hidden="1">Outbound_Monitor!$A$2:$W$2</definedName>
    <definedName name="Z_00036333_9140_4081_8A83_CFFBB6CC1681_.wvu.FilterData" localSheetId="0" hidden="1">Outbound_Monitor!$A$2:$W$3</definedName>
    <definedName name="Z_00079608_F42F_4CBE_8824_DDC0288E863C_.wvu.FilterData" localSheetId="1" hidden="1">Inbound_Monitor!$A$2:$Q$3</definedName>
    <definedName name="Z_00079608_F42F_4CBE_8824_DDC0288E863C_.wvu.FilterData" localSheetId="4" hidden="1">Schichtübergabe_Protokoll!$B$3:$N$3</definedName>
    <definedName name="Z_0015C7A1_64CB_41E2_B7A1_4FC5590B6108_.wvu.FilterData" localSheetId="0" hidden="1">Outbound_Monitor!$A$2:$W$3</definedName>
    <definedName name="Z_00163770_2A04_4F1C_864C_9C5810E8CCD9_.wvu.FilterData" localSheetId="1" hidden="1">Inbound_Monitor!$A$2:$Q$13</definedName>
    <definedName name="Z_00163770_2A04_4F1C_864C_9C5810E8CCD9_.wvu.FilterData" localSheetId="0" hidden="1">Outbound_Monitor!$A$2:$X$16</definedName>
    <definedName name="Z_001A446D_7924_48B5_B006_269A320D016A_.wvu.FilterData" localSheetId="1" hidden="1">Inbound_Monitor!$A$2:$Q$13</definedName>
    <definedName name="Z_001A446D_7924_48B5_B006_269A320D016A_.wvu.FilterData" localSheetId="0" hidden="1">Outbound_Monitor!$A$2:$W$3</definedName>
    <definedName name="Z_001C390F_C366_4C64_88AF_FACEE7DD6C97_.wvu.FilterData" localSheetId="0" hidden="1">Outbound_Monitor!$A$2:$W$3</definedName>
    <definedName name="Z_0024BE7D_007C_47D6_96C2_7B282817B0AB_.wvu.FilterData" localSheetId="4" hidden="1">Schichtübergabe_Protokoll!$B$3:$N$3</definedName>
    <definedName name="Z_0025CC9D_4478_4C01_A828_2B8151122437_.wvu.FilterData" localSheetId="0" hidden="1">Outbound_Monitor!$A$2:$W$3</definedName>
    <definedName name="Z_0039818F_9DA8_4482_9EA4_FFC80D41A450_.wvu.FilterData" localSheetId="0" hidden="1">Outbound_Monitor!#REF!</definedName>
    <definedName name="Z_004C5773_0BFE_4030_8BD1_F6B92D132197_.wvu.FilterData" localSheetId="1" hidden="1">Inbound_Monitor!$A$2:$Q$3</definedName>
    <definedName name="Z_004C5773_0BFE_4030_8BD1_F6B92D132197_.wvu.FilterData" localSheetId="0" hidden="1">Outbound_Monitor!$A$2:$W$3</definedName>
    <definedName name="Z_00559943_0AAC_4EC3_A0F3_BB95646ED238_.wvu.FilterData" localSheetId="1" hidden="1">Inbound_Monitor!$A$2:$Q$3</definedName>
    <definedName name="Z_00559943_0AAC_4EC3_A0F3_BB95646ED238_.wvu.FilterData" localSheetId="0" hidden="1">Outbound_Monitor!$A$2:$W$3</definedName>
    <definedName name="Z_005AEE7C_1412_4EE9_9EC5_98ED743002B3_.wvu.FilterData" localSheetId="0" hidden="1">Outbound_Monitor!$A$2:$W$3</definedName>
    <definedName name="Z_00607F6A_AA98_44DC_8EAB_57AAF385F7C8_.wvu.FilterData" localSheetId="0" hidden="1">Outbound_Monitor!$A$2:$W$3</definedName>
    <definedName name="Z_0066987D_EE9B_4085_8062_2E53F6E306D6_.wvu.FilterData" localSheetId="1" hidden="1">Inbound_Monitor!$A$2:$Q$3</definedName>
    <definedName name="Z_006B4753_4B65_4FD5_A03B_8AEBF8330095_.wvu.FilterData" localSheetId="0" hidden="1">Outbound_Monitor!$A$2:$W$3</definedName>
    <definedName name="Z_0070CEC0_A7AD_4B14_97B2_8265C07FFCAB_.wvu.FilterData" localSheetId="0" hidden="1">Outbound_Monitor!$A$2:$W$3</definedName>
    <definedName name="Z_0071D416_FC83_43CE_BBCE_CE1BC91C96C4_.wvu.FilterData" localSheetId="1" hidden="1">Inbound_Monitor!$A$2:$Q$3</definedName>
    <definedName name="Z_0071D416_FC83_43CE_BBCE_CE1BC91C96C4_.wvu.FilterData" localSheetId="0" hidden="1">Outbound_Monitor!$A$2:$W$3</definedName>
    <definedName name="Z_0071D416_FC83_43CE_BBCE_CE1BC91C96C4_.wvu.FilterData" localSheetId="4" hidden="1">Schichtübergabe_Protokoll!$B$3:$N$3</definedName>
    <definedName name="Z_0072855F_ECF0_430A_9081_82F0B9FBFC48_.wvu.FilterData" localSheetId="0" hidden="1">Outbound_Monitor!$A$2:$W$3</definedName>
    <definedName name="Z_008B5AA1_CD30_4153_A403_8F91A8AB5AD9_.wvu.FilterData" localSheetId="1" hidden="1">Inbound_Monitor!$A$2:$Q$3</definedName>
    <definedName name="Z_008B5AA1_CD30_4153_A403_8F91A8AB5AD9_.wvu.FilterData" localSheetId="0" hidden="1">Outbound_Monitor!$A$2:$W$3</definedName>
    <definedName name="Z_008B5B12_4169_4ECA_AFEC_565F408CE621_.wvu.FilterData" localSheetId="1" hidden="1">Inbound_Monitor!$A$2:$Q$3</definedName>
    <definedName name="Z_0092BECB_6E5F_407D_9F75_D0F3D1E216F1_.wvu.FilterData" localSheetId="1" hidden="1">Inbound_Monitor!$A$2:$Q$13</definedName>
    <definedName name="Z_0092BECB_6E5F_407D_9F75_D0F3D1E216F1_.wvu.FilterData" localSheetId="0" hidden="1">Outbound_Monitor!$A$2:$X$16</definedName>
    <definedName name="Z_009AEE43_E419_4DB2_85A3_65BE0CB02FF9_.wvu.FilterData" localSheetId="1" hidden="1">Inbound_Monitor!$A$2:$Q$3</definedName>
    <definedName name="Z_009AEE43_E419_4DB2_85A3_65BE0CB02FF9_.wvu.FilterData" localSheetId="0" hidden="1">Outbound_Monitor!$A$2:$W$3</definedName>
    <definedName name="Z_009F4AA4_9AE9_49DB_9B02_C9C69DF6FD8F_.wvu.FilterData" localSheetId="0" hidden="1">Outbound_Monitor!$A$2:$X$16</definedName>
    <definedName name="Z_00A509C2_A8A1_49D3_9C38_9D11AD6D44A8_.wvu.FilterData" localSheetId="0" hidden="1">Outbound_Monitor!$A$2:$W$3</definedName>
    <definedName name="Z_00BF5ECF_0021_4CD1_AD4A_7446E03DE04D_.wvu.FilterData" localSheetId="1" hidden="1">Inbound_Monitor!$A$2:$Q$3</definedName>
    <definedName name="Z_00C53B36_F1FE_4D0C_AFA0_121BB5380035_.wvu.FilterData" localSheetId="0" hidden="1">Outbound_Monitor!$A$2:$W$3</definedName>
    <definedName name="Z_00D7EC7C_768A_4D1E_B6C2_DB0A95B71E82_.wvu.FilterData" localSheetId="1" hidden="1">Inbound_Monitor!$A$2:$Q$2</definedName>
    <definedName name="Z_00D7EC7C_768A_4D1E_B6C2_DB0A95B71E82_.wvu.FilterData" localSheetId="0" hidden="1">Outbound_Monitor!$A$2:$W$2</definedName>
    <definedName name="Z_00D9BCE7_70AE_467B_98BE_6A6C24F99D34_.wvu.FilterData" localSheetId="1" hidden="1">Inbound_Monitor!$A$2:$Q$13</definedName>
    <definedName name="Z_00E1323A_2852_4045_AA6C_A2E412D84302_.wvu.FilterData" localSheetId="0" hidden="1">Outbound_Monitor!$A$2:$W$3</definedName>
    <definedName name="Z_00E8F6BF_996A_4D2A_AE8B_25B0C30465FF_.wvu.FilterData" localSheetId="0" hidden="1">Outbound_Monitor!$A$2:$W$3</definedName>
    <definedName name="Z_00F82400_B3A8_4AC6_962B_450ADD0DA89D_.wvu.FilterData" localSheetId="1" hidden="1">Inbound_Monitor!$A$2:$Q$13</definedName>
    <definedName name="Z_00F82400_B3A8_4AC6_962B_450ADD0DA89D_.wvu.FilterData" localSheetId="0" hidden="1">Outbound_Monitor!$A$2:$W$3</definedName>
    <definedName name="Z_01043D3D_4511_4530_B31C_AEB8BBD302CF_.wvu.FilterData" localSheetId="1" hidden="1">Inbound_Monitor!$A$2:$Q$13</definedName>
    <definedName name="Z_0107E1D7_D47D_4A80_9F82_99610CE463D4_.wvu.FilterData" localSheetId="1" hidden="1">Inbound_Monitor!$A$2:$Q$13</definedName>
    <definedName name="Z_0107E1D7_D47D_4A80_9F82_99610CE463D4_.wvu.FilterData" localSheetId="0" hidden="1">Outbound_Monitor!$A$2:$W$3</definedName>
    <definedName name="Z_010BBCE2_B43E_487B_9860_368B9599D233_.wvu.FilterData" localSheetId="0" hidden="1">Outbound_Monitor!$A$2:$W$3</definedName>
    <definedName name="Z_01177690_E5EA_4C7F_A681_CB30AC6A209A_.wvu.FilterData" localSheetId="0" hidden="1">Outbound_Monitor!$A$2:$W$3</definedName>
    <definedName name="Z_011FA758_F1D2_49AD_9A11_BBFF8BE70A53_.wvu.FilterData" localSheetId="1" hidden="1">Inbound_Monitor!$A$2:$Q$3</definedName>
    <definedName name="Z_0124FBA3_5801_47B3_9F3D_88AF3F5F6D17_.wvu.FilterData" localSheetId="1" hidden="1">Inbound_Monitor!$A$2:$Q$13</definedName>
    <definedName name="Z_012C23A0_5328_4F7A_9730_14654A299BCC_.wvu.FilterData" localSheetId="1" hidden="1">Inbound_Monitor!$A$2:$Q$3</definedName>
    <definedName name="Z_012C23A0_5328_4F7A_9730_14654A299BCC_.wvu.FilterData" localSheetId="0" hidden="1">Outbound_Monitor!$A$2:$W$3</definedName>
    <definedName name="Z_012C7561_855F_480B_ABBD_2CDF44EF71EA_.wvu.FilterData" localSheetId="1" hidden="1">Inbound_Monitor!$A$2:$Q$2</definedName>
    <definedName name="Z_012C7561_855F_480B_ABBD_2CDF44EF71EA_.wvu.FilterData" localSheetId="0" hidden="1">Outbound_Monitor!$A$2:$W$2</definedName>
    <definedName name="Z_013C459F_EBB5_463F_8C0D_8066774BD133_.wvu.FilterData" localSheetId="0" hidden="1">Outbound_Monitor!$A$2:$W$3</definedName>
    <definedName name="Z_013EBF1B_69AA_4D32_A41C_A4297F97D6E3_.wvu.FilterData" localSheetId="1" hidden="1">Inbound_Monitor!$A$2:$Q$2</definedName>
    <definedName name="Z_013EBF1B_69AA_4D32_A41C_A4297F97D6E3_.wvu.FilterData" localSheetId="0" hidden="1">Outbound_Monitor!$A$2:$W$2</definedName>
    <definedName name="Z_014F80BD_DC7C_464E_AE7D_4A14A8031EA6_.wvu.FilterData" localSheetId="0" hidden="1">Outbound_Monitor!$A$2:$X$16</definedName>
    <definedName name="Z_016CB692_E4F0_4FA3_8DCD_36DCFBD856E6_.wvu.FilterData" localSheetId="1" hidden="1">Inbound_Monitor!$A$2:$Q$3</definedName>
    <definedName name="Z_016EA9B0_5041_4085_B0CC_E8B0713590D1_.wvu.FilterData" localSheetId="1" hidden="1">Inbound_Monitor!$A$2:$Q$3</definedName>
    <definedName name="Z_016F8A33_37DE_44B4_85CF_39ACB8710EF9_.wvu.FilterData" localSheetId="1" hidden="1">Inbound_Monitor!$A$2:$Q$13</definedName>
    <definedName name="Z_016F8A33_37DE_44B4_85CF_39ACB8710EF9_.wvu.FilterData" localSheetId="0" hidden="1">Outbound_Monitor!$A$2:$W$3</definedName>
    <definedName name="Z_01745821_E65A_445D_BA94_DCC1351A6CEC_.wvu.FilterData" localSheetId="1" hidden="1">Inbound_Monitor!$A$2:$Q$2</definedName>
    <definedName name="Z_01745821_E65A_445D_BA94_DCC1351A6CEC_.wvu.FilterData" localSheetId="0" hidden="1">Outbound_Monitor!$A$2:$W$2</definedName>
    <definedName name="Z_01917EDE_D387_45AC_BB85_B98189811EC1_.wvu.FilterData" localSheetId="0" hidden="1">Outbound_Monitor!$A$2:$W$3</definedName>
    <definedName name="Z_0193CA30_03A9_4EE2_B540_76AA65773DA5_.wvu.FilterData" localSheetId="1" hidden="1">Inbound_Monitor!$A$2:$Q$3</definedName>
    <definedName name="Z_0193CA30_03A9_4EE2_B540_76AA65773DA5_.wvu.FilterData" localSheetId="0" hidden="1">Outbound_Monitor!$A$2:$W$3</definedName>
    <definedName name="Z_019510A5_B9AA_402C_BF9F_D8BCBD85DE9C_.wvu.FilterData" localSheetId="0" hidden="1">Outbound_Monitor!$A$2:$X$3</definedName>
    <definedName name="Z_01AEE49A_763E_4228_932B_E6F283BC6A9F_.wvu.FilterData" localSheetId="1" hidden="1">Inbound_Monitor!$A$2:$Q$3</definedName>
    <definedName name="Z_01BC7DA3_580A_4DC6_815C_72D4972A3814_.wvu.FilterData" localSheetId="1" hidden="1">Inbound_Monitor!$A$2:$Q$3</definedName>
    <definedName name="Z_01C92966_3630_4A26_8D23_8B90752AE105_.wvu.FilterData" localSheetId="0" hidden="1">Outbound_Monitor!$A$2:$W$3</definedName>
    <definedName name="Z_01D6E601_E70F_48EB_8437_DCC7C131F194_.wvu.FilterData" localSheetId="0" hidden="1">Outbound_Monitor!$A$2:$W$3</definedName>
    <definedName name="Z_01E5F94E_2B1C_4FCA_B6D6_8CC8E9C27983_.wvu.FilterData" localSheetId="0" hidden="1">Outbound_Monitor!$A$2:$W$3</definedName>
    <definedName name="Z_01E7811D_DF56_4F2E_A47A_5F92902EFE72_.wvu.FilterData" localSheetId="1" hidden="1">Inbound_Monitor!$A$2:$Q$2</definedName>
    <definedName name="Z_01E7811D_DF56_4F2E_A47A_5F92902EFE72_.wvu.FilterData" localSheetId="0" hidden="1">Outbound_Monitor!$A$2:$W$2</definedName>
    <definedName name="Z_01E80784_2076_45A1_A9B6_B64FA0ED841F_.wvu.FilterData" localSheetId="0" hidden="1">Outbound_Monitor!$A$2:$X$16</definedName>
    <definedName name="Z_01EA4424_0CA3_4D4D_8DC3_9266548E950F_.wvu.FilterData" localSheetId="0" hidden="1">Outbound_Monitor!$A$2:$W$3</definedName>
    <definedName name="Z_020683B1_4A3F_4998_AEE8_7AB4B1266DB6_.wvu.FilterData" localSheetId="1" hidden="1">Inbound_Monitor!$A$2:$Q$13</definedName>
    <definedName name="Z_020683B1_4A3F_4998_AEE8_7AB4B1266DB6_.wvu.FilterData" localSheetId="0" hidden="1">Outbound_Monitor!$A$2:$X$16</definedName>
    <definedName name="Z_020724A3_2D0C_4098_86E4_2DFC8F0C8EF9_.wvu.FilterData" localSheetId="1" hidden="1">Inbound_Monitor!$A$2:$Q$13</definedName>
    <definedName name="Z_020A7FDA_8485_4698_94E0_8D9A9FF9258B_.wvu.FilterData" localSheetId="0" hidden="1">Outbound_Monitor!$A$2:$W$3</definedName>
    <definedName name="Z_020A7FDA_8485_4698_94E0_8D9A9FF9258B_.wvu.FilterData" localSheetId="4" hidden="1">Schichtübergabe_Protokoll!$B$3:$N$3</definedName>
    <definedName name="Z_020E4472_FD26_4398_AB76_513C49D4AE6C_.wvu.FilterData" localSheetId="0" hidden="1">Outbound_Monitor!$A$2:$X$16</definedName>
    <definedName name="Z_02114CC7_1712_4BAF_B08A_5A808B97D8F7_.wvu.FilterData" localSheetId="0" hidden="1">Outbound_Monitor!#REF!</definedName>
    <definedName name="Z_0212F983_9B9F_45AA_AAF8_EDA66FF91BAC_.wvu.FilterData" localSheetId="0" hidden="1">Outbound_Monitor!$A$2:$X$16</definedName>
    <definedName name="Z_0213E93D_0264_4FED_840D_B284F8305357_.wvu.FilterData" localSheetId="0" hidden="1">Outbound_Monitor!$A$2:$W$3</definedName>
    <definedName name="Z_0214A2DB_AAA2_4279_BC6E_14FDB8986C6E_.wvu.FilterData" localSheetId="1" hidden="1">Inbound_Monitor!$A$2:$Q$3</definedName>
    <definedName name="Z_0215FDA0_A733_4B10_A245_92E57A5A196A_.wvu.FilterData" localSheetId="0" hidden="1">Outbound_Monitor!$A$2:$W$3</definedName>
    <definedName name="Z_022458A7_8E77_4164_8D7F_25E5CD8804B7_.wvu.FilterData" localSheetId="0" hidden="1">Outbound_Monitor!$A$2:$X$16</definedName>
    <definedName name="Z_02382D71_A896_463B_A5A4_E3FD93ED1021_.wvu.FilterData" localSheetId="0" hidden="1">Outbound_Monitor!$A$2:$X$16</definedName>
    <definedName name="Z_024AB280_5F8D_4107_9D18_F0ED0EC68788_.wvu.FilterData" localSheetId="1" hidden="1">Inbound_Monitor!$A$2:$Q$3</definedName>
    <definedName name="Z_024C58B8_D817_4EF7_A751_ABDE9E055DF3_.wvu.FilterData" localSheetId="0" hidden="1">Outbound_Monitor!$A$2:$W$3</definedName>
    <definedName name="Z_024EA182_0DB2_498D_9988_FFBE7675F119_.wvu.FilterData" localSheetId="1" hidden="1">Inbound_Monitor!$A$2:$Q$13</definedName>
    <definedName name="Z_024EA182_0DB2_498D_9988_FFBE7675F119_.wvu.FilterData" localSheetId="0" hidden="1">Outbound_Monitor!$A$2:$W$3</definedName>
    <definedName name="Z_0257C815_B46F_4F58_939A_564C25ED00BD_.wvu.FilterData" localSheetId="1" hidden="1">Inbound_Monitor!$A$2:$Q$13</definedName>
    <definedName name="Z_02738658_E6E9_4527_8644_26063B869262_.wvu.FilterData" localSheetId="1" hidden="1">Inbound_Monitor!$A$2:$Q$13</definedName>
    <definedName name="Z_02738658_E6E9_4527_8644_26063B869262_.wvu.FilterData" localSheetId="0" hidden="1">Outbound_Monitor!$A$2:$X$16</definedName>
    <definedName name="Z_02767E4F_08DD_4393_A6CD_6DC064C073D7_.wvu.FilterData" localSheetId="0" hidden="1">Outbound_Monitor!$A$2:$W$3</definedName>
    <definedName name="Z_02A3A687_FF7B_4571_866D_7A1CB89688B3_.wvu.FilterData" localSheetId="0" hidden="1">Outbound_Monitor!$A$2:$W$3</definedName>
    <definedName name="Z_02AFAE43_6F2A_4914_A7CA_983D876E1C4A_.wvu.FilterData" localSheetId="1" hidden="1">Inbound_Monitor!$A$2:$Q$3</definedName>
    <definedName name="Z_02AFAE43_6F2A_4914_A7CA_983D876E1C4A_.wvu.FilterData" localSheetId="0" hidden="1">Outbound_Monitor!$A$2:$W$3</definedName>
    <definedName name="Z_02B0CBE7_014F_44E5_94D6_F7F309A10498_.wvu.FilterData" localSheetId="0" hidden="1">Outbound_Monitor!$A$2:$W$3</definedName>
    <definedName name="Z_02DA82D3_8FB4_4512_83F6_343B13F61858_.wvu.FilterData" localSheetId="1" hidden="1">Inbound_Monitor!$A$2:$Q$13</definedName>
    <definedName name="Z_02DB9B40_C009_490E_9BB9_69EBD7BCBF65_.wvu.FilterData" localSheetId="0" hidden="1">Outbound_Monitor!$A$2:$W$3</definedName>
    <definedName name="Z_02E4585B_F26C_4659_8204_A4F8B8B27FBE_.wvu.FilterData" localSheetId="0" hidden="1">Outbound_Monitor!$A$2:$W$3</definedName>
    <definedName name="Z_02ECAA75_459E_482B_A019_254EBA380487_.wvu.FilterData" localSheetId="0" hidden="1">Outbound_Monitor!$A$2:$W$3</definedName>
    <definedName name="Z_02F9EF38_10AB_4385_B25C_160BD9F6280B_.wvu.FilterData" localSheetId="0" hidden="1">Outbound_Monitor!$A$2:$W$3</definedName>
    <definedName name="Z_03033BCD_BBAD_423D_A34A_0450B34C1094_.wvu.FilterData" localSheetId="0" hidden="1">Outbound_Monitor!$A$2:$W$3</definedName>
    <definedName name="Z_0313E944_A525_4A04_8C6C_2E108DD2FC2B_.wvu.FilterData" localSheetId="0" hidden="1">Outbound_Monitor!$A$2:$X$16</definedName>
    <definedName name="Z_03316724_74B9_48E6_A063_8264D072037F_.wvu.FilterData" localSheetId="1" hidden="1">Inbound_Monitor!$A$2:$Q$3</definedName>
    <definedName name="Z_033B2A67_3187_417E_BE8D_B3F5779D5AA5_.wvu.FilterData" localSheetId="1" hidden="1">Inbound_Monitor!$A$2:$Q$13</definedName>
    <definedName name="Z_033B2A67_3187_417E_BE8D_B3F5779D5AA5_.wvu.FilterData" localSheetId="0" hidden="1">Outbound_Monitor!$A$2:$X$16</definedName>
    <definedName name="Z_034A0569_E20C_4A7E_BBB0_AEC8E4A643D6_.wvu.FilterData" localSheetId="1" hidden="1">Inbound_Monitor!$A$2:$Q$13</definedName>
    <definedName name="Z_034A0569_E20C_4A7E_BBB0_AEC8E4A643D6_.wvu.FilterData" localSheetId="0" hidden="1">Outbound_Monitor!$A$2:$X$16</definedName>
    <definedName name="Z_034BD125_255C_44A8_A48F_2E3CE8D26AAE_.wvu.FilterData" localSheetId="0" hidden="1">Outbound_Monitor!$A$2:$W$3</definedName>
    <definedName name="Z_0351D877_9B8C_4CE2_AE12_8C270955D156_.wvu.FilterData" localSheetId="1" hidden="1">Inbound_Monitor!$A$2:$Q$2</definedName>
    <definedName name="Z_0351D877_9B8C_4CE2_AE12_8C270955D156_.wvu.FilterData" localSheetId="0" hidden="1">Outbound_Monitor!$A$2:$W$2</definedName>
    <definedName name="Z_035E28AD_7A8F_4558_910C_3E6B4D4014BF_.wvu.FilterData" localSheetId="1" hidden="1">Inbound_Monitor!$A$2:$Q$3</definedName>
    <definedName name="Z_035EA100_D2B3_4F35_9168_52C7717EF6D0_.wvu.FilterData" localSheetId="0" hidden="1">Outbound_Monitor!$A$2:$X$16</definedName>
    <definedName name="Z_0360AF57_8C6E_4054_BFEE_5CE9FBB2B2DB_.wvu.FilterData" localSheetId="1" hidden="1">Inbound_Monitor!$A$2:$Q$3</definedName>
    <definedName name="Z_037277F3_69B5_41CE_AC45_45CDF2C51633_.wvu.FilterData" localSheetId="1" hidden="1">Inbound_Monitor!$A$2:$Q$2</definedName>
    <definedName name="Z_037277F3_69B5_41CE_AC45_45CDF2C51633_.wvu.FilterData" localSheetId="0" hidden="1">Outbound_Monitor!$A$2:$W$2</definedName>
    <definedName name="Z_03758066_197C_45EA_B18C_8DABF236FC30_.wvu.FilterData" localSheetId="0" hidden="1">Outbound_Monitor!$A$2:$W$3</definedName>
    <definedName name="Z_03778110_CFC9_4C85_8953_291B259885F1_.wvu.FilterData" localSheetId="0" hidden="1">Outbound_Monitor!$A$2:$W$3</definedName>
    <definedName name="Z_03810EDB_509A_47B9_B1AA_7B6D0AC0B3B4_.wvu.FilterData" localSheetId="1" hidden="1">Inbound_Monitor!$A$2:$Q$2</definedName>
    <definedName name="Z_03810EDB_509A_47B9_B1AA_7B6D0AC0B3B4_.wvu.FilterData" localSheetId="0" hidden="1">Outbound_Monitor!$A$2:$W$2</definedName>
    <definedName name="Z_038959DD_EA44_4497_BC9B_4F2E85E992F3_.wvu.FilterData" localSheetId="1" hidden="1">Inbound_Monitor!$A$2:$Q$13</definedName>
    <definedName name="Z_038F08A8_42D5_4F2F_A427_D5DED86E4C8F_.wvu.FilterData" localSheetId="0" hidden="1">Outbound_Monitor!$A$2:$W$3</definedName>
    <definedName name="Z_0395370B_3241_4EC0_9A7D_63980F7C981C_.wvu.FilterData" localSheetId="1" hidden="1">Inbound_Monitor!$A$2:$Q$13</definedName>
    <definedName name="Z_03A0B2CA_5107_4F8A_B5ED_B13BD3464EFC_.wvu.FilterData" localSheetId="1" hidden="1">Inbound_Monitor!$A$2:$Q$3</definedName>
    <definedName name="Z_03A36738_B575_4C72_BD1A_C1A33C75A1F0_.wvu.FilterData" localSheetId="0" hidden="1">Outbound_Monitor!$A$2:$X$16</definedName>
    <definedName name="Z_03BE281F_91E2_40B4_9F6C_B44E2846157C_.wvu.FilterData" localSheetId="1" hidden="1">Inbound_Monitor!$A$2:$Q$3</definedName>
    <definedName name="Z_03BE281F_91E2_40B4_9F6C_B44E2846157C_.wvu.FilterData" localSheetId="0" hidden="1">Outbound_Monitor!$A$2:$W$3</definedName>
    <definedName name="Z_03C2A389_C9B2_4483_97A7_21527EA821C8_.wvu.FilterData" localSheetId="1" hidden="1">Inbound_Monitor!$A$2:$Q$3</definedName>
    <definedName name="Z_03C2A389_C9B2_4483_97A7_21527EA821C8_.wvu.FilterData" localSheetId="0" hidden="1">Outbound_Monitor!$A$2:$W$3</definedName>
    <definedName name="Z_03C2A389_C9B2_4483_97A7_21527EA821C8_.wvu.FilterData" localSheetId="4" hidden="1">Schichtübergabe_Protokoll!$B$3:$N$3</definedName>
    <definedName name="Z_03D22AF2_DA88_41A6_B877_16BDCD33D3B6_.wvu.FilterData" localSheetId="0" hidden="1">Outbound_Monitor!$A$2:$W$3</definedName>
    <definedName name="Z_03D4E13A_EC14_459B_AE67_711B03346FEE_.wvu.FilterData" localSheetId="1" hidden="1">Inbound_Monitor!$A$2:$Q$13</definedName>
    <definedName name="Z_03D831E3_80CB_4D44_9F14_AF7FE5D9BDE4_.wvu.FilterData" localSheetId="0" hidden="1">Outbound_Monitor!$A$2:$X$16</definedName>
    <definedName name="Z_03E907D7_50D1_4F81_BD58_6773625C3386_.wvu.FilterData" localSheetId="1" hidden="1">Inbound_Monitor!$A$2:$Q$13</definedName>
    <definedName name="Z_03E907D7_50D1_4F81_BD58_6773625C3386_.wvu.FilterData" localSheetId="0" hidden="1">Outbound_Monitor!$A$2:$W$3</definedName>
    <definedName name="Z_03FA8CFD_D14B_4036_BA44_7657C48D159B_.wvu.FilterData" localSheetId="1" hidden="1">Inbound_Monitor!$A$2:$Q$13</definedName>
    <definedName name="Z_03FA8CFD_D14B_4036_BA44_7657C48D159B_.wvu.FilterData" localSheetId="0" hidden="1">Outbound_Monitor!$A$2:$X$16</definedName>
    <definedName name="Z_03FF2087_E606_4550_B201_E02BB82C4257_.wvu.FilterData" localSheetId="1" hidden="1">Inbound_Monitor!$A$2:$Q$3</definedName>
    <definedName name="Z_04001001_B0A0_4CA8_991C_ECB3D150A073_.wvu.FilterData" localSheetId="0" hidden="1">Outbound_Monitor!$A$2:$W$3</definedName>
    <definedName name="Z_0402261F_07AC_4575_B5A0_38F5B027D71A_.wvu.FilterData" localSheetId="0" hidden="1">Outbound_Monitor!$A$2:$W$3</definedName>
    <definedName name="Z_04083FBA_1221_410D_9015_D57019417C94_.wvu.FilterData" localSheetId="0" hidden="1">Outbound_Monitor!$A$2:$W$3</definedName>
    <definedName name="Z_041237FC_8E7E_47FF_91F0_632FFD35B88A_.wvu.FilterData" localSheetId="0" hidden="1">Outbound_Monitor!$A$2:$W$3</definedName>
    <definedName name="Z_04238F73_7E6F_4F30_86B9_A40A8BCC92BD_.wvu.FilterData" localSheetId="1" hidden="1">Inbound_Monitor!$A$2:$Q$3</definedName>
    <definedName name="Z_04308615_1D9D_4F56_BB40_5086B6A88BBC_.wvu.FilterData" localSheetId="1" hidden="1">Inbound_Monitor!$A$2:$Q$3</definedName>
    <definedName name="Z_043161CB_7A91_4A10_882B_ED7B921D3C78_.wvu.FilterData" localSheetId="0" hidden="1">Outbound_Monitor!$A$2:$W$3</definedName>
    <definedName name="Z_043624C2_16A5_4D36_A14E_D5C68997D8BB_.wvu.Cols" localSheetId="1" hidden="1">Inbound_Monitor!#REF!</definedName>
    <definedName name="Z_043624C2_16A5_4D36_A14E_D5C68997D8BB_.wvu.Cols" localSheetId="0" hidden="1">Outbound_Monitor!#REF!</definedName>
    <definedName name="Z_043624C2_16A5_4D36_A14E_D5C68997D8BB_.wvu.FilterData" localSheetId="1" hidden="1">Inbound_Monitor!$A$2:$Q$3</definedName>
    <definedName name="Z_043624C2_16A5_4D36_A14E_D5C68997D8BB_.wvu.FilterData" localSheetId="0" hidden="1">Outbound_Monitor!$A$2:$W$3</definedName>
    <definedName name="Z_043624C2_16A5_4D36_A14E_D5C68997D8BB_.wvu.FilterData" localSheetId="4" hidden="1">Schichtübergabe_Protokoll!$B$3:$N$3</definedName>
    <definedName name="Z_043FF4F3_4782_4B5E_8323_6D90B33C6ED7_.wvu.FilterData" localSheetId="1" hidden="1">Inbound_Monitor!$A$2:$Q$2</definedName>
    <definedName name="Z_043FF4F3_4782_4B5E_8323_6D90B33C6ED7_.wvu.FilterData" localSheetId="0" hidden="1">Outbound_Monitor!$A$2:$W$2</definedName>
    <definedName name="Z_04453D65_B08E_4500_8044_AB860C6735E2_.wvu.FilterData" localSheetId="1" hidden="1">Inbound_Monitor!$A$2:$Q$2</definedName>
    <definedName name="Z_04453D65_B08E_4500_8044_AB860C6735E2_.wvu.FilterData" localSheetId="0" hidden="1">Outbound_Monitor!$A$2:$W$2</definedName>
    <definedName name="Z_04476E29_52BA_4CAE_8BF1_8FDD912ED7AB_.wvu.FilterData" localSheetId="0" hidden="1">Outbound_Monitor!$A$2:$W$3</definedName>
    <definedName name="Z_04522295_92C9_48DE_B23C_924AE551BB5B_.wvu.FilterData" localSheetId="0" hidden="1">Outbound_Monitor!$A$2:$W$3</definedName>
    <definedName name="Z_04584AF7_2716_450A_81CC_3F97F507F706_.wvu.FilterData" localSheetId="0" hidden="1">Outbound_Monitor!$A$2:$X$16</definedName>
    <definedName name="Z_045A4B4A_F8C2_4F14_8825_B62CB6040801_.wvu.FilterData" localSheetId="0" hidden="1">Outbound_Monitor!$A$2:$W$3</definedName>
    <definedName name="Z_04655D78_E9FB_4975_9BB9_80C22976695A_.wvu.FilterData" localSheetId="1" hidden="1">Inbound_Monitor!$A$2:$Q$3</definedName>
    <definedName name="Z_04655D78_E9FB_4975_9BB9_80C22976695A_.wvu.FilterData" localSheetId="0" hidden="1">Outbound_Monitor!$A$2:$W$3</definedName>
    <definedName name="Z_04655D78_E9FB_4975_9BB9_80C22976695A_.wvu.FilterData" localSheetId="4" hidden="1">Schichtübergabe_Protokoll!$B$3:$N$3</definedName>
    <definedName name="Z_04670D33_102D_4B51_A52B_6CB4724716CE_.wvu.FilterData" localSheetId="0" hidden="1">Outbound_Monitor!$A$2:$W$3</definedName>
    <definedName name="Z_047817ED_E635_43DE_BF23_C8D4DEA8B6BC_.wvu.FilterData" localSheetId="1" hidden="1">Inbound_Monitor!$A$2:$Q$13</definedName>
    <definedName name="Z_047E3173_3F47_4F68_9173_174E76199B19_.wvu.FilterData" localSheetId="1" hidden="1">Inbound_Monitor!$A$2:$Q$3</definedName>
    <definedName name="Z_047E3173_3F47_4F68_9173_174E76199B19_.wvu.FilterData" localSheetId="0" hidden="1">Outbound_Monitor!$A$2:$W$3</definedName>
    <definedName name="Z_04875407_73CE_4814_9803_802AF98A495D_.wvu.FilterData" localSheetId="0" hidden="1">Outbound_Monitor!$A$2:$W$3</definedName>
    <definedName name="Z_048AE492_4139_4995_A9DE_873418839F50_.wvu.FilterData" localSheetId="1" hidden="1">Inbound_Monitor!$A$2:$Q$3</definedName>
    <definedName name="Z_048AE492_4139_4995_A9DE_873418839F50_.wvu.FilterData" localSheetId="0" hidden="1">Outbound_Monitor!$A$2:$W$3</definedName>
    <definedName name="Z_048AE492_4139_4995_A9DE_873418839F50_.wvu.FilterData" localSheetId="4" hidden="1">Schichtübergabe_Protokoll!$B$3:$N$3</definedName>
    <definedName name="Z_0497E979_93CC_42F8_95FA_36052E5580EB_.wvu.FilterData" localSheetId="1" hidden="1">Inbound_Monitor!$A$2:$Q$3</definedName>
    <definedName name="Z_0497E979_93CC_42F8_95FA_36052E5580EB_.wvu.FilterData" localSheetId="0" hidden="1">Outbound_Monitor!$A$2:$W$3</definedName>
    <definedName name="Z_04B0D956_42B0_427B_A06F_4285C987F97A_.wvu.FilterData" localSheetId="0" hidden="1">Outbound_Monitor!$A$2:$W$3</definedName>
    <definedName name="Z_04B81212_4134_430E_856C_099114184B4F_.wvu.FilterData" localSheetId="1" hidden="1">Inbound_Monitor!$A$2:$Q$13</definedName>
    <definedName name="Z_04B81212_4134_430E_856C_099114184B4F_.wvu.FilterData" localSheetId="0" hidden="1">Outbound_Monitor!$A$2:$X$16</definedName>
    <definedName name="Z_04E93207_C5D4_434D_B18B_D8E08788B72F_.wvu.FilterData" localSheetId="1" hidden="1">Inbound_Monitor!$A$2:$Q$13</definedName>
    <definedName name="Z_04E93207_C5D4_434D_B18B_D8E08788B72F_.wvu.FilterData" localSheetId="0" hidden="1">Outbound_Monitor!$A$2:$W$3</definedName>
    <definedName name="Z_04ECA1FB_60DE_4230_9660_44644F7A8D0E_.wvu.FilterData" localSheetId="0" hidden="1">Outbound_Monitor!$A$2:$W$3</definedName>
    <definedName name="Z_04F07BDB_F83C_4334_B167_EA99025D53F6_.wvu.FilterData" localSheetId="1" hidden="1">Inbound_Monitor!$A$2:$Q$3</definedName>
    <definedName name="Z_04F07BDB_F83C_4334_B167_EA99025D53F6_.wvu.FilterData" localSheetId="0" hidden="1">Outbound_Monitor!$A$2:$W$3</definedName>
    <definedName name="Z_04F0F035_2413_4E25_863C_B99C06B944CE_.wvu.Cols" localSheetId="1" hidden="1">Inbound_Monitor!#REF!</definedName>
    <definedName name="Z_04F0F035_2413_4E25_863C_B99C06B944CE_.wvu.Cols" localSheetId="0" hidden="1">Outbound_Monitor!#REF!</definedName>
    <definedName name="Z_04F0F035_2413_4E25_863C_B99C06B944CE_.wvu.FilterData" localSheetId="1" hidden="1">Inbound_Monitor!$A$2:$Q$3</definedName>
    <definedName name="Z_04F0F035_2413_4E25_863C_B99C06B944CE_.wvu.FilterData" localSheetId="0" hidden="1">Outbound_Monitor!$A$2:$W$3</definedName>
    <definedName name="Z_04F0F035_2413_4E25_863C_B99C06B944CE_.wvu.FilterData" localSheetId="4" hidden="1">Schichtübergabe_Protokoll!$B$3:$N$3</definedName>
    <definedName name="Z_04F840A0_0C4D_4D68_978B_CA2EEAD5B766_.wvu.FilterData" localSheetId="1" hidden="1">Inbound_Monitor!$A$2:$Q$2</definedName>
    <definedName name="Z_04F840A0_0C4D_4D68_978B_CA2EEAD5B766_.wvu.FilterData" localSheetId="0" hidden="1">Outbound_Monitor!$A$2:$W$2</definedName>
    <definedName name="Z_04FB4B6D_791C_4912_82F3_BB29EEE86977_.wvu.FilterData" localSheetId="1" hidden="1">Inbound_Monitor!$A$2:$Q$3</definedName>
    <definedName name="Z_04FB4B6D_791C_4912_82F3_BB29EEE86977_.wvu.FilterData" localSheetId="0" hidden="1">Outbound_Monitor!$A$2:$W$3</definedName>
    <definedName name="Z_0506769D_A637_429E_B83E_79A3FC47AB96_.wvu.FilterData" localSheetId="0" hidden="1">Outbound_Monitor!$A$2:$W$3</definedName>
    <definedName name="Z_050920C5_396D_4296_8B17_F7B3DBD1C543_.wvu.FilterData" localSheetId="1" hidden="1">Inbound_Monitor!$A$2:$Q$13</definedName>
    <definedName name="Z_0517BEC4_C6A0_481F_BCFB_ABCBE00F5244_.wvu.FilterData" localSheetId="0" hidden="1">Outbound_Monitor!$A$2:$W$3</definedName>
    <definedName name="Z_05290EA1_109D_4E66_B400_4CDDEA2C07AD_.wvu.FilterData" localSheetId="0" hidden="1">Outbound_Monitor!$A$2:$X$16</definedName>
    <definedName name="Z_05343705_B99A_4718_A329_43A6C51DBB17_.wvu.FilterData" localSheetId="1" hidden="1">Inbound_Monitor!$A$2:$Q$13</definedName>
    <definedName name="Z_05343705_B99A_4718_A329_43A6C51DBB17_.wvu.FilterData" localSheetId="0" hidden="1">Outbound_Monitor!$A$2:$X$16</definedName>
    <definedName name="Z_0537C21C_4318_483D_9454_FCD30B71837D_.wvu.FilterData" localSheetId="1" hidden="1">Inbound_Monitor!$A$2:$Q$3</definedName>
    <definedName name="Z_053B3A59_D765_42F3_902A_1976DBA2CA0F_.wvu.FilterData" localSheetId="1" hidden="1">Inbound_Monitor!$A$2:$Q$2</definedName>
    <definedName name="Z_053B3A59_D765_42F3_902A_1976DBA2CA0F_.wvu.FilterData" localSheetId="0" hidden="1">Outbound_Monitor!$A$2:$W$2</definedName>
    <definedName name="Z_054463C0_F802_462C_B3DE_6DF8B1A1736B_.wvu.FilterData" localSheetId="1" hidden="1">Inbound_Monitor!$A$2:$Q$3</definedName>
    <definedName name="Z_0556DF77_0145_4D95_8288_075A688B6495_.wvu.FilterData" localSheetId="0" hidden="1">Outbound_Monitor!$A$2:$W$3</definedName>
    <definedName name="Z_0562B47D_C61A_4972_AD14_9D324C14B16B_.wvu.FilterData" localSheetId="1" hidden="1">Inbound_Monitor!$A$2:$Q$3</definedName>
    <definedName name="Z_0562B47D_C61A_4972_AD14_9D324C14B16B_.wvu.FilterData" localSheetId="0" hidden="1">Outbound_Monitor!$A$2:$X$3</definedName>
    <definedName name="Z_05640EEA_3386_4324_A6DD_33E3A675D30A_.wvu.FilterData" localSheetId="1" hidden="1">Inbound_Monitor!$A$2:$Q$13</definedName>
    <definedName name="Z_05640EEA_3386_4324_A6DD_33E3A675D30A_.wvu.FilterData" localSheetId="0" hidden="1">Outbound_Monitor!$A$2:$X$16</definedName>
    <definedName name="Z_05649CF9_1BCB_4415_A84E_971CDEF94AA1_.wvu.FilterData" localSheetId="1" hidden="1">Inbound_Monitor!$A$2:$Q$3</definedName>
    <definedName name="Z_056675E5_BD78_4E6F_833F_6E0CD64128A2_.wvu.FilterData" localSheetId="1" hidden="1">Inbound_Monitor!$A$2:$Q$13</definedName>
    <definedName name="Z_056675E5_BD78_4E6F_833F_6E0CD64128A2_.wvu.FilterData" localSheetId="0" hidden="1">Outbound_Monitor!$A$2:$W$3</definedName>
    <definedName name="Z_056D0A84_587C_4370_9F29_E7B5949AD558_.wvu.FilterData" localSheetId="0" hidden="1">Outbound_Monitor!$A$2:$X$16</definedName>
    <definedName name="Z_0573877C_DD99_4801_BEF1_9A6F6133B238_.wvu.FilterData" localSheetId="1" hidden="1">Inbound_Monitor!$A$2:$Q$3</definedName>
    <definedName name="Z_058930DE_A1C3_489D_9DA3_375887007B8B_.wvu.FilterData" localSheetId="0" hidden="1">Outbound_Monitor!$A$2:$W$3</definedName>
    <definedName name="Z_05AD2DD9_0F93_41F7_AD8A_83EFBD85DCCC_.wvu.FilterData" localSheetId="0" hidden="1">Outbound_Monitor!$A$2:$X$16</definedName>
    <definedName name="Z_05AE0020_B402_4488_8DFC_17D54E42A707_.wvu.FilterData" localSheetId="0" hidden="1">Outbound_Monitor!$A$2:$X$16</definedName>
    <definedName name="Z_05AE7CA2_0FFA_4759_A1D0_A878012FAA03_.wvu.FilterData" localSheetId="1" hidden="1">Inbound_Monitor!$A$2:$Q$3</definedName>
    <definedName name="Z_05BEF3E6_2EE2_443C_AC6A_8641311BAD31_.wvu.FilterData" localSheetId="1" hidden="1">Inbound_Monitor!$A$2:$Q$13</definedName>
    <definedName name="Z_05BEF3E6_2EE2_443C_AC6A_8641311BAD31_.wvu.FilterData" localSheetId="0" hidden="1">Outbound_Monitor!$A$2:$X$16</definedName>
    <definedName name="Z_05C12BB0_6951_48E1_9266_A3933E73E508_.wvu.FilterData" localSheetId="1" hidden="1">Inbound_Monitor!$A$2:$Q$13</definedName>
    <definedName name="Z_05C12BB0_6951_48E1_9266_A3933E73E508_.wvu.FilterData" localSheetId="0" hidden="1">Outbound_Monitor!$A$2:$W$3</definedName>
    <definedName name="Z_05CA50E0_77AE_4875_962A_13A6F063B715_.wvu.FilterData" localSheetId="0" hidden="1">Outbound_Monitor!$A$2:$W$3</definedName>
    <definedName name="Z_05D19FC8_5D7A_4356_B3B5_5699B08717F5_.wvu.FilterData" localSheetId="1" hidden="1">Inbound_Monitor!$A$2:$Q$13</definedName>
    <definedName name="Z_05D3DF02_1EDA_4B93_B87B_060941987E05_.wvu.FilterData" localSheetId="1" hidden="1">Inbound_Monitor!$A$2:$Q$3</definedName>
    <definedName name="Z_05D3DF02_1EDA_4B93_B87B_060941987E05_.wvu.FilterData" localSheetId="0" hidden="1">Outbound_Monitor!$A$2:$W$3</definedName>
    <definedName name="Z_05D4D1BD_660C_4C46_A2D8_098C5EFFF816_.wvu.FilterData" localSheetId="0" hidden="1">Outbound_Monitor!$A$2:$X$16</definedName>
    <definedName name="Z_05D5C32C_BE0A_4979_980C_F0D76B22A491_.wvu.FilterData" localSheetId="0" hidden="1">Outbound_Monitor!$A$2:$W$3</definedName>
    <definedName name="Z_05D8D793_C339_4B4E_8BF8_3E7527B85F2B_.wvu.FilterData" localSheetId="1" hidden="1">Inbound_Monitor!$A$2:$Q$3</definedName>
    <definedName name="Z_05D8D793_C339_4B4E_8BF8_3E7527B85F2B_.wvu.FilterData" localSheetId="0" hidden="1">Outbound_Monitor!$A$2:$W$3</definedName>
    <definedName name="Z_05D8D793_C339_4B4E_8BF8_3E7527B85F2B_.wvu.FilterData" localSheetId="4" hidden="1">Schichtübergabe_Protokoll!$B$3:$N$3</definedName>
    <definedName name="Z_05EB19C5_44C4_4664_B7A0_C44DEB29ACA7_.wvu.FilterData" localSheetId="1" hidden="1">Inbound_Monitor!$A$2:$Q$3</definedName>
    <definedName name="Z_05EC9F13_CC21_41F5_82CB_4FEB606B02E9_.wvu.FilterData" localSheetId="0" hidden="1">Outbound_Monitor!$A$2:$W$3</definedName>
    <definedName name="Z_05F30499_1138_4ADD_B31B_03FF980E655F_.wvu.FilterData" localSheetId="0" hidden="1">Outbound_Monitor!$A$2:$W$3</definedName>
    <definedName name="Z_05FF4AC4_645D_46E2_9C3E_2359B37A289C_.wvu.FilterData" localSheetId="1" hidden="1">Inbound_Monitor!$A$2:$Q$3</definedName>
    <definedName name="Z_0606CBC5_3180_4850_8156_C4633B2B10E6_.wvu.FilterData" localSheetId="1" hidden="1">Inbound_Monitor!$A$2:$Q$3</definedName>
    <definedName name="Z_0615BF80_78AF_4136_8489_BE415F91DAD5_.wvu.FilterData" localSheetId="1" hidden="1">Inbound_Monitor!$A$2:$Q$3</definedName>
    <definedName name="Z_0622F067_4194_4151_8650_00C9218E98A6_.wvu.FilterData" localSheetId="0" hidden="1">Outbound_Monitor!$A$2:$W$3</definedName>
    <definedName name="Z_0636AA9D_C24E_46AC_AC26_063D62AA8133_.wvu.FilterData" localSheetId="0" hidden="1">Outbound_Monitor!$A$2:$W$3</definedName>
    <definedName name="Z_06505F91_A2ED_422B_A442_DDB4E29E507F_.wvu.FilterData" localSheetId="1" hidden="1">Inbound_Monitor!$A$2:$Q$13</definedName>
    <definedName name="Z_06505F91_A2ED_422B_A442_DDB4E29E507F_.wvu.FilterData" localSheetId="0" hidden="1">Outbound_Monitor!$A$2:$X$16</definedName>
    <definedName name="Z_065CD288_7FA7_4308_AB65_F52CC5BEF089_.wvu.FilterData" localSheetId="0" hidden="1">Outbound_Monitor!$A$2:$W$3</definedName>
    <definedName name="Z_066AA61F_7032_49D2_88BB_2CD0F4210B73_.wvu.FilterData" localSheetId="0" hidden="1">Outbound_Monitor!$A$2:$W$3</definedName>
    <definedName name="Z_067B0F1D_370A_4E50_9CB3_0224AA26A0EA_.wvu.FilterData" localSheetId="1" hidden="1">Inbound_Monitor!$A$2:$Q$13</definedName>
    <definedName name="Z_067B0F1D_370A_4E50_9CB3_0224AA26A0EA_.wvu.FilterData" localSheetId="0" hidden="1">Outbound_Monitor!$A$2:$W$3</definedName>
    <definedName name="Z_06987B9B_4E04_4785_B90F_B6046B63DD2C_.wvu.FilterData" localSheetId="1" hidden="1">Inbound_Monitor!$A$2:$Q$2</definedName>
    <definedName name="Z_06987B9B_4E04_4785_B90F_B6046B63DD2C_.wvu.FilterData" localSheetId="0" hidden="1">Outbound_Monitor!$A$2:$W$2</definedName>
    <definedName name="Z_06A53867_281E_46DA_BA46_1CD06AC8E8BC_.wvu.FilterData" localSheetId="0" hidden="1">Outbound_Monitor!$A$2:$W$3</definedName>
    <definedName name="Z_06A68C48_5658_4631_87D3_0BD74B8B4D46_.wvu.FilterData" localSheetId="0" hidden="1">Outbound_Monitor!$A$2:$X$16</definedName>
    <definedName name="Z_06ACBFAC_BA09_40D1_963E_889D486E29A8_.wvu.FilterData" localSheetId="1" hidden="1">Inbound_Monitor!$A$2:$Q$3</definedName>
    <definedName name="Z_06ACBFAC_BA09_40D1_963E_889D486E29A8_.wvu.FilterData" localSheetId="0" hidden="1">Outbound_Monitor!$A$2:$X$3</definedName>
    <definedName name="Z_06AF9D32_1764_4FFF_96AA_AC62C42450D7_.wvu.FilterData" localSheetId="1" hidden="1">Inbound_Monitor!$A$2:$Q$3</definedName>
    <definedName name="Z_06B608C0_B64F_4EA3_8DE5_FA4C405C4306_.wvu.FilterData" localSheetId="1" hidden="1">Inbound_Monitor!$A$2:$Q$3</definedName>
    <definedName name="Z_06B608C0_B64F_4EA3_8DE5_FA4C405C4306_.wvu.FilterData" localSheetId="0" hidden="1">Outbound_Monitor!$A$2:$W$3</definedName>
    <definedName name="Z_06BC2A38_82E1_4D2E_955F_544388D5BF3C_.wvu.FilterData" localSheetId="1" hidden="1">Inbound_Monitor!$A$2:$Q$3</definedName>
    <definedName name="Z_06CB8780_E6D2_4222_A122_B449803D4713_.wvu.FilterData" localSheetId="0" hidden="1">Outbound_Monitor!$A$2:$W$3</definedName>
    <definedName name="Z_06D602BD_E97D_4335_A015_23AF8C70D9EF_.wvu.FilterData" localSheetId="1" hidden="1">Inbound_Monitor!$A$2:$Q$2</definedName>
    <definedName name="Z_06D602BD_E97D_4335_A015_23AF8C70D9EF_.wvu.FilterData" localSheetId="0" hidden="1">Outbound_Monitor!$A$2:$W$2</definedName>
    <definedName name="Z_06E2EC83_4C9F_497B_861E_BDC42B585B68_.wvu.FilterData" localSheetId="1" hidden="1">Inbound_Monitor!$A$2:$Q$13</definedName>
    <definedName name="Z_06E2EC83_4C9F_497B_861E_BDC42B585B68_.wvu.FilterData" localSheetId="0" hidden="1">Outbound_Monitor!$A$2:$W$3</definedName>
    <definedName name="Z_06E3DA54_3A4B_4766_AB64_454187A53BE9_.wvu.FilterData" localSheetId="1" hidden="1">Inbound_Monitor!$A$2:$Q$3</definedName>
    <definedName name="Z_06E3DA54_3A4B_4766_AB64_454187A53BE9_.wvu.FilterData" localSheetId="0" hidden="1">Outbound_Monitor!$A$2:$W$3</definedName>
    <definedName name="Z_06E5C3B4_1CAD_4A5B_B070_3D890C8BEE0B_.wvu.FilterData" localSheetId="0" hidden="1">Outbound_Monitor!$A$2:$W$3</definedName>
    <definedName name="Z_06E5DB80_B261_479F_9CD7_9F15F3F94FEF_.wvu.FilterData" localSheetId="1" hidden="1">Inbound_Monitor!$A$2:$Q$3</definedName>
    <definedName name="Z_06E5DB80_B261_479F_9CD7_9F15F3F94FEF_.wvu.FilterData" localSheetId="0" hidden="1">Outbound_Monitor!$A$2:$W$3</definedName>
    <definedName name="Z_06EC1987_2492_4604_A359_83F82B7F821E_.wvu.FilterData" localSheetId="1" hidden="1">Inbound_Monitor!$A$2:$Q$3</definedName>
    <definedName name="Z_06F6532E_F229_47D3_A454_5C084903725B_.wvu.FilterData" localSheetId="0" hidden="1">Outbound_Monitor!$A$2:$W$3</definedName>
    <definedName name="Z_07028367_6C04_47B3_B582_AC600C294307_.wvu.FilterData" localSheetId="0" hidden="1">Outbound_Monitor!$A$2:$W$3</definedName>
    <definedName name="Z_070C497B_FEFF_454D_BC91_C57CDF2673B1_.wvu.FilterData" localSheetId="0" hidden="1">Outbound_Monitor!$A$2:$W$3</definedName>
    <definedName name="Z_0711EBFD_A6CE_4767_BA53_C1E4EC647604_.wvu.FilterData" localSheetId="0" hidden="1">Outbound_Monitor!$A$2:$W$3</definedName>
    <definedName name="Z_071C6ED8_006A_461A_9E7F_75B83435C420_.wvu.FilterData" localSheetId="1" hidden="1">Inbound_Monitor!$A$2:$Q$2</definedName>
    <definedName name="Z_071C6ED8_006A_461A_9E7F_75B83435C420_.wvu.FilterData" localSheetId="0" hidden="1">Outbound_Monitor!$A$2:$W$2</definedName>
    <definedName name="Z_071DD7EC_D9D6_4213_890B_AFA40FB71FC6_.wvu.FilterData" localSheetId="0" hidden="1">Outbound_Monitor!$A$2:$X$16</definedName>
    <definedName name="Z_071E2905_1F08_427B_B6F0_60BE4140B6CC_.wvu.FilterData" localSheetId="0" hidden="1">Outbound_Monitor!$A$2:$W$3</definedName>
    <definedName name="Z_0728BC71_F228_4026_AFD9_EE86954BC45F_.wvu.FilterData" localSheetId="0" hidden="1">Outbound_Monitor!$A$2:$W$3</definedName>
    <definedName name="Z_072F21E1_E1BF_4FBF_910B_21866D8DB8EF_.wvu.FilterData" localSheetId="0" hidden="1">Outbound_Monitor!$A$2:$W$3</definedName>
    <definedName name="Z_0731ACFE_4BC7_40A0_ACE4_8BD794D446B3_.wvu.FilterData" localSheetId="0" hidden="1">Outbound_Monitor!$A$2:$W$3</definedName>
    <definedName name="Z_0731ACFE_4BC7_40A0_ACE4_8BD794D446B3_.wvu.FilterData" localSheetId="4" hidden="1">Schichtübergabe_Protokoll!$B$3:$N$3</definedName>
    <definedName name="Z_0735A84D_9607_4DD7_88B0_AA4DFC34A471_.wvu.FilterData" localSheetId="0" hidden="1">Outbound_Monitor!$A$2:$X$16</definedName>
    <definedName name="Z_074A2754_2F6B_4887_8AD3_344A24094DEC_.wvu.FilterData" localSheetId="0" hidden="1">Outbound_Monitor!$A$2:$W$3</definedName>
    <definedName name="Z_074E5BF3_13AC_471E_95A2_385935F20E15_.wvu.FilterData" localSheetId="1" hidden="1">Inbound_Monitor!$A$2:$Q$13</definedName>
    <definedName name="Z_0756FF90_4CF4_43D2_8D88_46ED0F144AFE_.wvu.FilterData" localSheetId="0" hidden="1">Outbound_Monitor!$A$2:$X$16</definedName>
    <definedName name="Z_07594183_09A1_49C4_851B_C830F458CC54_.wvu.FilterData" localSheetId="1" hidden="1">Inbound_Monitor!$A$2:$Q$13</definedName>
    <definedName name="Z_075E20A6_AA56_4A6A_A134_060E7C4259D1_.wvu.FilterData" localSheetId="0" hidden="1">Outbound_Monitor!$A$2:$W$3</definedName>
    <definedName name="Z_076C4785_7DA0_4C0C_9CA2_6CA7CA32457E_.wvu.FilterData" localSheetId="0" hidden="1">Outbound_Monitor!$A$2:$W$3</definedName>
    <definedName name="Z_0774B6EE_C008_4461_B509_703C408242A4_.wvu.FilterData" localSheetId="1" hidden="1">Inbound_Monitor!$A$2:$Q$2</definedName>
    <definedName name="Z_0774B6EE_C008_4461_B509_703C408242A4_.wvu.FilterData" localSheetId="0" hidden="1">Outbound_Monitor!$A$2:$W$2</definedName>
    <definedName name="Z_07966A11_7394_445B_B641_142A99B55E75_.wvu.FilterData" localSheetId="0" hidden="1">Outbound_Monitor!$A$2:$W$3</definedName>
    <definedName name="Z_07A57854_6A73_4172_A85D_6EFFC59D570B_.wvu.FilterData" localSheetId="0" hidden="1">Outbound_Monitor!$A$2:$W$3</definedName>
    <definedName name="Z_07AC40FB_EED1_482A_A0C3_A5DF9A6933A4_.wvu.FilterData" localSheetId="1" hidden="1">Inbound_Monitor!$A$2:$Q$3</definedName>
    <definedName name="Z_07C4D283_07B0_4013_87EC_8B87D2627D88_.wvu.FilterData" localSheetId="0" hidden="1">Outbound_Monitor!$A$2:$W$3</definedName>
    <definedName name="Z_07CDB548_47F7_4B02_9EAC_189927FC98E3_.wvu.FilterData" localSheetId="0" hidden="1">Outbound_Monitor!$A$2:$X$16</definedName>
    <definedName name="Z_07D35CFE_C76C_45E3_92A2_A4EBCAF5CE9D_.wvu.FilterData" localSheetId="1" hidden="1">Inbound_Monitor!$A$2:$Q$3</definedName>
    <definedName name="Z_07D3970E_4460_467A_9A08_57F60170FFBD_.wvu.FilterData" localSheetId="1" hidden="1">Inbound_Monitor!$A$2:$Q$3</definedName>
    <definedName name="Z_07DE8A14_4DFF_42C7_B36F_7C8A44C529B7_.wvu.FilterData" localSheetId="1" hidden="1">Inbound_Monitor!$A$2:$Q$13</definedName>
    <definedName name="Z_07E0A8CC_C0CC_44A5_B9F5_9E492C0AA75B_.wvu.FilterData" localSheetId="1" hidden="1">Inbound_Monitor!$A$2:$Q$2</definedName>
    <definedName name="Z_07E0A8CC_C0CC_44A5_B9F5_9E492C0AA75B_.wvu.FilterData" localSheetId="0" hidden="1">Outbound_Monitor!$A$2:$W$2</definedName>
    <definedName name="Z_07E56A76_EAA3_490E_918A_8B11109D4A1D_.wvu.FilterData" localSheetId="1" hidden="1">Inbound_Monitor!$A$2:$Q$3</definedName>
    <definedName name="Z_07F3A53B_B3CD_4355_AF78_FEFA6A1C1340_.wvu.FilterData" localSheetId="0" hidden="1">Outbound_Monitor!$A$2:$W$3</definedName>
    <definedName name="Z_07FB28E6_52B9_42D7_A372_05CB97B55523_.wvu.FilterData" localSheetId="1" hidden="1">Inbound_Monitor!$A$2:$Q$3</definedName>
    <definedName name="Z_080B8DE9_FAE1_416E_82EA_B40030AB8274_.wvu.FilterData" localSheetId="1" hidden="1">Inbound_Monitor!$A$2:$Q$13</definedName>
    <definedName name="Z_080B8DE9_FAE1_416E_82EA_B40030AB8274_.wvu.FilterData" localSheetId="0" hidden="1">Outbound_Monitor!$A$2:$X$16</definedName>
    <definedName name="Z_0814D334_AED3_4E05_9522_B846E8EF27AA_.wvu.FilterData" localSheetId="1" hidden="1">Inbound_Monitor!$A$2:$Q$2</definedName>
    <definedName name="Z_0814D334_AED3_4E05_9522_B846E8EF27AA_.wvu.FilterData" localSheetId="0" hidden="1">Outbound_Monitor!$A$2:$W$2</definedName>
    <definedName name="Z_0822B381_D69A_40B5_855F_43502B176043_.wvu.FilterData" localSheetId="0" hidden="1">Outbound_Monitor!$A$2:$W$3</definedName>
    <definedName name="Z_08297044_9591_4A54_9040_64623145B4A9_.wvu.FilterData" localSheetId="1" hidden="1">Inbound_Monitor!$A$2:$Q$3</definedName>
    <definedName name="Z_082BBDE3_ECBE_403D_B6EC_F9D6019F050A_.wvu.FilterData" localSheetId="0" hidden="1">Outbound_Monitor!$A$2:$W$3</definedName>
    <definedName name="Z_083D2FE0_8547_4562_A79E_AC78C80356C1_.wvu.FilterData" localSheetId="0" hidden="1">Outbound_Monitor!$A$2:$X$16</definedName>
    <definedName name="Z_0840AFC9_29AD_44D1_8082_5820010C5512_.wvu.FilterData" localSheetId="1" hidden="1">Inbound_Monitor!$A$2:$Q$2</definedName>
    <definedName name="Z_0840AFC9_29AD_44D1_8082_5820010C5512_.wvu.FilterData" localSheetId="0" hidden="1">Outbound_Monitor!$A$2:$W$2</definedName>
    <definedName name="Z_0846A704_6631_41AC_8F00_F0D3C1F781A3_.wvu.FilterData" localSheetId="0" hidden="1">Outbound_Monitor!$A$2:$W$3</definedName>
    <definedName name="Z_084BA114_E7AC_46D4_ACD8_417BB97FF2BF_.wvu.FilterData" localSheetId="0" hidden="1">Outbound_Monitor!$A$2:$W$3</definedName>
    <definedName name="Z_084ECD7B_5CBA_4AE0_A11A_A1EA14F39235_.wvu.FilterData" localSheetId="0" hidden="1">Outbound_Monitor!$A$2:$W$3</definedName>
    <definedName name="Z_085B801B_B35C_4B66_866C_A3B93E723392_.wvu.FilterData" localSheetId="0" hidden="1">Outbound_Monitor!$A$2:$X$3</definedName>
    <definedName name="Z_08675515_6FEF_4240_911E_B663987F7067_.wvu.FilterData" localSheetId="1" hidden="1">Inbound_Monitor!$A$2:$Q$3</definedName>
    <definedName name="Z_0870C9EA_4162_4D7A_A3FD_902D663375D2_.wvu.FilterData" localSheetId="0" hidden="1">Outbound_Monitor!$A$2:$W$3</definedName>
    <definedName name="Z_0896305B_26FD_46F5_A609_30049C0F02E5_.wvu.FilterData" localSheetId="0" hidden="1">Outbound_Monitor!$A$2:$W$3</definedName>
    <definedName name="Z_089F6A2F_E180_4AAE_8F2F_7792BB234E53_.wvu.FilterData" localSheetId="0" hidden="1">Outbound_Monitor!$A$2:$W$3</definedName>
    <definedName name="Z_08A6103F_10BA_4CEF_947D_6FD7CF82BBBC_.wvu.FilterData" localSheetId="0" hidden="1">Outbound_Monitor!$A$2:$W$3</definedName>
    <definedName name="Z_08A65700_88FB_4683_8A56_093C074B4CBD_.wvu.FilterData" localSheetId="0" hidden="1">Outbound_Monitor!$A$2:$W$3</definedName>
    <definedName name="Z_08AE5984_B8F0_4E44_8C5B_CD64846B8603_.wvu.FilterData" localSheetId="0" hidden="1">Outbound_Monitor!$A$2:$W$3</definedName>
    <definedName name="Z_08AEDC57_CBC2_43BC_B718_1B4293255CD5_.wvu.FilterData" localSheetId="1" hidden="1">Inbound_Monitor!$A$2:$Q$13</definedName>
    <definedName name="Z_08AF7E2A_6E2C_49D7_9637_C924912A84D8_.wvu.FilterData" localSheetId="1" hidden="1">Inbound_Monitor!$A$2:$Q$3</definedName>
    <definedName name="Z_08AF7E2A_6E2C_49D7_9637_C924912A84D8_.wvu.FilterData" localSheetId="0" hidden="1">Outbound_Monitor!$A$2:$W$3</definedName>
    <definedName name="Z_08B10EE7_E25D_482F_9933_7D17D8301901_.wvu.FilterData" localSheetId="1" hidden="1">Inbound_Monitor!$A$2:$Q$3</definedName>
    <definedName name="Z_08B10EE7_E25D_482F_9933_7D17D8301901_.wvu.FilterData" localSheetId="0" hidden="1">Outbound_Monitor!$A$2:$W$3</definedName>
    <definedName name="Z_08C190AF_FCB3_441B_BC07_2E1848D6F13C_.wvu.FilterData" localSheetId="0" hidden="1">Outbound_Monitor!$A$2:$X$16</definedName>
    <definedName name="Z_08D3D894_B029_44B5_B8A6_12A09EE8E3DD_.wvu.FilterData" localSheetId="1" hidden="1">Inbound_Monitor!$A$2:$Q$3</definedName>
    <definedName name="Z_08D424C0_50E6_432C_A144_EBEE62161E50_.wvu.FilterData" localSheetId="1" hidden="1">Inbound_Monitor!$A$2:$Q$2</definedName>
    <definedName name="Z_08D424C0_50E6_432C_A144_EBEE62161E50_.wvu.FilterData" localSheetId="0" hidden="1">Outbound_Monitor!$A$2:$W$2</definedName>
    <definedName name="Z_08D723CE_FB9E_4AB8_A0F3_107832C4DDF1_.wvu.FilterData" localSheetId="1" hidden="1">Inbound_Monitor!$A$2:$Q$3</definedName>
    <definedName name="Z_08D76C2A_7E65_49CD_91B8_CD1E8D5E0819_.wvu.FilterData" localSheetId="1" hidden="1">Inbound_Monitor!$A$2:$Q$13</definedName>
    <definedName name="Z_08D76C2A_7E65_49CD_91B8_CD1E8D5E0819_.wvu.FilterData" localSheetId="0" hidden="1">Outbound_Monitor!$A$2:$W$3</definedName>
    <definedName name="Z_08D91270_0B47_4F13_8064_3DC3692A717B_.wvu.FilterData" localSheetId="1" hidden="1">Inbound_Monitor!$A$2:$Q$3</definedName>
    <definedName name="Z_08D91270_0B47_4F13_8064_3DC3692A717B_.wvu.FilterData" localSheetId="0" hidden="1">Outbound_Monitor!$A$2:$W$3</definedName>
    <definedName name="Z_08E371EF_ECC9_4F9A_AA10_B8ADAA50E5B4_.wvu.Rows" localSheetId="3" hidden="1">'SDDS_Office (nicht nutzen)'!#REF!,'SDDS_Office (nicht nutzen)'!#REF!,'SDDS_Office (nicht nutzen)'!#REF!</definedName>
    <definedName name="Z_08E8ECDC_A6BE_440D_8A45_D74A16E09829_.wvu.FilterData" localSheetId="0" hidden="1">Outbound_Monitor!$A$2:$W$3</definedName>
    <definedName name="Z_08E98CB3_0584_45FD_9039_8A263C35829F_.wvu.FilterData" localSheetId="0" hidden="1">Outbound_Monitor!$A$2:$W$3</definedName>
    <definedName name="Z_09058BD2_6022_4A1F_B140_7483F661295B_.wvu.FilterData" localSheetId="1" hidden="1">Inbound_Monitor!$A$2:$Q$13</definedName>
    <definedName name="Z_09058BD2_6022_4A1F_B140_7483F661295B_.wvu.FilterData" localSheetId="0" hidden="1">Outbound_Monitor!$A$2:$W$3</definedName>
    <definedName name="Z_090A795D_1EB5_4C01_BF9C_DA48CA8B9431_.wvu.FilterData" localSheetId="1" hidden="1">Inbound_Monitor!$A$2:$Q$3</definedName>
    <definedName name="Z_0914B12A_7ADE_410D_97A4_6808582D99C2_.wvu.FilterData" localSheetId="1" hidden="1">Inbound_Monitor!$A$2:$Q$3</definedName>
    <definedName name="Z_091517E7_5E4E_41C2_B10B_3F7FD053FE85_.wvu.FilterData" localSheetId="0" hidden="1">Outbound_Monitor!$A$2:$X$16</definedName>
    <definedName name="Z_0920CDF3_3604_48D4_8EC1_18A79D6D6C1F_.wvu.FilterData" localSheetId="1" hidden="1">Inbound_Monitor!$A$2:$Q$3</definedName>
    <definedName name="Z_0920CDF3_3604_48D4_8EC1_18A79D6D6C1F_.wvu.FilterData" localSheetId="0" hidden="1">Outbound_Monitor!$A$2:$W$3</definedName>
    <definedName name="Z_092D6D3B_1122_4C6D_B5C8_1F7068DC1675_.wvu.FilterData" localSheetId="0" hidden="1">Outbound_Monitor!$A$2:$W$3</definedName>
    <definedName name="Z_0938BFA9_3378_4444_942D_EE199014EFBD_.wvu.FilterData" localSheetId="0" hidden="1">Outbound_Monitor!$A$2:$W$3</definedName>
    <definedName name="Z_09459E6E_096F_46E0_819A_F9A9A0CDCE5C_.wvu.FilterData" localSheetId="0" hidden="1">Outbound_Monitor!$A$2:$W$3</definedName>
    <definedName name="Z_09508762_966B_4383_B16D_75C66D56BB56_.wvu.FilterData" localSheetId="0" hidden="1">Outbound_Monitor!$A$2:$W$3</definedName>
    <definedName name="Z_095A287D_049F_47D9_A8F2_F787F1604039_.wvu.FilterData" localSheetId="0" hidden="1">Outbound_Monitor!$A$2:$W$3</definedName>
    <definedName name="Z_095D1FCB_FF97_42E5_A5BF_3FDC6E853CF3_.wvu.FilterData" localSheetId="1" hidden="1">Inbound_Monitor!$A$2:$Q$3</definedName>
    <definedName name="Z_095D1FCB_FF97_42E5_A5BF_3FDC6E853CF3_.wvu.FilterData" localSheetId="0" hidden="1">Outbound_Monitor!$A$2:$W$3</definedName>
    <definedName name="Z_096AEA26_E5E6_4879_9E92_6DE28F62D037_.wvu.FilterData" localSheetId="0" hidden="1">Outbound_Monitor!$A$2:$W$3</definedName>
    <definedName name="Z_096AFFF2_B1AB_4A4E_8E16_CA3E3C65D1F8_.wvu.FilterData" localSheetId="1" hidden="1">Inbound_Monitor!$A$2:$Q$13</definedName>
    <definedName name="Z_098D1AB6_7E00_4E67_9C34_280ABA3AB173_.wvu.FilterData" localSheetId="0" hidden="1">Outbound_Monitor!$A$2:$X$16</definedName>
    <definedName name="Z_099A0A9E_8B41_4B15_A533_8B7773096FF9_.wvu.FilterData" localSheetId="0" hidden="1">Outbound_Monitor!$A$2:$W$3</definedName>
    <definedName name="Z_09A210DC_D899_434C_8049_ACD3576610F4_.wvu.FilterData" localSheetId="1" hidden="1">Inbound_Monitor!$A$2:$Q$3</definedName>
    <definedName name="Z_09A78874_7E36_4D2F_A9E2_112519B57027_.wvu.FilterData" localSheetId="0" hidden="1">Outbound_Monitor!$A$2:$W$3</definedName>
    <definedName name="Z_09AC5214_E1BD_4480_86DB_261C5EC80191_.wvu.FilterData" localSheetId="0" hidden="1">Outbound_Monitor!$A$2:$W$3</definedName>
    <definedName name="Z_09B0B4F1_7287_4757_A0F8_B7FD1549E4C2_.wvu.FilterData" localSheetId="0" hidden="1">Outbound_Monitor!$A$2:$W$3</definedName>
    <definedName name="Z_09B610A2_3ED3_4EA6_AF2D_E087AEF613D1_.wvu.FilterData" localSheetId="1" hidden="1">Inbound_Monitor!$A$2:$Q$13</definedName>
    <definedName name="Z_09CA3615_7F23_4B09_B520_69AFEA2B535C_.wvu.FilterData" localSheetId="0" hidden="1">Outbound_Monitor!$A$2:$W$3</definedName>
    <definedName name="Z_09D155FE_32D0_45B3_A151_AD5C37730645_.wvu.FilterData" localSheetId="1" hidden="1">Inbound_Monitor!$A$2:$Q$13</definedName>
    <definedName name="Z_09D155FE_32D0_45B3_A151_AD5C37730645_.wvu.FilterData" localSheetId="0" hidden="1">Outbound_Monitor!$A$2:$W$3</definedName>
    <definedName name="Z_09D34335_39BD_433C_AD93_C6863F2FBFD9_.wvu.Cols" localSheetId="1" hidden="1">Inbound_Monitor!#REF!</definedName>
    <definedName name="Z_09D34335_39BD_433C_AD93_C6863F2FBFD9_.wvu.Cols" localSheetId="0" hidden="1">Outbound_Monitor!#REF!</definedName>
    <definedName name="Z_09D34335_39BD_433C_AD93_C6863F2FBFD9_.wvu.FilterData" localSheetId="1" hidden="1">Inbound_Monitor!$A$2:$Q$3</definedName>
    <definedName name="Z_09D34335_39BD_433C_AD93_C6863F2FBFD9_.wvu.FilterData" localSheetId="0" hidden="1">Outbound_Monitor!$A$2:$W$3</definedName>
    <definedName name="Z_09D34335_39BD_433C_AD93_C6863F2FBFD9_.wvu.FilterData" localSheetId="4" hidden="1">Schichtübergabe_Protokoll!$B$3:$N$3</definedName>
    <definedName name="Z_09D5284B_1DA4_4578_B4E6_4F858C4637DA_.wvu.FilterData" localSheetId="4" hidden="1">Schichtübergabe_Protokoll!$B$3:$N$3</definedName>
    <definedName name="Z_09D73347_D1F0_43F3_8E41_6F2E8D5DB4C2_.wvu.FilterData" localSheetId="0" hidden="1">Outbound_Monitor!$A$2:$W$3</definedName>
    <definedName name="Z_09DE1194_3AAB_42E0_A76D_DDF32F1E39B7_.wvu.FilterData" localSheetId="4" hidden="1">Schichtübergabe_Protokoll!$B$3:$N$3</definedName>
    <definedName name="Z_09E0AF8A_203E_49B5_BE88_0EB9F24504E5_.wvu.FilterData" localSheetId="0" hidden="1">Outbound_Monitor!$A$2:$W$3</definedName>
    <definedName name="Z_09E665D2_F161_4BD0_AF84_A37093A5E5CE_.wvu.FilterData" localSheetId="0" hidden="1">Outbound_Monitor!$A$2:$X$16</definedName>
    <definedName name="Z_09F2CCAF_B190_42FF_B49E_7FA5B2F2419F_.wvu.FilterData" localSheetId="1" hidden="1">Inbound_Monitor!$A$2:$Q$3</definedName>
    <definedName name="Z_09F70F54_A172_4D29_8F9B_215E39A52B19_.wvu.FilterData" localSheetId="1" hidden="1">Inbound_Monitor!$A$2:$Q$13</definedName>
    <definedName name="Z_0A09BC25_E8D5_4692_8713_A71B0CA8E44B_.wvu.FilterData" localSheetId="0" hidden="1">Outbound_Monitor!$A$2:$W$3</definedName>
    <definedName name="Z_0A09C7FE_D597_47C8_B9DD_62D79694C199_.wvu.FilterData" localSheetId="1" hidden="1">Inbound_Monitor!$A$2:$Q$3</definedName>
    <definedName name="Z_0A09C7FE_D597_47C8_B9DD_62D79694C199_.wvu.FilterData" localSheetId="0" hidden="1">Outbound_Monitor!$A$2:$W$3</definedName>
    <definedName name="Z_0A0ADCD6_078B_4C74_B059_C414D68E788D_.wvu.FilterData" localSheetId="0" hidden="1">Outbound_Monitor!$A$2:$W$3</definedName>
    <definedName name="Z_0A0D78BA_71EE_49EC_9F35_FF34B1DF7F80_.wvu.FilterData" localSheetId="0" hidden="1">Outbound_Monitor!$A$2:$W$3</definedName>
    <definedName name="Z_0A1C11C6_4A75_4EC9_AEED_BF2CE430E675_.wvu.FilterData" localSheetId="0" hidden="1">Outbound_Monitor!$A$2:$X$16</definedName>
    <definedName name="Z_0A2B17EC_8A60_4ED0_A14B_E40E6E4BCBB8_.wvu.FilterData" localSheetId="0" hidden="1">Outbound_Monitor!$A$2:$X$16</definedName>
    <definedName name="Z_0A3825DD_B3A7_482D_8495_EDE0C17B2B8D_.wvu.FilterData" localSheetId="1" hidden="1">Inbound_Monitor!$A$2:$Q$3</definedName>
    <definedName name="Z_0A3825DD_B3A7_482D_8495_EDE0C17B2B8D_.wvu.FilterData" localSheetId="0" hidden="1">Outbound_Monitor!$A$2:$W$3</definedName>
    <definedName name="Z_0A3CA585_C04C_460E_AEDD_1D8ACC69784C_.wvu.FilterData" localSheetId="1" hidden="1">Inbound_Monitor!$A$2:$Q$3</definedName>
    <definedName name="Z_0A3DB2AB_FC8A_4561_A0C4_CDE23EC6D642_.wvu.FilterData" localSheetId="0" hidden="1">Outbound_Monitor!$A$2:$W$3</definedName>
    <definedName name="Z_0A4D13FA_37CC_4A11_A190_1B943555F2D2_.wvu.FilterData" localSheetId="0" hidden="1">Outbound_Monitor!$A$2:$W$3</definedName>
    <definedName name="Z_0A4E269E_C848_4E66_A71D_1DFC283B208F_.wvu.FilterData" localSheetId="1" hidden="1">Inbound_Monitor!$A$2:$Q$13</definedName>
    <definedName name="Z_0A4E269E_C848_4E66_A71D_1DFC283B208F_.wvu.FilterData" localSheetId="0" hidden="1">Outbound_Monitor!$A$2:$X$16</definedName>
    <definedName name="Z_0A526593_04E9_455E_AD1C_A8BA0D3A3FC9_.wvu.FilterData" localSheetId="0" hidden="1">Outbound_Monitor!$A$2:$X$16</definedName>
    <definedName name="Z_0A53FC1B_C79C_43E7_8075_7DDD5885356A_.wvu.FilterData" localSheetId="1" hidden="1">Inbound_Monitor!$A$2:$Q$13</definedName>
    <definedName name="Z_0A53FC1B_C79C_43E7_8075_7DDD5885356A_.wvu.FilterData" localSheetId="0" hidden="1">Outbound_Monitor!$A$2:$W$3</definedName>
    <definedName name="Z_0A5E4B9F_0BDE_4957_8127_094D5143A078_.wvu.FilterData" localSheetId="0" hidden="1">Outbound_Monitor!$A$2:$X$16</definedName>
    <definedName name="Z_0A73049A_77C7_4EE4_9952_B60704B310BF_.wvu.FilterData" localSheetId="0" hidden="1">Outbound_Monitor!$A$2:$W$3</definedName>
    <definedName name="Z_0A862704_5FD9_4E4E_B016_CC80CD9AA5D2_.wvu.FilterData" localSheetId="1" hidden="1">Inbound_Monitor!$A$2:$Q$3</definedName>
    <definedName name="Z_0A9350D6_61C3_472E_B863_E39C81B76C87_.wvu.FilterData" localSheetId="0" hidden="1">Outbound_Monitor!$A$2:$W$3</definedName>
    <definedName name="Z_0AABCF00_54F5_4659_ACF1_BCDF5B6B5702_.wvu.FilterData" localSheetId="0" hidden="1">Outbound_Monitor!$A$2:$X$16</definedName>
    <definedName name="Z_0AB0398A_D139_43CA_8604_12F9BB60BFF7_.wvu.FilterData" localSheetId="0" hidden="1">Outbound_Monitor!$A$2:$W$3</definedName>
    <definedName name="Z_0AB23892_594E_4ADD_BA11_B0651F4E4336_.wvu.FilterData" localSheetId="0" hidden="1">Outbound_Monitor!$A$2:$X$16</definedName>
    <definedName name="Z_0AB5531D_872D_4CBC_AD18_21D7F4591D26_.wvu.FilterData" localSheetId="0" hidden="1">Outbound_Monitor!$A$2:$W$3</definedName>
    <definedName name="Z_0AB9DB03_EE06_496E_84AC_5299FF329393_.wvu.FilterData" localSheetId="1" hidden="1">Inbound_Monitor!$A$2:$Q$13</definedName>
    <definedName name="Z_0AC16C1A_FBB2_4A67_9219_1577B4BACA67_.wvu.FilterData" localSheetId="0" hidden="1">Outbound_Monitor!$A$2:$X$16</definedName>
    <definedName name="Z_0AC2DE60_E43F_4F7B_9D06_91ADA434562A_.wvu.FilterData" localSheetId="1" hidden="1">Inbound_Monitor!$A$2:$Q$13</definedName>
    <definedName name="Z_0AC2DE60_E43F_4F7B_9D06_91ADA434562A_.wvu.FilterData" localSheetId="0" hidden="1">Outbound_Monitor!$A$2:$W$3</definedName>
    <definedName name="Z_0ACD533F_3C10_4E1F_A03E_B83F8F75DE08_.wvu.FilterData" localSheetId="0" hidden="1">Outbound_Monitor!$A$2:$W$3</definedName>
    <definedName name="Z_0AE8E144_9D4D_4199_AB82_E7E357C56BDA_.wvu.FilterData" localSheetId="0" hidden="1">Outbound_Monitor!$A$2:$W$3</definedName>
    <definedName name="Z_0AF5BB51_20C2_4D41_A2B5_228E2F58D8CC_.wvu.FilterData" localSheetId="1" hidden="1">Inbound_Monitor!$A$2:$Q$3</definedName>
    <definedName name="Z_0B28F033_506A_4BBF_B5A2_5C9D6CED87E8_.wvu.FilterData" localSheetId="0" hidden="1">Outbound_Monitor!$A$2:$X$16</definedName>
    <definedName name="Z_0B3D63D1_B5FC_4A55_988D_26398E93E3F3_.wvu.FilterData" localSheetId="1" hidden="1">Inbound_Monitor!$A$2:$Q$13</definedName>
    <definedName name="Z_0B3D63D1_B5FC_4A55_988D_26398E93E3F3_.wvu.FilterData" localSheetId="0" hidden="1">Outbound_Monitor!$A$2:$X$16</definedName>
    <definedName name="Z_0B43B016_99B8_4E84_BF5F_2CFF21AACE27_.wvu.FilterData" localSheetId="1" hidden="1">Inbound_Monitor!$A$2:$Q$3</definedName>
    <definedName name="Z_0B5C25BC_6399_4134_B540_0EB1CC742532_.wvu.FilterData" localSheetId="4" hidden="1">Schichtübergabe_Protokoll!$B$3:$N$3</definedName>
    <definedName name="Z_0B6EA999_0B9D_484F_A176_892008708D4F_.wvu.FilterData" localSheetId="0" hidden="1">Outbound_Monitor!$A$2:$W$3</definedName>
    <definedName name="Z_0B6F1E47_7E69_44FE_BDB0_BE7A03CC07E0_.wvu.FilterData" localSheetId="1" hidden="1">Inbound_Monitor!$A$2:$Q$3</definedName>
    <definedName name="Z_0B7CA9A5_AD8A_47A7_96E8_362B4B83CC28_.wvu.FilterData" localSheetId="1" hidden="1">Inbound_Monitor!$A$2:$Q$3</definedName>
    <definedName name="Z_0B7CA9A5_AD8A_47A7_96E8_362B4B83CC28_.wvu.FilterData" localSheetId="0" hidden="1">Outbound_Monitor!$A$2:$W$3</definedName>
    <definedName name="Z_0B83BEAC_BD19_4DEF_BEA6_4A1D89BFB36F_.wvu.FilterData" localSheetId="1" hidden="1">Inbound_Monitor!$A$2:$Q$3</definedName>
    <definedName name="Z_0B83F877_871D_454B_A022_EC1FA5B250F4_.wvu.FilterData" localSheetId="1" hidden="1">Inbound_Monitor!$A$2:$Q$13</definedName>
    <definedName name="Z_0B87D04D_32D3_48CB_8EDC_403E95200B0E_.wvu.FilterData" localSheetId="0" hidden="1">Outbound_Monitor!$A$2:$X$16</definedName>
    <definedName name="Z_0B8C72C4_C778_4327_8E92_01A04215DECD_.wvu.FilterData" localSheetId="1" hidden="1">Inbound_Monitor!$A$2:$Q$3</definedName>
    <definedName name="Z_0B8C72C4_C778_4327_8E92_01A04215DECD_.wvu.FilterData" localSheetId="0" hidden="1">Outbound_Monitor!$A$2:$X$3</definedName>
    <definedName name="Z_0B90AB5B_1481_44B2_83E3_64E6C271811B_.wvu.FilterData" localSheetId="0" hidden="1">Outbound_Monitor!$A$2:$W$3</definedName>
    <definedName name="Z_0B9E019B_5E85_4669_A99A_BE0B787AEFA1_.wvu.FilterData" localSheetId="0" hidden="1">Outbound_Monitor!$A$2:$X$16</definedName>
    <definedName name="Z_0BA33AD8_3B1B_4030_B861_97C3EAD9F5A8_.wvu.FilterData" localSheetId="0" hidden="1">Outbound_Monitor!$A$2:$W$3</definedName>
    <definedName name="Z_0BAEC8AA_643F_431F_B4DA_2D31B79A0E03_.wvu.FilterData" localSheetId="0" hidden="1">Outbound_Monitor!$A$2:$X$16</definedName>
    <definedName name="Z_0BBAF130_8420_4898_862E_E1DDA683C776_.wvu.FilterData" localSheetId="0" hidden="1">Outbound_Monitor!$A$2:$X$16</definedName>
    <definedName name="Z_0BBF9176_3A6D_4A30_8950_104C1DF37ED6_.wvu.FilterData" localSheetId="1" hidden="1">Inbound_Monitor!$A$2:$Q$13</definedName>
    <definedName name="Z_0BBF9176_3A6D_4A30_8950_104C1DF37ED6_.wvu.FilterData" localSheetId="0" hidden="1">Outbound_Monitor!$A$2:$W$3</definedName>
    <definedName name="Z_0BC645F5_57AC_457D_9712_52214C7B3D98_.wvu.FilterData" localSheetId="0" hidden="1">Outbound_Monitor!$A$2:$W$3</definedName>
    <definedName name="Z_0BCB98A2_60BC_4286_9225_0BA6AA998B09_.wvu.FilterData" localSheetId="0" hidden="1">Outbound_Monitor!$A$2:$X$16</definedName>
    <definedName name="Z_0BD120EB_218E_449D_8631_FCBE54FF1E46_.wvu.FilterData" localSheetId="1" hidden="1">Inbound_Monitor!$A$2:$Q$3</definedName>
    <definedName name="Z_0BD120EB_218E_449D_8631_FCBE54FF1E46_.wvu.FilterData" localSheetId="4" hidden="1">Schichtübergabe_Protokoll!$B$3:$N$3</definedName>
    <definedName name="Z_0BD8FDD2_3096_4063_9745_743650845E33_.wvu.FilterData" localSheetId="0" hidden="1">Outbound_Monitor!$A$2:$W$3</definedName>
    <definedName name="Z_0BDB9125_B8EF_4DD4_A7B4_8E6860F52887_.wvu.FilterData" localSheetId="0" hidden="1">Outbound_Monitor!$A$2:$W$3</definedName>
    <definedName name="Z_0BDDB0BA_7A6B_4F24_8902_88E64E7E2013_.wvu.FilterData" localSheetId="1" hidden="1">Inbound_Monitor!$A$2:$Q$13</definedName>
    <definedName name="Z_0BE6D3D2_F9DC_483E_9D79_4BBAC4812A52_.wvu.FilterData" localSheetId="1" hidden="1">Inbound_Monitor!$A$2:$Q$3</definedName>
    <definedName name="Z_0C01C01E_AEB6_44C3_87A6_32BE284DE57B_.wvu.FilterData" localSheetId="0" hidden="1">Outbound_Monitor!$A$2:$W$3</definedName>
    <definedName name="Z_0C12722F_496A_4C70_B647_D58661218DB4_.wvu.FilterData" localSheetId="0" hidden="1">Outbound_Monitor!$A$2:$W$3</definedName>
    <definedName name="Z_0C136CF8_A794_403E_8EFF_90705A0A5181_.wvu.FilterData" localSheetId="1" hidden="1">Inbound_Monitor!$A$2:$Q$2</definedName>
    <definedName name="Z_0C136CF8_A794_403E_8EFF_90705A0A5181_.wvu.FilterData" localSheetId="0" hidden="1">Outbound_Monitor!$A$2:$W$2</definedName>
    <definedName name="Z_0C2187A7_C2DF_4180_A318_1AE75F3D3134_.wvu.FilterData" localSheetId="0" hidden="1">Outbound_Monitor!$A$2:$W$3</definedName>
    <definedName name="Z_0C2187A7_C2DF_4180_A318_1AE75F3D3134_.wvu.FilterData" localSheetId="4" hidden="1">Schichtübergabe_Protokoll!$B$3:$N$3</definedName>
    <definedName name="Z_0C27BE61_0860_49CD_A4DB_7715925BC61E_.wvu.FilterData" localSheetId="1" hidden="1">Inbound_Monitor!$A$2:$Q$13</definedName>
    <definedName name="Z_0C27BE61_0860_49CD_A4DB_7715925BC61E_.wvu.FilterData" localSheetId="0" hidden="1">Outbound_Monitor!$A$2:$W$3</definedName>
    <definedName name="Z_0C2A555B_6576_43EE_BFC0_05BF26A93A22_.wvu.FilterData" localSheetId="1" hidden="1">Inbound_Monitor!$A$2:$Q$3</definedName>
    <definedName name="Z_0C2ABCE0_AFE3_4987_9527_B687ED071CE8_.wvu.FilterData" localSheetId="1" hidden="1">Inbound_Monitor!$A$2:$Q$13</definedName>
    <definedName name="Z_0C2ABCE0_AFE3_4987_9527_B687ED071CE8_.wvu.FilterData" localSheetId="0" hidden="1">Outbound_Monitor!$A$2:$W$3</definedName>
    <definedName name="Z_0C2B221A_4F43_48F8_B3F2_7F3F4723FBD2_.wvu.FilterData" localSheetId="1" hidden="1">Inbound_Monitor!$A$2:$Q$13</definedName>
    <definedName name="Z_0C2B221A_4F43_48F8_B3F2_7F3F4723FBD2_.wvu.FilterData" localSheetId="0" hidden="1">Outbound_Monitor!$A$2:$W$3</definedName>
    <definedName name="Z_0C37F15D_03E0_4367_AE53_BAE2A3C98B9B_.wvu.FilterData" localSheetId="0" hidden="1">Outbound_Monitor!$A$2:$W$3</definedName>
    <definedName name="Z_0C3DFCE4_1064_4F4D_89C3_F9FC00575DFC_.wvu.FilterData" localSheetId="0" hidden="1">Outbound_Monitor!$A$2:$W$3</definedName>
    <definedName name="Z_0C46ADD5_6722_462E_AB0F_DC0190C5F574_.wvu.FilterData" localSheetId="1" hidden="1">Inbound_Monitor!$A$2:$Q$13</definedName>
    <definedName name="Z_0C46ADD5_6722_462E_AB0F_DC0190C5F574_.wvu.FilterData" localSheetId="0" hidden="1">Outbound_Monitor!$A$2:$W$3</definedName>
    <definedName name="Z_0C46EFB3_7A28_4927_8847_368A6126D518_.wvu.FilterData" localSheetId="0" hidden="1">Outbound_Monitor!$A$2:$W$3</definedName>
    <definedName name="Z_0C5547D4_1BDA_4008_B2EA_A70B1953C5B6_.wvu.FilterData" localSheetId="0" hidden="1">Outbound_Monitor!$A$2:$W$3</definedName>
    <definedName name="Z_0C5D78DE_2B70_4D9B_9D03_F592C23B24B8_.wvu.FilterData" localSheetId="1" hidden="1">Inbound_Monitor!$A$2:$Q$13</definedName>
    <definedName name="Z_0C5D78DE_2B70_4D9B_9D03_F592C23B24B8_.wvu.FilterData" localSheetId="0" hidden="1">Outbound_Monitor!$A$2:$X$16</definedName>
    <definedName name="Z_0C640D2C_03E5_47DE_93E8_F4295098F766_.wvu.FilterData" localSheetId="0" hidden="1">Outbound_Monitor!$A$2:$W$3</definedName>
    <definedName name="Z_0C6416DD_2FE8_4E06_A0F2_D5F2F96BEB09_.wvu.FilterData" localSheetId="1" hidden="1">Inbound_Monitor!$A$2:$Q$3</definedName>
    <definedName name="Z_0C652F06_5E57_4FF3_9BFE_F27F6482847A_.wvu.FilterData" localSheetId="0" hidden="1">Outbound_Monitor!$A$2:$W$3</definedName>
    <definedName name="Z_0C66F700_1248_442F_875F_AAEE4AD6EB9B_.wvu.FilterData" localSheetId="0" hidden="1">Outbound_Monitor!$A$2:$W$3</definedName>
    <definedName name="Z_0C69B438_E92A_47AE_A4C9_9B336ECF56FA_.wvu.Rows" localSheetId="3" hidden="1">'SDDS_Office (nicht nutzen)'!#REF!,'SDDS_Office (nicht nutzen)'!#REF!,'SDDS_Office (nicht nutzen)'!#REF!,'SDDS_Office (nicht nutzen)'!#REF!</definedName>
    <definedName name="Z_0C6B010D_87BD_4CB0_9713_172C5A6DCC81_.wvu.FilterData" localSheetId="1" hidden="1">Inbound_Monitor!$A$2:$Q$2</definedName>
    <definedName name="Z_0C6B010D_87BD_4CB0_9713_172C5A6DCC81_.wvu.FilterData" localSheetId="0" hidden="1">Outbound_Monitor!$A$2:$W$2</definedName>
    <definedName name="Z_0C743816_B276_44F9_8FF5_9C01FEAA544B_.wvu.FilterData" localSheetId="0" hidden="1">Outbound_Monitor!$A$2:$W$3</definedName>
    <definedName name="Z_0C76DCDF_7D60_4823_B60D_043D8FFEFBEE_.wvu.FilterData" localSheetId="1" hidden="1">Inbound_Monitor!$A$2:$Q$3</definedName>
    <definedName name="Z_0C76DCDF_7D60_4823_B60D_043D8FFEFBEE_.wvu.FilterData" localSheetId="0" hidden="1">Outbound_Monitor!$A$2:$W$3</definedName>
    <definedName name="Z_0C76DCDF_7D60_4823_B60D_043D8FFEFBEE_.wvu.FilterData" localSheetId="4" hidden="1">Schichtübergabe_Protokoll!$B$3:$N$3</definedName>
    <definedName name="Z_0C8657F0_6DEE_4DAA_B521_5E13C1909395_.wvu.FilterData" localSheetId="1" hidden="1">Inbound_Monitor!$A$2:$Q$3</definedName>
    <definedName name="Z_0C8657F0_6DEE_4DAA_B521_5E13C1909395_.wvu.FilterData" localSheetId="4" hidden="1">Schichtübergabe_Protokoll!$B$3:$N$3</definedName>
    <definedName name="Z_0C94985B_4AED_43FB_9016_F9D0F3938CFE_.wvu.FilterData" localSheetId="1" hidden="1">Inbound_Monitor!$A$2:$Q$3</definedName>
    <definedName name="Z_0C94985B_4AED_43FB_9016_F9D0F3938CFE_.wvu.FilterData" localSheetId="4" hidden="1">Schichtübergabe_Protokoll!$B$3:$N$3</definedName>
    <definedName name="Z_0CA16352_1500_408D_B07F_620BDC468C02_.wvu.FilterData" localSheetId="1" hidden="1">Inbound_Monitor!$A$2:$Q$13</definedName>
    <definedName name="Z_0CC25E5B_29B2_4279_9446_C7BCD355F85F_.wvu.FilterData" localSheetId="0" hidden="1">Outbound_Monitor!$A$2:$W$3</definedName>
    <definedName name="Z_0CC76A0D_F08F_472B_8B1A_F538D76DD389_.wvu.FilterData" localSheetId="0" hidden="1">Outbound_Monitor!$A$2:$W$3</definedName>
    <definedName name="Z_0CC77FCB_9EB4_4707_9703_2E75AE4D750C_.wvu.FilterData" localSheetId="4" hidden="1">Schichtübergabe_Protokoll!$B$3:$N$3</definedName>
    <definedName name="Z_0CDAB995_6106_455F_8A9B_F649D53E2A14_.wvu.FilterData" localSheetId="0" hidden="1">Outbound_Monitor!$A$2:$W$3</definedName>
    <definedName name="Z_0CDCE917_A2F7_4BE2_A33B_59909ED2F60B_.wvu.FilterData" localSheetId="0" hidden="1">Outbound_Monitor!$A$2:$W$3</definedName>
    <definedName name="Z_0CDD840A_D164_4BBA_A831_A0B913FFB7E7_.wvu.FilterData" localSheetId="1" hidden="1">Inbound_Monitor!$A$2:$Q$3</definedName>
    <definedName name="Z_0CE07BFF_08CE_458E_B02D_FF3D88BDBBA5_.wvu.FilterData" localSheetId="1" hidden="1">Inbound_Monitor!$A$2:$Q$3</definedName>
    <definedName name="Z_0CF9C85A_7F29_494D_AC6F_1311FA3501B5_.wvu.FilterData" localSheetId="0" hidden="1">Outbound_Monitor!$A$2:$W$3</definedName>
    <definedName name="Z_0D00EB9E_9123_427B_A57E_04793EC11E7D_.wvu.FilterData" localSheetId="4" hidden="1">Schichtübergabe_Protokoll!$B$3:$N$3</definedName>
    <definedName name="Z_0D017DE6_BCE5_4441_B445_4400803831F9_.wvu.FilterData" localSheetId="0" hidden="1">Outbound_Monitor!$A$2:$W$3</definedName>
    <definedName name="Z_0D041B2D_D4B8_4666_B91A_85CDBC21322E_.wvu.FilterData" localSheetId="0" hidden="1">Outbound_Monitor!$A$2:$X$16</definedName>
    <definedName name="Z_0D063AF6_2465_43B7_BCE5_331D26BEAB83_.wvu.FilterData" localSheetId="1" hidden="1">Inbound_Monitor!$A$2:$Q$13</definedName>
    <definedName name="Z_0D0A542C_7527_483F_BFF3_41A68CC68DE6_.wvu.FilterData" localSheetId="1" hidden="1">Inbound_Monitor!$A$2:$Q$13</definedName>
    <definedName name="Z_0D19555B_5770_47C0_BAF0_8B181650DD24_.wvu.FilterData" localSheetId="1" hidden="1">Inbound_Monitor!$A$2:$Q$13</definedName>
    <definedName name="Z_0D19555B_5770_47C0_BAF0_8B181650DD24_.wvu.FilterData" localSheetId="0" hidden="1">Outbound_Monitor!$A$2:$X$16</definedName>
    <definedName name="Z_0D20C223_D4C9_40E6_B202_FC768B57F5AE_.wvu.FilterData" localSheetId="0" hidden="1">Outbound_Monitor!$A$2:$W$3</definedName>
    <definedName name="Z_0D336C7E_1379_4100_9D4F_40461916A2A2_.wvu.FilterData" localSheetId="1" hidden="1">Inbound_Monitor!$A$2:$Q$2</definedName>
    <definedName name="Z_0D336C7E_1379_4100_9D4F_40461916A2A2_.wvu.FilterData" localSheetId="0" hidden="1">Outbound_Monitor!$A$2:$W$2</definedName>
    <definedName name="Z_0D348FAB_6FFC_4C67_9C44_FC7FC297B42F_.wvu.FilterData" localSheetId="0" hidden="1">Outbound_Monitor!$A$2:$W$3</definedName>
    <definedName name="Z_0D3C3DFD_0112_40B3_BBCC_A2EAE63D2497_.wvu.FilterData" localSheetId="0" hidden="1">Outbound_Monitor!$A$2:$W$3</definedName>
    <definedName name="Z_0D6AA9B9_168D_49A5_BE9B_01DBC2047058_.wvu.FilterData" localSheetId="1" hidden="1">Inbound_Monitor!$A$2:$Q$2</definedName>
    <definedName name="Z_0D6AA9B9_168D_49A5_BE9B_01DBC2047058_.wvu.FilterData" localSheetId="0" hidden="1">Outbound_Monitor!$A$2:$W$2</definedName>
    <definedName name="Z_0D6DF51B_6040_4557_9A0B_03CF9B7FC4C3_.wvu.FilterData" localSheetId="1" hidden="1">Inbound_Monitor!$A$2:$Q$3</definedName>
    <definedName name="Z_0D723352_526A_4FBA_9550_47FFABFC37EE_.wvu.FilterData" localSheetId="1" hidden="1">Inbound_Monitor!$A$2:$Q$13</definedName>
    <definedName name="Z_0D723352_526A_4FBA_9550_47FFABFC37EE_.wvu.FilterData" localSheetId="0" hidden="1">Outbound_Monitor!$A$2:$W$3</definedName>
    <definedName name="Z_0D82F0FA_E3D3_4888_A2B6_586A886854A9_.wvu.FilterData" localSheetId="0" hidden="1">Outbound_Monitor!$A$2:$W$3</definedName>
    <definedName name="Z_0DA476D8_6E2C_4977_9350_2C819C709BA0_.wvu.FilterData" localSheetId="0" hidden="1">Outbound_Monitor!$A$2:$W$3</definedName>
    <definedName name="Z_0DA518A5_A47C_49ED_8609_3E64328E0AC2_.wvu.FilterData" localSheetId="0" hidden="1">Outbound_Monitor!$A$2:$W$3</definedName>
    <definedName name="Z_0DB13673_2B70_421B_AEA0_4423C88A9E75_.wvu.FilterData" localSheetId="0" hidden="1">Outbound_Monitor!$A$2:$X$16</definedName>
    <definedName name="Z_0DC3CE41_15F4_44FB_AAEC_C0FE3C46C3B4_.wvu.FilterData" localSheetId="1" hidden="1">Inbound_Monitor!$A$2:$Q$13</definedName>
    <definedName name="Z_0DD1F1E1_B4C8_4A8D_A72C_64C71AF8E154_.wvu.FilterData" localSheetId="1" hidden="1">Inbound_Monitor!$A$2:$Q$2</definedName>
    <definedName name="Z_0DD1F1E1_B4C8_4A8D_A72C_64C71AF8E154_.wvu.FilterData" localSheetId="0" hidden="1">Outbound_Monitor!$A$2:$W$2</definedName>
    <definedName name="Z_0DDC01EC_181C_4CC8_B63B_8FCD7966A1B4_.wvu.FilterData" localSheetId="0" hidden="1">Outbound_Monitor!$A$2:$X$16</definedName>
    <definedName name="Z_0DDCB2F8_B4BE_4F18_BBC5_0DA4CA01AA75_.wvu.FilterData" localSheetId="1" hidden="1">Inbound_Monitor!$A$2:$Q$2</definedName>
    <definedName name="Z_0DDCB2F8_B4BE_4F18_BBC5_0DA4CA01AA75_.wvu.FilterData" localSheetId="0" hidden="1">Outbound_Monitor!$A$2:$W$2</definedName>
    <definedName name="Z_0DE434F1_EF09_4069_95C8_1DC348E467B6_.wvu.FilterData" localSheetId="0" hidden="1">Outbound_Monitor!$A$2:$W$3</definedName>
    <definedName name="Z_0DEDACE2_FD2F_427D_8F25_0D227A12C799_.wvu.FilterData" localSheetId="0" hidden="1">Outbound_Monitor!$A$2:$X$16</definedName>
    <definedName name="Z_0DEE21A0_1B78_4860_9806_E61C27E1CFD2_.wvu.FilterData" localSheetId="0" hidden="1">Outbound_Monitor!$A$2:$W$3</definedName>
    <definedName name="Z_0DFE7137_50C3_41C9_9AB5_90472DF52690_.wvu.FilterData" localSheetId="1" hidden="1">Inbound_Monitor!$A$2:$Q$13</definedName>
    <definedName name="Z_0DFE7137_50C3_41C9_9AB5_90472DF52690_.wvu.FilterData" localSheetId="0" hidden="1">Outbound_Monitor!$A$2:$X$16</definedName>
    <definedName name="Z_0DFFBFA9_41F5_46C1_95A6_3BD8F8B8BE71_.wvu.FilterData" localSheetId="0" hidden="1">Outbound_Monitor!$A$2:$W$3</definedName>
    <definedName name="Z_0E039553_D707_4C92_94B9_775E2B76D9A7_.wvu.FilterData" localSheetId="0" hidden="1">Outbound_Monitor!$A$2:$W$3</definedName>
    <definedName name="Z_0E34845A_5C90_4584_9908_4AD42498B6CF_.wvu.FilterData" localSheetId="0" hidden="1">Outbound_Monitor!$A$2:$W$3</definedName>
    <definedName name="Z_0E359E8F_E1DF_427D_8F65_344F616FC524_.wvu.FilterData" localSheetId="1" hidden="1">Inbound_Monitor!$A$2:$Q$3</definedName>
    <definedName name="Z_0E396207_B9BA_490A_8E11_CEF0E62483C4_.wvu.FilterData" localSheetId="1" hidden="1">Inbound_Monitor!$A$2:$Q$3</definedName>
    <definedName name="Z_0E667C29_5A7E_4B87_823A_4D2B6215B642_.wvu.FilterData" localSheetId="0" hidden="1">Outbound_Monitor!$A$2:$W$3</definedName>
    <definedName name="Z_0E6AABE9_CD82_4E3F_93AA_35084881FC99_.wvu.FilterData" localSheetId="0" hidden="1">Outbound_Monitor!$A$2:$W$3</definedName>
    <definedName name="Z_0E6EB397_8184_4B4F_AD44_BCA0AEF93954_.wvu.FilterData" localSheetId="0" hidden="1">Outbound_Monitor!$A$2:$X$16</definedName>
    <definedName name="Z_0E70813B_6F4E_4F68_A6A1_CD683D9B0AAB_.wvu.FilterData" localSheetId="0" hidden="1">Outbound_Monitor!$A$2:$W$3</definedName>
    <definedName name="Z_0E772977_54F9_40E2_AD00_80B47A04B606_.wvu.FilterData" localSheetId="1" hidden="1">Inbound_Monitor!$A$2:$Q$3</definedName>
    <definedName name="Z_0E8C2564_E67B_48A5_B1DC_A78D81C7E726_.wvu.FilterData" localSheetId="1" hidden="1">Inbound_Monitor!$A$2:$Q$2</definedName>
    <definedName name="Z_0E8C2564_E67B_48A5_B1DC_A78D81C7E726_.wvu.FilterData" localSheetId="0" hidden="1">Outbound_Monitor!$A$2:$W$2</definedName>
    <definedName name="Z_0E8F5F66_C394_499E_96AF_E72B7CAE3BCD_.wvu.FilterData" localSheetId="1" hidden="1">Inbound_Monitor!$A$2:$Q$13</definedName>
    <definedName name="Z_0E941C4A_2FDC_4D74_99EB_69B75ECB5A2A_.wvu.FilterData" localSheetId="0" hidden="1">Outbound_Monitor!$A$2:$W$3</definedName>
    <definedName name="Z_0E994499_3E03_4A86_A4B9_E712080E8BF8_.wvu.FilterData" localSheetId="0" hidden="1">Outbound_Monitor!$A$2:$W$3</definedName>
    <definedName name="Z_0EA52B05_EF51_4799_ACF6_A14C9E4A6114_.wvu.FilterData" localSheetId="1" hidden="1">Inbound_Monitor!$A$2:$Q$3</definedName>
    <definedName name="Z_0EA52B05_EF51_4799_ACF6_A14C9E4A6114_.wvu.FilterData" localSheetId="0" hidden="1">Outbound_Monitor!#REF!</definedName>
    <definedName name="Z_0ED70988_EC59_48FA_8772_32DEE45AD850_.wvu.FilterData" localSheetId="1" hidden="1">Inbound_Monitor!$A$2:$Q$3</definedName>
    <definedName name="Z_0ED7304C_8603_43B9_82B0_21EAA58D5E6B_.wvu.FilterData" localSheetId="0" hidden="1">Outbound_Monitor!$A$2:$W$3</definedName>
    <definedName name="Z_0EDED3FC_2C79_481A_A093_3BA5A8BF41B1_.wvu.FilterData" localSheetId="1" hidden="1">Inbound_Monitor!$A$2:$Q$3</definedName>
    <definedName name="Z_0EDED3FC_2C79_481A_A093_3BA5A8BF41B1_.wvu.FilterData" localSheetId="0" hidden="1">Outbound_Monitor!$A$2:$W$3</definedName>
    <definedName name="Z_0EE43701_F82D_48A0_A10D_A9894EEB4901_.wvu.FilterData" localSheetId="0" hidden="1">Outbound_Monitor!$A$2:$W$3</definedName>
    <definedName name="Z_0EECE047_5FCC_4E2B_B117_78FBA565F60F_.wvu.FilterData" localSheetId="1" hidden="1">Inbound_Monitor!$A$2:$Q$13</definedName>
    <definedName name="Z_0EF47E7C_6D91_45CC_85EC_E738EB008C69_.wvu.FilterData" localSheetId="0" hidden="1">Outbound_Monitor!$A$2:$W$3</definedName>
    <definedName name="Z_0EFA9BE9_76C4_4AFF_8C34_6B51BEB06100_.wvu.FilterData" localSheetId="1" hidden="1">Inbound_Monitor!$A$2:$Q$2</definedName>
    <definedName name="Z_0EFA9BE9_76C4_4AFF_8C34_6B51BEB06100_.wvu.FilterData" localSheetId="0" hidden="1">Outbound_Monitor!$A$2:$W$2</definedName>
    <definedName name="Z_0F0FF432_A132_4A6E_BBA9_1FB848EB9DD9_.wvu.FilterData" localSheetId="0" hidden="1">Outbound_Monitor!$A$2:$W$3</definedName>
    <definedName name="Z_0F202FBA_7B72_4638_AF31_2940FD0B2D3B_.wvu.FilterData" localSheetId="1" hidden="1">Inbound_Monitor!$A$2:$Q$2</definedName>
    <definedName name="Z_0F202FBA_7B72_4638_AF31_2940FD0B2D3B_.wvu.FilterData" localSheetId="0" hidden="1">Outbound_Monitor!$A$2:$W$2</definedName>
    <definedName name="Z_0F299BA0_9494_4D5D_9D32_9039813742CF_.wvu.FilterData" localSheetId="1" hidden="1">Inbound_Monitor!$A$2:$Q$3</definedName>
    <definedName name="Z_0F30AF84_F5F5_40F1_885F_686D15E79302_.wvu.FilterData" localSheetId="1" hidden="1">Inbound_Monitor!$A$2:$Q$2</definedName>
    <definedName name="Z_0F30AF84_F5F5_40F1_885F_686D15E79302_.wvu.FilterData" localSheetId="0" hidden="1">Outbound_Monitor!$A$2:$W$2</definedName>
    <definedName name="Z_0F35257E_F6C3_4B76_AFBD_1EBFC27DE738_.wvu.FilterData" localSheetId="1" hidden="1">Inbound_Monitor!$A$2:$Q$13</definedName>
    <definedName name="Z_0F35257E_F6C3_4B76_AFBD_1EBFC27DE738_.wvu.FilterData" localSheetId="0" hidden="1">Outbound_Monitor!$A$2:$W$3</definedName>
    <definedName name="Z_0F411B8C_A187_47B5_A78D_A41727853791_.wvu.FilterData" localSheetId="0" hidden="1">Outbound_Monitor!$A$2:$W$3</definedName>
    <definedName name="Z_0F429FA8_98CC_4F20_88C5_D067F59076F6_.wvu.FilterData" localSheetId="0" hidden="1">Outbound_Monitor!$A$2:$W$3</definedName>
    <definedName name="Z_0F4BAEB0_E53F_408B_A0E9_C8D4450A9C69_.wvu.FilterData" localSheetId="1" hidden="1">Inbound_Monitor!$A$2:$Q$3</definedName>
    <definedName name="Z_0F4BAEB0_E53F_408B_A0E9_C8D4450A9C69_.wvu.FilterData" localSheetId="0" hidden="1">Outbound_Monitor!$A$2:$W$3</definedName>
    <definedName name="Z_0F5CA639_31A4_4A33_9C7C_45EE289B57DB_.wvu.FilterData" localSheetId="1" hidden="1">Inbound_Monitor!$A$2:$Q$3</definedName>
    <definedName name="Z_0F5F94D1_E9E3_4772_AE77_CAFC107A4DFE_.wvu.FilterData" localSheetId="0" hidden="1">Outbound_Monitor!$A$2:$X$16</definedName>
    <definedName name="Z_0F659F19_B798_4F84_8742_AD3217E60B9F_.wvu.FilterData" localSheetId="0" hidden="1">Outbound_Monitor!$A$2:$W$3</definedName>
    <definedName name="Z_0F690654_7F9D_4BF7_A85E_0EC3ABFC6922_.wvu.FilterData" localSheetId="1" hidden="1">Inbound_Monitor!$A$2:$Q$3</definedName>
    <definedName name="Z_0F71DA07_8525_4163_A3F5_310B09CDAB46_.wvu.FilterData" localSheetId="1" hidden="1">Inbound_Monitor!$A$2:$Q$3</definedName>
    <definedName name="Z_0F71DA07_8525_4163_A3F5_310B09CDAB46_.wvu.FilterData" localSheetId="0" hidden="1">Outbound_Monitor!$A$2:$W$3</definedName>
    <definedName name="Z_0F734A0B_0513_47F7_A308_783924E5151D_.wvu.FilterData" localSheetId="1" hidden="1">Inbound_Monitor!$A$2:$Q$13</definedName>
    <definedName name="Z_0F7C6A9C_B529_4586_BE39_0F28BA69B6A2_.wvu.FilterData" localSheetId="1" hidden="1">Inbound_Monitor!$A$2:$Q$13</definedName>
    <definedName name="Z_0F80DA1F_E500_4475_8D2C_523CC23ECB1A_.wvu.FilterData" localSheetId="0" hidden="1">Outbound_Monitor!$A$2:$W$3</definedName>
    <definedName name="Z_0F869EE6_CA5C_4F3A_A043_C09C2E3B372D_.wvu.FilterData" localSheetId="0" hidden="1">Outbound_Monitor!$A$2:$W$3</definedName>
    <definedName name="Z_0F892111_2115_4997_B30E_DAB3DC94C6C8_.wvu.FilterData" localSheetId="1" hidden="1">Inbound_Monitor!$A$2:$Q$13</definedName>
    <definedName name="Z_0F964B27_FF40_428B_85CE_073B77F4DCCE_.wvu.FilterData" localSheetId="1" hidden="1">Inbound_Monitor!$A$2:$Q$13</definedName>
    <definedName name="Z_0F964B27_FF40_428B_85CE_073B77F4DCCE_.wvu.FilterData" localSheetId="0" hidden="1">Outbound_Monitor!$A$2:$W$3</definedName>
    <definedName name="Z_0FAC7C3E_4D5D_44BB_8B9D_8E2F3C47C024_.wvu.FilterData" localSheetId="0" hidden="1">Outbound_Monitor!$A$2:$X$16</definedName>
    <definedName name="Z_0FACF385_9E02_4E8A_96ED_6A7547DB2259_.wvu.FilterData" localSheetId="0" hidden="1">Outbound_Monitor!$A$2:$W$3</definedName>
    <definedName name="Z_0FD69B82_C1AE_4ACE_B6A9_21ADA06DA172_.wvu.FilterData" localSheetId="1" hidden="1">Inbound_Monitor!$A$2:$Q$13</definedName>
    <definedName name="Z_0FD69B82_C1AE_4ACE_B6A9_21ADA06DA172_.wvu.FilterData" localSheetId="0" hidden="1">Outbound_Monitor!$A$2:$X$16</definedName>
    <definedName name="Z_0FD7C691_D9F3_46A2_A3C0_461B6EC50297_.wvu.FilterData" localSheetId="0" hidden="1">Outbound_Monitor!$A$2:$W$3</definedName>
    <definedName name="Z_0FDA72FB_CC5A_480F_8446_985DD7BE111F_.wvu.FilterData" localSheetId="1" hidden="1">Inbound_Monitor!$A$2:$Q$13</definedName>
    <definedName name="Z_0FDA72FB_CC5A_480F_8446_985DD7BE111F_.wvu.FilterData" localSheetId="0" hidden="1">Outbound_Monitor!$A$2:$X$16</definedName>
    <definedName name="Z_0FDAF993_A9A0_488F_81DC_55E8F82CD9B4_.wvu.FilterData" localSheetId="0" hidden="1">Outbound_Monitor!$A$2:$W$3</definedName>
    <definedName name="Z_0FE37737_9387_4CDA_AB2D_8897120E0C78_.wvu.FilterData" localSheetId="0" hidden="1">Outbound_Monitor!$A$2:$W$3</definedName>
    <definedName name="Z_0FE9D9B0_531A_47A3_BDAA_86046C2831DF_.wvu.FilterData" localSheetId="0" hidden="1">Outbound_Monitor!$A$2:$W$3</definedName>
    <definedName name="Z_0FE9D9B0_531A_47A3_BDAA_86046C2831DF_.wvu.FilterData" localSheetId="4" hidden="1">Schichtübergabe_Protokoll!$B$3:$N$3</definedName>
    <definedName name="Z_0FED9BA4_2867_4767_B749_4A1FC87D550E_.wvu.FilterData" localSheetId="0" hidden="1">Outbound_Monitor!$A$2:$X$16</definedName>
    <definedName name="Z_0FEE530A_848F_4F55_BAF6_5FB591A18BA9_.wvu.FilterData" localSheetId="0" hidden="1">Outbound_Monitor!$A$2:$X$16</definedName>
    <definedName name="Z_0FF10022_7541_4CAE_8A3E_0F957180E276_.wvu.FilterData" localSheetId="0" hidden="1">Outbound_Monitor!$A$2:$W$3</definedName>
    <definedName name="Z_0FFA8964_D7F5_452D_A149_6E250321B73A_.wvu.FilterData" localSheetId="0" hidden="1">Outbound_Monitor!$A$2:$W$3</definedName>
    <definedName name="Z_10064447_856D_4E40_A702_FAC3D97227B9_.wvu.FilterData" localSheetId="0" hidden="1">Outbound_Monitor!$A$2:$W$3</definedName>
    <definedName name="Z_10070973_1A3A_4A07_BD08_E2BF8424183E_.wvu.FilterData" localSheetId="0" hidden="1">Outbound_Monitor!$A$2:$W$3</definedName>
    <definedName name="Z_100D201A_ABB1_46EF_8A7D_71927888CD4B_.wvu.FilterData" localSheetId="0" hidden="1">Outbound_Monitor!$A$2:$W$3</definedName>
    <definedName name="Z_10151970_265F_458F_B6E6_F4E45158B65A_.wvu.FilterData" localSheetId="1" hidden="1">Inbound_Monitor!$A$2:$Q$3</definedName>
    <definedName name="Z_1020D4C3_AD2E_41DB_B305_B52C0DD646C0_.wvu.FilterData" localSheetId="0" hidden="1">Outbound_Monitor!$A$2:$X$16</definedName>
    <definedName name="Z_103FA252_54D4_4186_ADEC_820AE0FD99EB_.wvu.FilterData" localSheetId="1" hidden="1">Inbound_Monitor!$A$2:$Q$2</definedName>
    <definedName name="Z_103FA252_54D4_4186_ADEC_820AE0FD99EB_.wvu.FilterData" localSheetId="0" hidden="1">Outbound_Monitor!$A$2:$W$2</definedName>
    <definedName name="Z_1047E262_C91A_4BCB_8AB1_53824D07BAB9_.wvu.FilterData" localSheetId="1" hidden="1">Inbound_Monitor!$A$2:$Q$3</definedName>
    <definedName name="Z_1053DB63_EEFD_447C_AA54_BECB9B93A64B_.wvu.FilterData" localSheetId="1" hidden="1">Inbound_Monitor!$A$2:$Q$3</definedName>
    <definedName name="Z_105F89DC_2402_494A_ADFD_40D29AE96B7C_.wvu.FilterData" localSheetId="0" hidden="1">Outbound_Monitor!$A$2:$W$3</definedName>
    <definedName name="Z_106EB10A_094D_4349_B45A_C7ECCECE1643_.wvu.FilterData" localSheetId="1" hidden="1">Inbound_Monitor!$A$2:$Q$3</definedName>
    <definedName name="Z_106F4F8E_88C3_497B_9999_2C43A87AE6D1_.wvu.FilterData" localSheetId="0" hidden="1">Outbound_Monitor!$A$2:$W$3</definedName>
    <definedName name="Z_10731BB2_463F_4B4D_A6D9_5ADF028A0D5D_.wvu.FilterData" localSheetId="0" hidden="1">Outbound_Monitor!$A$2:$X$16</definedName>
    <definedName name="Z_107A9B1F_6D73_4190_AB32_E7DD66CDDB31_.wvu.FilterData" localSheetId="1" hidden="1">Inbound_Monitor!$A$2:$Q$2</definedName>
    <definedName name="Z_107A9B1F_6D73_4190_AB32_E7DD66CDDB31_.wvu.FilterData" localSheetId="0" hidden="1">Outbound_Monitor!$A$2:$W$2</definedName>
    <definedName name="Z_108753FE_91A3_43A4_BEE1_FECD64DAAA13_.wvu.FilterData" localSheetId="1" hidden="1">Inbound_Monitor!$A$2:$Q$13</definedName>
    <definedName name="Z_108753FE_91A3_43A4_BEE1_FECD64DAAA13_.wvu.FilterData" localSheetId="0" hidden="1">Outbound_Monitor!$A$2:$X$16</definedName>
    <definedName name="Z_109C97A2_BA6B_49D3_8214_7EE6A41D4CD5_.wvu.FilterData" localSheetId="0" hidden="1">Outbound_Monitor!$A$2:$W$3</definedName>
    <definedName name="Z_109D506C_B00E_4D76_BC91_8AA2311D7B6A_.wvu.FilterData" localSheetId="1" hidden="1">Inbound_Monitor!$A$2:$Q$3</definedName>
    <definedName name="Z_109D506C_B00E_4D76_BC91_8AA2311D7B6A_.wvu.FilterData" localSheetId="0" hidden="1">Outbound_Monitor!$A$2:$W$3</definedName>
    <definedName name="Z_10A9D157_8D20_4B4F_9E1B_6CF8E9F0BAF9_.wvu.FilterData" localSheetId="1" hidden="1">Inbound_Monitor!$A$2:$Q$13</definedName>
    <definedName name="Z_10A9D157_8D20_4B4F_9E1B_6CF8E9F0BAF9_.wvu.FilterData" localSheetId="0" hidden="1">Outbound_Monitor!$A$2:$W$3</definedName>
    <definedName name="Z_10B43A68_2A57_4DA4_84C9_E3295267641E_.wvu.FilterData" localSheetId="0" hidden="1">Outbound_Monitor!$A$2:$W$3</definedName>
    <definedName name="Z_10BD0984_F9AF_4B47_A435_6A936C8906E5_.wvu.FilterData" localSheetId="0" hidden="1">Outbound_Monitor!$A$2:$X$16</definedName>
    <definedName name="Z_10C04F71_4D68_4C14_8FC2_33C15ADB6C13_.wvu.FilterData" localSheetId="0" hidden="1">Outbound_Monitor!$A$2:$X$16</definedName>
    <definedName name="Z_10C8848B_CE62_4FC8_B6B2_C6BD0D9B387C_.wvu.FilterData" localSheetId="1" hidden="1">Inbound_Monitor!$A$2:$Q$3</definedName>
    <definedName name="Z_10E5ED2E_ACF4_43F9_927B_BAF4C13EB77F_.wvu.FilterData" localSheetId="0" hidden="1">Outbound_Monitor!$A$2:$W$3</definedName>
    <definedName name="Z_10EDCFBD_84D7_4E6D_86FF_77CF307E86A5_.wvu.FilterData" localSheetId="1" hidden="1">Inbound_Monitor!$A$2:$Q$13</definedName>
    <definedName name="Z_10F7DCDC_18E8_4CB0_A296_F0CB0E5EE0DD_.wvu.FilterData" localSheetId="1" hidden="1">Inbound_Monitor!$A$2:$Q$3</definedName>
    <definedName name="Z_10F8ACCC_5AF9_4941_8A31_0E8C00792853_.wvu.FilterData" localSheetId="1" hidden="1">Inbound_Monitor!$A$2:$Q$13</definedName>
    <definedName name="Z_11027503_1B76_4435_93D1_E97D5DAC6C86_.wvu.FilterData" localSheetId="0" hidden="1">Outbound_Monitor!$A$2:$W$3</definedName>
    <definedName name="Z_110810DD_9FD3_4E50_A5AB_052C6ED410B6_.wvu.FilterData" localSheetId="0" hidden="1">Outbound_Monitor!#REF!</definedName>
    <definedName name="Z_110D84F8_5572_4364_8169_7BC5423EE431_.wvu.FilterData" localSheetId="0" hidden="1">Outbound_Monitor!$A$2:$W$3</definedName>
    <definedName name="Z_1112DF64_74FC_4BCA_9729_17C2A81F319C_.wvu.FilterData" localSheetId="0" hidden="1">Outbound_Monitor!$A$2:$W$3</definedName>
    <definedName name="Z_11140448_5142_4643_AE66_3DECAB7D65C1_.wvu.FilterData" localSheetId="1" hidden="1">Inbound_Monitor!$A$2:$Q$13</definedName>
    <definedName name="Z_111E4899_8C35_4BC9_9FF5_E47ECD322D42_.wvu.FilterData" localSheetId="1" hidden="1">Inbound_Monitor!$A$2:$Q$13</definedName>
    <definedName name="Z_112ACA03_C9EE_4D6E_BACB_7153F990694E_.wvu.FilterData" localSheetId="0" hidden="1">Outbound_Monitor!$A$2:$W$3</definedName>
    <definedName name="Z_112D0BA7_F4EB_4405_98CA_34A4666E70BC_.wvu.FilterData" localSheetId="1" hidden="1">Inbound_Monitor!$A$2:$Q$3</definedName>
    <definedName name="Z_11367C48_4D16_4870_8AC4_F70FF1A2F3F7_.wvu.Rows" localSheetId="3" hidden="1">'SDDS_Office (nicht nutzen)'!#REF!,'SDDS_Office (nicht nutzen)'!#REF!,'SDDS_Office (nicht nutzen)'!#REF!,'SDDS_Office (nicht nutzen)'!#REF!</definedName>
    <definedName name="Z_113E0C71_6C95_4E58_AA4A_B15E9AEC6A00_.wvu.FilterData" localSheetId="1" hidden="1">Inbound_Monitor!$A$2:$Q$13</definedName>
    <definedName name="Z_113E0C71_6C95_4E58_AA4A_B15E9AEC6A00_.wvu.FilterData" localSheetId="0" hidden="1">Outbound_Monitor!$A$2:$X$16</definedName>
    <definedName name="Z_113F95D5_5027_42F9_A5D4_896E1035D458_.wvu.FilterData" localSheetId="1" hidden="1">Inbound_Monitor!$A$2:$Q$3</definedName>
    <definedName name="Z_113F95D5_5027_42F9_A5D4_896E1035D458_.wvu.FilterData" localSheetId="0" hidden="1">Outbound_Monitor!$A$2:$X$3</definedName>
    <definedName name="Z_1148703E_2F9E_49BA_8E79_0B2DA172B97E_.wvu.FilterData" localSheetId="0" hidden="1">Outbound_Monitor!$A$2:$X$16</definedName>
    <definedName name="Z_11492CBC_3AFC_4077_B73B_3C0C4E0838C7_.wvu.FilterData" localSheetId="0" hidden="1">Outbound_Monitor!$A$2:$W$3</definedName>
    <definedName name="Z_114A77B9_5202_4B9A_BF4F_01F12C95E01B_.wvu.FilterData" localSheetId="1" hidden="1">Inbound_Monitor!$A$2:$Q$3</definedName>
    <definedName name="Z_114A77B9_5202_4B9A_BF4F_01F12C95E01B_.wvu.FilterData" localSheetId="0" hidden="1">Outbound_Monitor!$A$2:$W$3</definedName>
    <definedName name="Z_1157702F_4AC8_4D40_AC0D_039125FAC217_.wvu.FilterData" localSheetId="0" hidden="1">Outbound_Monitor!$A$2:$W$3</definedName>
    <definedName name="Z_1157702F_4AC8_4D40_AC0D_039125FAC217_.wvu.FilterData" localSheetId="4" hidden="1">Schichtübergabe_Protokoll!$B$3:$N$3</definedName>
    <definedName name="Z_116369B8_BD63_4090_ADAC_BFECEB0968F1_.wvu.FilterData" localSheetId="0" hidden="1">Outbound_Monitor!$A$2:$W$3</definedName>
    <definedName name="Z_1166B00B_EF51_4835_9F97_ABDAE8BE3EB0_.wvu.FilterData" localSheetId="0" hidden="1">Outbound_Monitor!$A$2:$W$3</definedName>
    <definedName name="Z_1184BAF4_6D80_4977_9509_415CCA77E10C_.wvu.FilterData" localSheetId="1" hidden="1">Inbound_Monitor!$A$2:$Q$2</definedName>
    <definedName name="Z_1184BAF4_6D80_4977_9509_415CCA77E10C_.wvu.FilterData" localSheetId="0" hidden="1">Outbound_Monitor!$A$2:$W$2</definedName>
    <definedName name="Z_118A3F8A_CCF1_4833_9231_1D9F19F47441_.wvu.FilterData" localSheetId="1" hidden="1">Inbound_Monitor!$A$2:$Q$2</definedName>
    <definedName name="Z_118A3F8A_CCF1_4833_9231_1D9F19F47441_.wvu.FilterData" localSheetId="0" hidden="1">Outbound_Monitor!$A$2:$W$2</definedName>
    <definedName name="Z_118FED13_E673_408C_B25E_B336E92D38D5_.wvu.FilterData" localSheetId="1" hidden="1">Inbound_Monitor!$A$2:$Q$13</definedName>
    <definedName name="Z_118FED13_E673_408C_B25E_B336E92D38D5_.wvu.FilterData" localSheetId="0" hidden="1">Outbound_Monitor!$A$2:$W$3</definedName>
    <definedName name="Z_1191D709_AC13_469F_B322_DF8F509ED9B4_.wvu.FilterData" localSheetId="1" hidden="1">Inbound_Monitor!$A$2:$Q$3</definedName>
    <definedName name="Z_119B6E64_987C_48C1_9E7D_1ABD1164B523_.wvu.FilterData" localSheetId="1" hidden="1">Inbound_Monitor!$A$2:$Q$3</definedName>
    <definedName name="Z_11A28E81_A227_445D_8966_2C6365384568_.wvu.FilterData" localSheetId="0" hidden="1">Outbound_Monitor!$A$2:$W$3</definedName>
    <definedName name="Z_11A37386_A47A_47EF_9DFE_811A67C722E6_.wvu.FilterData" localSheetId="0" hidden="1">Outbound_Monitor!$A$2:$W$3</definedName>
    <definedName name="Z_11A6A844_2187_4431_B10B_26440EFF22A7_.wvu.FilterData" localSheetId="0" hidden="1">Outbound_Monitor!$A$2:$W$3</definedName>
    <definedName name="Z_11AC993F_5412_49E8_9E81_B79FC7DDA09E_.wvu.FilterData" localSheetId="0" hidden="1">Outbound_Monitor!$A$2:$W$3</definedName>
    <definedName name="Z_11B79089_E12C_4481_B3BC_D2E629BB730F_.wvu.FilterData" localSheetId="0" hidden="1">Outbound_Monitor!$A$2:$W$3</definedName>
    <definedName name="Z_11BB4BBE_9DED_4090_BB48_B8CBD65E0736_.wvu.FilterData" localSheetId="0" hidden="1">Outbound_Monitor!$A$2:$X$16</definedName>
    <definedName name="Z_11C729D7_B902_477E_AADD_7024EADCFDB0_.wvu.FilterData" localSheetId="1" hidden="1">Inbound_Monitor!$A$2:$Q$3</definedName>
    <definedName name="Z_11D755AB_BCA9_4D5E_AE30_1C1F627CD97D_.wvu.FilterData" localSheetId="1" hidden="1">Inbound_Monitor!$A$2:$Q$2</definedName>
    <definedName name="Z_11D755AB_BCA9_4D5E_AE30_1C1F627CD97D_.wvu.FilterData" localSheetId="0" hidden="1">Outbound_Monitor!$A$2:$W$2</definedName>
    <definedName name="Z_11DE1474_6143_4374_A595_6A5B22C4BA7F_.wvu.FilterData" localSheetId="1" hidden="1">Inbound_Monitor!$A$2:$Q$3</definedName>
    <definedName name="Z_11DE1474_6143_4374_A595_6A5B22C4BA7F_.wvu.FilterData" localSheetId="0" hidden="1">Outbound_Monitor!$A$2:$W$3</definedName>
    <definedName name="Z_11E0DF8F_1F3E_458C_AFF0_F06D7C733F39_.wvu.FilterData" localSheetId="1" hidden="1">Inbound_Monitor!$A$2:$Q$13</definedName>
    <definedName name="Z_11E0DF8F_1F3E_458C_AFF0_F06D7C733F39_.wvu.FilterData" localSheetId="0" hidden="1">Outbound_Monitor!$A$2:$W$3</definedName>
    <definedName name="Z_11E0DF8F_1F3E_458C_AFF0_F06D7C733F39_.wvu.FilterData" localSheetId="4" hidden="1">Schichtübergabe_Protokoll!$B$3:$N$3</definedName>
    <definedName name="Z_11E2AD46_1249_436D_A96A_278994D47DF1_.wvu.FilterData" localSheetId="1" hidden="1">Inbound_Monitor!$A$2:$Q$13</definedName>
    <definedName name="Z_11EA5DB8_4F10_40DF_B0BD_5F74A635504C_.wvu.FilterData" localSheetId="1" hidden="1">Inbound_Monitor!$A$2:$Q$13</definedName>
    <definedName name="Z_11F87A2D_624F_4520_AA11_42C94D86C4E2_.wvu.FilterData" localSheetId="4" hidden="1">Schichtübergabe_Protokoll!$B$3:$N$3</definedName>
    <definedName name="Z_11FBA54A_DCC4_429F_AC7B_83903EB9B622_.wvu.FilterData" localSheetId="1" hidden="1">Inbound_Monitor!$A$2:$Q$3</definedName>
    <definedName name="Z_120A413B_B7D0_4D45_8396_FC441EA23BAD_.wvu.FilterData" localSheetId="1" hidden="1">Inbound_Monitor!$A$2:$Q$2</definedName>
    <definedName name="Z_120A413B_B7D0_4D45_8396_FC441EA23BAD_.wvu.FilterData" localSheetId="0" hidden="1">Outbound_Monitor!$A$2:$W$2</definedName>
    <definedName name="Z_121279AA_98F6_41FF_838C_4F2358734C39_.wvu.FilterData" localSheetId="1" hidden="1">Inbound_Monitor!$A$2:$Q$3</definedName>
    <definedName name="Z_12216C14_180E_43A2_BE42_A1D02347D177_.wvu.FilterData" localSheetId="0" hidden="1">Outbound_Monitor!$A$2:$W$3</definedName>
    <definedName name="Z_122B0938_CDEA_470A_9FD8_211790ECFE06_.wvu.FilterData" localSheetId="4" hidden="1">Schichtübergabe_Protokoll!$B$3:$N$3</definedName>
    <definedName name="Z_122BF681_6F88_4927_AA3B_DD3559CE2D36_.wvu.FilterData" localSheetId="1" hidden="1">Inbound_Monitor!$A$2:$Q$3</definedName>
    <definedName name="Z_124BFD58_26BE_45AF_A16F_A05146ABEAA3_.wvu.FilterData" localSheetId="0" hidden="1">Outbound_Monitor!$A$2:$W$3</definedName>
    <definedName name="Z_124D4377_2D54_440A_BFC8_CDE818C93925_.wvu.FilterData" localSheetId="4" hidden="1">Schichtübergabe_Protokoll!$B$3:$N$3</definedName>
    <definedName name="Z_126084FC_E2D9_4DDF_80C6_CB215A6FF706_.wvu.FilterData" localSheetId="0" hidden="1">Outbound_Monitor!$A$2:$X$16</definedName>
    <definedName name="Z_1262A354_D346_432F_8CC2_B7E69E9C9342_.wvu.FilterData" localSheetId="1" hidden="1">Inbound_Monitor!$A$2:$Q$13</definedName>
    <definedName name="Z_1267ED43_AAB3_48FB_8554_BA88CE0D6934_.wvu.FilterData" localSheetId="1" hidden="1">Inbound_Monitor!$A$2:$Q$3</definedName>
    <definedName name="Z_1267ED43_AAB3_48FB_8554_BA88CE0D6934_.wvu.FilterData" localSheetId="0" hidden="1">Outbound_Monitor!$A$2:$W$3</definedName>
    <definedName name="Z_126DA923_3CF0_4A7A_B850_AEFD32728990_.wvu.FilterData" localSheetId="1" hidden="1">Inbound_Monitor!$A$2:$Q$3</definedName>
    <definedName name="Z_12718858_2199_4EC9_8D78_1F3ECB057845_.wvu.FilterData" localSheetId="0" hidden="1">Outbound_Monitor!$A$2:$W$3</definedName>
    <definedName name="Z_1275B2CF_562A_4F23_9E4A_20E520322149_.wvu.FilterData" localSheetId="1" hidden="1">Inbound_Monitor!$A$2:$Q$13</definedName>
    <definedName name="Z_1295C0FC_0914_4FBE_8F69_F48916D12F12_.wvu.FilterData" localSheetId="1" hidden="1">Inbound_Monitor!$A$2:$Q$13</definedName>
    <definedName name="Z_1295C0FC_0914_4FBE_8F69_F48916D12F12_.wvu.FilterData" localSheetId="0" hidden="1">Outbound_Monitor!$A$2:$W$3</definedName>
    <definedName name="Z_12A77264_ADA6_4127_9B30_5B1909748136_.wvu.FilterData" localSheetId="1" hidden="1">Inbound_Monitor!$A$2:$Q$13</definedName>
    <definedName name="Z_12A77264_ADA6_4127_9B30_5B1909748136_.wvu.FilterData" localSheetId="0" hidden="1">Outbound_Monitor!$A$2:$X$16</definedName>
    <definedName name="Z_12AA4F2F_1D7A_49C0_AAA7_9DC047665DEB_.wvu.FilterData" localSheetId="0" hidden="1">Outbound_Monitor!$A$2:$W$3</definedName>
    <definedName name="Z_12ABD8E8_F6E5_4254_B2C0_4170330AE51E_.wvu.FilterData" localSheetId="1" hidden="1">Inbound_Monitor!$A$2:$Q$3</definedName>
    <definedName name="Z_12AFD128_4AA0_496C_859E_EAFC8A6446F5_.wvu.FilterData" localSheetId="0" hidden="1">Outbound_Monitor!$A$2:$W$3</definedName>
    <definedName name="Z_12B58361_823C_45E4_B477_E1037DA3729D_.wvu.FilterData" localSheetId="0" hidden="1">Outbound_Monitor!$A$2:$W$3</definedName>
    <definedName name="Z_12BDCB3F_461D_44BB_AFC4_415DCD0E1AE6_.wvu.FilterData" localSheetId="1" hidden="1">Inbound_Monitor!$A$2:$Q$3</definedName>
    <definedName name="Z_12BF254E_A427_4FC3_A241_666D15B573A2_.wvu.FilterData" localSheetId="1" hidden="1">Inbound_Monitor!$A$2:$Q$13</definedName>
    <definedName name="Z_12BF254E_A427_4FC3_A241_666D15B573A2_.wvu.FilterData" localSheetId="0" hidden="1">Outbound_Monitor!$A$2:$W$3</definedName>
    <definedName name="Z_12C5AB55_8F20_4400_B39A_C4D60C79AF69_.wvu.FilterData" localSheetId="0" hidden="1">Outbound_Monitor!$A$2:$W$3</definedName>
    <definedName name="Z_12C8D869_F56D_482B_AE66_8B6601F040E9_.wvu.FilterData" localSheetId="1" hidden="1">Inbound_Monitor!$A$2:$Q$2</definedName>
    <definedName name="Z_12C8D869_F56D_482B_AE66_8B6601F040E9_.wvu.FilterData" localSheetId="0" hidden="1">Outbound_Monitor!$A$2:$W$2</definedName>
    <definedName name="Z_12CF921C_1D38_491D_8C50_01EF5D21C7EA_.wvu.FilterData" localSheetId="0" hidden="1">Outbound_Monitor!$A$2:$W$3</definedName>
    <definedName name="Z_12DA1573_65E6_4F67_80CD_A23296BDC4D3_.wvu.FilterData" localSheetId="1" hidden="1">Inbound_Monitor!$A$2:$Q$13</definedName>
    <definedName name="Z_12EB760A_B6FE_4F31_B6B3_1695EEBF483F_.wvu.FilterData" localSheetId="1" hidden="1">Inbound_Monitor!$A$2:$Q$13</definedName>
    <definedName name="Z_12F798C4_D31B_4D44_8F0E_27DE7EC01DD8_.wvu.FilterData" localSheetId="0" hidden="1">Outbound_Monitor!$A$2:$W$3</definedName>
    <definedName name="Z_12FFC015_8C2A_4374_A5E3_B40976EFECA0_.wvu.FilterData" localSheetId="1" hidden="1">Inbound_Monitor!$A$2:$Q$3</definedName>
    <definedName name="Z_13022A50_6D14_4F06_A646_DBD63D28DD2E_.wvu.FilterData" localSheetId="1" hidden="1">Inbound_Monitor!$A$2:$Q$3</definedName>
    <definedName name="Z_13131129_CF5C_4C41_B461_B0AD61AF0DD2_.wvu.FilterData" localSheetId="1" hidden="1">Inbound_Monitor!$A$2:$Q$13</definedName>
    <definedName name="Z_13141C73_7BCE_4EEC_9A24_BCF17FEECE09_.wvu.FilterData" localSheetId="0" hidden="1">Outbound_Monitor!$A$2:$W$3</definedName>
    <definedName name="Z_13237754_2AC6_4B2E_914E_1D90A592464D_.wvu.FilterData" localSheetId="0" hidden="1">Outbound_Monitor!$A$2:$X$16</definedName>
    <definedName name="Z_1333F512_16E6_49C0_8E52_57A31F0D579F_.wvu.FilterData" localSheetId="0" hidden="1">Outbound_Monitor!$A$2:$X$16</definedName>
    <definedName name="Z_1347B54C_F6A1_49B8_8EE1_B28754F8F38B_.wvu.FilterData" localSheetId="1" hidden="1">Inbound_Monitor!$A$2:$Q$3</definedName>
    <definedName name="Z_135CC655_664B_4FCF_B17D_A2985ADCF28B_.wvu.FilterData" localSheetId="1" hidden="1">Inbound_Monitor!$A$2:$Q$3</definedName>
    <definedName name="Z_135D08E5_DC48_4545_B282_D3F69F974ACA_.wvu.FilterData" localSheetId="1" hidden="1">Inbound_Monitor!$A$2:$Q$13</definedName>
    <definedName name="Z_13638107_156A_4025_A168_797F70B28F01_.wvu.FilterData" localSheetId="1" hidden="1">Inbound_Monitor!$A$2:$Q$2</definedName>
    <definedName name="Z_13638107_156A_4025_A168_797F70B28F01_.wvu.FilterData" localSheetId="0" hidden="1">Outbound_Monitor!$A$2:$W$2</definedName>
    <definedName name="Z_1365C4CB_9C72_4C5B_8C70_6566E7FDD6C8_.wvu.FilterData" localSheetId="0" hidden="1">Outbound_Monitor!$A$2:$W$3</definedName>
    <definedName name="Z_136F6FE3_54FF_4110_9E74_38B67198811E_.wvu.FilterData" localSheetId="1" hidden="1">Inbound_Monitor!$A$2:$Q$2</definedName>
    <definedName name="Z_136F6FE3_54FF_4110_9E74_38B67198811E_.wvu.FilterData" localSheetId="0" hidden="1">Outbound_Monitor!$A$2:$W$2</definedName>
    <definedName name="Z_137103C4_D032_45D3_8189_C0D951D5AFD3_.wvu.FilterData" localSheetId="0" hidden="1">Outbound_Monitor!$A$2:$W$3</definedName>
    <definedName name="Z_1379BB2B_83AD_4950_BFC4_99D962F1CD44_.wvu.FilterData" localSheetId="0" hidden="1">Outbound_Monitor!$A$2:$W$3</definedName>
    <definedName name="Z_138140AC_9450_4ADF_8789_41B6311CA896_.wvu.FilterData" localSheetId="0" hidden="1">Outbound_Monitor!$A$2:$W$3</definedName>
    <definedName name="Z_13823814_2959_4D4D_A890_C4EE3040ED25_.wvu.FilterData" localSheetId="1" hidden="1">Inbound_Monitor!$A$2:$Q$3</definedName>
    <definedName name="Z_138B6E31_9FF3_4511_8920_9C5D7D800E8A_.wvu.FilterData" localSheetId="1" hidden="1">Inbound_Monitor!$A$2:$Q$13</definedName>
    <definedName name="Z_138B6E31_9FF3_4511_8920_9C5D7D800E8A_.wvu.FilterData" localSheetId="0" hidden="1">Outbound_Monitor!$A$2:$W$3</definedName>
    <definedName name="Z_138CCD99_8326_4964_8AFD_0076F48F2253_.wvu.FilterData" localSheetId="1" hidden="1">Inbound_Monitor!$A$2:$Q$2</definedName>
    <definedName name="Z_138CCD99_8326_4964_8AFD_0076F48F2253_.wvu.FilterData" localSheetId="0" hidden="1">Outbound_Monitor!$A$2:$W$2</definedName>
    <definedName name="Z_13976CFF_7B3C_45D7_9BB7_0BDDBB92B178_.wvu.FilterData" localSheetId="1" hidden="1">Inbound_Monitor!$A$2:$Q$13</definedName>
    <definedName name="Z_13976CFF_7B3C_45D7_9BB7_0BDDBB92B178_.wvu.FilterData" localSheetId="0" hidden="1">Outbound_Monitor!$A$2:$X$16</definedName>
    <definedName name="Z_139CBC5D_1A87_4D79_8C3D_C7E466C4A3F4_.wvu.FilterData" localSheetId="1" hidden="1">Inbound_Monitor!$A$2:$Q$3</definedName>
    <definedName name="Z_139CBC5D_1A87_4D79_8C3D_C7E466C4A3F4_.wvu.FilterData" localSheetId="0" hidden="1">Outbound_Monitor!$A$2:$W$3</definedName>
    <definedName name="Z_13AB8D61_E5E7_4F03_9C28_5B19583A0693_.wvu.FilterData" localSheetId="1" hidden="1">Inbound_Monitor!$A$2:$Q$13</definedName>
    <definedName name="Z_13AD186D_A4D4_4BB0_9574_22A1ACF5EB9D_.wvu.FilterData" localSheetId="0" hidden="1">Outbound_Monitor!$A$2:$X$16</definedName>
    <definedName name="Z_13B3AEDA_FA99_4480_93CF_59119C3BA9D2_.wvu.FilterData" localSheetId="1" hidden="1">Inbound_Monitor!$A$2:$Q$13</definedName>
    <definedName name="Z_13B3AEDA_FA99_4480_93CF_59119C3BA9D2_.wvu.FilterData" localSheetId="0" hidden="1">Outbound_Monitor!$A$2:$W$3</definedName>
    <definedName name="Z_13B77A00_DFC0_4A9D_A657_5766D3A01E8D_.wvu.FilterData" localSheetId="0" hidden="1">Outbound_Monitor!$A$2:$X$3</definedName>
    <definedName name="Z_13D0AED3_BBB3_4A74_9095_5824F1250251_.wvu.FilterData" localSheetId="1" hidden="1">Inbound_Monitor!$A$2:$Q$2</definedName>
    <definedName name="Z_13D0AED3_BBB3_4A74_9095_5824F1250251_.wvu.FilterData" localSheetId="0" hidden="1">Outbound_Monitor!$A$2:$W$2</definedName>
    <definedName name="Z_13F12400_D6B0_4DC7_BEF6_D46AEF74E331_.wvu.FilterData" localSheetId="1" hidden="1">Inbound_Monitor!$A$2:$Q$13</definedName>
    <definedName name="Z_13F12400_D6B0_4DC7_BEF6_D46AEF74E331_.wvu.FilterData" localSheetId="0" hidden="1">Outbound_Monitor!$A$2:$W$3</definedName>
    <definedName name="Z_13F59545_CDAD_453E_B1FF_64AB2197723A_.wvu.FilterData" localSheetId="0" hidden="1">Outbound_Monitor!$A$2:$W$3</definedName>
    <definedName name="Z_13F642AA_E750_47E1_8D2E_857B1517D839_.wvu.FilterData" localSheetId="0" hidden="1">Outbound_Monitor!$A$2:$W$3</definedName>
    <definedName name="Z_1407F301_4538_453A_809A_6AD3660195B4_.wvu.FilterData" localSheetId="0" hidden="1">Outbound_Monitor!$A$2:$W$3</definedName>
    <definedName name="Z_14089DAF_48F6_4624_9C83_E93C284A9147_.wvu.FilterData" localSheetId="0" hidden="1">Outbound_Monitor!$A$2:$W$3</definedName>
    <definedName name="Z_141C2EC1_620C_41B0_AE30_007C0E1BED1B_.wvu.FilterData" localSheetId="1" hidden="1">Inbound_Monitor!$A$2:$Q$3</definedName>
    <definedName name="Z_141C2EC1_620C_41B0_AE30_007C0E1BED1B_.wvu.FilterData" localSheetId="0" hidden="1">Outbound_Monitor!$A$2:$W$3</definedName>
    <definedName name="Z_141D6B40_8D55_420D_91F5_F6A6E7DA9B88_.wvu.FilterData" localSheetId="1" hidden="1">Inbound_Monitor!$A$2:$Q$3</definedName>
    <definedName name="Z_141D6B40_8D55_420D_91F5_F6A6E7DA9B88_.wvu.FilterData" localSheetId="4" hidden="1">Schichtübergabe_Protokoll!$B$3:$N$3</definedName>
    <definedName name="Z_142347DC_D689_482C_9781_6D2DCDCABF83_.wvu.FilterData" localSheetId="0" hidden="1">Outbound_Monitor!$A$2:$W$3</definedName>
    <definedName name="Z_142C2219_6AF3_4C28_A4C2_1DB4D8306174_.wvu.FilterData" localSheetId="0" hidden="1">Outbound_Monitor!$A$2:$W$3</definedName>
    <definedName name="Z_1435DC34_3364_4833_BB71_F6138EC4E49B_.wvu.FilterData" localSheetId="1" hidden="1">Inbound_Monitor!$A$2:$Q$2</definedName>
    <definedName name="Z_1435DC34_3364_4833_BB71_F6138EC4E49B_.wvu.FilterData" localSheetId="0" hidden="1">Outbound_Monitor!$A$2:$W$2</definedName>
    <definedName name="Z_1436A223_FB57_43ED_906F_F9E9A709BEFE_.wvu.FilterData" localSheetId="1" hidden="1">Inbound_Monitor!$A$2:$Q$3</definedName>
    <definedName name="Z_1439F43F_B38B_405A_8BAF_C390375DDCC7_.wvu.FilterData" localSheetId="0" hidden="1">Outbound_Monitor!$A$2:$W$3</definedName>
    <definedName name="Z_145560FC_DDF1_4389_A67B_AE9D96B25386_.wvu.FilterData" localSheetId="0" hidden="1">Outbound_Monitor!$A$2:$W$3</definedName>
    <definedName name="Z_14636CED_4E57_4855_88AF_94AC85C83DC8_.wvu.FilterData" localSheetId="1" hidden="1">Inbound_Monitor!$A$2:$Q$13</definedName>
    <definedName name="Z_14636CED_4E57_4855_88AF_94AC85C83DC8_.wvu.FilterData" localSheetId="0" hidden="1">Outbound_Monitor!$A$2:$W$3</definedName>
    <definedName name="Z_1466418A_3E47_4E26_92DC_BB26048DD9D1_.wvu.FilterData" localSheetId="1" hidden="1">Inbound_Monitor!$A$2:$Q$3</definedName>
    <definedName name="Z_1466418A_3E47_4E26_92DC_BB26048DD9D1_.wvu.FilterData" localSheetId="0" hidden="1">Outbound_Monitor!$A$2:$W$3</definedName>
    <definedName name="Z_146D32A4_879B_42ED_8298_04AD8CCBECE0_.wvu.FilterData" localSheetId="1" hidden="1">Inbound_Monitor!$A$2:$Q$13</definedName>
    <definedName name="Z_146D32A4_879B_42ED_8298_04AD8CCBECE0_.wvu.FilterData" localSheetId="0" hidden="1">Outbound_Monitor!$A$2:$W$3</definedName>
    <definedName name="Z_146E14F5_854D_45D0_809D_A089A5B9F7AA_.wvu.FilterData" localSheetId="0" hidden="1">Outbound_Monitor!$A$2:$W$3</definedName>
    <definedName name="Z_14749896_F071_4691_91A3_654230A710B7_.wvu.FilterData" localSheetId="0" hidden="1">Outbound_Monitor!$A$2:$W$3</definedName>
    <definedName name="Z_14756B37_6BBA_4B72_95FB_3CE4475D4B4A_.wvu.FilterData" localSheetId="1" hidden="1">Inbound_Monitor!$A$2:$Q$13</definedName>
    <definedName name="Z_148B3002_4DCD_4EDB_A9D2_A1C9EDA548B9_.wvu.FilterData" localSheetId="0" hidden="1">Outbound_Monitor!$A$2:$W$3</definedName>
    <definedName name="Z_1490B11A_04D1_43A0_8DCA_3C8CA946A457_.wvu.FilterData" localSheetId="1" hidden="1">Inbound_Monitor!$A$2:$Q$3</definedName>
    <definedName name="Z_1490B11A_04D1_43A0_8DCA_3C8CA946A457_.wvu.FilterData" localSheetId="4" hidden="1">Schichtübergabe_Protokoll!$B$3:$N$3</definedName>
    <definedName name="Z_14913145_6282_4DDB_9270_B9CC003F35E6_.wvu.FilterData" localSheetId="0" hidden="1">Outbound_Monitor!$A$2:$X$16</definedName>
    <definedName name="Z_14927907_429C_4195_986F_582D159B4757_.wvu.FilterData" localSheetId="1" hidden="1">Inbound_Monitor!$A$2:$Q$3</definedName>
    <definedName name="Z_14BA8426_088E_455B_A367_0D8B2092BA8A_.wvu.FilterData" localSheetId="1" hidden="1">Inbound_Monitor!$A$2:$Q$3</definedName>
    <definedName name="Z_14BA8426_088E_455B_A367_0D8B2092BA8A_.wvu.FilterData" localSheetId="4" hidden="1">Schichtübergabe_Protokoll!$B$3:$N$3</definedName>
    <definedName name="Z_14C0DA8D_1BA8_4764_A86A_2548167923FC_.wvu.FilterData" localSheetId="0" hidden="1">Outbound_Monitor!$A$2:$W$3</definedName>
    <definedName name="Z_14C1AAD5_FD13_481B_9A22_DCE095368260_.wvu.FilterData" localSheetId="1" hidden="1">Inbound_Monitor!$A$2:$Q$3</definedName>
    <definedName name="Z_14C8DAD2_5F3B_4D8F_9D6C_B369B0C7F10D_.wvu.FilterData" localSheetId="1" hidden="1">Inbound_Monitor!$A$2:$Q$13</definedName>
    <definedName name="Z_14CAFA2A_2954_4664_928F_10ECDE7A6622_.wvu.FilterData" localSheetId="1" hidden="1">Inbound_Monitor!$A$2:$Q$2</definedName>
    <definedName name="Z_14CAFA2A_2954_4664_928F_10ECDE7A6622_.wvu.FilterData" localSheetId="0" hidden="1">Outbound_Monitor!$A$2:$W$2</definedName>
    <definedName name="Z_14D6868C_3BF2_4E38_865F_656A04E8E2D0_.wvu.FilterData" localSheetId="0" hidden="1">Outbound_Monitor!$A$2:$W$3</definedName>
    <definedName name="Z_14DAA835_6A6B_4C7D_98E2_F66A87DCD681_.wvu.FilterData" localSheetId="0" hidden="1">Outbound_Monitor!$A$2:$W$3</definedName>
    <definedName name="Z_14F5E8B8_F203_4D5F_87A7_1CB20E5A6B85_.wvu.FilterData" localSheetId="0" hidden="1">Outbound_Monitor!$A$2:$X$16</definedName>
    <definedName name="Z_14F977E5_A274_48CE_85E3_F1F57C12794A_.wvu.FilterData" localSheetId="1" hidden="1">Inbound_Monitor!$A$2:$Q$13</definedName>
    <definedName name="Z_14FD24BA_1728_4502_8DC1_B6C9E06450B4_.wvu.FilterData" localSheetId="0" hidden="1">Outbound_Monitor!$A$2:$W$3</definedName>
    <definedName name="Z_1501B069_475E_46E5_86EF_6AAB824A7178_.wvu.FilterData" localSheetId="1" hidden="1">Inbound_Monitor!$A$2:$Q$3</definedName>
    <definedName name="Z_1508A73A_8018_42AE_A366_328C4D7D7AFC_.wvu.FilterData" localSheetId="1" hidden="1">Inbound_Monitor!$A$2:$Q$3</definedName>
    <definedName name="Z_1509F2CE_9B1C_456C_86A3_EC271CB39930_.wvu.FilterData" localSheetId="0" hidden="1">Outbound_Monitor!#REF!</definedName>
    <definedName name="Z_152C0618_DB25_404D_AA48_246535F0781F_.wvu.FilterData" localSheetId="1" hidden="1">Inbound_Monitor!$A$2:$Q$3</definedName>
    <definedName name="Z_152C4195_70D8_454E_A065_3C5F791538B1_.wvu.FilterData" localSheetId="1" hidden="1">Inbound_Monitor!$A$2:$Q$3</definedName>
    <definedName name="Z_1533789A_0370_4A2B_B568_2DDBCBF00759_.wvu.FilterData" localSheetId="0" hidden="1">Outbound_Monitor!$A$2:$W$3</definedName>
    <definedName name="Z_1535B145_CC66_4328_8A84_C5E1231A7393_.wvu.FilterData" localSheetId="0" hidden="1">Outbound_Monitor!$A$2:$W$3</definedName>
    <definedName name="Z_153839DF_A9D6_4016_BDBE_FAF1BC861328_.wvu.FilterData" localSheetId="1" hidden="1">Inbound_Monitor!$A$2:$Q$2</definedName>
    <definedName name="Z_153839DF_A9D6_4016_BDBE_FAF1BC861328_.wvu.FilterData" localSheetId="0" hidden="1">Outbound_Monitor!$A$2:$W$2</definedName>
    <definedName name="Z_1545F0FC_F46C_44A4_B89A_84A5C54124F9_.wvu.FilterData" localSheetId="1" hidden="1">Inbound_Monitor!$A$2:$Q$2</definedName>
    <definedName name="Z_1545F0FC_F46C_44A4_B89A_84A5C54124F9_.wvu.FilterData" localSheetId="0" hidden="1">Outbound_Monitor!$A$2:$W$2</definedName>
    <definedName name="Z_15556FD1_990E_4B72_AF2B_B4BC55C5A126_.wvu.FilterData" localSheetId="1" hidden="1">Inbound_Monitor!$A$2:$Q$3</definedName>
    <definedName name="Z_155E9D3C_69AA_49D8_9DBC_4B7D423A1AC6_.wvu.FilterData" localSheetId="1" hidden="1">Inbound_Monitor!$A$2:$Q$2</definedName>
    <definedName name="Z_155E9D3C_69AA_49D8_9DBC_4B7D423A1AC6_.wvu.FilterData" localSheetId="0" hidden="1">Outbound_Monitor!$A$2:$W$2</definedName>
    <definedName name="Z_157343F8_5149_4D25_9AA0_751223FAD5C3_.wvu.FilterData" localSheetId="1" hidden="1">Inbound_Monitor!$A$2:$Q$3</definedName>
    <definedName name="Z_1587CD78_65CE_4F72_BE34_43D3D3FFC1FE_.wvu.FilterData" localSheetId="0" hidden="1">Outbound_Monitor!$A$2:$W$3</definedName>
    <definedName name="Z_159AA83F_8DF2_4277_A669_902C9AC20AC1_.wvu.Cols" localSheetId="1" hidden="1">Inbound_Monitor!#REF!</definedName>
    <definedName name="Z_159AA83F_8DF2_4277_A669_902C9AC20AC1_.wvu.Cols" localSheetId="0" hidden="1">Outbound_Monitor!#REF!</definedName>
    <definedName name="Z_159AA83F_8DF2_4277_A669_902C9AC20AC1_.wvu.Cols" localSheetId="3" hidden="1">'SDDS_Office (nicht nutzen)'!#REF!</definedName>
    <definedName name="Z_159AA83F_8DF2_4277_A669_902C9AC20AC1_.wvu.FilterData" localSheetId="1" hidden="1">Inbound_Monitor!$A$2:$Q$3</definedName>
    <definedName name="Z_159AA83F_8DF2_4277_A669_902C9AC20AC1_.wvu.FilterData" localSheetId="0" hidden="1">Outbound_Monitor!$A$2:$W$3</definedName>
    <definedName name="Z_159AA83F_8DF2_4277_A669_902C9AC20AC1_.wvu.FilterData" localSheetId="4" hidden="1">Schichtübergabe_Protokoll!$B$3:$N$3</definedName>
    <definedName name="Z_159D51F6_A81E_4BB5_89BF_5C9FF2E3EA9E_.wvu.FilterData" localSheetId="1" hidden="1">Inbound_Monitor!$A$2:$Q$3</definedName>
    <definedName name="Z_159D51F6_A81E_4BB5_89BF_5C9FF2E3EA9E_.wvu.FilterData" localSheetId="0" hidden="1">Outbound_Monitor!$A$2:$W$3</definedName>
    <definedName name="Z_15A5C0AD_36AE_4B89_9FEF_2999F4BB7FB2_.wvu.FilterData" localSheetId="0" hidden="1">Outbound_Monitor!$A$2:$W$3</definedName>
    <definedName name="Z_15BA4E32_E9CB_4B13_9FD3_872BA242A6FD_.wvu.FilterData" localSheetId="1" hidden="1">Inbound_Monitor!$A$2:$Q$3</definedName>
    <definedName name="Z_15BBCC54_4BFD_43FC_8565_90028BB10DA1_.wvu.FilterData" localSheetId="1" hidden="1">Inbound_Monitor!$A$2:$Q$3</definedName>
    <definedName name="Z_15C4D6FB_AB91_4511_B99F_5C774D5C4B94_.wvu.FilterData" localSheetId="1" hidden="1">Inbound_Monitor!$A$2:$Q$2</definedName>
    <definedName name="Z_15C4D6FB_AB91_4511_B99F_5C774D5C4B94_.wvu.FilterData" localSheetId="0" hidden="1">Outbound_Monitor!$A$2:$W$2</definedName>
    <definedName name="Z_15CC92BB_0C6E_41B6_9481_336512677E2E_.wvu.FilterData" localSheetId="0" hidden="1">Outbound_Monitor!$A$2:$X$16</definedName>
    <definedName name="Z_15D2D459_ECE8_40DB_9288_B521A6D4DCC8_.wvu.FilterData" localSheetId="4" hidden="1">Schichtübergabe_Protokoll!$B$3:$N$3</definedName>
    <definedName name="Z_15EF1D36_F415_4E03_9119_2FC7F15156C2_.wvu.FilterData" localSheetId="1" hidden="1">Inbound_Monitor!$A$2:$Q$2</definedName>
    <definedName name="Z_15EF1D36_F415_4E03_9119_2FC7F15156C2_.wvu.FilterData" localSheetId="0" hidden="1">Outbound_Monitor!$A$2:$W$2</definedName>
    <definedName name="Z_15FCF95A_FB83_48DB_B2BB_6B04A9089913_.wvu.FilterData" localSheetId="0" hidden="1">Outbound_Monitor!$A$2:$W$3</definedName>
    <definedName name="Z_15FFAD7A_7DDE_4C44_87CC_660E3CD315C2_.wvu.FilterData" localSheetId="0" hidden="1">Outbound_Monitor!$A$2:$W$3</definedName>
    <definedName name="Z_160882FB_3EFE_45E5_B963_B1A07A4FBB3D_.wvu.FilterData" localSheetId="0" hidden="1">Outbound_Monitor!$A$2:$W$3</definedName>
    <definedName name="Z_161AD472_D7A6_4935_89DE_B53AACEB3639_.wvu.FilterData" localSheetId="1" hidden="1">Inbound_Monitor!$A$2:$Q$3</definedName>
    <definedName name="Z_161AD472_D7A6_4935_89DE_B53AACEB3639_.wvu.FilterData" localSheetId="0" hidden="1">Outbound_Monitor!$A$2:$W$3</definedName>
    <definedName name="Z_161CCA3E_666B_43D0_A557_0ED30D65CB0B_.wvu.FilterData" localSheetId="0" hidden="1">Outbound_Monitor!$A$2:$W$3</definedName>
    <definedName name="Z_162B2E5D_21CF_4EF1_96B0_98A45EFA9E37_.wvu.FilterData" localSheetId="0" hidden="1">Outbound_Monitor!$A$2:$X$16</definedName>
    <definedName name="Z_163A9B1F_CBD1_4B47_BC88_94EF299A7194_.wvu.FilterData" localSheetId="0" hidden="1">Outbound_Monitor!$A$2:$W$3</definedName>
    <definedName name="Z_163C2AE5_ABC8_41A5_BD96_CF92BBF1A190_.wvu.FilterData" localSheetId="1" hidden="1">Inbound_Monitor!$A$2:$Q$13</definedName>
    <definedName name="Z_163C2AE5_ABC8_41A5_BD96_CF92BBF1A190_.wvu.FilterData" localSheetId="0" hidden="1">Outbound_Monitor!$A$2:$W$3</definedName>
    <definedName name="Z_166F1482_F744_4470_B5EB_FFFCD146D6E8_.wvu.FilterData" localSheetId="0" hidden="1">Outbound_Monitor!$A$2:$W$3</definedName>
    <definedName name="Z_166F3459_98DA_46C9_9D3D_641E984F8B0E_.wvu.FilterData" localSheetId="1" hidden="1">Inbound_Monitor!$A$2:$Q$3</definedName>
    <definedName name="Z_166F3459_98DA_46C9_9D3D_641E984F8B0E_.wvu.FilterData" localSheetId="0" hidden="1">Outbound_Monitor!$A$2:$W$3</definedName>
    <definedName name="Z_16769EFC_73DD_4AB5_9D4F_351A75938154_.wvu.FilterData" localSheetId="1" hidden="1">Inbound_Monitor!$A$2:$Q$3</definedName>
    <definedName name="Z_16769EFC_73DD_4AB5_9D4F_351A75938154_.wvu.FilterData" localSheetId="0" hidden="1">Outbound_Monitor!$A$2:$W$3</definedName>
    <definedName name="Z_167AAC5F_4D9C_436D_9410_126AB9AF37AE_.wvu.FilterData" localSheetId="0" hidden="1">Outbound_Monitor!$A$2:$W$3</definedName>
    <definedName name="Z_16871427_60B0_4979_ABAD_0ECB00C2DCC5_.wvu.FilterData" localSheetId="1" hidden="1">Inbound_Monitor!$A$2:$Q$13</definedName>
    <definedName name="Z_16871427_60B0_4979_ABAD_0ECB00C2DCC5_.wvu.FilterData" localSheetId="0" hidden="1">Outbound_Monitor!$A$2:$W$3</definedName>
    <definedName name="Z_16AA8D9F_2D76_44F1_8210_4390E2B42C4B_.wvu.FilterData" localSheetId="1" hidden="1">Inbound_Monitor!$A$2:$Q$2</definedName>
    <definedName name="Z_16AA8D9F_2D76_44F1_8210_4390E2B42C4B_.wvu.FilterData" localSheetId="0" hidden="1">Outbound_Monitor!$A$2:$W$2</definedName>
    <definedName name="Z_16AC556B_5F69_47A4_8969_F386734CDAAB_.wvu.FilterData" localSheetId="0" hidden="1">Outbound_Monitor!$A$2:$W$3</definedName>
    <definedName name="Z_16ACE48A_759F_45C3_B9DE_F51B1F8D1E28_.wvu.FilterData" localSheetId="1" hidden="1">Inbound_Monitor!$A$2:$Q$2</definedName>
    <definedName name="Z_16ACE48A_759F_45C3_B9DE_F51B1F8D1E28_.wvu.FilterData" localSheetId="0" hidden="1">Outbound_Monitor!$A$2:$W$2</definedName>
    <definedName name="Z_16B7722D_47F4_4F7D_A7E1_026812DC9BE4_.wvu.FilterData" localSheetId="1" hidden="1">Inbound_Monitor!$A$2:$Q$3</definedName>
    <definedName name="Z_16C16D23_E0D3_40F5_80CC_C156BDAEA25C_.wvu.FilterData" localSheetId="0" hidden="1">Outbound_Monitor!$A$2:$W$3</definedName>
    <definedName name="Z_16C2476D_CADF_4737_9C8A_21A264131D7D_.wvu.FilterData" localSheetId="0" hidden="1">Outbound_Monitor!$A$2:$W$3</definedName>
    <definedName name="Z_16C7371F_9DB9_482A_8D9F_C28B40B48C6A_.wvu.FilterData" localSheetId="0" hidden="1">Outbound_Monitor!$A$2:$W$3</definedName>
    <definedName name="Z_16CC9BA4_D3AD_4EE9_A97B_DE92EA9B2834_.wvu.FilterData" localSheetId="0" hidden="1">Outbound_Monitor!$A$2:$X$16</definedName>
    <definedName name="Z_16DD18F7_182F_44B7_8DF8_B8D99B3A0566_.wvu.FilterData" localSheetId="1" hidden="1">Inbound_Monitor!$A$2:$Q$2</definedName>
    <definedName name="Z_16DD18F7_182F_44B7_8DF8_B8D99B3A0566_.wvu.FilterData" localSheetId="0" hidden="1">Outbound_Monitor!$A$2:$W$2</definedName>
    <definedName name="Z_16F05833_6880_40B6_95EF_1700BC3C8E8D_.wvu.FilterData" localSheetId="1" hidden="1">Inbound_Monitor!$A$2:$Q$3</definedName>
    <definedName name="Z_16F49E6A_3D91_42C6_8D73_BA810CF717C2_.wvu.FilterData" localSheetId="0" hidden="1">Outbound_Monitor!$A$2:$W$3</definedName>
    <definedName name="Z_16F8415F_72CC_49C5_9FD9_298B501AF244_.wvu.FilterData" localSheetId="0" hidden="1">Outbound_Monitor!$A$2:$X$16</definedName>
    <definedName name="Z_17000F84_D12A_4C05_B594_437383F53D7D_.wvu.FilterData" localSheetId="1" hidden="1">Inbound_Monitor!$A$2:$Q$13</definedName>
    <definedName name="Z_170EB3DF_A6D1_4D5F_A8F3_514DBA929176_.wvu.FilterData" localSheetId="1" hidden="1">Inbound_Monitor!$A$2:$Q$3</definedName>
    <definedName name="Z_170EB3DF_A6D1_4D5F_A8F3_514DBA929176_.wvu.FilterData" localSheetId="0" hidden="1">Outbound_Monitor!$A$2:$W$3</definedName>
    <definedName name="Z_17139391_3A1F_4E26_A645_7A3F5E0E5C53_.wvu.FilterData" localSheetId="1" hidden="1">Inbound_Monitor!$A$2:$Q$3</definedName>
    <definedName name="Z_17171F79_A97C_4ABE_BF4A_B4ADCC215FA7_.wvu.FilterData" localSheetId="0" hidden="1">Outbound_Monitor!$A$2:$W$3</definedName>
    <definedName name="Z_1718332A_DE39_4BC5_A9FE_1F31588E82AE_.wvu.FilterData" localSheetId="1" hidden="1">Inbound_Monitor!$A$2:$Q$2</definedName>
    <definedName name="Z_1718332A_DE39_4BC5_A9FE_1F31588E82AE_.wvu.FilterData" localSheetId="0" hidden="1">Outbound_Monitor!$A$2:$W$2</definedName>
    <definedName name="Z_1728E9EC_997E_4993_9A53_2E981567EFBA_.wvu.FilterData" localSheetId="1" hidden="1">Inbound_Monitor!$A$2:$Q$13</definedName>
    <definedName name="Z_1728E9EC_997E_4993_9A53_2E981567EFBA_.wvu.FilterData" localSheetId="0" hidden="1">Outbound_Monitor!$A$2:$W$3</definedName>
    <definedName name="Z_172C5C31_D5A7_4286_9109_46B61243492E_.wvu.FilterData" localSheetId="1" hidden="1">Inbound_Monitor!$A$2:$Q$13</definedName>
    <definedName name="Z_17338432_83AB_4112_9514_238DF22F1A41_.wvu.FilterData" localSheetId="1" hidden="1">Inbound_Monitor!$A$2:$Q$13</definedName>
    <definedName name="Z_17338432_83AB_4112_9514_238DF22F1A41_.wvu.FilterData" localSheetId="0" hidden="1">Outbound_Monitor!$A$2:$X$16</definedName>
    <definedName name="Z_1742D318_CAE6_47C0_ACA9_B8A663747BE5_.wvu.FilterData" localSheetId="0" hidden="1">Outbound_Monitor!$A$2:$X$16</definedName>
    <definedName name="Z_17485674_532C_474E_A457_37DAFAB9B25D_.wvu.FilterData" localSheetId="0" hidden="1">Outbound_Monitor!$A$2:$W$3</definedName>
    <definedName name="Z_1749917D_33BB_43AD_8524_395FE2802AEB_.wvu.FilterData" localSheetId="1" hidden="1">Inbound_Monitor!$A$2:$Q$13</definedName>
    <definedName name="Z_1749917D_33BB_43AD_8524_395FE2802AEB_.wvu.FilterData" localSheetId="0" hidden="1">Outbound_Monitor!$A$2:$X$16</definedName>
    <definedName name="Z_174CE61E_171E_4299_80DA_DDE0E3222C5E_.wvu.FilterData" localSheetId="0" hidden="1">Outbound_Monitor!$A$2:$W$3</definedName>
    <definedName name="Z_175281FA_8751_4ADC_869E_E6237B087596_.wvu.FilterData" localSheetId="0" hidden="1">Outbound_Monitor!$A$2:$W$3</definedName>
    <definedName name="Z_1775E49C_9448_45D6_9869_B80958ADC7E6_.wvu.FilterData" localSheetId="1" hidden="1">Inbound_Monitor!$A$2:$Q$2</definedName>
    <definedName name="Z_1775E49C_9448_45D6_9869_B80958ADC7E6_.wvu.FilterData" localSheetId="0" hidden="1">Outbound_Monitor!$A$2:$W$2</definedName>
    <definedName name="Z_1784295F_4E70_472E_971B_18535F99EC78_.wvu.FilterData" localSheetId="0" hidden="1">Outbound_Monitor!$A$2:$W$3</definedName>
    <definedName name="Z_178B6E39_CF15_4A3E_A285_A4B5ECDEAA6F_.wvu.FilterData" localSheetId="0" hidden="1">Outbound_Monitor!$A$2:$W$3</definedName>
    <definedName name="Z_179A6C40_455C_4EA3_A47D_7288AAFF9C83_.wvu.FilterData" localSheetId="4" hidden="1">Schichtübergabe_Protokoll!$B$3:$N$3</definedName>
    <definedName name="Z_179AA55F_669A_49FD_8C1F_044675E7F728_.wvu.FilterData" localSheetId="1" hidden="1">Inbound_Monitor!$A$2:$Q$2</definedName>
    <definedName name="Z_179AA55F_669A_49FD_8C1F_044675E7F728_.wvu.FilterData" localSheetId="0" hidden="1">Outbound_Monitor!$A$2:$W$2</definedName>
    <definedName name="Z_17B1CCD4_2F2F_498D_8E2A_446C398D6C78_.wvu.FilterData" localSheetId="0" hidden="1">Outbound_Monitor!$A$2:$W$3</definedName>
    <definedName name="Z_17B295C8_4672_4F81_95B9_F9396962E00A_.wvu.FilterData" localSheetId="0" hidden="1">Outbound_Monitor!$A$2:$W$3</definedName>
    <definedName name="Z_17B4F3A1_4A8E_44A1_A05E_F530E1970DE0_.wvu.FilterData" localSheetId="4" hidden="1">Schichtübergabe_Protokoll!$B$3:$N$3</definedName>
    <definedName name="Z_17BB9422_A7FA_4E64_8BA4_5A68D27F9966_.wvu.FilterData" localSheetId="1" hidden="1">Inbound_Monitor!$A$2:$Q$3</definedName>
    <definedName name="Z_17C233AF_A6F2_4B1C_ACA1_DFB707E82BD0_.wvu.FilterData" localSheetId="0" hidden="1">Outbound_Monitor!$A$2:$W$3</definedName>
    <definedName name="Z_17D9A4B7_BF92_44CB_ABC0_A9D7F0946400_.wvu.FilterData" localSheetId="1" hidden="1">Inbound_Monitor!$A$2:$Q$3</definedName>
    <definedName name="Z_17DF3BEB_3EB5_4245_BDFD_EE3BE4B3C8E2_.wvu.FilterData" localSheetId="0" hidden="1">Outbound_Monitor!$A$2:$W$3</definedName>
    <definedName name="Z_17E7B0F2_3287_4F84_A362_50C7A4C34985_.wvu.FilterData" localSheetId="0" hidden="1">Outbound_Monitor!$A$2:$W$3</definedName>
    <definedName name="Z_17F6BF55_DEEC_4584_9B3A_5397D587E8A5_.wvu.FilterData" localSheetId="0" hidden="1">Outbound_Monitor!$A$2:$W$3</definedName>
    <definedName name="Z_17F71CF9_C87E_48E7_AD1A_25A1A0E9432B_.wvu.FilterData" localSheetId="0" hidden="1">Outbound_Monitor!$A$2:$W$3</definedName>
    <definedName name="Z_17F9A956_870A_4EFA_B30D_1A2760E6E036_.wvu.FilterData" localSheetId="1" hidden="1">Inbound_Monitor!$A$2:$Q$3</definedName>
    <definedName name="Z_17F9A956_870A_4EFA_B30D_1A2760E6E036_.wvu.FilterData" localSheetId="0" hidden="1">Outbound_Monitor!$A$2:$W$3</definedName>
    <definedName name="Z_1807BA04_66A3_4EB4_A026_665FD020DBA8_.wvu.FilterData" localSheetId="0" hidden="1">Outbound_Monitor!$A$2:$W$3</definedName>
    <definedName name="Z_180A9522_7E99_4576_83B8_946C6339E5CF_.wvu.FilterData" localSheetId="1" hidden="1">Inbound_Monitor!$A$2:$Q$2</definedName>
    <definedName name="Z_180A9522_7E99_4576_83B8_946C6339E5CF_.wvu.FilterData" localSheetId="0" hidden="1">Outbound_Monitor!$A$2:$W$2</definedName>
    <definedName name="Z_180D276C_3197_4963_967F_45C46AA3FB6F_.wvu.FilterData" localSheetId="1" hidden="1">Inbound_Monitor!$A$2:$Q$13</definedName>
    <definedName name="Z_182335B8_6E6D_419F_A3E9_97E886A307FA_.wvu.FilterData" localSheetId="1" hidden="1">Inbound_Monitor!$A$2:$Q$3</definedName>
    <definedName name="Z_182335B8_6E6D_419F_A3E9_97E886A307FA_.wvu.FilterData" localSheetId="0" hidden="1">Outbound_Monitor!$A$2:$W$3</definedName>
    <definedName name="Z_182F5099_F03D_45C6_9B3D_FC384707A835_.wvu.FilterData" localSheetId="0" hidden="1">Outbound_Monitor!$A$2:$W$3</definedName>
    <definedName name="Z_18344456_8867_4891_AB2D_B39AADDADB4F_.wvu.FilterData" localSheetId="0" hidden="1">Outbound_Monitor!$A$2:$W$3</definedName>
    <definedName name="Z_1838DA23_D636_4184_8048_87B04DABDFDA_.wvu.FilterData" localSheetId="0" hidden="1">Outbound_Monitor!$A$2:$X$16</definedName>
    <definedName name="Z_183D2A64_42E5_4F56_8A92_18F1AADE615E_.wvu.FilterData" localSheetId="1" hidden="1">Inbound_Monitor!$A$2:$Q$13</definedName>
    <definedName name="Z_183D2A64_42E5_4F56_8A92_18F1AADE615E_.wvu.FilterData" localSheetId="0" hidden="1">Outbound_Monitor!$A$2:$W$3</definedName>
    <definedName name="Z_183EC199_B5D8_4517_9B60_817785DF3A5C_.wvu.FilterData" localSheetId="0" hidden="1">Outbound_Monitor!$A$2:$W$3</definedName>
    <definedName name="Z_1842C224_CB20_47E0_9E8F_307C68DD821C_.wvu.FilterData" localSheetId="0" hidden="1">Outbound_Monitor!$A$2:$W$3</definedName>
    <definedName name="Z_184ACC06_BEEA_4621_9421_D21185B10BCC_.wvu.FilterData" localSheetId="0" hidden="1">Outbound_Monitor!$A$2:$W$3</definedName>
    <definedName name="Z_1856F42B_D401_47FC_B17A_928F7A94A560_.wvu.FilterData" localSheetId="0" hidden="1">Outbound_Monitor!$A$2:$W$3</definedName>
    <definedName name="Z_18594DC6_2C1C_4E65_968E_E8C072D51327_.wvu.FilterData" localSheetId="0" hidden="1">Outbound_Monitor!$A$2:$X$16</definedName>
    <definedName name="Z_18631270_5B42_49D7_9510_4EA717D9A2DB_.wvu.FilterData" localSheetId="0" hidden="1">Outbound_Monitor!$A$2:$X$16</definedName>
    <definedName name="Z_186A9C30_F1FB_4A02_AA52_BCCEC3CC3E62_.wvu.FilterData" localSheetId="1" hidden="1">Inbound_Monitor!$A$2:$Q$3</definedName>
    <definedName name="Z_186A9C30_F1FB_4A02_AA52_BCCEC3CC3E62_.wvu.FilterData" localSheetId="0" hidden="1">Outbound_Monitor!$A$2:$W$3</definedName>
    <definedName name="Z_186D4303_B466_49A6_ADD6_E461330ACA94_.wvu.FilterData" localSheetId="1" hidden="1">Inbound_Monitor!$A$2:$Q$2</definedName>
    <definedName name="Z_186D4303_B466_49A6_ADD6_E461330ACA94_.wvu.FilterData" localSheetId="0" hidden="1">Outbound_Monitor!$A$2:$W$2</definedName>
    <definedName name="Z_18773F96_A121_4DA7_9974_CBDBF61C2A27_.wvu.FilterData" localSheetId="0" hidden="1">Outbound_Monitor!$A$2:$X$16</definedName>
    <definedName name="Z_18819D43_2FAB_4E64_8E73_82BD10D27111_.wvu.FilterData" localSheetId="1" hidden="1">Inbound_Monitor!$A$2:$Q$13</definedName>
    <definedName name="Z_18819D43_2FAB_4E64_8E73_82BD10D27111_.wvu.FilterData" localSheetId="0" hidden="1">Outbound_Monitor!$A$2:$X$16</definedName>
    <definedName name="Z_1883CD3F_42DD_451C_86EC_756AD8869517_.wvu.FilterData" localSheetId="1" hidden="1">Inbound_Monitor!$A$2:$Q$13</definedName>
    <definedName name="Z_188B9B5B_F90D_4925_A6EC_B7B7BF27E831_.wvu.FilterData" localSheetId="1" hidden="1">Inbound_Monitor!$A$2:$Q$13</definedName>
    <definedName name="Z_188B9B5B_F90D_4925_A6EC_B7B7BF27E831_.wvu.FilterData" localSheetId="0" hidden="1">Outbound_Monitor!$A$2:$X$16</definedName>
    <definedName name="Z_188EACF0_7EC0_4BD2_B68C_54636D72AD51_.wvu.FilterData" localSheetId="1" hidden="1">Inbound_Monitor!$A$2:$Q$3</definedName>
    <definedName name="Z_18935BCD_D4AE_4115_93A5_445118F3CEFC_.wvu.FilterData" localSheetId="0" hidden="1">Outbound_Monitor!$A$2:$X$16</definedName>
    <definedName name="Z_189E46CE_32D3_4AC2_8553_54AA0BCC746C_.wvu.FilterData" localSheetId="1" hidden="1">Inbound_Monitor!$A$2:$Q$13</definedName>
    <definedName name="Z_189E46CE_32D3_4AC2_8553_54AA0BCC746C_.wvu.FilterData" localSheetId="0" hidden="1">Outbound_Monitor!$A$2:$X$16</definedName>
    <definedName name="Z_189E5081_CA09_4838_825C_55ACAC4537CC_.wvu.FilterData" localSheetId="1" hidden="1">Inbound_Monitor!$A$2:$Q$13</definedName>
    <definedName name="Z_189E5081_CA09_4838_825C_55ACAC4537CC_.wvu.FilterData" localSheetId="0" hidden="1">Outbound_Monitor!$A$2:$W$3</definedName>
    <definedName name="Z_18A14A7C_F3E2_4505_A01A_73C51BA5246A_.wvu.FilterData" localSheetId="0" hidden="1">Outbound_Monitor!$A$2:$W$3</definedName>
    <definedName name="Z_18B18335_B8B2_4F34_B9F4_CA7F36A6B2FE_.wvu.FilterData" localSheetId="1" hidden="1">Inbound_Monitor!$A$2:$Q$3</definedName>
    <definedName name="Z_18BDD34B_46E1_4268_8B0D_F42609D22516_.wvu.FilterData" localSheetId="0" hidden="1">Outbound_Monitor!$A$2:$W$3</definedName>
    <definedName name="Z_18D38FD3_D955_4951_ABF4_9A38DA89B5E4_.wvu.FilterData" localSheetId="1" hidden="1">Inbound_Monitor!$A$2:$Q$13</definedName>
    <definedName name="Z_18D38FD3_D955_4951_ABF4_9A38DA89B5E4_.wvu.FilterData" localSheetId="0" hidden="1">Outbound_Monitor!$A$2:$W$3</definedName>
    <definedName name="Z_18D90B7A_1E18_4FCB_A0CD_19FAED14E94B_.wvu.FilterData" localSheetId="0" hidden="1">Outbound_Monitor!$A$2:$W$3</definedName>
    <definedName name="Z_18EF1AB7_C667_400F_91DF_A583D70E571D_.wvu.FilterData" localSheetId="1" hidden="1">Inbound_Monitor!$A$2:$Q$13</definedName>
    <definedName name="Z_18FEC980_E8B0_4E46_A0B7_C71DEAE28066_.wvu.FilterData" localSheetId="1" hidden="1">Inbound_Monitor!$A$2:$Q$13</definedName>
    <definedName name="Z_18FEC980_E8B0_4E46_A0B7_C71DEAE28066_.wvu.FilterData" localSheetId="0" hidden="1">Outbound_Monitor!$A$2:$W$3</definedName>
    <definedName name="Z_1916F9EC_40E6_4026_942C_98582148A007_.wvu.FilterData" localSheetId="1" hidden="1">Inbound_Monitor!$A$2:$Q$3</definedName>
    <definedName name="Z_19179AFC_ADC2_44C4_A835_EDFAABC66D95_.wvu.FilterData" localSheetId="0" hidden="1">Outbound_Monitor!$A$2:$W$3</definedName>
    <definedName name="Z_1917ECC6_07E0_48D7_964E_7C686F9B90BA_.wvu.FilterData" localSheetId="0" hidden="1">Outbound_Monitor!$A$2:$W$3</definedName>
    <definedName name="Z_19190AF4_206C_4811_82EB_CD2143612277_.wvu.FilterData" localSheetId="1" hidden="1">Inbound_Monitor!$A$2:$Q$13</definedName>
    <definedName name="Z_19190AF4_206C_4811_82EB_CD2143612277_.wvu.FilterData" localSheetId="0" hidden="1">Outbound_Monitor!$A$2:$W$3</definedName>
    <definedName name="Z_195094CD_80C0_44D0_A252_E3A08FEA088B_.wvu.FilterData" localSheetId="0" hidden="1">Outbound_Monitor!$A$2:$X$16</definedName>
    <definedName name="Z_1964FAE4_2C3E_490C_B3E7_9320DBDBAB46_.wvu.FilterData" localSheetId="0" hidden="1">Outbound_Monitor!$A$2:$W$3</definedName>
    <definedName name="Z_196ED270_3BE2_4EAD_A018_A0BCB9016358_.wvu.FilterData" localSheetId="0" hidden="1">Outbound_Monitor!$A$2:$W$3</definedName>
    <definedName name="Z_19761E77_AE98_41FD_B19E_431EB4169E82_.wvu.FilterData" localSheetId="1" hidden="1">Inbound_Monitor!$A$2:$Q$13</definedName>
    <definedName name="Z_197AEC90_5518_4E26_9DC4_690C63307B45_.wvu.FilterData" localSheetId="1" hidden="1">Inbound_Monitor!$A$2:$Q$3</definedName>
    <definedName name="Z_197D47CE_1D55_4B05_982F_CF904998E218_.wvu.FilterData" localSheetId="0" hidden="1">Outbound_Monitor!$A$2:$W$3</definedName>
    <definedName name="Z_197D572E_FF47_4DF7_9789_38E5B5F9CDFE_.wvu.FilterData" localSheetId="0" hidden="1">Outbound_Monitor!$A$2:$X$16</definedName>
    <definedName name="Z_198CF12F_7278_4C56_892F_5FC89A92556F_.wvu.FilterData" localSheetId="1" hidden="1">Inbound_Monitor!$A$2:$Q$3</definedName>
    <definedName name="Z_198CF12F_7278_4C56_892F_5FC89A92556F_.wvu.FilterData" localSheetId="0" hidden="1">Outbound_Monitor!$A$2:$W$3</definedName>
    <definedName name="Z_198CF12F_7278_4C56_892F_5FC89A92556F_.wvu.FilterData" localSheetId="4" hidden="1">Schichtübergabe_Protokoll!$B$3:$N$3</definedName>
    <definedName name="Z_19936226_DAD4_408E_80D6_4D791D8CC7C9_.wvu.FilterData" localSheetId="1" hidden="1">Inbound_Monitor!$A$2:$Q$13</definedName>
    <definedName name="Z_19936226_DAD4_408E_80D6_4D791D8CC7C9_.wvu.FilterData" localSheetId="0" hidden="1">Outbound_Monitor!$A$2:$W$3</definedName>
    <definedName name="Z_1998D6AB_3B60_444B_80E2_F3E1C2BADFA9_.wvu.FilterData" localSheetId="0" hidden="1">Outbound_Monitor!$A$2:$W$3</definedName>
    <definedName name="Z_19999A07_D541_4E6E_86F2_1EF65B6BEB9A_.wvu.FilterData" localSheetId="1" hidden="1">Inbound_Monitor!$A$2:$Q$2</definedName>
    <definedName name="Z_19999A07_D541_4E6E_86F2_1EF65B6BEB9A_.wvu.FilterData" localSheetId="0" hidden="1">Outbound_Monitor!$A$2:$W$2</definedName>
    <definedName name="Z_19A3516C_2BA0_4483_8AF2_410F41531C5B_.wvu.FilterData" localSheetId="1" hidden="1">Inbound_Monitor!$A$2:$Q$13</definedName>
    <definedName name="Z_19A4297F_E26F_494B_9100_981E814CD20C_.wvu.FilterData" localSheetId="0" hidden="1">Outbound_Monitor!$A$2:$W$3</definedName>
    <definedName name="Z_19BCA867_0C5B_42DF_9557_9E41C66C737A_.wvu.FilterData" localSheetId="0" hidden="1">Outbound_Monitor!$A$2:$W$3</definedName>
    <definedName name="Z_19C1835D_54DF_43B0_9A11_4666B8F32B6F_.wvu.FilterData" localSheetId="0" hidden="1">Outbound_Monitor!#REF!</definedName>
    <definedName name="Z_19D353B6_FBC0_43C5_8D77_EEA41775AE5E_.wvu.FilterData" localSheetId="1" hidden="1">Inbound_Monitor!$A$2:$Q$3</definedName>
    <definedName name="Z_19DE086B_08C8_4192_9A78_1318097A6E95_.wvu.FilterData" localSheetId="1" hidden="1">Inbound_Monitor!$A$2:$Q$3</definedName>
    <definedName name="Z_19E39E9C_2413_44CC_82FB_E2CFDB5E7583_.wvu.FilterData" localSheetId="0" hidden="1">Outbound_Monitor!$A$2:$W$3</definedName>
    <definedName name="Z_19EF61E5_0E7A_4009_97B8_F56C2494B585_.wvu.FilterData" localSheetId="1" hidden="1">Inbound_Monitor!$A$2:$Q$13</definedName>
    <definedName name="Z_19F0FB3D_7DA9_4771_9B87_972DA6AD0334_.wvu.FilterData" localSheetId="1" hidden="1">Inbound_Monitor!$A$2:$Q$3</definedName>
    <definedName name="Z_19F4182C_1753_4CD9_A7F4_9B400433C1F7_.wvu.FilterData" localSheetId="0" hidden="1">Outbound_Monitor!$A$2:$W$3</definedName>
    <definedName name="Z_19F4C0F0_9917_4C27_85F5_59EA3AF18C3E_.wvu.FilterData" localSheetId="1" hidden="1">Inbound_Monitor!$A$2:$Q$3</definedName>
    <definedName name="Z_19FE1B5C_42B9_4A0A_8F3B_7448DA3DE982_.wvu.FilterData" localSheetId="0" hidden="1">Outbound_Monitor!$A$2:$W$3</definedName>
    <definedName name="Z_1A137263_6DA5_4FF5_83D3_82D94B6FD225_.wvu.FilterData" localSheetId="0" hidden="1">Outbound_Monitor!$A$2:$W$3</definedName>
    <definedName name="Z_1A198B2C_FA67_453B_AB64_A00602C5DFEC_.wvu.FilterData" localSheetId="0" hidden="1">Outbound_Monitor!$A$2:$W$3</definedName>
    <definedName name="Z_1A22BC44_C172_4ADD_B44C_0B6CBD836485_.wvu.FilterData" localSheetId="1" hidden="1">Inbound_Monitor!$A$2:$Q$3</definedName>
    <definedName name="Z_1A3A0F5A_7230_4FCC_87C4_CF397260506E_.wvu.FilterData" localSheetId="1" hidden="1">Inbound_Monitor!$A$2:$Q$3</definedName>
    <definedName name="Z_1A3BE978_D542_4DBE_AA2E_97E3CD757572_.wvu.FilterData" localSheetId="0" hidden="1">Outbound_Monitor!$A$2:$X$16</definedName>
    <definedName name="Z_1A3C6B1C_765D_4BCE_BEB0_89479945B1D7_.wvu.FilterData" localSheetId="1" hidden="1">Inbound_Monitor!$A$2:$Q$13</definedName>
    <definedName name="Z_1A4F4317_AF53_4F57_9024_C97CB2BCC6C7_.wvu.FilterData" localSheetId="0" hidden="1">Outbound_Monitor!$A$2:$W$3</definedName>
    <definedName name="Z_1A5E5C80_6E8F_4ABE_BAB0_50DCA6879994_.wvu.FilterData" localSheetId="1" hidden="1">Inbound_Monitor!$A$2:$Q$3</definedName>
    <definedName name="Z_1A6F79D8_F0D3_4132_AD62_3A367AA15F5A_.wvu.FilterData" localSheetId="1" hidden="1">Inbound_Monitor!$A$2:$Q$3</definedName>
    <definedName name="Z_1A82A59A_5112_424A_B13F_2DEC730A9DAF_.wvu.FilterData" localSheetId="0" hidden="1">Outbound_Monitor!$A$2:$W$3</definedName>
    <definedName name="Z_1AAA3F55_3A64_41E8_B35E_FA0F70054D4A_.wvu.FilterData" localSheetId="0" hidden="1">Outbound_Monitor!$A$2:$X$16</definedName>
    <definedName name="Z_1AAD4C6C_A84D_4FA6_A51C_68436F8959B3_.wvu.FilterData" localSheetId="0" hidden="1">Outbound_Monitor!$A$2:$W$3</definedName>
    <definedName name="Z_1AB1E7D0_CA00_469C_9FEB_F57EBA75DE22_.wvu.FilterData" localSheetId="0" hidden="1">Outbound_Monitor!$A$2:$W$3</definedName>
    <definedName name="Z_1AC4E85D_14EA_4347_96D2_C481ECBF218C_.wvu.FilterData" localSheetId="0" hidden="1">Outbound_Monitor!$A$2:$W$3</definedName>
    <definedName name="Z_1ACAA81E_CBD5_4B7B_B60B_B53C79CBACE3_.wvu.FilterData" localSheetId="1" hidden="1">Inbound_Monitor!$A$2:$Q$2</definedName>
    <definedName name="Z_1ACAA81E_CBD5_4B7B_B60B_B53C79CBACE3_.wvu.FilterData" localSheetId="0" hidden="1">Outbound_Monitor!$A$2:$W$2</definedName>
    <definedName name="Z_1ACE1DF7_CDD8_4D26_ADDF_5C6C93BE2060_.wvu.FilterData" localSheetId="1" hidden="1">Inbound_Monitor!$A$2:$Q$3</definedName>
    <definedName name="Z_1ACE1DF7_CDD8_4D26_ADDF_5C6C93BE2060_.wvu.FilterData" localSheetId="0" hidden="1">Outbound_Monitor!$A$2:$X$3</definedName>
    <definedName name="Z_1ADFC911_F097_4A9C_851E_6F6ABC92F50C_.wvu.FilterData" localSheetId="0" hidden="1">Outbound_Monitor!$A$2:$W$3</definedName>
    <definedName name="Z_1AE8C2EF_65E7_45CB_8F97_60B03557D7F5_.wvu.FilterData" localSheetId="1" hidden="1">Inbound_Monitor!$A$2:$Q$13</definedName>
    <definedName name="Z_1AE8C2EF_65E7_45CB_8F97_60B03557D7F5_.wvu.FilterData" localSheetId="0" hidden="1">Outbound_Monitor!$A$2:$W$3</definedName>
    <definedName name="Z_1AFCBA9E_2B90_4620_A25F_A48FB0A48AB8_.wvu.FilterData" localSheetId="1" hidden="1">Inbound_Monitor!$A$2:$Q$3</definedName>
    <definedName name="Z_1B1153DA_613B_4557_9776_F639755AA7E3_.wvu.FilterData" localSheetId="1" hidden="1">Inbound_Monitor!$A$2:$Q$13</definedName>
    <definedName name="Z_1B3B85ED_B58C_472E_8E26_E4CE8966ABCE_.wvu.FilterData" localSheetId="0" hidden="1">Outbound_Monitor!$A$2:$W$3</definedName>
    <definedName name="Z_1B3C0B44_EBC1_4B27_AB64_66E2AA55B075_.wvu.FilterData" localSheetId="1" hidden="1">Inbound_Monitor!$A$2:$Q$3</definedName>
    <definedName name="Z_1B3C0B44_EBC1_4B27_AB64_66E2AA55B075_.wvu.FilterData" localSheetId="0" hidden="1">Outbound_Monitor!$A$2:$W$3</definedName>
    <definedName name="Z_1B4510CA_850A_42EB_A4E1_0885DA6AD4F9_.wvu.FilterData" localSheetId="0" hidden="1">Outbound_Monitor!$A$2:$W$3</definedName>
    <definedName name="Z_1B505A71_552D_465F_9A55_D605C1CCDEBA_.wvu.FilterData" localSheetId="0" hidden="1">Outbound_Monitor!$A$2:$W$3</definedName>
    <definedName name="Z_1B5F00BA_1156_4D53_A614_338E2AFC0850_.wvu.FilterData" localSheetId="0" hidden="1">Outbound_Monitor!$A$2:$X$3</definedName>
    <definedName name="Z_1B6F8289_EDFD_4FE0_91E7_F5FCB2D56F2E_.wvu.FilterData" localSheetId="1" hidden="1">Inbound_Monitor!$A$2:$Q$3</definedName>
    <definedName name="Z_1B745906_9C52_4F9A_9608_71CA42F91A2B_.wvu.FilterData" localSheetId="1" hidden="1">Inbound_Monitor!$A$2:$Q$13</definedName>
    <definedName name="Z_1B7B6D3F_EFE3_4DB9_B89A_BB7F1A0401DB_.wvu.FilterData" localSheetId="0" hidden="1">Outbound_Monitor!$A$2:$W$3</definedName>
    <definedName name="Z_1B7D3858_8D08_4508_AA4F_1967059B1477_.wvu.FilterData" localSheetId="1" hidden="1">Inbound_Monitor!$A$2:$Q$3</definedName>
    <definedName name="Z_1B84FA91_75AE_411A_A5BB_C7B8C4BD114E_.wvu.FilterData" localSheetId="1" hidden="1">Inbound_Monitor!$A$2:$Q$3</definedName>
    <definedName name="Z_1B862F08_2C6B_4801_87C5_72E8695DCD60_.wvu.FilterData" localSheetId="0" hidden="1">Outbound_Monitor!$A$2:$W$3</definedName>
    <definedName name="Z_1B98E6F6_9217_45B1_8836_76CC9EDF3C55_.wvu.FilterData" localSheetId="0" hidden="1">Outbound_Monitor!$A$2:$W$3</definedName>
    <definedName name="Z_1B99E7EE_A706_43C0_BEBF_F90F62B70B93_.wvu.FilterData" localSheetId="0" hidden="1">Outbound_Monitor!$A$2:$W$3</definedName>
    <definedName name="Z_1B9BC375_3223_4697_A6BE_F9B3A07C771E_.wvu.FilterData" localSheetId="0" hidden="1">Outbound_Monitor!$A$2:$W$3</definedName>
    <definedName name="Z_1BAD8536_4224_467D_A492_6B3BF8A5640F_.wvu.FilterData" localSheetId="4" hidden="1">Schichtübergabe_Protokoll!$B$3:$N$3</definedName>
    <definedName name="Z_1BB88308_5982_4C6B_BEAB_8C668C97ADD0_.wvu.FilterData" localSheetId="1" hidden="1">Inbound_Monitor!$A$2:$Q$2</definedName>
    <definedName name="Z_1BB88308_5982_4C6B_BEAB_8C668C97ADD0_.wvu.FilterData" localSheetId="0" hidden="1">Outbound_Monitor!$A$2:$W$2</definedName>
    <definedName name="Z_1BBAE31C_1BE7_446C_8D5E_B0A47AAC93D9_.wvu.FilterData" localSheetId="1" hidden="1">Inbound_Monitor!$A$2:$Q$3</definedName>
    <definedName name="Z_1BBD55F5_FE4D_4C77_AF81_0EBD640CE985_.wvu.FilterData" localSheetId="1" hidden="1">Inbound_Monitor!$A$2:$Q$13</definedName>
    <definedName name="Z_1BC3BD1B_36B2_478E_8D6A_43DE1EAD56B2_.wvu.FilterData" localSheetId="1" hidden="1">Inbound_Monitor!$A$2:$Q$13</definedName>
    <definedName name="Z_1BC3BD1B_36B2_478E_8D6A_43DE1EAD56B2_.wvu.FilterData" localSheetId="0" hidden="1">Outbound_Monitor!$A$2:$W$3</definedName>
    <definedName name="Z_1BC62649_C058_41A7_AA8D_9F3E08803C23_.wvu.FilterData" localSheetId="1" hidden="1">Inbound_Monitor!$A$2:$Q$13</definedName>
    <definedName name="Z_1BC7964F_B742_42DE_B1E8_B76B1A714968_.wvu.FilterData" localSheetId="0" hidden="1">Outbound_Monitor!#REF!</definedName>
    <definedName name="Z_1BC9CE16_CB83_47AC_A92F_DB939DB8172E_.wvu.FilterData" localSheetId="1" hidden="1">Inbound_Monitor!$A$2:$Q$13</definedName>
    <definedName name="Z_1BC9CE16_CB83_47AC_A92F_DB939DB8172E_.wvu.FilterData" localSheetId="0" hidden="1">Outbound_Monitor!$A$2:$W$3</definedName>
    <definedName name="Z_1BCBD82B_6287_45B3_8406_C0FD05259488_.wvu.FilterData" localSheetId="1" hidden="1">Inbound_Monitor!$A$2:$Q$13</definedName>
    <definedName name="Z_1BD9DCFA_B6F3_4BB8_AD59_9E360EDC0D31_.wvu.FilterData" localSheetId="0" hidden="1">Outbound_Monitor!$A$2:$W$3</definedName>
    <definedName name="Z_1BE66281_F458_44A0_9FCE_448C5CAF80F0_.wvu.FilterData" localSheetId="0" hidden="1">Outbound_Monitor!$A$2:$W$3</definedName>
    <definedName name="Z_1C07E02C_24D0_4DD1_B3B6_CAC756690FAE_.wvu.FilterData" localSheetId="0" hidden="1">Outbound_Monitor!$A$2:$W$3</definedName>
    <definedName name="Z_1C0D550B_157B_43B5_B678_932A1296B440_.wvu.FilterData" localSheetId="1" hidden="1">Inbound_Monitor!$A$2:$Q$2</definedName>
    <definedName name="Z_1C0D550B_157B_43B5_B678_932A1296B440_.wvu.FilterData" localSheetId="0" hidden="1">Outbound_Monitor!$A$2:$W$2</definedName>
    <definedName name="Z_1C11D18B_F2AA_4700_8122_3808250D7DD2_.wvu.FilterData" localSheetId="1" hidden="1">Inbound_Monitor!$A$2:$Q$3</definedName>
    <definedName name="Z_1C12558E_4807_43F8_90F9_D818E44B9357_.wvu.FilterData" localSheetId="1" hidden="1">Inbound_Monitor!$A$2:$Q$3</definedName>
    <definedName name="Z_1C12558E_4807_43F8_90F9_D818E44B9357_.wvu.FilterData" localSheetId="0" hidden="1">Outbound_Monitor!$A$2:$W$3</definedName>
    <definedName name="Z_1C203124_C763_4A5E_86F7_67ADA9001729_.wvu.FilterData" localSheetId="0" hidden="1">Outbound_Monitor!$A$2:$W$3</definedName>
    <definedName name="Z_1C2A67DC_BF4E_44AF_8218_415BBE69E579_.wvu.FilterData" localSheetId="0" hidden="1">Outbound_Monitor!$A$2:$X$16</definedName>
    <definedName name="Z_1C3BA387_7809_4DCB_B4D2_6D6BF0CB0ED5_.wvu.FilterData" localSheetId="0" hidden="1">Outbound_Monitor!$A$2:$W$3</definedName>
    <definedName name="Z_1C3BA387_7809_4DCB_B4D2_6D6BF0CB0ED5_.wvu.FilterData" localSheetId="4" hidden="1">Schichtübergabe_Protokoll!$B$3:$N$3</definedName>
    <definedName name="Z_1C4C22E0_EBFE_4261_8399_193D088233BA_.wvu.FilterData" localSheetId="0" hidden="1">Outbound_Monitor!$A$2:$W$3</definedName>
    <definedName name="Z_1C50D435_ECE6_401C_B0DE_F321DD65EC34_.wvu.FilterData" localSheetId="0" hidden="1">Outbound_Monitor!$A$2:$W$3</definedName>
    <definedName name="Z_1C5F7F4A_FCFA_47A2_B006_534AA755AC9B_.wvu.FilterData" localSheetId="1" hidden="1">Inbound_Monitor!$A$2:$Q$3</definedName>
    <definedName name="Z_1C79CF7C_BA88_45DC_84FA_FCB68EAB9D15_.wvu.FilterData" localSheetId="0" hidden="1">Outbound_Monitor!$A$2:$W$3</definedName>
    <definedName name="Z_1C7D5EB1_402E_450D_AC47_B329BB3E54F8_.wvu.FilterData" localSheetId="0" hidden="1">Outbound_Monitor!$A$2:$W$3</definedName>
    <definedName name="Z_1C92CBCC_31FC_41FA_A4A8_403614457219_.wvu.FilterData" localSheetId="1" hidden="1">Inbound_Monitor!$A$2:$Q$13</definedName>
    <definedName name="Z_1C92CBCC_31FC_41FA_A4A8_403614457219_.wvu.FilterData" localSheetId="0" hidden="1">Outbound_Monitor!$A$2:$X$16</definedName>
    <definedName name="Z_1C9E4DF2_3A7E_4038_A4BC_FCAEFBC5E021_.wvu.FilterData" localSheetId="1" hidden="1">Inbound_Monitor!$A$2:$Q$2</definedName>
    <definedName name="Z_1C9E4DF2_3A7E_4038_A4BC_FCAEFBC5E021_.wvu.FilterData" localSheetId="0" hidden="1">Outbound_Monitor!$A$2:$W$2</definedName>
    <definedName name="Z_1CAA6FE1_81A1_40A9_B89D_ECF49B272E84_.wvu.FilterData" localSheetId="1" hidden="1">Inbound_Monitor!$A$2:$Q$3</definedName>
    <definedName name="Z_1CBCA647_1FE0_49FC_859E_A5F12749A47B_.wvu.FilterData" localSheetId="4" hidden="1">Schichtübergabe_Protokoll!$B$3:$N$3</definedName>
    <definedName name="Z_1CC055EA_9B92_4695_AC64_9387B901BE40_.wvu.FilterData" localSheetId="1" hidden="1">Inbound_Monitor!$A$2:$Q$13</definedName>
    <definedName name="Z_1CC8F3BD_57DC_4602_AAD9_AB053A18F36F_.wvu.FilterData" localSheetId="1" hidden="1">Inbound_Monitor!$A$2:$Q$3</definedName>
    <definedName name="Z_1CC8F3BD_57DC_4602_AAD9_AB053A18F36F_.wvu.FilterData" localSheetId="0" hidden="1">Outbound_Monitor!$A$2:$W$3</definedName>
    <definedName name="Z_1CD372D7_9E92_49B4_ADB3_0AF51447A5F9_.wvu.FilterData" localSheetId="1" hidden="1">Inbound_Monitor!$A$2:$Q$3</definedName>
    <definedName name="Z_1CD372D7_9E92_49B4_ADB3_0AF51447A5F9_.wvu.FilterData" localSheetId="0" hidden="1">Outbound_Monitor!$A$2:$W$3</definedName>
    <definedName name="Z_1CE1CF62_2BAC_475C_9FF3_139CE9A71CA2_.wvu.FilterData" localSheetId="0" hidden="1">Outbound_Monitor!$A$2:$W$3</definedName>
    <definedName name="Z_1D081274_A824_4E2F_963D_70F02CCFDA8F_.wvu.FilterData" localSheetId="1" hidden="1">Inbound_Monitor!$A$2:$Q$3</definedName>
    <definedName name="Z_1D1094F0_4B07_42F1_801A_EA5C981E796E_.wvu.FilterData" localSheetId="0" hidden="1">Outbound_Monitor!$A$2:$W$3</definedName>
    <definedName name="Z_1D10E6FF_1C69_4076_8667_8369D3900BB9_.wvu.FilterData" localSheetId="0" hidden="1">Outbound_Monitor!$A$2:$W$3</definedName>
    <definedName name="Z_1D110C44_FD8B_41B5_B9B6_804078FA0B6E_.wvu.FilterData" localSheetId="0" hidden="1">Outbound_Monitor!$A$2:$W$3</definedName>
    <definedName name="Z_1D19C451_B234_4BCF_B750_A8B79550336D_.wvu.FilterData" localSheetId="1" hidden="1">Inbound_Monitor!$A$2:$Q$3</definedName>
    <definedName name="Z_1D19C451_B234_4BCF_B750_A8B79550336D_.wvu.FilterData" localSheetId="0" hidden="1">Outbound_Monitor!$A$2:$W$3</definedName>
    <definedName name="Z_1D1FFBFA_9AF5_4BE2_A55C_47728423D2DF_.wvu.FilterData" localSheetId="0" hidden="1">Outbound_Monitor!$A$2:$W$3</definedName>
    <definedName name="Z_1D203D09_057C_4C76_9568_F18227D2ED36_.wvu.FilterData" localSheetId="0" hidden="1">Outbound_Monitor!$A$2:$X$16</definedName>
    <definedName name="Z_1D2AA1BE_3B56_40E3_9A5F_DFB015075624_.wvu.FilterData" localSheetId="1" hidden="1">Inbound_Monitor!$A$2:$Q$3</definedName>
    <definedName name="Z_1D390176_B5DD_4B92_958A_B01DAED8C0AA_.wvu.FilterData" localSheetId="1" hidden="1">Inbound_Monitor!$A$2:$Q$13</definedName>
    <definedName name="Z_1D390176_B5DD_4B92_958A_B01DAED8C0AA_.wvu.FilterData" localSheetId="0" hidden="1">Outbound_Monitor!$A$2:$W$3</definedName>
    <definedName name="Z_1D3E29D1_F97A_4E09_96FE_33F9AE152E0C_.wvu.FilterData" localSheetId="0" hidden="1">Outbound_Monitor!$A$2:$W$3</definedName>
    <definedName name="Z_1D3E29D1_F97A_4E09_96FE_33F9AE152E0C_.wvu.FilterData" localSheetId="4" hidden="1">Schichtübergabe_Protokoll!$B$3:$N$3</definedName>
    <definedName name="Z_1D3E98C0_9965_4EC4_A2AE_E6D07D9E2C69_.wvu.FilterData" localSheetId="1" hidden="1">Inbound_Monitor!$A$2:$Q$2</definedName>
    <definedName name="Z_1D3E98C0_9965_4EC4_A2AE_E6D07D9E2C69_.wvu.FilterData" localSheetId="0" hidden="1">Outbound_Monitor!$A$2:$W$2</definedName>
    <definedName name="Z_1D4F9F11_9E80_4B30_B84F_64B04562B57E_.wvu.FilterData" localSheetId="0" hidden="1">Outbound_Monitor!$A$2:$W$3</definedName>
    <definedName name="Z_1D58CC91_CC17_486A_A437_32EF26A273A9_.wvu.FilterData" localSheetId="0" hidden="1">Outbound_Monitor!$A$2:$W$3</definedName>
    <definedName name="Z_1D5B41AB_211D_4166_A235_02F79E655274_.wvu.FilterData" localSheetId="0" hidden="1">Outbound_Monitor!$A$2:$W$3</definedName>
    <definedName name="Z_1D6A3F49_42DA_48B6_AAC2_34FCB6A301AF_.wvu.FilterData" localSheetId="1" hidden="1">Inbound_Monitor!$A$2:$Q$3</definedName>
    <definedName name="Z_1D74DF24_DFBE_49FB_8E1F_878F791CD2E0_.wvu.FilterData" localSheetId="1" hidden="1">Inbound_Monitor!$A$2:$Q$3</definedName>
    <definedName name="Z_1D7E78A2_1F2F_4706_9EF9_2EC1ECCD50B9_.wvu.FilterData" localSheetId="0" hidden="1">Outbound_Monitor!$A$2:$W$3</definedName>
    <definedName name="Z_1D86713A_CB9D_4172_A4C3_8C48C5679904_.wvu.FilterData" localSheetId="1" hidden="1">Inbound_Monitor!$A$2:$Q$3</definedName>
    <definedName name="Z_1D86713A_CB9D_4172_A4C3_8C48C5679904_.wvu.FilterData" localSheetId="0" hidden="1">Outbound_Monitor!$A$2:$W$3</definedName>
    <definedName name="Z_1D86713A_CB9D_4172_A4C3_8C48C5679904_.wvu.FilterData" localSheetId="4" hidden="1">Schichtübergabe_Protokoll!$B$3:$N$3</definedName>
    <definedName name="Z_1D8EAE70_7FDC_46BF_98C3_57DF6055F93D_.wvu.FilterData" localSheetId="1" hidden="1">Inbound_Monitor!$A$2:$Q$2</definedName>
    <definedName name="Z_1D8EAE70_7FDC_46BF_98C3_57DF6055F93D_.wvu.FilterData" localSheetId="0" hidden="1">Outbound_Monitor!$A$2:$W$2</definedName>
    <definedName name="Z_1D99651C_B4BC_499A_B200_E3474813C535_.wvu.FilterData" localSheetId="1" hidden="1">Inbound_Monitor!$A$2:$Q$2</definedName>
    <definedName name="Z_1D99651C_B4BC_499A_B200_E3474813C535_.wvu.FilterData" localSheetId="0" hidden="1">Outbound_Monitor!$A$2:$W$2</definedName>
    <definedName name="Z_1D9F77F9_B31F_42D9_A5DF_52BD27E199C3_.wvu.FilterData" localSheetId="1" hidden="1">Inbound_Monitor!$A$2:$Q$3</definedName>
    <definedName name="Z_1DB05E4B_97C6_4F04_8CDE_CF62CE4AFA9D_.wvu.FilterData" localSheetId="0" hidden="1">Outbound_Monitor!$A$2:$W$3</definedName>
    <definedName name="Z_1DB6F0FB_DDD7_4DA2_B387_73D31FB9D093_.wvu.FilterData" localSheetId="1" hidden="1">Inbound_Monitor!$A$2:$Q$3</definedName>
    <definedName name="Z_1DCED4DA_35B8_43A0_8C98_C7D82A62BF38_.wvu.FilterData" localSheetId="0" hidden="1">Outbound_Monitor!$A$2:$W$3</definedName>
    <definedName name="Z_1DDCF47C_6CEA_47CB_A36E_9CD91386A497_.wvu.FilterData" localSheetId="1" hidden="1">Inbound_Monitor!$A$2:$Q$2</definedName>
    <definedName name="Z_1DDCF47C_6CEA_47CB_A36E_9CD91386A497_.wvu.FilterData" localSheetId="0" hidden="1">Outbound_Monitor!$A$2:$W$2</definedName>
    <definedName name="Z_1DE12A2A_C63D_4CCB_A856_8AF75849CF26_.wvu.FilterData" localSheetId="0" hidden="1">Outbound_Monitor!$A$2:$W$3</definedName>
    <definedName name="Z_1DE975F8_221C_4AF3_AD56_2B42EB3EEB6D_.wvu.FilterData" localSheetId="0" hidden="1">Outbound_Monitor!$A$2:$X$16</definedName>
    <definedName name="Z_1DFE308C_D05A_4779_BE7A_3D89B7438742_.wvu.FilterData" localSheetId="0" hidden="1">Outbound_Monitor!$A$2:$W$3</definedName>
    <definedName name="Z_1E094DA5_10DC_417A_8B28_8768D3E47DA6_.wvu.FilterData" localSheetId="0" hidden="1">Outbound_Monitor!$A$2:$W$3</definedName>
    <definedName name="Z_1E0AE4DC_F2C2_475F_9676_4471A91544EA_.wvu.FilterData" localSheetId="0" hidden="1">Outbound_Monitor!$A$2:$W$3</definedName>
    <definedName name="Z_1E0EBDDC_D770_4976_B73B_F308CBFE5545_.wvu.FilterData" localSheetId="0" hidden="1">Outbound_Monitor!$A$2:$X$16</definedName>
    <definedName name="Z_1E10068B_1B56_4495_88F1_183C30AC70A4_.wvu.FilterData" localSheetId="0" hidden="1">Outbound_Monitor!$A$2:$W$3</definedName>
    <definedName name="Z_1E23CEAA_4F4D_43E4_9A57_F9A08FC4B625_.wvu.FilterData" localSheetId="1" hidden="1">Inbound_Monitor!$A$2:$Q$3</definedName>
    <definedName name="Z_1E26876B_BBC9_4B53_B594_B569DA73A886_.wvu.FilterData" localSheetId="0" hidden="1">Outbound_Monitor!$A$2:$W$3</definedName>
    <definedName name="Z_1E2BF9DC_FECF_48F2_9B3A_EF2DCFCF067E_.wvu.FilterData" localSheetId="0" hidden="1">Outbound_Monitor!$A$2:$W$3</definedName>
    <definedName name="Z_1E383CE2_A835_49EA_8B2D_20EFAAF6C7E5_.wvu.FilterData" localSheetId="1" hidden="1">Inbound_Monitor!$A$2:$Q$13</definedName>
    <definedName name="Z_1E4AA0D8_3520_41BA_BC15_871BBB765BAF_.wvu.FilterData" localSheetId="0" hidden="1">Outbound_Monitor!$A$2:$W$3</definedName>
    <definedName name="Z_1E626271_0801_4F4F_9BA3_C386450874D5_.wvu.FilterData" localSheetId="1" hidden="1">Inbound_Monitor!$A$2:$Q$3</definedName>
    <definedName name="Z_1E635020_5223_4059_B585_232BF79075C9_.wvu.FilterData" localSheetId="0" hidden="1">Outbound_Monitor!$A$2:$W$3</definedName>
    <definedName name="Z_1E68341A_5A7F_4854_8FCC_12D7028CB71E_.wvu.FilterData" localSheetId="1" hidden="1">Inbound_Monitor!$A$2:$Q$3</definedName>
    <definedName name="Z_1E717262_3AF7_4B69_AB6B_21A1005570A2_.wvu.FilterData" localSheetId="0" hidden="1">Outbound_Monitor!$A$2:$W$3</definedName>
    <definedName name="Z_1E77A5CA_9074_405D_99D7_8EFA5B35946C_.wvu.FilterData" localSheetId="0" hidden="1">Outbound_Monitor!$A$2:$X$16</definedName>
    <definedName name="Z_1E7939CD_61FB_451A_B3A2_A01558CDABB3_.wvu.FilterData" localSheetId="0" hidden="1">Outbound_Monitor!$A$2:$X$16</definedName>
    <definedName name="Z_1E7994D2_995E_4E65_A864_309810C726B0_.wvu.FilterData" localSheetId="1" hidden="1">Inbound_Monitor!$A$2:$Q$3</definedName>
    <definedName name="Z_1E7994D2_995E_4E65_A864_309810C726B0_.wvu.FilterData" localSheetId="0" hidden="1">Outbound_Monitor!$A$2:$W$3</definedName>
    <definedName name="Z_1E7FDF9C_EECE_4328_914F_FE2F8DDE6F0C_.wvu.FilterData" localSheetId="1" hidden="1">Inbound_Monitor!$A$2:$Q$3</definedName>
    <definedName name="Z_1E802F81_7FCC_4575_BA2C_76353D2BA051_.wvu.FilterData" localSheetId="0" hidden="1">Outbound_Monitor!$A$2:$W$3</definedName>
    <definedName name="Z_1E92DA56_0929_403B_BD0C_59D4A64F2CB5_.wvu.FilterData" localSheetId="1" hidden="1">Inbound_Monitor!$A$2:$Q$3</definedName>
    <definedName name="Z_1E92DA56_0929_403B_BD0C_59D4A64F2CB5_.wvu.FilterData" localSheetId="0" hidden="1">Outbound_Monitor!$A$2:$W$3</definedName>
    <definedName name="Z_1EA80990_8FE0_4763_9B76_D5882C533C8C_.wvu.FilterData" localSheetId="0" hidden="1">Outbound_Monitor!$A$2:$W$3</definedName>
    <definedName name="Z_1EB0F7BE_C1D0_492D_A358_605BDA81ABC6_.wvu.FilterData" localSheetId="0" hidden="1">Outbound_Monitor!$A$2:$W$3</definedName>
    <definedName name="Z_1EB6540B_E26C_4085_8D59_9F959C13B96C_.wvu.FilterData" localSheetId="0" hidden="1">Outbound_Monitor!$A$2:$W$3</definedName>
    <definedName name="Z_1EBC5850_2728_4B26_B523_BC8DD3A49D81_.wvu.FilterData" localSheetId="0" hidden="1">Outbound_Monitor!$A$2:$W$3</definedName>
    <definedName name="Z_1EC778B3_5541_4563_96E7_9E46CABAA6E9_.wvu.FilterData" localSheetId="1" hidden="1">Inbound_Monitor!$A$2:$Q$13</definedName>
    <definedName name="Z_1EC9C5AB_E0C7_4D84_A6E2_20D80A038F2F_.wvu.FilterData" localSheetId="0" hidden="1">Outbound_Monitor!$A$2:$W$3</definedName>
    <definedName name="Z_1ED0BB5E_5332_4206_BB2E_55EC1C9EC55B_.wvu.FilterData" localSheetId="1" hidden="1">Inbound_Monitor!$A$2:$Q$3</definedName>
    <definedName name="Z_1EDAE053_F030_42D5_B05D_E8B32E176EAC_.wvu.FilterData" localSheetId="1" hidden="1">Inbound_Monitor!$A$2:$Q$13</definedName>
    <definedName name="Z_1EDAE053_F030_42D5_B05D_E8B32E176EAC_.wvu.FilterData" localSheetId="0" hidden="1">Outbound_Monitor!$A$2:$W$3</definedName>
    <definedName name="Z_1EDAE053_F030_42D5_B05D_E8B32E176EAC_.wvu.FilterData" localSheetId="4" hidden="1">Schichtübergabe_Protokoll!$B$3:$N$3</definedName>
    <definedName name="Z_1EDDEEC0_4BBB_43FD_AA26_228E5FCFE9C8_.wvu.FilterData" localSheetId="0" hidden="1">Outbound_Monitor!$A$2:$X$16</definedName>
    <definedName name="Z_1EE0B5F5_56B6_4669_92DF_D0567377C1DC_.wvu.FilterData" localSheetId="1" hidden="1">Inbound_Monitor!$A$2:$Q$13</definedName>
    <definedName name="Z_1EE9BE94_3F91_4F03_9815_2977416C8B96_.wvu.FilterData" localSheetId="0" hidden="1">Outbound_Monitor!$A$2:$W$3</definedName>
    <definedName name="Z_1EEB3DE9_1D73_4812_83A7_DCA1466BE783_.wvu.FilterData" localSheetId="1" hidden="1">Inbound_Monitor!$A$2:$Q$13</definedName>
    <definedName name="Z_1EEB3DE9_1D73_4812_83A7_DCA1466BE783_.wvu.FilterData" localSheetId="0" hidden="1">Outbound_Monitor!$A$2:$W$3</definedName>
    <definedName name="Z_1EEB3DE9_1D73_4812_83A7_DCA1466BE783_.wvu.FilterData" localSheetId="4" hidden="1">Schichtübergabe_Protokoll!$B$3:$N$3</definedName>
    <definedName name="Z_1EEB709B_9344_4966_BB49_FD1629DA8540_.wvu.FilterData" localSheetId="1" hidden="1">Inbound_Monitor!$A$2:$Q$13</definedName>
    <definedName name="Z_1EEE46CE_0606_4839_AD40_7A275F7C3D17_.wvu.FilterData" localSheetId="0" hidden="1">Outbound_Monitor!$A$2:$W$3</definedName>
    <definedName name="Z_1EFD781B_F8BB_4AD2_9BCA_6D2B20C9A436_.wvu.FilterData" localSheetId="0" hidden="1">Outbound_Monitor!$A$2:$W$3</definedName>
    <definedName name="Z_1F0DF65A_AF62_4103_9A73_DA395CCAE2B2_.wvu.FilterData" localSheetId="1" hidden="1">Inbound_Monitor!$A$2:$Q$3</definedName>
    <definedName name="Z_1F12EBA3_F8FA_4B1E_AD22_B4FF078D6701_.wvu.FilterData" localSheetId="1" hidden="1">Inbound_Monitor!$A$2:$Q$3</definedName>
    <definedName name="Z_1F1B699A_75C2_4FB9_94BC_33B53B13AF22_.wvu.FilterData" localSheetId="1" hidden="1">Inbound_Monitor!$A$2:$Q$2</definedName>
    <definedName name="Z_1F1B699A_75C2_4FB9_94BC_33B53B13AF22_.wvu.FilterData" localSheetId="0" hidden="1">Outbound_Monitor!$A$2:$W$2</definedName>
    <definedName name="Z_1F4012F6_9E01_4D1B_A3E1_DD82C8311158_.wvu.FilterData" localSheetId="0" hidden="1">Outbound_Monitor!$A$2:$X$16</definedName>
    <definedName name="Z_1F40BF90_024B_488A_83F7_208BEB6D8440_.wvu.FilterData" localSheetId="0" hidden="1">Outbound_Monitor!$A$2:$W$3</definedName>
    <definedName name="Z_1F4F8149_F731_4370_B3D2_8728A7B5307C_.wvu.FilterData" localSheetId="0" hidden="1">Outbound_Monitor!$A$2:$W$3</definedName>
    <definedName name="Z_1F5BDD50_2D7E_4512_AC3C_4EDAD20DF458_.wvu.FilterData" localSheetId="0" hidden="1">Outbound_Monitor!$A$2:$W$3</definedName>
    <definedName name="Z_1F76FD71_C5A2_47C3_A6FD_EF73CBE3842B_.wvu.FilterData" localSheetId="0" hidden="1">Outbound_Monitor!$A$2:$W$3</definedName>
    <definedName name="Z_1F7DC63A_6FE4_434E_AFBA_D555B3A1F569_.wvu.FilterData" localSheetId="0" hidden="1">Outbound_Monitor!$A$2:$W$3</definedName>
    <definedName name="Z_1F846DE8_7F7A_4610_B6EF_A3B80F041CCD_.wvu.FilterData" localSheetId="0" hidden="1">Outbound_Monitor!$A$2:$W$3</definedName>
    <definedName name="Z_1F894497_FE4B_42BD_8C26_6D7C805613E7_.wvu.FilterData" localSheetId="1" hidden="1">Inbound_Monitor!$A$2:$Q$3</definedName>
    <definedName name="Z_1F8C637C_96AF_4356_8173_DABBA7DBE374_.wvu.FilterData" localSheetId="1" hidden="1">Inbound_Monitor!$A$2:$Q$3</definedName>
    <definedName name="Z_1F8C637C_96AF_4356_8173_DABBA7DBE374_.wvu.FilterData" localSheetId="0" hidden="1">Outbound_Monitor!$A$2:$X$3</definedName>
    <definedName name="Z_1F9895AE_36E8_4516_8A78_8BB217835C53_.wvu.FilterData" localSheetId="0" hidden="1">Outbound_Monitor!$A$2:$W$3</definedName>
    <definedName name="Z_1FA0A7A5_8A61_43CF_A356_5E2EB0175BA6_.wvu.FilterData" localSheetId="0" hidden="1">Outbound_Monitor!$A$2:$X$16</definedName>
    <definedName name="Z_1FA70BE8_57A2_4BD8_8438_6D33C20CA2AB_.wvu.FilterData" localSheetId="0" hidden="1">Outbound_Monitor!$A$2:$W$3</definedName>
    <definedName name="Z_1FB9A2FC_95CA_4D77_831B_EFC9FDCF35A7_.wvu.FilterData" localSheetId="0" hidden="1">Outbound_Monitor!$A$2:$X$16</definedName>
    <definedName name="Z_1FC426B7_F95F_47BB_B48B_B5FDFF1A0205_.wvu.FilterData" localSheetId="1" hidden="1">Inbound_Monitor!$A$2:$Q$2</definedName>
    <definedName name="Z_1FC426B7_F95F_47BB_B48B_B5FDFF1A0205_.wvu.FilterData" localSheetId="0" hidden="1">Outbound_Monitor!$A$2:$W$2</definedName>
    <definedName name="Z_1FD5585D_2214_4151_BDB5_89E4BD0D2783_.wvu.FilterData" localSheetId="1" hidden="1">Inbound_Monitor!$A$2:$Q$13</definedName>
    <definedName name="Z_1FEEEFD1_80A4_4F53_A1CF_D6706F4C0CD0_.wvu.FilterData" localSheetId="0" hidden="1">Outbound_Monitor!$A$2:$W$3</definedName>
    <definedName name="Z_1FEFC449_EB4B_413E_8DFD_6D3DCC62FD3A_.wvu.FilterData" localSheetId="0" hidden="1">Outbound_Monitor!$A$2:$W$3</definedName>
    <definedName name="Z_1FFB1A3D_D8A0_4A54_B731_DF26CF2F2B94_.wvu.FilterData" localSheetId="1" hidden="1">Inbound_Monitor!$A$2:$Q$13</definedName>
    <definedName name="Z_1FFB1A3D_D8A0_4A54_B731_DF26CF2F2B94_.wvu.FilterData" localSheetId="0" hidden="1">Outbound_Monitor!$A$2:$X$16</definedName>
    <definedName name="Z_1FFB1A3D_D8A0_4A54_B731_DF26CF2F2B94_.wvu.FilterData" localSheetId="4" hidden="1">Schichtübergabe_Protokoll!$B$3:$N$3</definedName>
    <definedName name="Z_2006B5D7_6700_4559_9A68_1FFC4763EFAA_.wvu.FilterData" localSheetId="0" hidden="1">Outbound_Monitor!$A$2:$W$3</definedName>
    <definedName name="Z_2013A6F9_3624_4885_BAA4_1D08BDCD9FCD_.wvu.FilterData" localSheetId="0" hidden="1">Outbound_Monitor!$A$2:$W$3</definedName>
    <definedName name="Z_20195B58_67D6_462E_B50B_88BA2D17D902_.wvu.FilterData" localSheetId="1" hidden="1">Inbound_Monitor!$A$2:$Q$3</definedName>
    <definedName name="Z_20195B58_67D6_462E_B50B_88BA2D17D902_.wvu.FilterData" localSheetId="0" hidden="1">Outbound_Monitor!$A$2:$W$3</definedName>
    <definedName name="Z_201F3788_6958_4DE2_992F_30230461DB39_.wvu.FilterData" localSheetId="1" hidden="1">Inbound_Monitor!$A$2:$Q$2</definedName>
    <definedName name="Z_201F3788_6958_4DE2_992F_30230461DB39_.wvu.FilterData" localSheetId="0" hidden="1">Outbound_Monitor!$A$2:$W$2</definedName>
    <definedName name="Z_20213EF6_A396_49B4_9CF7_C4A869C81B63_.wvu.FilterData" localSheetId="1" hidden="1">Inbound_Monitor!$A$2:$Q$3</definedName>
    <definedName name="Z_2030AC7C_49C3_407A_A4FB_EFE8C10B9CFF_.wvu.FilterData" localSheetId="1" hidden="1">Inbound_Monitor!$A$2:$Q$3</definedName>
    <definedName name="Z_2030AC7C_49C3_407A_A4FB_EFE8C10B9CFF_.wvu.FilterData" localSheetId="0" hidden="1">Outbound_Monitor!$A$2:$W$3</definedName>
    <definedName name="Z_2036D171_BF05_488B_886B_5186A7C5B70A_.wvu.FilterData" localSheetId="0" hidden="1">Outbound_Monitor!$A$2:$W$3</definedName>
    <definedName name="Z_20371DB8_F607_4C9D_A114_B013001D38E8_.wvu.FilterData" localSheetId="1" hidden="1">Inbound_Monitor!$A$2:$Q$13</definedName>
    <definedName name="Z_20371DB8_F607_4C9D_A114_B013001D38E8_.wvu.FilterData" localSheetId="0" hidden="1">Outbound_Monitor!$A$2:$X$16</definedName>
    <definedName name="Z_20382226_803D_4D44_A9DF_1CC9CD6762F7_.wvu.FilterData" localSheetId="0" hidden="1">Outbound_Monitor!$A$2:$W$3</definedName>
    <definedName name="Z_203E9815_AACC_4C09_971E_71DAAC9C2416_.wvu.FilterData" localSheetId="1" hidden="1">Inbound_Monitor!$A$2:$Q$2</definedName>
    <definedName name="Z_203E9815_AACC_4C09_971E_71DAAC9C2416_.wvu.FilterData" localSheetId="0" hidden="1">Outbound_Monitor!$A$2:$W$2</definedName>
    <definedName name="Z_204A92D0_7111_464A_A2F3_873617737FDC_.wvu.FilterData" localSheetId="1" hidden="1">Inbound_Monitor!$A$2:$Q$13</definedName>
    <definedName name="Z_207E31C5_4D50_4B32_8033_199FCAF9A3A0_.wvu.FilterData" localSheetId="0" hidden="1">Outbound_Monitor!$A$2:$W$3</definedName>
    <definedName name="Z_20857AA3_E3C5_4454_8A43_CAAE60FFA4E8_.wvu.FilterData" localSheetId="1" hidden="1">Inbound_Monitor!$A$2:$Q$3</definedName>
    <definedName name="Z_209BFFE2_404B_4EDE_AC23_FE32D9824D8E_.wvu.FilterData" localSheetId="1" hidden="1">Inbound_Monitor!$A$2:$Q$3</definedName>
    <definedName name="Z_209FB8F5_849F_4122_AD69_1E720EA59DF1_.wvu.FilterData" localSheetId="0" hidden="1">Outbound_Monitor!$A$2:$W$3</definedName>
    <definedName name="Z_20A446DE_52D7_4EED_BF5C_2DD56015BEF4_.wvu.FilterData" localSheetId="1" hidden="1">Inbound_Monitor!$A$2:$Q$2</definedName>
    <definedName name="Z_20A446DE_52D7_4EED_BF5C_2DD56015BEF4_.wvu.FilterData" localSheetId="0" hidden="1">Outbound_Monitor!$A$2:$W$2</definedName>
    <definedName name="Z_20A75DDD_9D77_48B2_B76C_74C248F568C0_.wvu.FilterData" localSheetId="0" hidden="1">Outbound_Monitor!$A$2:$W$3</definedName>
    <definedName name="Z_20A87E96_B9E9_45BD_90AD_1CC4EA71DB23_.wvu.FilterData" localSheetId="1" hidden="1">Inbound_Monitor!$A$2:$Q$2</definedName>
    <definedName name="Z_20A87E96_B9E9_45BD_90AD_1CC4EA71DB23_.wvu.FilterData" localSheetId="0" hidden="1">Outbound_Monitor!$A$2:$W$2</definedName>
    <definedName name="Z_20B3C434_A690_4E05_994F_35830E742CDE_.wvu.FilterData" localSheetId="0" hidden="1">Outbound_Monitor!$A$2:$W$3</definedName>
    <definedName name="Z_20CE3A31_2211_4071_AD46_5948548980AC_.wvu.FilterData" localSheetId="1" hidden="1">Inbound_Monitor!$A$2:$Q$13</definedName>
    <definedName name="Z_20CE3A31_2211_4071_AD46_5948548980AC_.wvu.FilterData" localSheetId="0" hidden="1">Outbound_Monitor!$A$2:$X$16</definedName>
    <definedName name="Z_20D1B515_E6D7_4568_B885_4E3C0DA2A100_.wvu.FilterData" localSheetId="1" hidden="1">Inbound_Monitor!$A$2:$Q$3</definedName>
    <definedName name="Z_20D1B515_E6D7_4568_B885_4E3C0DA2A100_.wvu.FilterData" localSheetId="0" hidden="1">Outbound_Monitor!$A$2:$W$3</definedName>
    <definedName name="Z_20E3815B_8BC2_4535_B605_86E6C2EBB584_.wvu.FilterData" localSheetId="0" hidden="1">Outbound_Monitor!$A$2:$W$3</definedName>
    <definedName name="Z_20F2EC09_25E1_4B7C_8EBE_E4D793CF5C5C_.wvu.FilterData" localSheetId="1" hidden="1">Inbound_Monitor!$A$2:$Q$3</definedName>
    <definedName name="Z_20F55ECE_E381_4C30_A01C_9C07E822F0C8_.wvu.FilterData" localSheetId="1" hidden="1">Inbound_Monitor!$A$2:$Q$3</definedName>
    <definedName name="Z_20FB079C_8F1C_45A4_997B_836F3DBF099E_.wvu.FilterData" localSheetId="0" hidden="1">Outbound_Monitor!$A$2:$W$3</definedName>
    <definedName name="Z_210F8079_618D_4202_836A_EC4CD6634E6D_.wvu.FilterData" localSheetId="1" hidden="1">Inbound_Monitor!$A$2:$Q$3</definedName>
    <definedName name="Z_210F8079_618D_4202_836A_EC4CD6634E6D_.wvu.FilterData" localSheetId="0" hidden="1">Outbound_Monitor!$A$2:$W$3</definedName>
    <definedName name="Z_212767D7_0B09_4A53_B441_913771C15911_.wvu.FilterData" localSheetId="1" hidden="1">Inbound_Monitor!$A$2:$Q$13</definedName>
    <definedName name="Z_212767D7_0B09_4A53_B441_913771C15911_.wvu.FilterData" localSheetId="0" hidden="1">Outbound_Monitor!$A$2:$X$16</definedName>
    <definedName name="Z_212B3020_743F_4A7C_B8D1_11FB9607830B_.wvu.FilterData" localSheetId="1" hidden="1">Inbound_Monitor!$A$2:$Q$2</definedName>
    <definedName name="Z_212B3020_743F_4A7C_B8D1_11FB9607830B_.wvu.FilterData" localSheetId="0" hidden="1">Outbound_Monitor!$A$2:$W$2</definedName>
    <definedName name="Z_213D62E8_F4E2_4296_AB20_30848B162AD5_.wvu.FilterData" localSheetId="1" hidden="1">Inbound_Monitor!$A$2:$Q$3</definedName>
    <definedName name="Z_213D9C03_0FD5_4D5C_AA3D_0AB30EABDC72_.wvu.FilterData" localSheetId="1" hidden="1">Inbound_Monitor!$A$2:$Q$3</definedName>
    <definedName name="Z_21403D8A_DFC6_42ED_AA3A_F8D665E05E6D_.wvu.FilterData" localSheetId="1" hidden="1">Inbound_Monitor!$A$2:$Q$13</definedName>
    <definedName name="Z_2145D5D3_DD7D_4996_ACBE_068C30D2BAE5_.wvu.FilterData" localSheetId="1" hidden="1">Inbound_Monitor!$A$2:$Q$3</definedName>
    <definedName name="Z_2148D47E_32F5_4A39_938A_15A660023FF1_.wvu.FilterData" localSheetId="0" hidden="1">Outbound_Monitor!$A$2:$W$3</definedName>
    <definedName name="Z_214D2E1F_7AC1_4A79_A074_E5C3FDE39979_.wvu.FilterData" localSheetId="0" hidden="1">Outbound_Monitor!$A$2:$X$16</definedName>
    <definedName name="Z_2150C858_A620_42BD_9D31_F6D9AAEDAF0C_.wvu.FilterData" localSheetId="0" hidden="1">Outbound_Monitor!$A$2:$X$16</definedName>
    <definedName name="Z_215EE1D5_7CE1_4A17_91CF_7EB411B62B90_.wvu.FilterData" localSheetId="0" hidden="1">Outbound_Monitor!$A$2:$W$3</definedName>
    <definedName name="Z_21669E7D_3C6D_4B9E_99B3_6A5D39124827_.wvu.FilterData" localSheetId="0" hidden="1">Outbound_Monitor!$A$2:$W$3</definedName>
    <definedName name="Z_2166D2CA_69BE_4A2E_9843_ACA523E31C4B_.wvu.FilterData" localSheetId="1" hidden="1">Inbound_Monitor!$A$2:$Q$3</definedName>
    <definedName name="Z_21707D4C_60FA_4DA4_B787_0C756B6ABA9F_.wvu.FilterData" localSheetId="1" hidden="1">Inbound_Monitor!$A$2:$Q$13</definedName>
    <definedName name="Z_21707D4C_60FA_4DA4_B787_0C756B6ABA9F_.wvu.FilterData" localSheetId="0" hidden="1">Outbound_Monitor!$A$2:$W$3</definedName>
    <definedName name="Z_2172BACF_4329_4A29_A8CB_734946115D24_.wvu.FilterData" localSheetId="1" hidden="1">Inbound_Monitor!$A$2:$Q$3</definedName>
    <definedName name="Z_2172BACF_4329_4A29_A8CB_734946115D24_.wvu.FilterData" localSheetId="0" hidden="1">Outbound_Monitor!$A$2:$W$3</definedName>
    <definedName name="Z_2189A621_729A_4EBA_B06E_36A058F36A06_.wvu.FilterData" localSheetId="1" hidden="1">Inbound_Monitor!$A$2:$Q$13</definedName>
    <definedName name="Z_21C6D736_4FAF_40B7_98D9_7BBB70C7E16A_.wvu.FilterData" localSheetId="1" hidden="1">Inbound_Monitor!$A$2:$Q$3</definedName>
    <definedName name="Z_21C6D736_4FAF_40B7_98D9_7BBB70C7E16A_.wvu.FilterData" localSheetId="0" hidden="1">Outbound_Monitor!$A$2:$W$3</definedName>
    <definedName name="Z_21CD1829_25B0_49D6_8655_2BA7866F1EBC_.wvu.FilterData" localSheetId="0" hidden="1">Outbound_Monitor!$A$2:$W$3</definedName>
    <definedName name="Z_21D49F06_D0F5_4F2A_A65B_4B24C6108C70_.wvu.FilterData" localSheetId="0" hidden="1">Outbound_Monitor!$A$2:$X$16</definedName>
    <definedName name="Z_21DFBAE5_D887_485A_BBAB_773510F6962C_.wvu.FilterData" localSheetId="0" hidden="1">Outbound_Monitor!$A$2:$X$16</definedName>
    <definedName name="Z_21E169FD_937E_4257_BA1C_F04039D698B2_.wvu.FilterData" localSheetId="1" hidden="1">Inbound_Monitor!$A$2:$Q$3</definedName>
    <definedName name="Z_21E4EE85_5C84_470C_962B_3D03AAA84D70_.wvu.FilterData" localSheetId="4" hidden="1">Schichtübergabe_Protokoll!$B$3:$N$3</definedName>
    <definedName name="Z_21FE5F92_6410_43A4_AE88_EC23066BCFFC_.wvu.FilterData" localSheetId="1" hidden="1">Inbound_Monitor!$A$2:$Q$2</definedName>
    <definedName name="Z_21FE5F92_6410_43A4_AE88_EC23066BCFFC_.wvu.FilterData" localSheetId="0" hidden="1">Outbound_Monitor!$A$2:$W$2</definedName>
    <definedName name="Z_220B1A6D_6BAE_4619_A8BC_C1B03F9000BE_.wvu.FilterData" localSheetId="1" hidden="1">Inbound_Monitor!$A$2:$Q$13</definedName>
    <definedName name="Z_220F89D6_0E72_4C3D_B3BB_7AF4B5D8DB43_.wvu.FilterData" localSheetId="0" hidden="1">Outbound_Monitor!$A$2:$W$3</definedName>
    <definedName name="Z_2224DBB4_19F2_4AB1_B74A_3D428F6997D6_.wvu.FilterData" localSheetId="1" hidden="1">Inbound_Monitor!$A$2:$Q$3</definedName>
    <definedName name="Z_2224DBB4_19F2_4AB1_B74A_3D428F6997D6_.wvu.FilterData" localSheetId="4" hidden="1">Schichtübergabe_Protokoll!$B$3:$N$3</definedName>
    <definedName name="Z_2227B4B0_4487_4AE3_841E_F7145CCA8A5E_.wvu.FilterData" localSheetId="1" hidden="1">Inbound_Monitor!$A$2:$Q$2</definedName>
    <definedName name="Z_2227B4B0_4487_4AE3_841E_F7145CCA8A5E_.wvu.FilterData" localSheetId="0" hidden="1">Outbound_Monitor!$A$2:$W$2</definedName>
    <definedName name="Z_225BB273_6FB9_4E0D_B6AF_5DAB4DFABBFD_.wvu.FilterData" localSheetId="0" hidden="1">Outbound_Monitor!$A$2:$W$3</definedName>
    <definedName name="Z_225CB346_24E0_480C_B1E4_8DB355098F8F_.wvu.FilterData" localSheetId="1" hidden="1">Inbound_Monitor!$A$2:$Q$13</definedName>
    <definedName name="Z_225CB346_24E0_480C_B1E4_8DB355098F8F_.wvu.FilterData" localSheetId="0" hidden="1">Outbound_Monitor!$A$2:$W$3</definedName>
    <definedName name="Z_22601D5A_5EF5_4F99_BC1F_AD2AC6624F83_.wvu.FilterData" localSheetId="1" hidden="1">Inbound_Monitor!$A$2:$Q$3</definedName>
    <definedName name="Z_226183F9_6CA5_4C32_AAC4_B05F13B57F5C_.wvu.FilterData" localSheetId="1" hidden="1">Inbound_Monitor!$A$2:$Q$13</definedName>
    <definedName name="Z_226183F9_6CA5_4C32_AAC4_B05F13B57F5C_.wvu.FilterData" localSheetId="0" hidden="1">Outbound_Monitor!$A$2:$W$3</definedName>
    <definedName name="Z_226F03BF_C1E5_431D_AF58_3B06EC7028E9_.wvu.FilterData" localSheetId="1" hidden="1">Inbound_Monitor!$A$2:$Q$2</definedName>
    <definedName name="Z_226F03BF_C1E5_431D_AF58_3B06EC7028E9_.wvu.FilterData" localSheetId="0" hidden="1">Outbound_Monitor!$A$2:$W$2</definedName>
    <definedName name="Z_22760EBD_6B87_46C1_A8AC_ECC735CCBB82_.wvu.FilterData" localSheetId="0" hidden="1">Outbound_Monitor!$A$2:$X$16</definedName>
    <definedName name="Z_22769641_834F_45B2_BBBC_AEB5B2E7C829_.wvu.FilterData" localSheetId="1" hidden="1">Inbound_Monitor!$A$2:$Q$3</definedName>
    <definedName name="Z_22769641_834F_45B2_BBBC_AEB5B2E7C829_.wvu.FilterData" localSheetId="0" hidden="1">Outbound_Monitor!$A$2:$W$3</definedName>
    <definedName name="Z_22786495_EB45_4D88_88A9_3F9C2341CFCD_.wvu.FilterData" localSheetId="1" hidden="1">Inbound_Monitor!$A$2:$Q$3</definedName>
    <definedName name="Z_22786495_EB45_4D88_88A9_3F9C2341CFCD_.wvu.FilterData" localSheetId="0" hidden="1">Outbound_Monitor!$A$2:$W$3</definedName>
    <definedName name="Z_22786495_EB45_4D88_88A9_3F9C2341CFCD_.wvu.FilterData" localSheetId="4" hidden="1">Schichtübergabe_Protokoll!$B$3:$N$3</definedName>
    <definedName name="Z_227D7C03_F1D6_4F46_A39E_2DFEFE86063B_.wvu.FilterData" localSheetId="0" hidden="1">Outbound_Monitor!$A$2:$W$3</definedName>
    <definedName name="Z_22808BC5_5665_4ECE_B27F_16B105F5BAC4_.wvu.FilterData" localSheetId="1" hidden="1">Inbound_Monitor!$A$2:$Q$3</definedName>
    <definedName name="Z_228D2A51_5A53_47B7_A7BA_BCC232F94ECD_.wvu.FilterData" localSheetId="0" hidden="1">Outbound_Monitor!$A$2:$W$3</definedName>
    <definedName name="Z_229906F5_D1D3_4ED3_9086_88E2D1FB5AD7_.wvu.FilterData" localSheetId="1" hidden="1">Inbound_Monitor!$A$2:$Q$3</definedName>
    <definedName name="Z_22B83584_1D4E_44D5_8F49_B07E0E55D5C8_.wvu.FilterData" localSheetId="1" hidden="1">Inbound_Monitor!$A$2:$Q$13</definedName>
    <definedName name="Z_22CFDE16_E35E_4590_B233_2A82A9C9C11F_.wvu.FilterData" localSheetId="0" hidden="1">Outbound_Monitor!$A$2:$W$3</definedName>
    <definedName name="Z_22DBC7CF_9797_4599_BAFB_51BE8F359B0C_.wvu.FilterData" localSheetId="1" hidden="1">Inbound_Monitor!$A$2:$Q$3</definedName>
    <definedName name="Z_22E0E417_ECB8_4325_AB0B_6E25F0B5341C_.wvu.FilterData" localSheetId="0" hidden="1">Outbound_Monitor!$A$2:$X$16</definedName>
    <definedName name="Z_22E45A42_119B_4068_9EB2_D652E1A9BBF1_.wvu.FilterData" localSheetId="1" hidden="1">Inbound_Monitor!$A$2:$Q$3</definedName>
    <definedName name="Z_22E45A42_119B_4068_9EB2_D652E1A9BBF1_.wvu.FilterData" localSheetId="0" hidden="1">Outbound_Monitor!$A$2:$W$3</definedName>
    <definedName name="Z_22E50207_D57B_4933_B87E_197DD3A66461_.wvu.FilterData" localSheetId="0" hidden="1">Outbound_Monitor!$A$2:$W$3</definedName>
    <definedName name="Z_22F3778E_5385_41C5_8850_54CEF5A214E3_.wvu.FilterData" localSheetId="1" hidden="1">Inbound_Monitor!$A$2:$Q$3</definedName>
    <definedName name="Z_22FC8ECC_16A3_4303_8039_A6F1A7412798_.wvu.FilterData" localSheetId="1" hidden="1">Inbound_Monitor!$A$2:$Q$13</definedName>
    <definedName name="Z_22FC8ECC_16A3_4303_8039_A6F1A7412798_.wvu.FilterData" localSheetId="0" hidden="1">Outbound_Monitor!$A$2:$X$16</definedName>
    <definedName name="Z_230A7A59_9CB3_4F1E_A016_F737A1FC2673_.wvu.FilterData" localSheetId="0" hidden="1">Outbound_Monitor!$A$2:$W$3</definedName>
    <definedName name="Z_230B0600_2741_49EF_B80E_334C60682962_.wvu.FilterData" localSheetId="0" hidden="1">Outbound_Monitor!$A$2:$W$3</definedName>
    <definedName name="Z_230CE62D_98F2_4C23_811A_00548E7D5736_.wvu.FilterData" localSheetId="0" hidden="1">Outbound_Monitor!$A$2:$X$16</definedName>
    <definedName name="Z_2316356A_5AAA_4BA2_AE70_E2982D6D7395_.wvu.FilterData" localSheetId="0" hidden="1">Outbound_Monitor!$A$2:$X$16</definedName>
    <definedName name="Z_2318A0A3_7971_4777_8C82_95C8AA78EDA6_.wvu.FilterData" localSheetId="0" hidden="1">Outbound_Monitor!$A$2:$X$16</definedName>
    <definedName name="Z_23208EE9_F8C8_4D4A_93CB_CA84C6BE863B_.wvu.FilterData" localSheetId="0" hidden="1">Outbound_Monitor!$A$2:$W$3</definedName>
    <definedName name="Z_2328345B_229F_4362_B687_52FA006D2E9C_.wvu.FilterData" localSheetId="1" hidden="1">Inbound_Monitor!$A$2:$Q$3</definedName>
    <definedName name="Z_232F645B_288D_41F0_B314_C014C437F18E_.wvu.FilterData" localSheetId="1" hidden="1">Inbound_Monitor!$A$2:$Q$13</definedName>
    <definedName name="Z_232F645B_288D_41F0_B314_C014C437F18E_.wvu.FilterData" localSheetId="0" hidden="1">Outbound_Monitor!$A$2:$X$16</definedName>
    <definedName name="Z_2331FC8C_185E_47EF_B2E2_450E04521E22_.wvu.FilterData" localSheetId="1" hidden="1">Inbound_Monitor!$A$2:$Q$3</definedName>
    <definedName name="Z_2331FC8C_185E_47EF_B2E2_450E04521E22_.wvu.FilterData" localSheetId="0" hidden="1">Outbound_Monitor!$A$2:$W$3</definedName>
    <definedName name="Z_23352859_E16C_47B1_97EB_2070F4A30E01_.wvu.FilterData" localSheetId="1" hidden="1">Inbound_Monitor!$A$2:$Q$13</definedName>
    <definedName name="Z_233599E3_85DA_4DB4_BA71_F10E9450B984_.wvu.FilterData" localSheetId="1" hidden="1">Inbound_Monitor!$A$2:$Q$13</definedName>
    <definedName name="Z_233599E3_85DA_4DB4_BA71_F10E9450B984_.wvu.FilterData" localSheetId="0" hidden="1">Outbound_Monitor!$A$2:$X$16</definedName>
    <definedName name="Z_2337D61E_26F3_4604_98BA_1E3C7FF2682D_.wvu.FilterData" localSheetId="1" hidden="1">Inbound_Monitor!$A$2:$Q$13</definedName>
    <definedName name="Z_2337D61E_26F3_4604_98BA_1E3C7FF2682D_.wvu.FilterData" localSheetId="0" hidden="1">Outbound_Monitor!$A$2:$W$3</definedName>
    <definedName name="Z_233B8679_9B68_4661_88E4_58F09868635F_.wvu.FilterData" localSheetId="0" hidden="1">Outbound_Monitor!$A$2:$W$3</definedName>
    <definedName name="Z_234D0740_56D7_4859_AE2B_B36A7A1B35A1_.wvu.FilterData" localSheetId="0" hidden="1">Outbound_Monitor!$A$2:$W$3</definedName>
    <definedName name="Z_234DC8A4_9F25_488E_A6FF_D45787FC509B_.wvu.FilterData" localSheetId="1" hidden="1">Inbound_Monitor!$A$2:$Q$3</definedName>
    <definedName name="Z_235EA64A_BD18_4327_AB99_0D067A9F27DC_.wvu.FilterData" localSheetId="1" hidden="1">Inbound_Monitor!$A$2:$Q$13</definedName>
    <definedName name="Z_235EA64A_BD18_4327_AB99_0D067A9F27DC_.wvu.FilterData" localSheetId="0" hidden="1">Outbound_Monitor!$A$2:$W$3</definedName>
    <definedName name="Z_23609469_F92B_4917_9601_7AB352BBFA14_.wvu.FilterData" localSheetId="0" hidden="1">Outbound_Monitor!$A$2:$W$3</definedName>
    <definedName name="Z_236878A3_96A6_4EB9_B3CE_C711894D0C7B_.wvu.FilterData" localSheetId="0" hidden="1">Outbound_Monitor!$A$2:$X$16</definedName>
    <definedName name="Z_236ED7AF_EC33_4F2C_B931_4E778108A687_.wvu.FilterData" localSheetId="1" hidden="1">Inbound_Monitor!$A$2:$Q$3</definedName>
    <definedName name="Z_236ED7AF_EC33_4F2C_B931_4E778108A687_.wvu.FilterData" localSheetId="0" hidden="1">Outbound_Monitor!$A$2:$W$3</definedName>
    <definedName name="Z_236ED7AF_EC33_4F2C_B931_4E778108A687_.wvu.FilterData" localSheetId="4" hidden="1">Schichtübergabe_Protokoll!$B$3:$N$3</definedName>
    <definedName name="Z_237F6171_2CA4_449F_82F0_745DF4E8582A_.wvu.FilterData" localSheetId="0" hidden="1">Outbound_Monitor!#REF!</definedName>
    <definedName name="Z_238093A8_1A65_4059_874F_5D0A29A9D797_.wvu.FilterData" localSheetId="1" hidden="1">Inbound_Monitor!$A$2:$Q$13</definedName>
    <definedName name="Z_238093A8_1A65_4059_874F_5D0A29A9D797_.wvu.FilterData" localSheetId="0" hidden="1">Outbound_Monitor!$A$2:$X$16</definedName>
    <definedName name="Z_23875570_CC01_4AAD_A90A_AB8F88C5A350_.wvu.FilterData" localSheetId="1" hidden="1">Inbound_Monitor!$A$2:$Q$3</definedName>
    <definedName name="Z_2389F8D0_2B94_4493_BFDB_E23A9E13A5CB_.wvu.FilterData" localSheetId="0" hidden="1">Outbound_Monitor!$A$2:$W$3</definedName>
    <definedName name="Z_239207F7_FF25_4C26_B95F_B8EF73B4BDD2_.wvu.FilterData" localSheetId="0" hidden="1">Outbound_Monitor!$A$2:$W$3</definedName>
    <definedName name="Z_23A1CF01_EB97_4FC5_B398_1ACA84061C57_.wvu.FilterData" localSheetId="1" hidden="1">Inbound_Monitor!$A$2:$Q$13</definedName>
    <definedName name="Z_23A1CF01_EB97_4FC5_B398_1ACA84061C57_.wvu.FilterData" localSheetId="0" hidden="1">Outbound_Monitor!$A$2:$W$3</definedName>
    <definedName name="Z_23AA15F1_EFF9_4065_922F_FA3A5ABB2F20_.wvu.FilterData" localSheetId="1" hidden="1">Inbound_Monitor!$A$2:$Q$2</definedName>
    <definedName name="Z_23AA15F1_EFF9_4065_922F_FA3A5ABB2F20_.wvu.FilterData" localSheetId="0" hidden="1">Outbound_Monitor!$A$2:$W$2</definedName>
    <definedName name="Z_23B468BC_F547_4206_8A9A_2CFF69A49F3F_.wvu.FilterData" localSheetId="1" hidden="1">Inbound_Monitor!$A$2:$Q$13</definedName>
    <definedName name="Z_23B468BC_F547_4206_8A9A_2CFF69A49F3F_.wvu.FilterData" localSheetId="0" hidden="1">Outbound_Monitor!$A$2:$W$3</definedName>
    <definedName name="Z_23B4C11C_9F9A_4EF0_9992_AF105310A350_.wvu.FilterData" localSheetId="0" hidden="1">Outbound_Monitor!$A$2:$X$16</definedName>
    <definedName name="Z_23B9E6AD_713F_47AA_A546_7BD428ABE143_.wvu.FilterData" localSheetId="0" hidden="1">Outbound_Monitor!$A$2:$W$3</definedName>
    <definedName name="Z_23BD7A0F_C0E8_4DB4_BECA_FA1531A1F2FD_.wvu.FilterData" localSheetId="0" hidden="1">Outbound_Monitor!$A$2:$W$3</definedName>
    <definedName name="Z_23C2078E_9558_4085_BF50_27A49C80B6B2_.wvu.FilterData" localSheetId="1" hidden="1">Inbound_Monitor!$A$2:$Q$3</definedName>
    <definedName name="Z_23D429B8_8B34_4535_9BCE_E5BFBCC831A6_.wvu.FilterData" localSheetId="1" hidden="1">Inbound_Monitor!$A$2:$Q$13</definedName>
    <definedName name="Z_23D429B8_8B34_4535_9BCE_E5BFBCC831A6_.wvu.FilterData" localSheetId="0" hidden="1">Outbound_Monitor!$A$2:$W$3</definedName>
    <definedName name="Z_23D4C4A9_50B6_407D_A035_058578413A72_.wvu.FilterData" localSheetId="1" hidden="1">Inbound_Monitor!$A$2:$Q$2</definedName>
    <definedName name="Z_23D4C4A9_50B6_407D_A035_058578413A72_.wvu.FilterData" localSheetId="0" hidden="1">Outbound_Monitor!$A$2:$W$2</definedName>
    <definedName name="Z_23D52B8D_4862_4CCF_A430_B451484177DB_.wvu.FilterData" localSheetId="0" hidden="1">Outbound_Monitor!$A$2:$W$3</definedName>
    <definedName name="Z_23EA5EB6_0BE8_48FC_91E1_5A714AF58BDF_.wvu.FilterData" localSheetId="0" hidden="1">Outbound_Monitor!$A$2:$W$3</definedName>
    <definedName name="Z_23FA45B0_9CF8_4968_85B8_7CEE2DE5B261_.wvu.FilterData" localSheetId="0" hidden="1">Outbound_Monitor!$A$2:$X$16</definedName>
    <definedName name="Z_2403776D_C6A0_4FBC_A3C6_1A6F0C0CFB2C_.wvu.FilterData" localSheetId="1" hidden="1">Inbound_Monitor!$A$2:$Q$3</definedName>
    <definedName name="Z_24140569_93E3_4D1E_9FC4_AAB600284D0F_.wvu.FilterData" localSheetId="1" hidden="1">Inbound_Monitor!$A$2:$Q$3</definedName>
    <definedName name="Z_24140569_93E3_4D1E_9FC4_AAB600284D0F_.wvu.FilterData" localSheetId="0" hidden="1">Outbound_Monitor!$A$2:$W$3</definedName>
    <definedName name="Z_2425C496_6431_489A_BB50_2FC44F5F0948_.wvu.FilterData" localSheetId="1" hidden="1">Inbound_Monitor!$A$2:$Q$3</definedName>
    <definedName name="Z_2427A36D_631C_46BB_B092_961926A382D4_.wvu.FilterData" localSheetId="1" hidden="1">Inbound_Monitor!$A$2:$Q$13</definedName>
    <definedName name="Z_2427A36D_631C_46BB_B092_961926A382D4_.wvu.FilterData" localSheetId="0" hidden="1">Outbound_Monitor!$A$2:$X$16</definedName>
    <definedName name="Z_24330F22_C3D6_4B8B_8762_137A0B12C1B4_.wvu.FilterData" localSheetId="0" hidden="1">Outbound_Monitor!$A$2:$W$3</definedName>
    <definedName name="Z_2434256B_2F62_497C_91FF_BF20665D374F_.wvu.FilterData" localSheetId="1" hidden="1">Inbound_Monitor!$A$2:$Q$3</definedName>
    <definedName name="Z_2434256B_2F62_497C_91FF_BF20665D374F_.wvu.FilterData" localSheetId="0" hidden="1">Outbound_Monitor!$A$2:$W$3</definedName>
    <definedName name="Z_24344C6A_A764_4079_97F4_D5B3730F4889_.wvu.FilterData" localSheetId="0" hidden="1">Outbound_Monitor!$A$2:$W$3</definedName>
    <definedName name="Z_24357FF5_94CA_4AC6_9C5D_65148EA9021E_.wvu.FilterData" localSheetId="0" hidden="1">Outbound_Monitor!$A$2:$W$3</definedName>
    <definedName name="Z_243AD1A7_86BD_489E_9D6F_561626F5CFF6_.wvu.FilterData" localSheetId="1" hidden="1">Inbound_Monitor!$A$2:$Q$13</definedName>
    <definedName name="Z_243AD1A7_86BD_489E_9D6F_561626F5CFF6_.wvu.FilterData" localSheetId="0" hidden="1">Outbound_Monitor!$A$2:$W$3</definedName>
    <definedName name="Z_244FAF7C_884D_47CC_9290_B592B6C667D6_.wvu.FilterData" localSheetId="0" hidden="1">Outbound_Monitor!$A$2:$W$3</definedName>
    <definedName name="Z_246155D5_22D7_4F2A_BF1A_FFF45B0DBB27_.wvu.FilterData" localSheetId="1" hidden="1">Inbound_Monitor!$A$2:$Q$3</definedName>
    <definedName name="Z_246B5A62_A023_4CD3_BA56_03F89809CAAC_.wvu.FilterData" localSheetId="0" hidden="1">Outbound_Monitor!$A$2:$X$16</definedName>
    <definedName name="Z_2471D350_C5CE_4840_8E2D_D171E0F6493E_.wvu.FilterData" localSheetId="0" hidden="1">Outbound_Monitor!$A$2:$W$3</definedName>
    <definedName name="Z_247B625C_DA3D_4EE1_AFD6_4D725E094D78_.wvu.FilterData" localSheetId="0" hidden="1">Outbound_Monitor!$A$2:$W$3</definedName>
    <definedName name="Z_2484342E_366B_4BF6_BED9_39A56B9F598C_.wvu.FilterData" localSheetId="1" hidden="1">Inbound_Monitor!$A$2:$Q$3</definedName>
    <definedName name="Z_2486B2E7_C733_421F_8CCA_2A61AAEB5A98_.wvu.FilterData" localSheetId="0" hidden="1">Outbound_Monitor!$A$2:$W$3</definedName>
    <definedName name="Z_248B4DF8_1263_453F_B870_0226339A3086_.wvu.FilterData" localSheetId="1" hidden="1">Inbound_Monitor!$A$2:$Q$13</definedName>
    <definedName name="Z_248B4DF8_1263_453F_B870_0226339A3086_.wvu.FilterData" localSheetId="0" hidden="1">Outbound_Monitor!$A$2:$W$3</definedName>
    <definedName name="Z_248C2C94_DA87_45F6_9216_209FBEAC3A3C_.wvu.FilterData" localSheetId="0" hidden="1">Outbound_Monitor!$A$2:$W$3</definedName>
    <definedName name="Z_248E9AF0_B5FD_466F_8458_4AAD09F187F8_.wvu.FilterData" localSheetId="0" hidden="1">Outbound_Monitor!#REF!</definedName>
    <definedName name="Z_249105F9_6F9F_4152_B991_8209220B79EA_.wvu.FilterData" localSheetId="0" hidden="1">Outbound_Monitor!$A$2:$W$3</definedName>
    <definedName name="Z_24A906AE_92D0_4A38_A9EC_D42705C2B15F_.wvu.FilterData" localSheetId="1" hidden="1">Inbound_Monitor!$A$2:$Q$3</definedName>
    <definedName name="Z_24AAC7C3_8AEF_4840_BDA1_A9286373D389_.wvu.FilterData" localSheetId="1" hidden="1">Inbound_Monitor!$A$2:$Q$2</definedName>
    <definedName name="Z_24AAC7C3_8AEF_4840_BDA1_A9286373D389_.wvu.FilterData" localSheetId="0" hidden="1">Outbound_Monitor!$A$2:$W$2</definedName>
    <definedName name="Z_24C0270B_4BFB_4372_A22F_9FE484C5F314_.wvu.FilterData" localSheetId="1" hidden="1">Inbound_Monitor!$A$2:$Q$3</definedName>
    <definedName name="Z_24C086F3_6454_4D9F_ABB3_15E0D16E0AD8_.wvu.FilterData" localSheetId="1" hidden="1">Inbound_Monitor!$A$2:$Q$3</definedName>
    <definedName name="Z_24C086F3_6454_4D9F_ABB3_15E0D16E0AD8_.wvu.FilterData" localSheetId="0" hidden="1">Outbound_Monitor!$A$2:$W$3</definedName>
    <definedName name="Z_24DC2276_C924_4779_B0E9_E719510B619C_.wvu.FilterData" localSheetId="1" hidden="1">Inbound_Monitor!$A$2:$Q$3</definedName>
    <definedName name="Z_24DF85EF_AAE1_4BA0_A621_DA3E431C609B_.wvu.FilterData" localSheetId="1" hidden="1">Inbound_Monitor!$A$2:$Q$2</definedName>
    <definedName name="Z_24DF85EF_AAE1_4BA0_A621_DA3E431C609B_.wvu.FilterData" localSheetId="0" hidden="1">Outbound_Monitor!$A$2:$W$2</definedName>
    <definedName name="Z_24E4028A_082F_4E7F_B24F_8D2E143D29C0_.wvu.FilterData" localSheetId="0" hidden="1">Outbound_Monitor!$A$2:$W$3</definedName>
    <definedName name="Z_24E4491F_E001_43F2_B282_413467BF2BA4_.wvu.FilterData" localSheetId="0" hidden="1">Outbound_Monitor!$A$2:$W$3</definedName>
    <definedName name="Z_24E7B5EC_3EA1_461C_AF91_912189D3EE6A_.wvu.FilterData" localSheetId="1" hidden="1">Inbound_Monitor!$A$2:$Q$13</definedName>
    <definedName name="Z_24E7B5EC_3EA1_461C_AF91_912189D3EE6A_.wvu.FilterData" localSheetId="0" hidden="1">Outbound_Monitor!$A$2:$W$3</definedName>
    <definedName name="Z_24F74AC1_94FD_4C7E_864E_2B13F1A29E6A_.wvu.FilterData" localSheetId="1" hidden="1">Inbound_Monitor!$A$2:$Q$3</definedName>
    <definedName name="Z_24FD4264_5DDB_432B_B251_FEBA1BF981E6_.wvu.FilterData" localSheetId="0" hidden="1">Outbound_Monitor!$A$2:$W$3</definedName>
    <definedName name="Z_24FF67FF_6D2C_499E_AB28_78E75189B049_.wvu.FilterData" localSheetId="1" hidden="1">Inbound_Monitor!$A$2:$Q$13</definedName>
    <definedName name="Z_24FF67FF_6D2C_499E_AB28_78E75189B049_.wvu.FilterData" localSheetId="0" hidden="1">Outbound_Monitor!$A$2:$X$16</definedName>
    <definedName name="Z_250D55F1_A57C_4B23_A019_C508F92FF7D1_.wvu.FilterData" localSheetId="1" hidden="1">Inbound_Monitor!$A$2:$Q$2</definedName>
    <definedName name="Z_250D55F1_A57C_4B23_A019_C508F92FF7D1_.wvu.FilterData" localSheetId="0" hidden="1">Outbound_Monitor!$A$2:$W$2</definedName>
    <definedName name="Z_25228BBD_CAC7_4DB9_AB30_15350154EE71_.wvu.FilterData" localSheetId="1" hidden="1">Inbound_Monitor!$A$2:$Q$13</definedName>
    <definedName name="Z_2528EEC3_BA68_4AEF_9FF8_D1199FE9A014_.wvu.FilterData" localSheetId="0" hidden="1">Outbound_Monitor!$A$2:$W$3</definedName>
    <definedName name="Z_252B7F12_4CEB_4B0C_BD51_3FEA29CA113F_.wvu.FilterData" localSheetId="1" hidden="1">Inbound_Monitor!$A$2:$Q$3</definedName>
    <definedName name="Z_252B7F12_4CEB_4B0C_BD51_3FEA29CA113F_.wvu.FilterData" localSheetId="0" hidden="1">Outbound_Monitor!$A$2:$W$3</definedName>
    <definedName name="Z_252B7F12_4CEB_4B0C_BD51_3FEA29CA113F_.wvu.FilterData" localSheetId="4" hidden="1">Schichtübergabe_Protokoll!$B$3:$N$3</definedName>
    <definedName name="Z_253FE9EC_A025_4851_B498_5DCF629A9D7B_.wvu.FilterData" localSheetId="1" hidden="1">Inbound_Monitor!$A$2:$Q$3</definedName>
    <definedName name="Z_25616C87_37AC_4B1C_98E6_ED7E2383DB27_.wvu.FilterData" localSheetId="0" hidden="1">Outbound_Monitor!$A$2:$W$3</definedName>
    <definedName name="Z_25646AA2_13FC_4BF5_A57A_8CB1EAA91389_.wvu.FilterData" localSheetId="1" hidden="1">Inbound_Monitor!$A$2:$Q$13</definedName>
    <definedName name="Z_2572FAD7_7118_4846_8973_87DCBAB9EFCC_.wvu.FilterData" localSheetId="1" hidden="1">Inbound_Monitor!$A$2:$Q$3</definedName>
    <definedName name="Z_2578AAF2_2EEE_437F_B02F_AE9F12EEA23D_.wvu.FilterData" localSheetId="0" hidden="1">Outbound_Monitor!$A$2:$W$3</definedName>
    <definedName name="Z_257CDEE5_0157_4A7D_905D_AD23DD3CF857_.wvu.FilterData" localSheetId="0" hidden="1">Outbound_Monitor!$A$2:$W$3</definedName>
    <definedName name="Z_2585E27D_64CB_46CB_84B3_3F6F7549B723_.wvu.FilterData" localSheetId="1" hidden="1">Inbound_Monitor!$A$2:$Q$3</definedName>
    <definedName name="Z_2585E27D_64CB_46CB_84B3_3F6F7549B723_.wvu.FilterData" localSheetId="0" hidden="1">Outbound_Monitor!$A$2:$W$3</definedName>
    <definedName name="Z_2585E27D_64CB_46CB_84B3_3F6F7549B723_.wvu.FilterData" localSheetId="4" hidden="1">Schichtübergabe_Protokoll!$B$3:$N$3</definedName>
    <definedName name="Z_25880B9F_670D_44DC_BADC_C21C518B8357_.wvu.FilterData" localSheetId="0" hidden="1">Outbound_Monitor!$A$2:$X$16</definedName>
    <definedName name="Z_258B00CD_8067_4993_A27B_49E4228B2546_.wvu.FilterData" localSheetId="1" hidden="1">Inbound_Monitor!$A$2:$Q$3</definedName>
    <definedName name="Z_259321B6_B5C6_4C17_BDC8_012FE4256A31_.wvu.FilterData" localSheetId="0" hidden="1">Outbound_Monitor!$A$2:$W$3</definedName>
    <definedName name="Z_259D7D8F_87BB_4C1D_9846_F0DE55C1DFB1_.wvu.FilterData" localSheetId="1" hidden="1">Inbound_Monitor!$A$2:$Q$2</definedName>
    <definedName name="Z_259D7D8F_87BB_4C1D_9846_F0DE55C1DFB1_.wvu.FilterData" localSheetId="0" hidden="1">Outbound_Monitor!$A$2:$W$2</definedName>
    <definedName name="Z_259EF6E1_77E2_4F93_92C8_34BB43B7D131_.wvu.FilterData" localSheetId="1" hidden="1">Inbound_Monitor!$A$2:$Q$13</definedName>
    <definedName name="Z_259EF6E1_77E2_4F93_92C8_34BB43B7D131_.wvu.FilterData" localSheetId="0" hidden="1">Outbound_Monitor!$A$2:$W$3</definedName>
    <definedName name="Z_25AA68F7_9B32_4033_8768_EA74B54F3146_.wvu.FilterData" localSheetId="1" hidden="1">Inbound_Monitor!$A$2:$Q$2</definedName>
    <definedName name="Z_25AA68F7_9B32_4033_8768_EA74B54F3146_.wvu.FilterData" localSheetId="0" hidden="1">Outbound_Monitor!$A$2:$W$2</definedName>
    <definedName name="Z_25AAE027_E07D_47EB_B37C_72EF014B667D_.wvu.FilterData" localSheetId="0" hidden="1">Outbound_Monitor!$A$2:$W$3</definedName>
    <definedName name="Z_25C69D3C_D08C_46BC_A917_C4919B25077B_.wvu.FilterData" localSheetId="0" hidden="1">Outbound_Monitor!$A$2:$W$3</definedName>
    <definedName name="Z_25C6BFD5_FA51_41BA_A766_E30C38A4EB05_.wvu.FilterData" localSheetId="0" hidden="1">Outbound_Monitor!$A$2:$W$3</definedName>
    <definedName name="Z_25C773E7_E240_4D03_A639_49234FF98197_.wvu.FilterData" localSheetId="1" hidden="1">Inbound_Monitor!$A$2:$Q$2</definedName>
    <definedName name="Z_25C773E7_E240_4D03_A639_49234FF98197_.wvu.FilterData" localSheetId="0" hidden="1">Outbound_Monitor!$A$2:$W$2</definedName>
    <definedName name="Z_25D0A06A_F7FC_4F86_96D6_39278F9650B9_.wvu.FilterData" localSheetId="1" hidden="1">Inbound_Monitor!$A$2:$Q$13</definedName>
    <definedName name="Z_25D0A06A_F7FC_4F86_96D6_39278F9650B9_.wvu.FilterData" localSheetId="0" hidden="1">Outbound_Monitor!$A$2:$X$16</definedName>
    <definedName name="Z_25D29D1E_7DA0_4B9B_9C56_6A4F327760CF_.wvu.FilterData" localSheetId="0" hidden="1">Outbound_Monitor!$A$2:$X$16</definedName>
    <definedName name="Z_25E9B77E_033F_4739_8F10_1380A9284FF0_.wvu.FilterData" localSheetId="0" hidden="1">Outbound_Monitor!$A$2:$W$3</definedName>
    <definedName name="Z_25EC9B80_9F46_4985_916D_181C9A567961_.wvu.FilterData" localSheetId="0" hidden="1">Outbound_Monitor!$A$2:$X$16</definedName>
    <definedName name="Z_25EDE7A3_9F3B_4C46_8470_3D3885C08B84_.wvu.FilterData" localSheetId="1" hidden="1">Inbound_Monitor!$A$2:$Q$13</definedName>
    <definedName name="Z_25FE598F_827C_4C8D_A53D_266683E8CC8A_.wvu.FilterData" localSheetId="1" hidden="1">Inbound_Monitor!$A$2:$Q$3</definedName>
    <definedName name="Z_26003A53_1782_4229_A0B3_14B3083CC103_.wvu.FilterData" localSheetId="1" hidden="1">Inbound_Monitor!$A$2:$Q$3</definedName>
    <definedName name="Z_261061E0_A71E_4FDE_B5B9_304FF12383DD_.wvu.FilterData" localSheetId="1" hidden="1">Inbound_Monitor!$A$2:$Q$3</definedName>
    <definedName name="Z_26113759_21DF_43FD_9F83_0A207AB089CE_.wvu.FilterData" localSheetId="0" hidden="1">Outbound_Monitor!$A$2:$W$3</definedName>
    <definedName name="Z_2613F910_194F_4E41_BAA6_34D0F1DF6E49_.wvu.FilterData" localSheetId="1" hidden="1">Inbound_Monitor!$A$2:$Q$13</definedName>
    <definedName name="Z_2613F910_194F_4E41_BAA6_34D0F1DF6E49_.wvu.FilterData" localSheetId="0" hidden="1">Outbound_Monitor!$A$2:$W$3</definedName>
    <definedName name="Z_26188DA5_05D7_4809_8627_E77C6B13CAA9_.wvu.FilterData" localSheetId="0" hidden="1">Outbound_Monitor!$A$2:$W$3</definedName>
    <definedName name="Z_262073F2_B1CD_47DA_8EEA_7315A1552313_.wvu.FilterData" localSheetId="0" hidden="1">Outbound_Monitor!$A$2:$W$3</definedName>
    <definedName name="Z_262312F2_7F2B_4330_A41E_23BD1F99D6E0_.wvu.Cols" localSheetId="1" hidden="1">Inbound_Monitor!#REF!</definedName>
    <definedName name="Z_262312F2_7F2B_4330_A41E_23BD1F99D6E0_.wvu.Cols" localSheetId="0" hidden="1">Outbound_Monitor!#REF!</definedName>
    <definedName name="Z_262312F2_7F2B_4330_A41E_23BD1F99D6E0_.wvu.FilterData" localSheetId="1" hidden="1">Inbound_Monitor!$A$2:$Q$3</definedName>
    <definedName name="Z_262312F2_7F2B_4330_A41E_23BD1F99D6E0_.wvu.FilterData" localSheetId="0" hidden="1">Outbound_Monitor!$A$2:$W$3</definedName>
    <definedName name="Z_262312F2_7F2B_4330_A41E_23BD1F99D6E0_.wvu.FilterData" localSheetId="4" hidden="1">Schichtübergabe_Protokoll!$B$3:$N$3</definedName>
    <definedName name="Z_262BB582_E2E1_4B16_8596_B83286B71FE1_.wvu.FilterData" localSheetId="0" hidden="1">Outbound_Monitor!$A$2:$W$3</definedName>
    <definedName name="Z_2632899E_1EF3_4CDF_B24F_7834CFAA3640_.wvu.FilterData" localSheetId="1" hidden="1">Inbound_Monitor!$A$2:$Q$13</definedName>
    <definedName name="Z_2632899E_1EF3_4CDF_B24F_7834CFAA3640_.wvu.FilterData" localSheetId="0" hidden="1">Outbound_Monitor!$A$2:$W$3</definedName>
    <definedName name="Z_263CFC70_D76C_4D97_A08D_CFDAE6D38FF1_.wvu.FilterData" localSheetId="0" hidden="1">Outbound_Monitor!$A$2:$W$3</definedName>
    <definedName name="Z_266148AA_8D77_4DA2_B8B3_20C11D8162DC_.wvu.FilterData" localSheetId="0" hidden="1">Outbound_Monitor!$A$2:$X$16</definedName>
    <definedName name="Z_266EFF75_8EA1_4CB0_AB0C_5727BFC9CC58_.wvu.FilterData" localSheetId="0" hidden="1">Outbound_Monitor!#REF!</definedName>
    <definedName name="Z_26750282_BE1D_45CD_B64C_CA15457A353B_.wvu.FilterData" localSheetId="0" hidden="1">Outbound_Monitor!$A$2:$W$3</definedName>
    <definedName name="Z_268E0975_0CCC_4C3B_83C8_768D4107640E_.wvu.FilterData" localSheetId="1" hidden="1">Inbound_Monitor!$A$2:$Q$3</definedName>
    <definedName name="Z_268EB603_46DE_4440_9962_420B1E1E3ECE_.wvu.FilterData" localSheetId="0" hidden="1">Outbound_Monitor!$A$2:$W$3</definedName>
    <definedName name="Z_26908FCF_7230_4BD0_B9EE_C7000DBEAF78_.wvu.FilterData" localSheetId="0" hidden="1">Outbound_Monitor!$A$2:$X$16</definedName>
    <definedName name="Z_2698D9AD_79B3_4ECA_8AB9_4C4A55C6F234_.wvu.FilterData" localSheetId="1" hidden="1">Inbound_Monitor!$A$2:$Q$3</definedName>
    <definedName name="Z_269BC560_C04F_49AF_970F_8D706EA16689_.wvu.FilterData" localSheetId="1" hidden="1">Inbound_Monitor!$A$2:$Q$13</definedName>
    <definedName name="Z_269BC560_C04F_49AF_970F_8D706EA16689_.wvu.FilterData" localSheetId="0" hidden="1">Outbound_Monitor!$A$2:$W$3</definedName>
    <definedName name="Z_269F15E9_6B89_490A_B775_70057C356CAA_.wvu.FilterData" localSheetId="1" hidden="1">Inbound_Monitor!$A$2:$Q$2</definedName>
    <definedName name="Z_269F15E9_6B89_490A_B775_70057C356CAA_.wvu.FilterData" localSheetId="0" hidden="1">Outbound_Monitor!$A$2:$W$2</definedName>
    <definedName name="Z_26ABECC0_AFD3_48FC_A500_5A9EF1489D97_.wvu.FilterData" localSheetId="0" hidden="1">Outbound_Monitor!$A$2:$W$3</definedName>
    <definedName name="Z_26AF81F6_BE3C_48A8_8077_4A6AA2B796E1_.wvu.FilterData" localSheetId="0" hidden="1">Outbound_Monitor!$A$2:$W$3</definedName>
    <definedName name="Z_26CDC2EC_B89B_4317_B18E_C31DAB7DB21A_.wvu.FilterData" localSheetId="0" hidden="1">Outbound_Monitor!$A$2:$W$3</definedName>
    <definedName name="Z_26CEFA87_0235_4FB4_B25D_5875CE935C0B_.wvu.FilterData" localSheetId="1" hidden="1">Inbound_Monitor!$A$2:$Q$3</definedName>
    <definedName name="Z_26D5CF46_ACC0_4733_8AF6_B7C209F34B78_.wvu.FilterData" localSheetId="1" hidden="1">Inbound_Monitor!$A$2:$Q$13</definedName>
    <definedName name="Z_26D5CF46_ACC0_4733_8AF6_B7C209F34B78_.wvu.FilterData" localSheetId="0" hidden="1">Outbound_Monitor!$A$2:$W$3</definedName>
    <definedName name="Z_26DDE0F3_4C39_4716_8865_30178602465C_.wvu.FilterData" localSheetId="0" hidden="1">Outbound_Monitor!$A$2:$W$3</definedName>
    <definedName name="Z_26EFDF93_3047_4900_8D63_B2ACA5BE0470_.wvu.FilterData" localSheetId="0" hidden="1">Outbound_Monitor!$A$2:$W$3</definedName>
    <definedName name="Z_26F2C5D4_7DBB_430B_AE44_EAD898003257_.wvu.FilterData" localSheetId="0" hidden="1">Outbound_Monitor!$A$2:$W$3</definedName>
    <definedName name="Z_26FA7C7B_E9C3_4935_B8BA_38FE738C1EF4_.wvu.FilterData" localSheetId="1" hidden="1">Inbound_Monitor!$A$2:$Q$3</definedName>
    <definedName name="Z_270A9F0C_A43D_4D0A_8B1E_9846915E559C_.wvu.FilterData" localSheetId="0" hidden="1">Outbound_Monitor!$A$2:$X$16</definedName>
    <definedName name="Z_270D988B_68E4_4AB8_9B2F_E57D588F2CE3_.wvu.FilterData" localSheetId="1" hidden="1">Inbound_Monitor!$A$2:$Q$3</definedName>
    <definedName name="Z_271870B6_5183_46EF_BE84_F40383B925A0_.wvu.FilterData" localSheetId="1" hidden="1">Inbound_Monitor!$A$2:$Q$3</definedName>
    <definedName name="Z_272C6926_9656_4051_8222_BF4A5D8EB508_.wvu.FilterData" localSheetId="1" hidden="1">Inbound_Monitor!$A$2:$Q$3</definedName>
    <definedName name="Z_272CDB13_B750_48F1_87BA_B121DED1F62F_.wvu.FilterData" localSheetId="0" hidden="1">Outbound_Monitor!$A$2:$W$3</definedName>
    <definedName name="Z_2735177F_EB7D_496A_8F71_57216846446A_.wvu.FilterData" localSheetId="1" hidden="1">Inbound_Monitor!$A$2:$Q$3</definedName>
    <definedName name="Z_2735177F_EB7D_496A_8F71_57216846446A_.wvu.FilterData" localSheetId="0" hidden="1">Outbound_Monitor!$A$2:$W$3</definedName>
    <definedName name="Z_273FD9D0_C760_4B45_B5BD_147DEA816A6B_.wvu.FilterData" localSheetId="1" hidden="1">Inbound_Monitor!$A$2:$Q$3</definedName>
    <definedName name="Z_273FD9D0_C760_4B45_B5BD_147DEA816A6B_.wvu.FilterData" localSheetId="0" hidden="1">Outbound_Monitor!$A$2:$W$3</definedName>
    <definedName name="Z_274ECD82_87AB_4827_AC00_37862C40B677_.wvu.FilterData" localSheetId="1" hidden="1">Inbound_Monitor!$A$2:$Q$3</definedName>
    <definedName name="Z_2768C33F_4477_48CD_895E_7FBB0A11F695_.wvu.FilterData" localSheetId="0" hidden="1">Outbound_Monitor!#REF!</definedName>
    <definedName name="Z_277280C5_C77D_44A2_83B6_03940345ED5F_.wvu.FilterData" localSheetId="1" hidden="1">Inbound_Monitor!$A$2:$Q$3</definedName>
    <definedName name="Z_2777378B_1798_4308_886C_F505BD370E5B_.wvu.FilterData" localSheetId="1" hidden="1">Inbound_Monitor!$A$2:$Q$13</definedName>
    <definedName name="Z_277D86EE_8931_444E_862B_FE5F520A7FA0_.wvu.FilterData" localSheetId="1" hidden="1">Inbound_Monitor!$A$2:$Q$3</definedName>
    <definedName name="Z_279225EA_CE86_47B4_B448_93B4F2F27DA8_.wvu.FilterData" localSheetId="0" hidden="1">Outbound_Monitor!$A$2:$W$3</definedName>
    <definedName name="Z_279841CF_31E5_4830_972F_467021CBFFEB_.wvu.FilterData" localSheetId="0" hidden="1">Outbound_Monitor!$A$2:$W$3</definedName>
    <definedName name="Z_279CC8EC_5C6D_4637_A529_B67EC8D714B8_.wvu.FilterData" localSheetId="0" hidden="1">Outbound_Monitor!$A$3:$X$16</definedName>
    <definedName name="Z_27A1735A_569C_4F3B_B622_D9E2C44B8434_.wvu.FilterData" localSheetId="0" hidden="1">Outbound_Monitor!$A$2:$X$16</definedName>
    <definedName name="Z_27ABC9BB_045D_4CC1_9BB5_88E6C4F1D17C_.wvu.FilterData" localSheetId="0" hidden="1">Outbound_Monitor!$A$2:$W$3</definedName>
    <definedName name="Z_27BAEA5F_A21F_45D3_A04D_D6B26B28643A_.wvu.FilterData" localSheetId="0" hidden="1">Outbound_Monitor!$A$2:$W$3</definedName>
    <definedName name="Z_27BEDFFB_C129_40EE_A898_D966C9B8FB64_.wvu.FilterData" localSheetId="1" hidden="1">Inbound_Monitor!$A$2:$Q$2</definedName>
    <definedName name="Z_27BEDFFB_C129_40EE_A898_D966C9B8FB64_.wvu.FilterData" localSheetId="0" hidden="1">Outbound_Monitor!$A$2:$W$2</definedName>
    <definedName name="Z_27C7E744_6C96_421D_99DE_E56F3DE4F447_.wvu.FilterData" localSheetId="0" hidden="1">Outbound_Monitor!$A$2:$W$3</definedName>
    <definedName name="Z_27D11FFA_8302_45E9_B50B_63D9E79C46BF_.wvu.FilterData" localSheetId="0" hidden="1">Outbound_Monitor!$A$2:$W$3</definedName>
    <definedName name="Z_27D3536F_8C3A_49E8_B557_CA932B223625_.wvu.FilterData" localSheetId="0" hidden="1">Outbound_Monitor!$A$2:$W$3</definedName>
    <definedName name="Z_27D5B9AC_54CD_460B_91FC_5F46225A2ACD_.wvu.FilterData" localSheetId="0" hidden="1">Outbound_Monitor!$A$2:$X$16</definedName>
    <definedName name="Z_27DBBADB_92C2_41B1_B539_3AF1BDC38D55_.wvu.FilterData" localSheetId="1" hidden="1">Inbound_Monitor!$A$2:$Q$3</definedName>
    <definedName name="Z_27DBBADB_92C2_41B1_B539_3AF1BDC38D55_.wvu.FilterData" localSheetId="0" hidden="1">Outbound_Monitor!$A$2:$W$3</definedName>
    <definedName name="Z_2806F2C2_DD8B_40C6_9785_7ABE396E6D58_.wvu.FilterData" localSheetId="1" hidden="1">Inbound_Monitor!$A$2:$Q$3</definedName>
    <definedName name="Z_281FBD65_51C4_4AB8_B965_9DD095928AFF_.wvu.FilterData" localSheetId="1" hidden="1">Inbound_Monitor!$A$2:$Q$2</definedName>
    <definedName name="Z_281FBD65_51C4_4AB8_B965_9DD095928AFF_.wvu.FilterData" localSheetId="0" hidden="1">Outbound_Monitor!$A$2:$W$2</definedName>
    <definedName name="Z_283D34C8_815C_47F9_A85E_53A784805B13_.wvu.FilterData" localSheetId="0" hidden="1">Outbound_Monitor!$A$2:$W$3</definedName>
    <definedName name="Z_283E6D61_5061_47E9_84BA_4B730FF8D37B_.wvu.FilterData" localSheetId="1" hidden="1">Inbound_Monitor!$A$2:$Q$3</definedName>
    <definedName name="Z_283E6D61_5061_47E9_84BA_4B730FF8D37B_.wvu.FilterData" localSheetId="0" hidden="1">Outbound_Monitor!$A$2:$W$3</definedName>
    <definedName name="Z_284496A9_3F19_4EE2_9743_020B75CC5640_.wvu.FilterData" localSheetId="0" hidden="1">Outbound_Monitor!$A$2:$W$3</definedName>
    <definedName name="Z_284B8BEC_4E81_48A6_B850_090D55E9F103_.wvu.FilterData" localSheetId="1" hidden="1">Inbound_Monitor!$A$2:$Q$3</definedName>
    <definedName name="Z_285B2732_7ADB_4E8D_B8C3_D645F4B972F6_.wvu.FilterData" localSheetId="0" hidden="1">Outbound_Monitor!$A$2:$X$16</definedName>
    <definedName name="Z_28631AB5_10A7_4DF4_B766_D36D8015B336_.wvu.FilterData" localSheetId="1" hidden="1">Inbound_Monitor!$A$2:$Q$2</definedName>
    <definedName name="Z_28631AB5_10A7_4DF4_B766_D36D8015B336_.wvu.FilterData" localSheetId="0" hidden="1">Outbound_Monitor!$A$2:$W$2</definedName>
    <definedName name="Z_2878C181_1C92_4278_939F_10CAB2020001_.wvu.FilterData" localSheetId="0" hidden="1">Outbound_Monitor!$A$2:$W$3</definedName>
    <definedName name="Z_287C277C_C35C_47D3_B26F_D1795AACAC73_.wvu.FilterData" localSheetId="0" hidden="1">Outbound_Monitor!$A$2:$W$3</definedName>
    <definedName name="Z_28906D9F_8FBD_4465_8288_3DE854E3AEA3_.wvu.FilterData" localSheetId="0" hidden="1">Outbound_Monitor!$A$2:$W$3</definedName>
    <definedName name="Z_28A758BA_905E_4277_A533_79BA04197C0B_.wvu.FilterData" localSheetId="1" hidden="1">Inbound_Monitor!$A$2:$Q$3</definedName>
    <definedName name="Z_28ADFAFE_7F75_456E_9AC4_C608177C7862_.wvu.FilterData" localSheetId="1" hidden="1">Inbound_Monitor!$A$2:$Q$13</definedName>
    <definedName name="Z_28ADFAFE_7F75_456E_9AC4_C608177C7862_.wvu.FilterData" localSheetId="0" hidden="1">Outbound_Monitor!$A$2:$W$3</definedName>
    <definedName name="Z_28B5CCF6_FA57_4962_ACE2_69FC9473E111_.wvu.FilterData" localSheetId="0" hidden="1">Outbound_Monitor!$A$2:$W$3</definedName>
    <definedName name="Z_28C76C7A_0E6F_4645_8EF2_940D24D8BC99_.wvu.FilterData" localSheetId="1" hidden="1">Inbound_Monitor!$A$2:$Q$2</definedName>
    <definedName name="Z_28C76C7A_0E6F_4645_8EF2_940D24D8BC99_.wvu.FilterData" localSheetId="0" hidden="1">Outbound_Monitor!$A$2:$W$2</definedName>
    <definedName name="Z_28C9FBD1_5DC4_4A6E_948B_30E0D24CC921_.wvu.FilterData" localSheetId="1" hidden="1">Inbound_Monitor!$A$2:$Q$3</definedName>
    <definedName name="Z_28CACE2F_0CD9_4499_8518_E50444373FC7_.wvu.FilterData" localSheetId="1" hidden="1">Inbound_Monitor!$A$2:$Q$2</definedName>
    <definedName name="Z_28CACE2F_0CD9_4499_8518_E50444373FC7_.wvu.FilterData" localSheetId="0" hidden="1">Outbound_Monitor!$A$2:$W$2</definedName>
    <definedName name="Z_28CEADC6_52A9_431F_B664_1B0F5586F589_.wvu.FilterData" localSheetId="1" hidden="1">Inbound_Monitor!$A$2:$Q$3</definedName>
    <definedName name="Z_28CEADC6_52A9_431F_B664_1B0F5586F589_.wvu.FilterData" localSheetId="0" hidden="1">Outbound_Monitor!$A$2:$W$3</definedName>
    <definedName name="Z_28D4418C_0E44_41DB_82AF_9395967FA2F2_.wvu.FilterData" localSheetId="0" hidden="1">Outbound_Monitor!$A$2:$W$3</definedName>
    <definedName name="Z_28DA1A92_FB29_4CB8_9CB5_0F81F9944A8B_.wvu.FilterData" localSheetId="0" hidden="1">Outbound_Monitor!$A$2:$X$16</definedName>
    <definedName name="Z_28DC7331_91D2_4FD0_8BB5_299A344ED58B_.wvu.FilterData" localSheetId="0" hidden="1">Outbound_Monitor!$A$2:$W$3</definedName>
    <definedName name="Z_28DDC58C_9254_4BDE_9A0E_56A1779C3E42_.wvu.FilterData" localSheetId="0" hidden="1">Outbound_Monitor!$A$2:$W$3</definedName>
    <definedName name="Z_28E4EBFA_BD2D_4597_81FA_9EF9E0EA48A6_.wvu.FilterData" localSheetId="0" hidden="1">Outbound_Monitor!$A$2:$W$3</definedName>
    <definedName name="Z_28F735A1_5F43_4C57_966C_F0F79FDF1971_.wvu.FilterData" localSheetId="0" hidden="1">Outbound_Monitor!$A$2:$W$3</definedName>
    <definedName name="Z_28F895EF_772A_4986_8783_A6FD7DF7B080_.wvu.FilterData" localSheetId="1" hidden="1">Inbound_Monitor!$A$2:$Q$3</definedName>
    <definedName name="Z_28FA37EE_21F6_49BF_B04A_FAB68FDE4C89_.wvu.FilterData" localSheetId="1" hidden="1">Inbound_Monitor!$A$2:$Q$3</definedName>
    <definedName name="Z_28FC7378_1F0C_43E0_821E_83933D5E1AA3_.wvu.FilterData" localSheetId="1" hidden="1">Inbound_Monitor!$A$2:$Q$13</definedName>
    <definedName name="Z_290AA0F4_0397_4D90_81AB_01DFA8F20544_.wvu.FilterData" localSheetId="1" hidden="1">Inbound_Monitor!$A$2:$Q$3</definedName>
    <definedName name="Z_290AA0F4_0397_4D90_81AB_01DFA8F20544_.wvu.FilterData" localSheetId="0" hidden="1">Outbound_Monitor!$A$2:$W$3</definedName>
    <definedName name="Z_290F23AB_1341_402A_83F3_2DAA9B5459CE_.wvu.FilterData" localSheetId="0" hidden="1">Outbound_Monitor!$A$2:$W$3</definedName>
    <definedName name="Z_291011E6_1063_4D84_9E7C_7E0ABCF1E199_.wvu.FilterData" localSheetId="1" hidden="1">Inbound_Monitor!$A$2:$Q$2</definedName>
    <definedName name="Z_291011E6_1063_4D84_9E7C_7E0ABCF1E199_.wvu.FilterData" localSheetId="0" hidden="1">Outbound_Monitor!$A$2:$W$2</definedName>
    <definedName name="Z_29211CC0_E2CA_4F6B_8488_BDC4033BD3AC_.wvu.FilterData" localSheetId="1" hidden="1">Inbound_Monitor!$A$2:$Q$13</definedName>
    <definedName name="Z_29211CC0_E2CA_4F6B_8488_BDC4033BD3AC_.wvu.FilterData" localSheetId="0" hidden="1">Outbound_Monitor!$A$2:$W$3</definedName>
    <definedName name="Z_29383353_2D5F_40C0_B1D6_793179F19AC5_.wvu.FilterData" localSheetId="0" hidden="1">Outbound_Monitor!$A$2:$W$3</definedName>
    <definedName name="Z_293A4B79_7263_4B7F_9128_EDA8114D1FC9_.wvu.FilterData" localSheetId="1" hidden="1">Inbound_Monitor!$A$2:$Q$3</definedName>
    <definedName name="Z_2943EF79_B45A_426B_B628_2C13D2EA376A_.wvu.FilterData" localSheetId="0" hidden="1">Outbound_Monitor!$A$2:$W$3</definedName>
    <definedName name="Z_2981B43C_C32D_4A64_83BB_7B28A9F737A3_.wvu.FilterData" localSheetId="1" hidden="1">Inbound_Monitor!$A$2:$Q$2</definedName>
    <definedName name="Z_2981B43C_C32D_4A64_83BB_7B28A9F737A3_.wvu.FilterData" localSheetId="0" hidden="1">Outbound_Monitor!$A$2:$W$2</definedName>
    <definedName name="Z_2990CF03_4DAF_4F45_B76C_AF68D5D56D48_.wvu.FilterData" localSheetId="1" hidden="1">Inbound_Monitor!$A$2:$Q$3</definedName>
    <definedName name="Z_29943FB1_A966_4B30_8C2D_2FBBB839FA3E_.wvu.FilterData" localSheetId="0" hidden="1">Outbound_Monitor!$A$2:$W$3</definedName>
    <definedName name="Z_299993F2_D547_4E81_BDBE_9FA5DC963FE3_.wvu.FilterData" localSheetId="0" hidden="1">Outbound_Monitor!$A$2:$W$3</definedName>
    <definedName name="Z_29A52039_5921_40DE_A76B_BA4E2F303A40_.wvu.FilterData" localSheetId="0" hidden="1">Outbound_Monitor!$A$2:$W$3</definedName>
    <definedName name="Z_29A8DEC2_46D9_4EDA_A934_925BD3B84BC4_.wvu.FilterData" localSheetId="0" hidden="1">Outbound_Monitor!$A$2:$W$3</definedName>
    <definedName name="Z_29AE18A7_FC07_4EC3_A2C4_2DA348C3A78F_.wvu.Rows" localSheetId="3" hidden="1">'SDDS_Office (nicht nutzen)'!#REF!,'SDDS_Office (nicht nutzen)'!#REF!,'SDDS_Office (nicht nutzen)'!#REF!,'SDDS_Office (nicht nutzen)'!#REF!</definedName>
    <definedName name="Z_29AEA9DD_5FE5_48F6_8785_3B150FAE01BF_.wvu.FilterData" localSheetId="0" hidden="1">Outbound_Monitor!$A$2:$W$3</definedName>
    <definedName name="Z_29B0691A_7C48_478B_B6CE_C351A7C52E71_.wvu.FilterData" localSheetId="1" hidden="1">Inbound_Monitor!$A$2:$Q$2</definedName>
    <definedName name="Z_29B0691A_7C48_478B_B6CE_C351A7C52E71_.wvu.FilterData" localSheetId="0" hidden="1">Outbound_Monitor!$A$2:$W$2</definedName>
    <definedName name="Z_29B884D0_33C4_44F3_BE25_80CEF6A7B702_.wvu.FilterData" localSheetId="1" hidden="1">Inbound_Monitor!$A$2:$Q$3</definedName>
    <definedName name="Z_29B884D0_33C4_44F3_BE25_80CEF6A7B702_.wvu.FilterData" localSheetId="0" hidden="1">Outbound_Monitor!$A$2:$W$3</definedName>
    <definedName name="Z_29CF748D_3C68_4E58_993D_CBE1380AEB7F_.wvu.FilterData" localSheetId="4" hidden="1">Schichtübergabe_Protokoll!$B$3:$N$3</definedName>
    <definedName name="Z_29D0A56E_2FAB_45AE_8F13_74449A4C3420_.wvu.FilterData" localSheetId="1" hidden="1">Inbound_Monitor!$A$2:$Q$2</definedName>
    <definedName name="Z_29D0A56E_2FAB_45AE_8F13_74449A4C3420_.wvu.FilterData" localSheetId="0" hidden="1">Outbound_Monitor!$A$2:$W$2</definedName>
    <definedName name="Z_29D24E96_D78F_4223_8199_F6AE1EC00E63_.wvu.FilterData" localSheetId="1" hidden="1">Inbound_Monitor!$A$2:$Q$3</definedName>
    <definedName name="Z_29D380AA_7248_477D_A325_567C80AD5339_.wvu.FilterData" localSheetId="1" hidden="1">Inbound_Monitor!$A$2:$Q$13</definedName>
    <definedName name="Z_29D380AA_7248_477D_A325_567C80AD5339_.wvu.FilterData" localSheetId="0" hidden="1">Outbound_Monitor!$A$2:$X$16</definedName>
    <definedName name="Z_29E99BC5_C9FC_4C81_B546_C1795A302369_.wvu.FilterData" localSheetId="0" hidden="1">Outbound_Monitor!$A$2:$W$3</definedName>
    <definedName name="Z_29EC4380_53EB_4261_8FC3_A75267A825A1_.wvu.FilterData" localSheetId="0" hidden="1">Outbound_Monitor!$A$2:$X$16</definedName>
    <definedName name="Z_29EE3D47_0C79_4EEE_A12E_7768FE0EAC95_.wvu.FilterData" localSheetId="0" hidden="1">Outbound_Monitor!$A$2:$W$3</definedName>
    <definedName name="Z_29F9A35F_7728_41F4_A2F0_03E6BFBFC3BE_.wvu.FilterData" localSheetId="0" hidden="1">Outbound_Monitor!$A$2:$W$3</definedName>
    <definedName name="Z_29FEA03B_087D_4C16_A400_B4DBA6ADAF8E_.wvu.FilterData" localSheetId="0" hidden="1">Outbound_Monitor!$A$2:$X$16</definedName>
    <definedName name="Z_2A1E69D9_0EB6_4E6E_B808_2064363B05C2_.wvu.FilterData" localSheetId="1" hidden="1">Inbound_Monitor!$A$2:$Q$3</definedName>
    <definedName name="Z_2A31B2FC_A97E_491B_BFF4_38B3C1CA7531_.wvu.FilterData" localSheetId="0" hidden="1">Outbound_Monitor!$A$2:$X$16</definedName>
    <definedName name="Z_2A461BE0_B5F7_4E76_A25E_49E04F70EA94_.wvu.FilterData" localSheetId="0" hidden="1">Outbound_Monitor!$A$2:$W$3</definedName>
    <definedName name="Z_2A59BB3A_CB36_45DB_BFBB_121ABD16B3CD_.wvu.FilterData" localSheetId="1" hidden="1">Inbound_Monitor!$A$2:$Q$13</definedName>
    <definedName name="Z_2A59BB3A_CB36_45DB_BFBB_121ABD16B3CD_.wvu.FilterData" localSheetId="0" hidden="1">Outbound_Monitor!$A$2:$X$16</definedName>
    <definedName name="Z_2A6A66C8_87E7_4816_BB57_ED39BF0DD384_.wvu.FilterData" localSheetId="1" hidden="1">Inbound_Monitor!$A$2:$Q$2</definedName>
    <definedName name="Z_2A6A66C8_87E7_4816_BB57_ED39BF0DD384_.wvu.FilterData" localSheetId="0" hidden="1">Outbound_Monitor!$A$2:$W$2</definedName>
    <definedName name="Z_2A701B66_D2F6_4BF8_B0AA_2365D840B08C_.wvu.FilterData" localSheetId="1" hidden="1">Inbound_Monitor!$A$2:$Q$13</definedName>
    <definedName name="Z_2A80D18B_3A8B_47C5_BAED_E04BD699D0F7_.wvu.FilterData" localSheetId="0" hidden="1">Outbound_Monitor!$A$2:$W$3</definedName>
    <definedName name="Z_2A81CE93_E7F2_44BE_B0C6_F76A25250425_.wvu.FilterData" localSheetId="0" hidden="1">Outbound_Monitor!$A$2:$X$16</definedName>
    <definedName name="Z_2A859C5E_330A_4BBB_BA83_4609C6B28E6D_.wvu.FilterData" localSheetId="0" hidden="1">Outbound_Monitor!$A$2:$W$3</definedName>
    <definedName name="Z_2A8C6AE0_F051_4236_BD79_73270B8040A0_.wvu.FilterData" localSheetId="0" hidden="1">Outbound_Monitor!$A$2:$W$3</definedName>
    <definedName name="Z_2A97CDFB_50B5_4CDE_9066_170BBE248F43_.wvu.FilterData" localSheetId="1" hidden="1">Inbound_Monitor!$A$2:$Q$3</definedName>
    <definedName name="Z_2AA88B8D_865E_481D_9CF7_D683C782495B_.wvu.FilterData" localSheetId="1" hidden="1">Inbound_Monitor!$A$2:$Q$13</definedName>
    <definedName name="Z_2AA88B8D_865E_481D_9CF7_D683C782495B_.wvu.FilterData" localSheetId="0" hidden="1">Outbound_Monitor!$A$2:$W$3</definedName>
    <definedName name="Z_2AAD4727_51A9_4E85_B0AE_5774E6A923BA_.wvu.FilterData" localSheetId="0" hidden="1">Outbound_Monitor!$A$2:$W$3</definedName>
    <definedName name="Z_2AB19E90_9500_40E7_A927_49582F7570A2_.wvu.FilterData" localSheetId="1" hidden="1">Inbound_Monitor!$A$2:$Q$3</definedName>
    <definedName name="Z_2AB19E90_9500_40E7_A927_49582F7570A2_.wvu.FilterData" localSheetId="0" hidden="1">Outbound_Monitor!$A$2:$W$3</definedName>
    <definedName name="Z_2AB528C4_8042_4AFC_AE88_1E28A7C77C0C_.wvu.FilterData" localSheetId="1" hidden="1">Inbound_Monitor!$A$2:$Q$3</definedName>
    <definedName name="Z_2ABBC07F_EB49_483A_A45B_CC75F41BF91E_.wvu.FilterData" localSheetId="1" hidden="1">Inbound_Monitor!$A$2:$Q$13</definedName>
    <definedName name="Z_2ABBC07F_EB49_483A_A45B_CC75F41BF91E_.wvu.FilterData" localSheetId="0" hidden="1">Outbound_Monitor!$A$2:$W$3</definedName>
    <definedName name="Z_2ACBF39D_BF82_4EA0_A747_745FB39B6C56_.wvu.FilterData" localSheetId="1" hidden="1">Inbound_Monitor!$A$2:$Q$13</definedName>
    <definedName name="Z_2ACBF39D_BF82_4EA0_A747_745FB39B6C56_.wvu.FilterData" localSheetId="0" hidden="1">Outbound_Monitor!$A$2:$W$3</definedName>
    <definedName name="Z_2ADC718D_207B_4769_B5B1_E9CD37E01209_.wvu.FilterData" localSheetId="0" hidden="1">Outbound_Monitor!$A$2:$W$3</definedName>
    <definedName name="Z_2AE653A3_FFC6_4B1D_809E_E351A4964842_.wvu.FilterData" localSheetId="4" hidden="1">Schichtübergabe_Protokoll!$B$3:$N$3</definedName>
    <definedName name="Z_2AEBCA6C_16F1_4562_8438_11FE914032AA_.wvu.FilterData" localSheetId="0" hidden="1">Outbound_Monitor!$A$2:$W$3</definedName>
    <definedName name="Z_2AF2105E_DF6B_42ED_9AF5_1BFF1CE73BBE_.wvu.FilterData" localSheetId="1" hidden="1">Inbound_Monitor!$A$2:$Q$13</definedName>
    <definedName name="Z_2AF2105E_DF6B_42ED_9AF5_1BFF1CE73BBE_.wvu.FilterData" localSheetId="0" hidden="1">Outbound_Monitor!$A$2:$W$3</definedName>
    <definedName name="Z_2AF31C4F_FFE1_459C_8144_0BF44EBB79DE_.wvu.FilterData" localSheetId="4" hidden="1">Schichtübergabe_Protokoll!$B$3:$N$3</definedName>
    <definedName name="Z_2AF83584_65D7_47DA_BEB6_7EC5D2EC7EA1_.wvu.FilterData" localSheetId="0" hidden="1">Outbound_Monitor!$A$2:$W$3</definedName>
    <definedName name="Z_2AF99A2B_C5F5_46EB_ACB7_F545059FCD1C_.wvu.FilterData" localSheetId="0" hidden="1">Outbound_Monitor!$A$2:$W$3</definedName>
    <definedName name="Z_2B1DA270_AF53_46C9_9C57_1CF497EBB731_.wvu.FilterData" localSheetId="1" hidden="1">Inbound_Monitor!$A$2:$Q$13</definedName>
    <definedName name="Z_2B2261EF_5CE4_44C3_A459_D92FDB0C86EA_.wvu.FilterData" localSheetId="0" hidden="1">Outbound_Monitor!$A$2:$W$3</definedName>
    <definedName name="Z_2B3D3A5E_1906_409E_BE51_448C80C73C3F_.wvu.FilterData" localSheetId="0" hidden="1">Outbound_Monitor!$A$2:$W$3</definedName>
    <definedName name="Z_2B69294E_6DBC_4220_A403_73317D3F56D8_.wvu.FilterData" localSheetId="0" hidden="1">Outbound_Monitor!$A$2:$W$3</definedName>
    <definedName name="Z_2B6FDF22_D8CF_4671_A2B0_5918874FF983_.wvu.FilterData" localSheetId="1" hidden="1">Inbound_Monitor!$A$2:$Q$3</definedName>
    <definedName name="Z_2B6FDF22_D8CF_4671_A2B0_5918874FF983_.wvu.FilterData" localSheetId="0" hidden="1">Outbound_Monitor!$A$2:$W$3</definedName>
    <definedName name="Z_2B7DEC2B_EC6D_4F30_8046_F9B6900141B8_.wvu.FilterData" localSheetId="0" hidden="1">Outbound_Monitor!$A$2:$W$3</definedName>
    <definedName name="Z_2B7FBABE_CD63_42DD_8ECA_C349FB3EE372_.wvu.FilterData" localSheetId="1" hidden="1">Inbound_Monitor!$A$2:$Q$13</definedName>
    <definedName name="Z_2B7FBABE_CD63_42DD_8ECA_C349FB3EE372_.wvu.FilterData" localSheetId="0" hidden="1">Outbound_Monitor!$A$2:$X$16</definedName>
    <definedName name="Z_2B976295_F207_49EA_A7C3_875F7628EE75_.wvu.FilterData" localSheetId="0" hidden="1">Outbound_Monitor!$A$2:$X$16</definedName>
    <definedName name="Z_2B9A1EEB_687A_41C6_8A0E_D80727725AB4_.wvu.FilterData" localSheetId="0" hidden="1">Outbound_Monitor!$A$2:$W$3</definedName>
    <definedName name="Z_2BA97323_EAB9_43E8_91EC_168B9C280AC7_.wvu.FilterData" localSheetId="0" hidden="1">Outbound_Monitor!$A$2:$X$16</definedName>
    <definedName name="Z_2BB3E2AA_437F_4D44_AA12_42978063044B_.wvu.FilterData" localSheetId="0" hidden="1">Outbound_Monitor!$A$2:$X$16</definedName>
    <definedName name="Z_2BB5BE4C_E94C_4905_AA7C_6CA8324C45AA_.wvu.FilterData" localSheetId="0" hidden="1">Outbound_Monitor!$A$2:$X$16</definedName>
    <definedName name="Z_2BD59355_F17B_44E7_839C_4FD3A2F6FBBC_.wvu.FilterData" localSheetId="1" hidden="1">Inbound_Monitor!$A$2:$Q$13</definedName>
    <definedName name="Z_2BD76D97_7619_4446_B7DE_4E7173BBA352_.wvu.FilterData" localSheetId="1" hidden="1">Inbound_Monitor!$A$2:$Q$13</definedName>
    <definedName name="Z_2BD76D97_7619_4446_B7DE_4E7173BBA352_.wvu.FilterData" localSheetId="0" hidden="1">Outbound_Monitor!$A$2:$W$3</definedName>
    <definedName name="Z_2BD9549B_E035_423F_81D4_A8C41407F5DA_.wvu.FilterData" localSheetId="1" hidden="1">Inbound_Monitor!$A$2:$Q$3</definedName>
    <definedName name="Z_2BE535CC_15F4_4646_A9EF_8C43EB201F22_.wvu.FilterData" localSheetId="0" hidden="1">Outbound_Monitor!$A$2:$W$3</definedName>
    <definedName name="Z_2C0619DE_68F2_4EB5_9C1A_FF0194B2EAD2_.wvu.FilterData" localSheetId="1" hidden="1">Inbound_Monitor!$A$2:$Q$3</definedName>
    <definedName name="Z_2C0CD50F_EC91_4211_954B_3AA641FB27E8_.wvu.FilterData" localSheetId="0" hidden="1">Outbound_Monitor!$A$2:$W$3</definedName>
    <definedName name="Z_2C10977F_2FF1_4B4D_A574_E8AE63876E34_.wvu.FilterData" localSheetId="1" hidden="1">Inbound_Monitor!$A$2:$Q$13</definedName>
    <definedName name="Z_2C1620E4_3B83_480A_A229_9ECB30BD0174_.wvu.FilterData" localSheetId="1" hidden="1">Inbound_Monitor!$A$2:$Q$3</definedName>
    <definedName name="Z_2C1620E4_3B83_480A_A229_9ECB30BD0174_.wvu.FilterData" localSheetId="0" hidden="1">Outbound_Monitor!$A$2:$W$3</definedName>
    <definedName name="Z_2C23406B_7143_424E_8D41_079B17E46427_.wvu.FilterData" localSheetId="4" hidden="1">Schichtübergabe_Protokoll!$B$3:$N$3</definedName>
    <definedName name="Z_2C239713_8AB8_4606_8B0D_E291D383A8CB_.wvu.FilterData" localSheetId="1" hidden="1">Inbound_Monitor!$A$2:$Q$3</definedName>
    <definedName name="Z_2C239713_8AB8_4606_8B0D_E291D383A8CB_.wvu.FilterData" localSheetId="4" hidden="1">Schichtübergabe_Protokoll!$B$3:$N$3</definedName>
    <definedName name="Z_2C2D2121_5588_431A_BDDF_360B2B71D40C_.wvu.FilterData" localSheetId="0" hidden="1">Outbound_Monitor!$A$2:$W$3</definedName>
    <definedName name="Z_2C303305_912A_488E_9FA4_7464E13234EA_.wvu.FilterData" localSheetId="1" hidden="1">Inbound_Monitor!$A$2:$Q$13</definedName>
    <definedName name="Z_2C303305_912A_488E_9FA4_7464E13234EA_.wvu.FilterData" localSheetId="0" hidden="1">Outbound_Monitor!$A$2:$X$16</definedName>
    <definedName name="Z_2C3EE968_D3F4_48B0_88B6_ABDB56573118_.wvu.FilterData" localSheetId="1" hidden="1">Inbound_Monitor!$A$2:$Q$13</definedName>
    <definedName name="Z_2C6672BD_1106_414F_B5E8_AB96D2A5A703_.wvu.FilterData" localSheetId="0" hidden="1">Outbound_Monitor!$A$2:$W$3</definedName>
    <definedName name="Z_2C69E0F5_228F_4E02_8423_5C68BA525320_.wvu.FilterData" localSheetId="1" hidden="1">Inbound_Monitor!$A$2:$Q$13</definedName>
    <definedName name="Z_2C6A6731_7AD4_4548_AA1E_2E5033A31982_.wvu.FilterData" localSheetId="4" hidden="1">Schichtübergabe_Protokoll!$B$3:$N$3</definedName>
    <definedName name="Z_2C6DEE6D_C28E_4986_921A_91B69FBC905E_.wvu.FilterData" localSheetId="1" hidden="1">Inbound_Monitor!$A$2:$Q$13</definedName>
    <definedName name="Z_2C6DEE6D_C28E_4986_921A_91B69FBC905E_.wvu.FilterData" localSheetId="0" hidden="1">Outbound_Monitor!$A$2:$W$3</definedName>
    <definedName name="Z_2C864252_6C6F_4C56_9A90_7C9D3CF88E04_.wvu.FilterData" localSheetId="0" hidden="1">Outbound_Monitor!$A$2:$W$3</definedName>
    <definedName name="Z_2CA99C62_905B_4630_B529_8156B6C7E08A_.wvu.FilterData" localSheetId="1" hidden="1">Inbound_Monitor!$A$2:$Q$13</definedName>
    <definedName name="Z_2CA99C62_905B_4630_B529_8156B6C7E08A_.wvu.FilterData" localSheetId="0" hidden="1">Outbound_Monitor!$A$2:$W$3</definedName>
    <definedName name="Z_2CAB228B_E47D_43D7_A653_48958D1A6651_.wvu.FilterData" localSheetId="0" hidden="1">Outbound_Monitor!$A$2:$W$3</definedName>
    <definedName name="Z_2CABDB42_1538_47A2_92E2_EC873FA9D1D5_.wvu.FilterData" localSheetId="1" hidden="1">Inbound_Monitor!$A$2:$Q$3</definedName>
    <definedName name="Z_2CABDB42_1538_47A2_92E2_EC873FA9D1D5_.wvu.FilterData" localSheetId="0" hidden="1">Outbound_Monitor!$A$2:$W$3</definedName>
    <definedName name="Z_2CB7EE12_552F_4F75_A32F_2B92CDD623BF_.wvu.FilterData" localSheetId="0" hidden="1">Outbound_Monitor!$A$2:$X$16</definedName>
    <definedName name="Z_2CBD03A1_14D6_440D_8CDC_D83E4E804B4A_.wvu.FilterData" localSheetId="0" hidden="1">Outbound_Monitor!$A$2:$W$3</definedName>
    <definedName name="Z_2CC00A39_0564_427B_80FD_93B861D9283A_.wvu.FilterData" localSheetId="1" hidden="1">Inbound_Monitor!$A$2:$Q$3</definedName>
    <definedName name="Z_2CC00A39_0564_427B_80FD_93B861D9283A_.wvu.FilterData" localSheetId="0" hidden="1">Outbound_Monitor!$A$2:$W$3</definedName>
    <definedName name="Z_2CDA8E16_4B0B_472A_B200_ABF08890B0CB_.wvu.FilterData" localSheetId="1" hidden="1">Inbound_Monitor!$A$2:$Q$3</definedName>
    <definedName name="Z_2CDE34A6_2EAD_4822_8494_6D1A1CE05A43_.wvu.FilterData" localSheetId="1" hidden="1">Inbound_Monitor!$A$2:$Q$13</definedName>
    <definedName name="Z_2CE7D9D7_BEF4_428F_9669_F3F59385732D_.wvu.FilterData" localSheetId="1" hidden="1">Inbound_Monitor!$A$2:$Q$13</definedName>
    <definedName name="Z_2CEC1B5F_03EC_4422_9700_323C4EEC14FA_.wvu.FilterData" localSheetId="0" hidden="1">Outbound_Monitor!$A$2:$W$3</definedName>
    <definedName name="Z_2CF623FF_912D_408A_B21D_BA38C26DD93C_.wvu.FilterData" localSheetId="1" hidden="1">Inbound_Monitor!$A$2:$Q$13</definedName>
    <definedName name="Z_2CF8AFF6_2D74_4127_83A9_A6FCCC7742EA_.wvu.FilterData" localSheetId="1" hidden="1">Inbound_Monitor!$A$2:$Q$2</definedName>
    <definedName name="Z_2CF8AFF6_2D74_4127_83A9_A6FCCC7742EA_.wvu.FilterData" localSheetId="0" hidden="1">Outbound_Monitor!$A$2:$W$2</definedName>
    <definedName name="Z_2CF92AC2_2BD2_480F_BC9E_5CC37E11F403_.wvu.FilterData" localSheetId="0" hidden="1">Outbound_Monitor!$A$2:$W$3</definedName>
    <definedName name="Z_2CFC7B84_25E8_4FAE_A899_2A2E2FB5959A_.wvu.FilterData" localSheetId="1" hidden="1">Inbound_Monitor!$A$2:$Q$3</definedName>
    <definedName name="Z_2CFC7B84_25E8_4FAE_A899_2A2E2FB5959A_.wvu.FilterData" localSheetId="0" hidden="1">Outbound_Monitor!$A$2:$W$3</definedName>
    <definedName name="Z_2CFFAD6A_49BE_4C4F_A174_A11AB059BEA9_.wvu.FilterData" localSheetId="1" hidden="1">Inbound_Monitor!$A$2:$Q$13</definedName>
    <definedName name="Z_2CFFAD6A_49BE_4C4F_A174_A11AB059BEA9_.wvu.FilterData" localSheetId="0" hidden="1">Outbound_Monitor!$A$2:$X$16</definedName>
    <definedName name="Z_2D328E68_DFB0_4953_A746_04CC52CBB329_.wvu.FilterData" localSheetId="1" hidden="1">Inbound_Monitor!$A$2:$Q$13</definedName>
    <definedName name="Z_2D483612_8281_455F_A161_F1926A3178D5_.wvu.FilterData" localSheetId="0" hidden="1">Outbound_Monitor!$A$2:$W$3</definedName>
    <definedName name="Z_2D57226A_6934_4448_AAD3_5DF418E1643F_.wvu.FilterData" localSheetId="1" hidden="1">Inbound_Monitor!$A$2:$Q$3</definedName>
    <definedName name="Z_2D5A6EEA_3992_4139_828B_01F542AEED34_.wvu.FilterData" localSheetId="0" hidden="1">Outbound_Monitor!$A$2:$W$3</definedName>
    <definedName name="Z_2D5F04CC_40FB_4202_B18C_3E7CF0B9AE99_.wvu.FilterData" localSheetId="1" hidden="1">Inbound_Monitor!$A$2:$Q$3</definedName>
    <definedName name="Z_2D5FEB6F_3B5B_4486_8601_6E7F7F6928D3_.wvu.FilterData" localSheetId="1" hidden="1">Inbound_Monitor!$A$2:$Q$13</definedName>
    <definedName name="Z_2D5FEB6F_3B5B_4486_8601_6E7F7F6928D3_.wvu.FilterData" localSheetId="0" hidden="1">Outbound_Monitor!$A$2:$W$3</definedName>
    <definedName name="Z_2D721AF8_36FF_431F_A6D5_387AF2CEE6F3_.wvu.FilterData" localSheetId="1" hidden="1">Inbound_Monitor!$A$2:$Q$13</definedName>
    <definedName name="Z_2D7335AA_EFA2_4407_A148_02557E0722D2_.wvu.FilterData" localSheetId="0" hidden="1">Outbound_Monitor!$A$2:$W$3</definedName>
    <definedName name="Z_2D7B8477_2EA2_402C_8DAD_2F9E724A6358_.wvu.FilterData" localSheetId="1" hidden="1">Inbound_Monitor!$A$2:$Q$3</definedName>
    <definedName name="Z_2D7C20BF_B272_4654_AB1C_8E59454343DD_.wvu.FilterData" localSheetId="1" hidden="1">Inbound_Monitor!$A$2:$Q$2</definedName>
    <definedName name="Z_2D7C20BF_B272_4654_AB1C_8E59454343DD_.wvu.FilterData" localSheetId="0" hidden="1">Outbound_Monitor!$A$2:$W$2</definedName>
    <definedName name="Z_2D88AA7B_7E17_4D87_B88C_0D3983A56468_.wvu.FilterData" localSheetId="1" hidden="1">Inbound_Monitor!$A$2:$Q$13</definedName>
    <definedName name="Z_2D88AA7B_7E17_4D87_B88C_0D3983A56468_.wvu.FilterData" localSheetId="0" hidden="1">Outbound_Monitor!$A$2:$W$3</definedName>
    <definedName name="Z_2DA68DCC_1DE0_4ED0_A3D9_42805658255A_.wvu.FilterData" localSheetId="1" hidden="1">Inbound_Monitor!$A$2:$Q$3</definedName>
    <definedName name="Z_2DB11445_C1CB_48C4_8432_8D91E218FD45_.wvu.FilterData" localSheetId="0" hidden="1">Outbound_Monitor!$A$2:$W$3</definedName>
    <definedName name="Z_2DCE8D3D_C25C_4306_9431_76DBB7B73DD0_.wvu.FilterData" localSheetId="0" hidden="1">Outbound_Monitor!$A$2:$W$3</definedName>
    <definedName name="Z_2DCE93B9_CD04_4462_85A7_C46A6F0D90C9_.wvu.FilterData" localSheetId="1" hidden="1">Inbound_Monitor!$A$2:$Q$3</definedName>
    <definedName name="Z_2DCFFB13_C4B5_400A_A57E_FA608F4F1B29_.wvu.FilterData" localSheetId="1" hidden="1">Inbound_Monitor!$A$2:$Q$2</definedName>
    <definedName name="Z_2DCFFB13_C4B5_400A_A57E_FA608F4F1B29_.wvu.FilterData" localSheetId="0" hidden="1">Outbound_Monitor!$A$2:$W$2</definedName>
    <definedName name="Z_2DD82029_ADE9_430F_B40A_4632F5380292_.wvu.FilterData" localSheetId="1" hidden="1">Inbound_Monitor!$A$2:$Q$13</definedName>
    <definedName name="Z_2DD82029_ADE9_430F_B40A_4632F5380292_.wvu.FilterData" localSheetId="0" hidden="1">Outbound_Monitor!$A$2:$X$16</definedName>
    <definedName name="Z_2DDC5CBD_98B0_434E_9051_A8EEA3B2C094_.wvu.FilterData" localSheetId="0" hidden="1">Outbound_Monitor!$A$2:$W$3</definedName>
    <definedName name="Z_2DDE88EB_ED77_4A76_80C6_27C5C2D35EF0_.wvu.FilterData" localSheetId="1" hidden="1">Inbound_Monitor!$A$2:$Q$3</definedName>
    <definedName name="Z_2DE7BAFD_89CE_46A3_8835_FC3B64CE0B30_.wvu.FilterData" localSheetId="1" hidden="1">Inbound_Monitor!$A$2:$Q$3</definedName>
    <definedName name="Z_2DE7BAFD_89CE_46A3_8835_FC3B64CE0B30_.wvu.FilterData" localSheetId="0" hidden="1">Outbound_Monitor!$A$2:$W$3</definedName>
    <definedName name="Z_2DEB3A9F_FB37_4D9C_BA28_F438C374C1C1_.wvu.FilterData" localSheetId="1" hidden="1">Inbound_Monitor!$A$2:$Q$3</definedName>
    <definedName name="Z_2DEBAD47_CFC8_45FE_9C10_D615186B24FE_.wvu.FilterData" localSheetId="4" hidden="1">Schichtübergabe_Protokoll!$B$3:$N$3</definedName>
    <definedName name="Z_2E01400F_053C_4A3E_9CE0_39F15F42003F_.wvu.FilterData" localSheetId="1" hidden="1">Inbound_Monitor!$A$2:$Q$3</definedName>
    <definedName name="Z_2E04F703_BE42_4BD3_AE78_5960663EAB83_.wvu.FilterData" localSheetId="0" hidden="1">Outbound_Monitor!$A$2:$W$3</definedName>
    <definedName name="Z_2E0BD139_8408_4B1E_B083_F6484B2717D1_.wvu.FilterData" localSheetId="0" hidden="1">Outbound_Monitor!$A$2:$X$16</definedName>
    <definedName name="Z_2E139CE1_0929_490A_B10D_D56AC7C8D150_.wvu.FilterData" localSheetId="1" hidden="1">Inbound_Monitor!$A$2:$Q$3</definedName>
    <definedName name="Z_2E19D806_4770_47E4_88FF_01FBFA99B465_.wvu.FilterData" localSheetId="1" hidden="1">Inbound_Monitor!$A$2:$Q$2</definedName>
    <definedName name="Z_2E19D806_4770_47E4_88FF_01FBFA99B465_.wvu.FilterData" localSheetId="0" hidden="1">Outbound_Monitor!$A$2:$W$2</definedName>
    <definedName name="Z_2E27553A_D260_41AE_9A22_88E339938D87_.wvu.FilterData" localSheetId="1" hidden="1">Inbound_Monitor!$A$2:$Q$13</definedName>
    <definedName name="Z_2E27553A_D260_41AE_9A22_88E339938D87_.wvu.FilterData" localSheetId="0" hidden="1">Outbound_Monitor!$A$2:$W$3</definedName>
    <definedName name="Z_2E2FB070_1159_4D3A_ABDD_7549C5B5F0AB_.wvu.FilterData" localSheetId="1" hidden="1">Inbound_Monitor!$A$2:$Q$3</definedName>
    <definedName name="Z_2E4020F8_1B84_4A9E_B409_ED51119AC2BB_.wvu.FilterData" localSheetId="1" hidden="1">Inbound_Monitor!$A$2:$Q$3</definedName>
    <definedName name="Z_2E67AFA0_954E_4DBE_BBA2_590C2F92BF1B_.wvu.FilterData" localSheetId="0" hidden="1">Outbound_Monitor!$A$2:$X$16</definedName>
    <definedName name="Z_2E773614_991F_4508_958B_684A857469AE_.wvu.FilterData" localSheetId="0" hidden="1">Outbound_Monitor!$A$2:$W$3</definedName>
    <definedName name="Z_2E7B266C_EF15_47B3_A6E9_96263DCCE3A1_.wvu.FilterData" localSheetId="1" hidden="1">Inbound_Monitor!$A$2:$Q$3</definedName>
    <definedName name="Z_2E7B266C_EF15_47B3_A6E9_96263DCCE3A1_.wvu.FilterData" localSheetId="0" hidden="1">Outbound_Monitor!$A$2:$W$3</definedName>
    <definedName name="Z_2E86A0D8_B529_4F86_A087_9B2B327B3291_.wvu.FilterData" localSheetId="1" hidden="1">Inbound_Monitor!$A$2:$Q$13</definedName>
    <definedName name="Z_2E8D9812_142A_4B15_8AB7_0A92BA0CD4FC_.wvu.FilterData" localSheetId="0" hidden="1">Outbound_Monitor!$A$2:$W$3</definedName>
    <definedName name="Z_2EA48B88_161C_40FA_9A00_3EB0BDC2BB6E_.wvu.FilterData" localSheetId="0" hidden="1">Outbound_Monitor!$A$2:$W$3</definedName>
    <definedName name="Z_2EAE6C64_4583_4915_A786_BD38B5E2E2CA_.wvu.FilterData" localSheetId="0" hidden="1">Outbound_Monitor!$A$2:$W$3</definedName>
    <definedName name="Z_2EB63F39_1504_4CDC_9E6B_FE72E0133961_.wvu.FilterData" localSheetId="0" hidden="1">Outbound_Monitor!$A$2:$W$3</definedName>
    <definedName name="Z_2EB6C348_1A6D_43C6_869D_B270C9CFECE7_.wvu.FilterData" localSheetId="0" hidden="1">Outbound_Monitor!$A$2:$W$3</definedName>
    <definedName name="Z_2EC374DF_EC7D_45D4_922B_9A8B6840417A_.wvu.FilterData" localSheetId="0" hidden="1">Outbound_Monitor!$A$2:$W$3</definedName>
    <definedName name="Z_2EC61E97_B539_4EF4_9790_798031CED10D_.wvu.FilterData" localSheetId="1" hidden="1">Inbound_Monitor!$A$2:$Q$13</definedName>
    <definedName name="Z_2EE0FB74_5998_4569_AEAB_E93D98CABB91_.wvu.FilterData" localSheetId="1" hidden="1">Inbound_Monitor!$A$2:$Q$13</definedName>
    <definedName name="Z_2EE0FB74_5998_4569_AEAB_E93D98CABB91_.wvu.FilterData" localSheetId="0" hidden="1">Outbound_Monitor!$A$2:$W$3</definedName>
    <definedName name="Z_2EE170E2_130F_4E9F_A788_3DB034E1FCE8_.wvu.FilterData" localSheetId="0" hidden="1">Outbound_Monitor!$A$2:$W$3</definedName>
    <definedName name="Z_2EF092E5_C421_4D94_8515_DA16A2BB0518_.wvu.FilterData" localSheetId="1" hidden="1">Inbound_Monitor!$A$2:$Q$13</definedName>
    <definedName name="Z_2F031F24_E1FD_43EB_9944_A8E7137BF530_.wvu.FilterData" localSheetId="0" hidden="1">Outbound_Monitor!$A$2:$W$3</definedName>
    <definedName name="Z_2F197878_F624_4B0A_892D_ED0655A5E733_.wvu.FilterData" localSheetId="0" hidden="1">Outbound_Monitor!$A$2:$W$3</definedName>
    <definedName name="Z_2F1A326F_DFE9_4D3E_B6A1_F66FDA64AB3C_.wvu.FilterData" localSheetId="1" hidden="1">Inbound_Monitor!$A$2:$Q$13</definedName>
    <definedName name="Z_2F1A326F_DFE9_4D3E_B6A1_F66FDA64AB3C_.wvu.FilterData" localSheetId="0" hidden="1">Outbound_Monitor!$A$2:$W$3</definedName>
    <definedName name="Z_2F26E79E_1D40_41D6_B753_1FA8A533BF55_.wvu.FilterData" localSheetId="1" hidden="1">Inbound_Monitor!$A$2:$Q$13</definedName>
    <definedName name="Z_2F2AC51C_CB60_4D90_A641_3A90B1741448_.wvu.FilterData" localSheetId="4" hidden="1">Schichtübergabe_Protokoll!$B$3:$N$3</definedName>
    <definedName name="Z_2F2AED28_13E6_4D99_AAB4_4590E1B270CC_.wvu.FilterData" localSheetId="0" hidden="1">Outbound_Monitor!$A$2:$X$16</definedName>
    <definedName name="Z_2F3092D5_6EF2_4B67_8FF4_2792F4F07145_.wvu.FilterData" localSheetId="0" hidden="1">Outbound_Monitor!$A$2:$W$3</definedName>
    <definedName name="Z_2F332EFF_B0F8_4399_8E5D_7AB278122853_.wvu.FilterData" localSheetId="0" hidden="1">Outbound_Monitor!$A$2:$W$3</definedName>
    <definedName name="Z_2F332EFF_B0F8_4399_8E5D_7AB278122853_.wvu.FilterData" localSheetId="4" hidden="1">Schichtübergabe_Protokoll!$B$3:$N$3</definedName>
    <definedName name="Z_2F3C5972_D9D7_4CBD_987C_A1367B4547E3_.wvu.FilterData" localSheetId="0" hidden="1">Outbound_Monitor!$A$2:$W$3</definedName>
    <definedName name="Z_2F495D88_8409_40EC_97EC_56E8EBECC9D9_.wvu.FilterData" localSheetId="0" hidden="1">Outbound_Monitor!$A$2:$W$3</definedName>
    <definedName name="Z_2F5104F7_E1DA_49A5_91F5_945157F82D18_.wvu.FilterData" localSheetId="0" hidden="1">Outbound_Monitor!$A$2:$W$3</definedName>
    <definedName name="Z_2F71FAE2_57E6_43B4_852B_4BE81916DF12_.wvu.FilterData" localSheetId="1" hidden="1">Inbound_Monitor!$A$2:$Q$2</definedName>
    <definedName name="Z_2F71FAE2_57E6_43B4_852B_4BE81916DF12_.wvu.FilterData" localSheetId="0" hidden="1">Outbound_Monitor!$A$2:$W$2</definedName>
    <definedName name="Z_2F7E27C4_54AF_4E64_8460_16A5349F1B09_.wvu.FilterData" localSheetId="1" hidden="1">Inbound_Monitor!$A$2:$Q$3</definedName>
    <definedName name="Z_2F7E27C4_54AF_4E64_8460_16A5349F1B09_.wvu.FilterData" localSheetId="0" hidden="1">Outbound_Monitor!$A$2:$X$3</definedName>
    <definedName name="Z_2F7E27C4_54AF_4E64_8460_16A5349F1B09_.wvu.FilterData" localSheetId="4" hidden="1">Schichtübergabe_Protokoll!$B$3:$N$3</definedName>
    <definedName name="Z_2F839036_7FAA_46C9_A759_29107D0EF7FD_.wvu.FilterData" localSheetId="0" hidden="1">Outbound_Monitor!$A$2:$W$3</definedName>
    <definedName name="Z_2F8E6889_ADC4_4455_B929_E704407C469F_.wvu.FilterData" localSheetId="0" hidden="1">Outbound_Monitor!$A$2:$W$3</definedName>
    <definedName name="Z_2F90CDE7_E6D9_43DE_8BF5_4F8A281FE2CC_.wvu.FilterData" localSheetId="1" hidden="1">Inbound_Monitor!$A$2:$Q$3</definedName>
    <definedName name="Z_2F9B1B87_DEC5_47A7_84E3_4AE9102385F8_.wvu.FilterData" localSheetId="1" hidden="1">Inbound_Monitor!$A$2:$Q$3</definedName>
    <definedName name="Z_2F9B1B87_DEC5_47A7_84E3_4AE9102385F8_.wvu.FilterData" localSheetId="0" hidden="1">Outbound_Monitor!$A$2:$W$3</definedName>
    <definedName name="Z_2F9B28F5_C091_4185_A39D_DBAB7B96768D_.wvu.FilterData" localSheetId="1" hidden="1">Inbound_Monitor!$A$2:$Q$3</definedName>
    <definedName name="Z_2F9E7DCA_E2D0_4B35_BC98_FFD3A379A1EE_.wvu.FilterData" localSheetId="0" hidden="1">Outbound_Monitor!$A$2:$W$3</definedName>
    <definedName name="Z_2FB14777_842E_4BAB_AC9D_438CA4DED409_.wvu.FilterData" localSheetId="1" hidden="1">Inbound_Monitor!$A$2:$Q$3</definedName>
    <definedName name="Z_2FC63F51_3960_43C5_AD01_C0B44253C1D1_.wvu.FilterData" localSheetId="1" hidden="1">Inbound_Monitor!$A$2:$Q$2</definedName>
    <definedName name="Z_2FC63F51_3960_43C5_AD01_C0B44253C1D1_.wvu.FilterData" localSheetId="0" hidden="1">Outbound_Monitor!$A$2:$W$2</definedName>
    <definedName name="Z_2FD855A9_07D6_421F_820E_5C9D8C417B66_.wvu.FilterData" localSheetId="0" hidden="1">Outbound_Monitor!$A$2:$W$3</definedName>
    <definedName name="Z_2FDB5A0B_0D8A_4AA3_A507_696CA05E70EF_.wvu.FilterData" localSheetId="1" hidden="1">Inbound_Monitor!$A$2:$Q$2</definedName>
    <definedName name="Z_2FDB5A0B_0D8A_4AA3_A507_696CA05E70EF_.wvu.FilterData" localSheetId="0" hidden="1">Outbound_Monitor!$A$2:$W$2</definedName>
    <definedName name="Z_2FDCB4BD_75C1_4D8E_9E64_61B41F124FFC_.wvu.FilterData" localSheetId="0" hidden="1">Outbound_Monitor!$A$2:$W$3</definedName>
    <definedName name="Z_2FE056C9_50E7_41AD_A99B_4DD605E373DF_.wvu.FilterData" localSheetId="0" hidden="1">Outbound_Monitor!$A$2:$W$3</definedName>
    <definedName name="Z_2FF20851_C84C_489F_A995_FD4D0A331E47_.wvu.FilterData" localSheetId="0" hidden="1">Outbound_Monitor!$A$2:$X$16</definedName>
    <definedName name="Z_2FF8DD1E_F309_4A2A_8C87_2E7A34B18F69_.wvu.FilterData" localSheetId="0" hidden="1">Outbound_Monitor!$A$2:$W$3</definedName>
    <definedName name="Z_2FFFFAE4_7701_40E8_AD97_103D9DA4EF6C_.wvu.FilterData" localSheetId="0" hidden="1">Outbound_Monitor!$A$2:$W$3</definedName>
    <definedName name="Z_30016BBA_6FB7_48F9_BECC_2BD587620EBD_.wvu.FilterData" localSheetId="0" hidden="1">Outbound_Monitor!$A$2:$W$3</definedName>
    <definedName name="Z_3002EE2B_2424_47A1_B64E_04BCD04A6AC6_.wvu.FilterData" localSheetId="0" hidden="1">Outbound_Monitor!$A$2:$X$16</definedName>
    <definedName name="Z_3005639A_F44A_41E3_B957_B1A2B895DA32_.wvu.FilterData" localSheetId="1" hidden="1">Inbound_Monitor!$A$2:$Q$3</definedName>
    <definedName name="Z_3005639A_F44A_41E3_B957_B1A2B895DA32_.wvu.FilterData" localSheetId="0" hidden="1">Outbound_Monitor!$A$2:$W$3</definedName>
    <definedName name="Z_300AAEB3_C202_4EAB_A075_B7AFF50D6B05_.wvu.FilterData" localSheetId="0" hidden="1">Outbound_Monitor!$A$2:$W$3</definedName>
    <definedName name="Z_300F7BD6_9CB9_43B9_8BB0_42AF0DCAE335_.wvu.FilterData" localSheetId="0" hidden="1">Outbound_Monitor!$A$2:$W$3</definedName>
    <definedName name="Z_301E4181_1A2F_4610_ABD7_24019253FA6C_.wvu.FilterData" localSheetId="0" hidden="1">Outbound_Monitor!$A$2:$W$3</definedName>
    <definedName name="Z_3029160C_6CFF_4BE7_84F5_CC49E64A7546_.wvu.FilterData" localSheetId="1" hidden="1">Inbound_Monitor!$A$2:$Q$3</definedName>
    <definedName name="Z_3029160C_6CFF_4BE7_84F5_CC49E64A7546_.wvu.FilterData" localSheetId="0" hidden="1">Outbound_Monitor!$A$2:$W$3</definedName>
    <definedName name="Z_3034E578_ECEE_4CD8_A0B0_A1B780A0E511_.wvu.FilterData" localSheetId="1" hidden="1">Inbound_Monitor!$A$2:$Q$2</definedName>
    <definedName name="Z_3034E578_ECEE_4CD8_A0B0_A1B780A0E511_.wvu.FilterData" localSheetId="0" hidden="1">Outbound_Monitor!$A$2:$W$2</definedName>
    <definedName name="Z_30351380_F683_4B9E_9F9A_5368C2EC9F5C_.wvu.FilterData" localSheetId="1" hidden="1">Inbound_Monitor!$A$2:$Q$13</definedName>
    <definedName name="Z_30351380_F683_4B9E_9F9A_5368C2EC9F5C_.wvu.FilterData" localSheetId="0" hidden="1">Outbound_Monitor!$A$2:$W$3</definedName>
    <definedName name="Z_30465418_0722_43D0_8ADA_7CCF87B8E56C_.wvu.FilterData" localSheetId="1" hidden="1">Inbound_Monitor!$A$2:$Q$13</definedName>
    <definedName name="Z_30465418_0722_43D0_8ADA_7CCF87B8E56C_.wvu.FilterData" localSheetId="0" hidden="1">Outbound_Monitor!$A$2:$X$16</definedName>
    <definedName name="Z_304FE9E2_E863_46B5_8EA6_37233AC9AF0C_.wvu.FilterData" localSheetId="1" hidden="1">Inbound_Monitor!$A$2:$Q$2</definedName>
    <definedName name="Z_304FE9E2_E863_46B5_8EA6_37233AC9AF0C_.wvu.FilterData" localSheetId="0" hidden="1">Outbound_Monitor!$A$2:$W$2</definedName>
    <definedName name="Z_306EF506_5DE6_41C3_B048_BF47B4FF7BFE_.wvu.FilterData" localSheetId="1" hidden="1">Inbound_Monitor!$A$2:$Q$3</definedName>
    <definedName name="Z_30830681_28BA_45B5_986A_A7FDFF38AA78_.wvu.FilterData" localSheetId="0" hidden="1">Outbound_Monitor!$A$2:$W$3</definedName>
    <definedName name="Z_3089A64E_4067_4AE0_9B2C_CC69F82E9E19_.wvu.FilterData" localSheetId="1" hidden="1">Inbound_Monitor!$A$2:$Q$2</definedName>
    <definedName name="Z_3089A64E_4067_4AE0_9B2C_CC69F82E9E19_.wvu.FilterData" localSheetId="0" hidden="1">Outbound_Monitor!$A$2:$W$2</definedName>
    <definedName name="Z_308FC6B8_8288_4EDA_BB1B_0338399B929A_.wvu.FilterData" localSheetId="0" hidden="1">Outbound_Monitor!$A$2:$W$3</definedName>
    <definedName name="Z_309389C0_5929_446D_8195_3A38774CD86E_.wvu.FilterData" localSheetId="0" hidden="1">Outbound_Monitor!$A$2:$W$3</definedName>
    <definedName name="Z_30AE3C8F_0126_4D5C_86AB_48D1BB1450E7_.wvu.FilterData" localSheetId="1" hidden="1">Inbound_Monitor!$A$2:$Q$13</definedName>
    <definedName name="Z_30AE3C8F_0126_4D5C_86AB_48D1BB1450E7_.wvu.FilterData" localSheetId="0" hidden="1">Outbound_Monitor!$A$2:$X$16</definedName>
    <definedName name="Z_30C1198B_D607_4B0F_8774_8B004775A242_.wvu.FilterData" localSheetId="0" hidden="1">Outbound_Monitor!$A$2:$X$16</definedName>
    <definedName name="Z_30C1E8C2_58E5_44DE_AF45_499BBE8A96E9_.wvu.FilterData" localSheetId="0" hidden="1">Outbound_Monitor!$A$2:$X$16</definedName>
    <definedName name="Z_30D4CBD0_13D1_4BDC_9B7C_8696863E4EF1_.wvu.FilterData" localSheetId="1" hidden="1">Inbound_Monitor!$A$2:$Q$3</definedName>
    <definedName name="Z_30F9E6D9_F20A_4B7E_8BFB_C548CCF26C55_.wvu.FilterData" localSheetId="1" hidden="1">Inbound_Monitor!$A$2:$Q$3</definedName>
    <definedName name="Z_31067009_2142_401F_A6A2_1B141E790D1F_.wvu.FilterData" localSheetId="0" hidden="1">Outbound_Monitor!$A$2:$X$16</definedName>
    <definedName name="Z_3106A67B_33F9_4091_800D_6F389D41E763_.wvu.FilterData" localSheetId="1" hidden="1">Inbound_Monitor!$A$2:$Q$13</definedName>
    <definedName name="Z_3106A67B_33F9_4091_800D_6F389D41E763_.wvu.FilterData" localSheetId="0" hidden="1">Outbound_Monitor!$A$2:$W$3</definedName>
    <definedName name="Z_310E90FB_4518_431B_93AE_9CE4527E9DD1_.wvu.FilterData" localSheetId="1" hidden="1">Inbound_Monitor!$A$2:$Q$13</definedName>
    <definedName name="Z_3117843E_4833_4777_B7C9_9650C2E61F22_.wvu.FilterData" localSheetId="1" hidden="1">Inbound_Monitor!$A$2:$Q$13</definedName>
    <definedName name="Z_3117843E_4833_4777_B7C9_9650C2E61F22_.wvu.FilterData" localSheetId="0" hidden="1">Outbound_Monitor!$A$2:$X$16</definedName>
    <definedName name="Z_3117843E_4833_4777_B7C9_9650C2E61F22_.wvu.FilterData" localSheetId="4" hidden="1">Schichtübergabe_Protokoll!$B$3:$N$3</definedName>
    <definedName name="Z_31180E49_9946_4445_BC6F_B9F223D9D8CE_.wvu.FilterData" localSheetId="0" hidden="1">Outbound_Monitor!$A$2:$W$3</definedName>
    <definedName name="Z_31295CDE_09E6_4C80_9D14_35BDF16595BE_.wvu.FilterData" localSheetId="1" hidden="1">Inbound_Monitor!$A$2:$Q$3</definedName>
    <definedName name="Z_312B4925_EEB1_419E_988D_BEA8B864B780_.wvu.FilterData" localSheetId="1" hidden="1">Inbound_Monitor!$A$2:$Q$2</definedName>
    <definedName name="Z_312B4925_EEB1_419E_988D_BEA8B864B780_.wvu.FilterData" localSheetId="0" hidden="1">Outbound_Monitor!$A$2:$W$2</definedName>
    <definedName name="Z_312C41D9_D735_4139_9754_B7FB66FC148E_.wvu.FilterData" localSheetId="1" hidden="1">Inbound_Monitor!$A$2:$Q$3</definedName>
    <definedName name="Z_3130FC4E_38F0_4B25_8B21_30509C49222D_.wvu.FilterData" localSheetId="0" hidden="1">Outbound_Monitor!$A$2:$W$3</definedName>
    <definedName name="Z_3139D3E9_7AA8_4C38_AA63_18364D10B58E_.wvu.FilterData" localSheetId="0" hidden="1">Outbound_Monitor!$A$2:$W$3</definedName>
    <definedName name="Z_314BBC68_E969_4488_B1A0_0AC76AA5975C_.wvu.FilterData" localSheetId="0" hidden="1">Outbound_Monitor!$A$2:$W$3</definedName>
    <definedName name="Z_315F183A_B7E4_468D_B75E_B168C66A4587_.wvu.FilterData" localSheetId="1" hidden="1">Inbound_Monitor!$A$2:$Q$3</definedName>
    <definedName name="Z_3165B70E_6414_4978_B65B_2E2FFF193DD1_.wvu.FilterData" localSheetId="1" hidden="1">Inbound_Monitor!$A$2:$Q$3</definedName>
    <definedName name="Z_316F34A3_7B6B_41CB_9FDE_5D0CF0368218_.wvu.FilterData" localSheetId="1" hidden="1">Inbound_Monitor!$A$2:$Q$13</definedName>
    <definedName name="Z_3174DB8F_8304_43C0_A806_6EE0D45FE4A8_.wvu.FilterData" localSheetId="1" hidden="1">Inbound_Monitor!$A$2:$Q$3</definedName>
    <definedName name="Z_3182851C_D9AE_4EC3_8A1D_FC19BC96DEBC_.wvu.FilterData" localSheetId="1" hidden="1">Inbound_Monitor!$A$2:$Q$2</definedName>
    <definedName name="Z_3182851C_D9AE_4EC3_8A1D_FC19BC96DEBC_.wvu.FilterData" localSheetId="0" hidden="1">Outbound_Monitor!$A$2:$W$2</definedName>
    <definedName name="Z_3183525C_0DA0_46ED_BA5D_73BA3B80B64D_.wvu.FilterData" localSheetId="0" hidden="1">Outbound_Monitor!$A$2:$W$3</definedName>
    <definedName name="Z_31850BA0_7052_4902_AB74_2D3B0E488D2A_.wvu.FilterData" localSheetId="0" hidden="1">Outbound_Monitor!$A$2:$W$3</definedName>
    <definedName name="Z_318FD5C2_971D_416C_9F29_54C3F69CAE74_.wvu.FilterData" localSheetId="0" hidden="1">Outbound_Monitor!$A$2:$X$16</definedName>
    <definedName name="Z_3192742D_25FB_4571_9E07_09E40203C6D1_.wvu.FilterData" localSheetId="0" hidden="1">Outbound_Monitor!$A$2:$W$3</definedName>
    <definedName name="Z_319717AC_7F5B_4224_AA60_27319B820959_.wvu.FilterData" localSheetId="1" hidden="1">Inbound_Monitor!$A$2:$Q$3</definedName>
    <definedName name="Z_319717AC_7F5B_4224_AA60_27319B820959_.wvu.FilterData" localSheetId="0" hidden="1">Outbound_Monitor!$A$2:$W$3</definedName>
    <definedName name="Z_319B0B9F_896D_4A44_9D2A_8C29556BBC2D_.wvu.FilterData" localSheetId="1" hidden="1">Inbound_Monitor!$A$2:$Q$3</definedName>
    <definedName name="Z_319B0B9F_896D_4A44_9D2A_8C29556BBC2D_.wvu.FilterData" localSheetId="0" hidden="1">Outbound_Monitor!$A$2:$W$3</definedName>
    <definedName name="Z_319B0B9F_896D_4A44_9D2A_8C29556BBC2D_.wvu.FilterData" localSheetId="4" hidden="1">Schichtübergabe_Protokoll!$B$3:$N$3</definedName>
    <definedName name="Z_31A24974_91F9_4EC7_8156_BE760B04C812_.wvu.FilterData" localSheetId="0" hidden="1">Outbound_Monitor!$A$2:$W$3</definedName>
    <definedName name="Z_31A5F2BD_6492_44FD_8BCC_1AD44733CBB4_.wvu.FilterData" localSheetId="1" hidden="1">Inbound_Monitor!$A$2:$Q$3</definedName>
    <definedName name="Z_31AA59BF_6459_472C_8FD6_64F12ED6FD4C_.wvu.FilterData" localSheetId="0" hidden="1">Outbound_Monitor!$A$2:$W$3</definedName>
    <definedName name="Z_31C2CFD6_9583_45EE_BE61_0B0FB351C190_.wvu.FilterData" localSheetId="0" hidden="1">Outbound_Monitor!$A$2:$W$3</definedName>
    <definedName name="Z_31C80CF9_CBE6_426C_9807_A8F8EEAF581F_.wvu.FilterData" localSheetId="1" hidden="1">Inbound_Monitor!$A$2:$Q$2</definedName>
    <definedName name="Z_31C80CF9_CBE6_426C_9807_A8F8EEAF581F_.wvu.FilterData" localSheetId="0" hidden="1">Outbound_Monitor!$A$2:$W$2</definedName>
    <definedName name="Z_31DD9A97_29AD_4C4C_AC00_F3D0E1FD1A55_.wvu.FilterData" localSheetId="0" hidden="1">Outbound_Monitor!$A$2:$W$3</definedName>
    <definedName name="Z_31EF8701_C420_4F6C_9BEF_B66EF31ED6BA_.wvu.FilterData" localSheetId="1" hidden="1">Inbound_Monitor!$A$2:$Q$3</definedName>
    <definedName name="Z_31F2F75E_D060_49D0_80F8_411B5CAD4C77_.wvu.FilterData" localSheetId="1" hidden="1">Inbound_Monitor!$A$2:$Q$13</definedName>
    <definedName name="Z_31F52F4E_73B2_4240_8013_C49ACAC6B75E_.wvu.FilterData" localSheetId="1" hidden="1">Inbound_Monitor!$A$2:$Q$3</definedName>
    <definedName name="Z_31F52F4E_73B2_4240_8013_C49ACAC6B75E_.wvu.FilterData" localSheetId="0" hidden="1">Outbound_Monitor!$A$2:$W$3</definedName>
    <definedName name="Z_31FB1543_FCE3_4F32_823F_D17B56E93ACB_.wvu.FilterData" localSheetId="1" hidden="1">Inbound_Monitor!$A$2:$Q$2</definedName>
    <definedName name="Z_31FB1543_FCE3_4F32_823F_D17B56E93ACB_.wvu.FilterData" localSheetId="0" hidden="1">Outbound_Monitor!$A$2:$W$2</definedName>
    <definedName name="Z_32001C29_93D1_4ADF_933D_63409EBFCDCE_.wvu.FilterData" localSheetId="1" hidden="1">Inbound_Monitor!$A$2:$Q$13</definedName>
    <definedName name="Z_3220C22B_2AD2_468D_8253_A2261E8EC1E7_.wvu.FilterData" localSheetId="0" hidden="1">Outbound_Monitor!$A$2:$W$3</definedName>
    <definedName name="Z_322DFD53_2C81_42A9_A26B_801468BFF866_.wvu.FilterData" localSheetId="1" hidden="1">Inbound_Monitor!$A$2:$Q$13</definedName>
    <definedName name="Z_322DFD53_2C81_42A9_A26B_801468BFF866_.wvu.FilterData" localSheetId="0" hidden="1">Outbound_Monitor!$A$2:$W$3</definedName>
    <definedName name="Z_322E36EA_EE5D_4200_8BCE_0523AB363CB3_.wvu.FilterData" localSheetId="1" hidden="1">Inbound_Monitor!$A$2:$Q$3</definedName>
    <definedName name="Z_322E36EA_EE5D_4200_8BCE_0523AB363CB3_.wvu.FilterData" localSheetId="0" hidden="1">Outbound_Monitor!$A$2:$W$3</definedName>
    <definedName name="Z_3237B429_3915_462D_B191_FCB5D5866435_.wvu.FilterData" localSheetId="1" hidden="1">Inbound_Monitor!$A$2:$Q$3</definedName>
    <definedName name="Z_3237B429_3915_462D_B191_FCB5D5866435_.wvu.FilterData" localSheetId="4" hidden="1">Schichtübergabe_Protokoll!$B$3:$N$3</definedName>
    <definedName name="Z_324836D7_366B_4D8E_822D_D45ED803E688_.wvu.FilterData" localSheetId="0" hidden="1">Outbound_Monitor!$A$2:$W$3</definedName>
    <definedName name="Z_32494A28_683A_468F_B8DF_5902808163D5_.wvu.FilterData" localSheetId="0" hidden="1">Outbound_Monitor!$A$2:$W$3</definedName>
    <definedName name="Z_325E2184_3E89_4EA1_8DFA_70F7FE3947D4_.wvu.FilterData" localSheetId="0" hidden="1">Outbound_Monitor!$A$2:$W$3</definedName>
    <definedName name="Z_3275DA55_922B_4D14_A7BC_C1B542A326E3_.wvu.FilterData" localSheetId="0" hidden="1">Outbound_Monitor!$A$2:$W$3</definedName>
    <definedName name="Z_3283F40C_F6D9_4166_A0F9_A0C0F6FDDEBB_.wvu.FilterData" localSheetId="0" hidden="1">Outbound_Monitor!$A$2:$W$3</definedName>
    <definedName name="Z_3289D718_CBC9_473C_8C31_A9F5DF967690_.wvu.FilterData" localSheetId="0" hidden="1">Outbound_Monitor!$A$2:$W$3</definedName>
    <definedName name="Z_3296E4A5_7A80_482A_9AA7_979C1ABAB4A0_.wvu.FilterData" localSheetId="0" hidden="1">Outbound_Monitor!$A$2:$W$3</definedName>
    <definedName name="Z_32A76380_4DE4_4B5E_A21F_ED7713F5B2A6_.wvu.FilterData" localSheetId="0" hidden="1">Outbound_Monitor!$A$2:$W$3</definedName>
    <definedName name="Z_32B6F7D9_FC9B_4D65_B137_A13ABAC08F2B_.wvu.FilterData" localSheetId="1" hidden="1">Inbound_Monitor!$A$2:$Q$3</definedName>
    <definedName name="Z_32B6F7D9_FC9B_4D65_B137_A13ABAC08F2B_.wvu.FilterData" localSheetId="0" hidden="1">Outbound_Monitor!$A$2:$W$3</definedName>
    <definedName name="Z_32B75EBC_946D_4856_9BE4_808882D14F47_.wvu.FilterData" localSheetId="0" hidden="1">Outbound_Monitor!$A$2:$W$3</definedName>
    <definedName name="Z_32BA3988_F2CD_4DBD_A836_E8347C1644CE_.wvu.FilterData" localSheetId="1" hidden="1">Inbound_Monitor!$A$2:$Q$2</definedName>
    <definedName name="Z_32BA3988_F2CD_4DBD_A836_E8347C1644CE_.wvu.FilterData" localSheetId="0" hidden="1">Outbound_Monitor!$A$2:$W$2</definedName>
    <definedName name="Z_32CB70B5_D7C9_4621_979A_AAA7149E0B97_.wvu.FilterData" localSheetId="0" hidden="1">Outbound_Monitor!$A$2:$X$16</definedName>
    <definedName name="Z_32D99B01_6BD6_4E1D_A35B_14653E0BDBA4_.wvu.FilterData" localSheetId="1" hidden="1">Inbound_Monitor!$A$2:$Q$3</definedName>
    <definedName name="Z_32E43BEC_0588_450C_895B_E1A045E67608_.wvu.FilterData" localSheetId="1" hidden="1">Inbound_Monitor!$A$2:$Q$3</definedName>
    <definedName name="Z_32E43BEC_0588_450C_895B_E1A045E67608_.wvu.FilterData" localSheetId="0" hidden="1">Outbound_Monitor!$A$2:$W$3</definedName>
    <definedName name="Z_32EC5731_CB38_4BDF_A092_09E1EB9464FC_.wvu.FilterData" localSheetId="1" hidden="1">Inbound_Monitor!$A$2:$Q$3</definedName>
    <definedName name="Z_32F2BD02_B971_4385_8C01_75E7940CBE4E_.wvu.FilterData" localSheetId="0" hidden="1">Outbound_Monitor!$A$2:$W$3</definedName>
    <definedName name="Z_32FF00C0_81E4_4709_B156_12D8C67803BB_.wvu.FilterData" localSheetId="0" hidden="1">Outbound_Monitor!$A$2:$W$3</definedName>
    <definedName name="Z_33008592_EAED_4844_B519_27BB7D614E19_.wvu.FilterData" localSheetId="1" hidden="1">Inbound_Monitor!$A$2:$Q$3</definedName>
    <definedName name="Z_3305A4BD_D791_46C2_873B_DA95F85F5F03_.wvu.FilterData" localSheetId="1" hidden="1">Inbound_Monitor!$A$2:$Q$13</definedName>
    <definedName name="Z_3305A4BD_D791_46C2_873B_DA95F85F5F03_.wvu.FilterData" localSheetId="0" hidden="1">Outbound_Monitor!$A$2:$W$3</definedName>
    <definedName name="Z_332006FB_8BC5_43C0_9A9B_8A910712AFAD_.wvu.FilterData" localSheetId="1" hidden="1">Inbound_Monitor!$A$2:$Q$3</definedName>
    <definedName name="Z_3322B4BE_76B7_4271_AAF0_36379F24AD9E_.wvu.FilterData" localSheetId="0" hidden="1">Outbound_Monitor!$A$2:$W$3</definedName>
    <definedName name="Z_3323AF2C_5301_4AA1_B8F8_4F82DE7355D3_.wvu.FilterData" localSheetId="1" hidden="1">Inbound_Monitor!$A$2:$Q$3</definedName>
    <definedName name="Z_3323AF2C_5301_4AA1_B8F8_4F82DE7355D3_.wvu.FilterData" localSheetId="0" hidden="1">Outbound_Monitor!$A$2:$W$3</definedName>
    <definedName name="Z_33328766_569C_4309_9DE3_4A25042FEE8F_.wvu.FilterData" localSheetId="1" hidden="1">Inbound_Monitor!$A$2:$Q$3</definedName>
    <definedName name="Z_334800F7_5593_4223_8C35_F537FCD45EA8_.wvu.FilterData" localSheetId="1" hidden="1">Inbound_Monitor!$A$2:$Q$3</definedName>
    <definedName name="Z_334AD93B_B495_40F7_B228_9CC134AF8948_.wvu.FilterData" localSheetId="0" hidden="1">Outbound_Monitor!$A$2:$W$3</definedName>
    <definedName name="Z_3360F65D_7D6F_425F_89E0_10D47A557B1F_.wvu.FilterData" localSheetId="0" hidden="1">Outbound_Monitor!$A$2:$W$3</definedName>
    <definedName name="Z_33721331_0BE9_4420_85CE_ECF064ADA205_.wvu.FilterData" localSheetId="0" hidden="1">Outbound_Monitor!$A$2:$W$3</definedName>
    <definedName name="Z_337E8869_8DF6_4EA5_A416_CA077E580921_.wvu.FilterData" localSheetId="0" hidden="1">Outbound_Monitor!$A$2:$W$3</definedName>
    <definedName name="Z_3387FD6C_652A_48B0_B5FC_365CFA4B5C6A_.wvu.FilterData" localSheetId="0" hidden="1">Outbound_Monitor!$A$2:$X$16</definedName>
    <definedName name="Z_338F0547_8B4D_4719_AA36_E87882E5858D_.wvu.FilterData" localSheetId="1" hidden="1">Inbound_Monitor!$A$2:$Q$13</definedName>
    <definedName name="Z_3395F932_A5D6_4F1C_819A_C4962A95A641_.wvu.FilterData" localSheetId="1" hidden="1">Inbound_Monitor!$A$2:$Q$3</definedName>
    <definedName name="Z_3395F932_A5D6_4F1C_819A_C4962A95A641_.wvu.FilterData" localSheetId="0" hidden="1">Outbound_Monitor!$A$2:$W$3</definedName>
    <definedName name="Z_339B7256_91AC_4B40_91F8_C7EBC80DDB67_.wvu.FilterData" localSheetId="4" hidden="1">Schichtübergabe_Protokoll!$B$3:$N$3</definedName>
    <definedName name="Z_33A14828_766E_4B8F_B2DF_F107AF69BB78_.wvu.FilterData" localSheetId="1" hidden="1">Inbound_Monitor!$A$2:$Q$13</definedName>
    <definedName name="Z_33A14828_766E_4B8F_B2DF_F107AF69BB78_.wvu.FilterData" localSheetId="0" hidden="1">Outbound_Monitor!$A$2:$W$3</definedName>
    <definedName name="Z_33A395B3_F2E8_406B_A6FB_874349582252_.wvu.FilterData" localSheetId="1" hidden="1">Inbound_Monitor!$A$2:$Q$3</definedName>
    <definedName name="Z_33A395B3_F2E8_406B_A6FB_874349582252_.wvu.FilterData" localSheetId="0" hidden="1">Outbound_Monitor!$A$2:$W$3</definedName>
    <definedName name="Z_33A726D0_6CD5_43D8_B67F_CC44EFE1D84E_.wvu.FilterData" localSheetId="0" hidden="1">Outbound_Monitor!$A$2:$W$3</definedName>
    <definedName name="Z_33C272D2_6993_4187_BCBF_55B44BB4BC13_.wvu.FilterData" localSheetId="0" hidden="1">Outbound_Monitor!$A$2:$W$3</definedName>
    <definedName name="Z_33CB6577_AEA2_459B_868E_C2EC26C176D1_.wvu.FilterData" localSheetId="0" hidden="1">Outbound_Monitor!$A$2:$W$3</definedName>
    <definedName name="Z_33E7527A_6B96_411C_9E17_A5E57DCF1DAC_.wvu.FilterData" localSheetId="0" hidden="1">Outbound_Monitor!$A$2:$W$3</definedName>
    <definedName name="Z_33E88D6E_B5C0_42CB_86AE_B68BF48428C8_.wvu.FilterData" localSheetId="0" hidden="1">Outbound_Monitor!$A$2:$W$3</definedName>
    <definedName name="Z_33F0FCAA_061F_4236_8F5C_CBA6F1D01F23_.wvu.FilterData" localSheetId="1" hidden="1">Inbound_Monitor!$A$2:$Q$3</definedName>
    <definedName name="Z_33FEA0BB_93EF_45D2_A1F7_91C30725DFEF_.wvu.FilterData" localSheetId="1" hidden="1">Inbound_Monitor!$A$2:$Q$3</definedName>
    <definedName name="Z_33FEA0BB_93EF_45D2_A1F7_91C30725DFEF_.wvu.FilterData" localSheetId="0" hidden="1">Outbound_Monitor!$A$2:$W$3</definedName>
    <definedName name="Z_3405F33F_65AD_46F3_9EBB_3235324316AC_.wvu.FilterData" localSheetId="0" hidden="1">Outbound_Monitor!$A$2:$W$3</definedName>
    <definedName name="Z_340AE4EC_384C_402D_9937_1221C7CB2B72_.wvu.FilterData" localSheetId="1" hidden="1">Inbound_Monitor!$A$2:$Q$13</definedName>
    <definedName name="Z_340AE4EC_384C_402D_9937_1221C7CB2B72_.wvu.FilterData" localSheetId="4" hidden="1">Schichtübergabe_Protokoll!$B$3:$N$3</definedName>
    <definedName name="Z_340F303B_BC37_4B94_98E9_E7C179B0C29E_.wvu.FilterData" localSheetId="1" hidden="1">Inbound_Monitor!$A$2:$Q$3</definedName>
    <definedName name="Z_341A84E8_EF41_4CEB_9516_94B632730072_.wvu.FilterData" localSheetId="0" hidden="1">Outbound_Monitor!#REF!</definedName>
    <definedName name="Z_341FE7A9_1B58_4F80_B132_80EF278A6811_.wvu.FilterData" localSheetId="0" hidden="1">Outbound_Monitor!$A$2:$W$3</definedName>
    <definedName name="Z_3420572E_7842_4234_B92B_48C713B52107_.wvu.FilterData" localSheetId="1" hidden="1">Inbound_Monitor!$A$2:$Q$3</definedName>
    <definedName name="Z_342E69CA_14D4_47BD_906D_9B510835A7BB_.wvu.FilterData" localSheetId="1" hidden="1">Inbound_Monitor!$A$2:$Q$3</definedName>
    <definedName name="Z_342E69CA_14D4_47BD_906D_9B510835A7BB_.wvu.FilterData" localSheetId="4" hidden="1">Schichtübergabe_Protokoll!$B$3:$N$3</definedName>
    <definedName name="Z_342FB747_BEEB_440E_BC6E_B54CBD2F5B9A_.wvu.FilterData" localSheetId="0" hidden="1">Outbound_Monitor!$A$2:$W$3</definedName>
    <definedName name="Z_34365F14_9084_4793_9676_A08C8E85E2BF_.wvu.FilterData" localSheetId="1" hidden="1">Inbound_Monitor!$A$2:$Q$3</definedName>
    <definedName name="Z_34365F14_9084_4793_9676_A08C8E85E2BF_.wvu.FilterData" localSheetId="0" hidden="1">Outbound_Monitor!$A$2:$W$3</definedName>
    <definedName name="Z_3443DE3E_42B4_401D_BF15_7961E822E501_.wvu.FilterData" localSheetId="1" hidden="1">Inbound_Monitor!$A$2:$Q$13</definedName>
    <definedName name="Z_3443DE3E_42B4_401D_BF15_7961E822E501_.wvu.FilterData" localSheetId="0" hidden="1">Outbound_Monitor!$A$2:$W$3</definedName>
    <definedName name="Z_3464F779_AB84_4AA9_942B_31E8DD531DCB_.wvu.FilterData" localSheetId="1" hidden="1">Inbound_Monitor!$A$2:$Q$2</definedName>
    <definedName name="Z_3464F779_AB84_4AA9_942B_31E8DD531DCB_.wvu.FilterData" localSheetId="0" hidden="1">Outbound_Monitor!$A$2:$W$2</definedName>
    <definedName name="Z_346B47B1_37E3_4736_84FB_86084DD30793_.wvu.FilterData" localSheetId="1" hidden="1">Inbound_Monitor!$A$2:$Q$3</definedName>
    <definedName name="Z_346B47B1_37E3_4736_84FB_86084DD30793_.wvu.FilterData" localSheetId="0" hidden="1">Outbound_Monitor!$A$2:$W$3</definedName>
    <definedName name="Z_346DE647_0CA1_4874_89D2_4FB5595AE95D_.wvu.FilterData" localSheetId="0" hidden="1">Outbound_Monitor!$A$2:$W$3</definedName>
    <definedName name="Z_346F622E_0F26_47AE_A170_FD1FCC6127B1_.wvu.FilterData" localSheetId="0" hidden="1">Outbound_Monitor!$A$2:$W$3</definedName>
    <definedName name="Z_34746A80_1263_4127_9EB2_F0D0CC1452BA_.wvu.FilterData" localSheetId="1" hidden="1">Inbound_Monitor!$A$2:$Q$3</definedName>
    <definedName name="Z_34746A80_1263_4127_9EB2_F0D0CC1452BA_.wvu.FilterData" localSheetId="0" hidden="1">Outbound_Monitor!$A$2:$W$3</definedName>
    <definedName name="Z_3482BE76_FFCE_46AF_82E0_43C5586BF070_.wvu.FilterData" localSheetId="0" hidden="1">Outbound_Monitor!$A$2:$W$3</definedName>
    <definedName name="Z_3499552A_7A6B_4704_9A03_8BFAE073DE4C_.wvu.FilterData" localSheetId="0" hidden="1">Outbound_Monitor!$A$2:$W$3</definedName>
    <definedName name="Z_349BA364_BA12_4BAF_98FE_5A22B4D4F03B_.wvu.FilterData" localSheetId="1" hidden="1">Inbound_Monitor!$A$2:$Q$13</definedName>
    <definedName name="Z_349BA364_BA12_4BAF_98FE_5A22B4D4F03B_.wvu.FilterData" localSheetId="0" hidden="1">Outbound_Monitor!$A$2:$X$16</definedName>
    <definedName name="Z_34A1CC04_FC71_4634_BF08_D6F31536DDF2_.wvu.FilterData" localSheetId="0" hidden="1">Outbound_Monitor!$A$2:$W$3</definedName>
    <definedName name="Z_34CC0531_C6D9_4977_AC2A_4D616CF40A51_.wvu.FilterData" localSheetId="1" hidden="1">Inbound_Monitor!$A$2:$Q$3</definedName>
    <definedName name="Z_34ED18B4_C58C_472A_89FA_21EBC7078311_.wvu.FilterData" localSheetId="1" hidden="1">Inbound_Monitor!$A$2:$Q$3</definedName>
    <definedName name="Z_34F3AB48_FE42_4F74_8B96_231AB971B3D1_.wvu.FilterData" localSheetId="0" hidden="1">Outbound_Monitor!$A$2:$X$16</definedName>
    <definedName name="Z_34F480B4_38AB_4E08_BD22_5628E099220C_.wvu.FilterData" localSheetId="0" hidden="1">Outbound_Monitor!$A$2:$W$3</definedName>
    <definedName name="Z_34FC0E03_0598_458C_9A94_F80322E5C8EF_.wvu.FilterData" localSheetId="0" hidden="1">Outbound_Monitor!$A$2:$W$3</definedName>
    <definedName name="Z_34FE7A14_47CF_4D22_843F_CD783A4CBABC_.wvu.FilterData" localSheetId="0" hidden="1">Outbound_Monitor!$A$2:$W$3</definedName>
    <definedName name="Z_35072AD2_B297_4207_9D9E_981B51F34989_.wvu.FilterData" localSheetId="0" hidden="1">Outbound_Monitor!$A$2:$W$3</definedName>
    <definedName name="Z_350C9833_4A03_4E1D_A9E2_F742B8B4F208_.wvu.FilterData" localSheetId="1" hidden="1">Inbound_Monitor!$A$2:$Q$2</definedName>
    <definedName name="Z_350C9833_4A03_4E1D_A9E2_F742B8B4F208_.wvu.FilterData" localSheetId="0" hidden="1">Outbound_Monitor!$A$2:$W$2</definedName>
    <definedName name="Z_350E4E4D_CC66_429B_B17E_FAAC123E491F_.wvu.FilterData" localSheetId="0" hidden="1">Outbound_Monitor!$A$2:$W$3</definedName>
    <definedName name="Z_35191933_8C96_422C_944E_3C43F9889567_.wvu.FilterData" localSheetId="1" hidden="1">Inbound_Monitor!$A$2:$Q$3</definedName>
    <definedName name="Z_35276A13_791D_4FC9_A155_9C650D42A1F0_.wvu.FilterData" localSheetId="1" hidden="1">Inbound_Monitor!$A$2:$Q$3</definedName>
    <definedName name="Z_35276A13_791D_4FC9_A155_9C650D42A1F0_.wvu.FilterData" localSheetId="0" hidden="1">Outbound_Monitor!$A$2:$W$3</definedName>
    <definedName name="Z_352BC41C_F942_4807_9965_CF955617D3A3_.wvu.FilterData" localSheetId="0" hidden="1">Outbound_Monitor!$A$2:$W$3</definedName>
    <definedName name="Z_352DFFB6_94F2_4982_8FD3_5234FE750AE4_.wvu.FilterData" localSheetId="1" hidden="1">Inbound_Monitor!$A$2:$Q$3</definedName>
    <definedName name="Z_35301079_96CA_4038_A3D1_562B1157658C_.wvu.FilterData" localSheetId="1" hidden="1">Inbound_Monitor!$A$2:$Q$3</definedName>
    <definedName name="Z_35301079_96CA_4038_A3D1_562B1157658C_.wvu.FilterData" localSheetId="0" hidden="1">Outbound_Monitor!$A$2:$X$3</definedName>
    <definedName name="Z_353C8C5D_30CB_4AD6_B7CB_3B03C875C386_.wvu.FilterData" localSheetId="0" hidden="1">Outbound_Monitor!$A$2:$W$3</definedName>
    <definedName name="Z_354C06B9_F50C_471F_927F_B48619042D48_.wvu.FilterData" localSheetId="1" hidden="1">Inbound_Monitor!$A$2:$Q$3</definedName>
    <definedName name="Z_354C06B9_F50C_471F_927F_B48619042D48_.wvu.FilterData" localSheetId="0" hidden="1">Outbound_Monitor!$A$2:$W$3</definedName>
    <definedName name="Z_35516DD4_0EAF_44E9_BBD8_5ED44DAA935E_.wvu.FilterData" localSheetId="0" hidden="1">Outbound_Monitor!$A$2:$W$3</definedName>
    <definedName name="Z_35545AB1_E02D_41BE_820C_0D330379A326_.wvu.FilterData" localSheetId="0" hidden="1">Outbound_Monitor!$A$2:$W$3</definedName>
    <definedName name="Z_35597AC2_D424_4D85_86DB_4DC6ABA8F132_.wvu.FilterData" localSheetId="0" hidden="1">Outbound_Monitor!$A$2:$W$3</definedName>
    <definedName name="Z_355E9D82_F6D2_41EC_9759_95F992A3BD9D_.wvu.FilterData" localSheetId="1" hidden="1">Inbound_Monitor!$A$2:$Q$2</definedName>
    <definedName name="Z_355E9D82_F6D2_41EC_9759_95F992A3BD9D_.wvu.FilterData" localSheetId="0" hidden="1">Outbound_Monitor!$A$2:$W$2</definedName>
    <definedName name="Z_35938DC3_F5F3_45FA_8D49_8AEAF30BAFEB_.wvu.FilterData" localSheetId="1" hidden="1">Inbound_Monitor!$A$2:$Q$13</definedName>
    <definedName name="Z_35969BEC_25D7_4C60_A252_FAABA34EA1C7_.wvu.FilterData" localSheetId="1" hidden="1">Inbound_Monitor!$A$2:$Q$13</definedName>
    <definedName name="Z_359CAE03_B6BD_4FDC_9BA4_CB5F7CD4767D_.wvu.FilterData" localSheetId="1" hidden="1">Inbound_Monitor!$A$2:$Q$13</definedName>
    <definedName name="Z_35A2EE30_5599_47D8_9A4C_C7B871F09C04_.wvu.FilterData" localSheetId="0" hidden="1">Outbound_Monitor!$A$2:$W$3</definedName>
    <definedName name="Z_35A2EE30_5599_47D8_9A4C_C7B871F09C04_.wvu.FilterData" localSheetId="4" hidden="1">Schichtübergabe_Protokoll!$B$3:$N$3</definedName>
    <definedName name="Z_35AE5FB4_0C06_4429_9DFB_D90BAABF744D_.wvu.FilterData" localSheetId="1" hidden="1">Inbound_Monitor!$A$2:$Q$3</definedName>
    <definedName name="Z_35AF23F6_AD0B_4616_AFE9_7B655B02150C_.wvu.FilterData" localSheetId="0" hidden="1">Outbound_Monitor!$A$2:$X$16</definedName>
    <definedName name="Z_35BEDB2C_C91A_4026_B9E7_64C4993AFE52_.wvu.FilterData" localSheetId="0" hidden="1">Outbound_Monitor!$A$2:$W$3</definedName>
    <definedName name="Z_35C747D0_D3BF_4C4B_9786_B66C5D41A14D_.wvu.FilterData" localSheetId="1" hidden="1">Inbound_Monitor!$A$2:$Q$2</definedName>
    <definedName name="Z_35C747D0_D3BF_4C4B_9786_B66C5D41A14D_.wvu.FilterData" localSheetId="0" hidden="1">Outbound_Monitor!$A$2:$W$2</definedName>
    <definedName name="Z_35CC483B_B867_4B16_B4F0_CFB2EAF3EDED_.wvu.FilterData" localSheetId="0" hidden="1">Outbound_Monitor!$A$2:$W$3</definedName>
    <definedName name="Z_35ED3109_3A3C_4E7B_AD52_C96A5FCFD198_.wvu.FilterData" localSheetId="0" hidden="1">Outbound_Monitor!$A$2:$W$3</definedName>
    <definedName name="Z_35FC852C_D22D_4110_9FD4_731E537943E4_.wvu.FilterData" localSheetId="1" hidden="1">Inbound_Monitor!$A$2:$Q$13</definedName>
    <definedName name="Z_35FFFDC3_5E5F_47CE_BD97_EF1B6327C3D8_.wvu.FilterData" localSheetId="0" hidden="1">Outbound_Monitor!$A$2:$W$3</definedName>
    <definedName name="Z_362C8044_7146_4065_A9A8_FA4CA63BB9C0_.wvu.FilterData" localSheetId="0" hidden="1">Outbound_Monitor!$A$2:$W$3</definedName>
    <definedName name="Z_3636B130_F4B3_49F4_9E3E_8DBEBDDE694E_.wvu.FilterData" localSheetId="1" hidden="1">Inbound_Monitor!$A$2:$Q$2</definedName>
    <definedName name="Z_3636B130_F4B3_49F4_9E3E_8DBEBDDE694E_.wvu.FilterData" localSheetId="0" hidden="1">Outbound_Monitor!$A$2:$W$2</definedName>
    <definedName name="Z_363A978B_FB32_44B0_9D96_F699B0FE61A1_.wvu.FilterData" localSheetId="0" hidden="1">Outbound_Monitor!$A$2:$W$3</definedName>
    <definedName name="Z_3647E55D_640A_48C7_89FC_9A65A7ED825B_.wvu.FilterData" localSheetId="1" hidden="1">Inbound_Monitor!$A$2:$Q$2</definedName>
    <definedName name="Z_3647E55D_640A_48C7_89FC_9A65A7ED825B_.wvu.FilterData" localSheetId="0" hidden="1">Outbound_Monitor!$A$2:$W$2</definedName>
    <definedName name="Z_364B3C28_0153_4EC9_AC8B_C0891C72641B_.wvu.FilterData" localSheetId="1" hidden="1">Inbound_Monitor!$A$2:$Q$13</definedName>
    <definedName name="Z_364C6F4E_F7E2_4DF2_9059_9CDCF306DD1D_.wvu.FilterData" localSheetId="1" hidden="1">Inbound_Monitor!$A$2:$Q$13</definedName>
    <definedName name="Z_364C6F4E_F7E2_4DF2_9059_9CDCF306DD1D_.wvu.FilterData" localSheetId="0" hidden="1">Outbound_Monitor!$A$2:$W$3</definedName>
    <definedName name="Z_365D545C_614C_4CB1_AA17_55B999EE3728_.wvu.FilterData" localSheetId="4" hidden="1">Schichtübergabe_Protokoll!$B$3:$N$3</definedName>
    <definedName name="Z_36610068_7067_480C_B26C_C9BF7D7B47E5_.wvu.FilterData" localSheetId="0" hidden="1">Outbound_Monitor!$A$2:$W$3</definedName>
    <definedName name="Z_36647A53_B49D_4A2C_ACD1_F4484A318F20_.wvu.FilterData" localSheetId="1" hidden="1">Inbound_Monitor!$A$2:$Q$13</definedName>
    <definedName name="Z_367C206E_CAB0_46E9_98A5_681B7921E1CD_.wvu.FilterData" localSheetId="0" hidden="1">Outbound_Monitor!$A$2:$W$3</definedName>
    <definedName name="Z_369A380E_7F53_48C4_B634_A2B0F88C6EAC_.wvu.FilterData" localSheetId="0" hidden="1">Outbound_Monitor!$A$2:$W$3</definedName>
    <definedName name="Z_369BF89F_D71B_4F9A_A10A_948E9E67F6AF_.wvu.FilterData" localSheetId="1" hidden="1">Inbound_Monitor!$A$2:$Q$2</definedName>
    <definedName name="Z_369BF89F_D71B_4F9A_A10A_948E9E67F6AF_.wvu.FilterData" localSheetId="0" hidden="1">Outbound_Monitor!$A$2:$W$2</definedName>
    <definedName name="Z_36A2B394_2672_4223_92F6_4E1B5A66B322_.wvu.FilterData" localSheetId="0" hidden="1">Outbound_Monitor!$A$2:$W$3</definedName>
    <definedName name="Z_36A6BF06_8F3B_4E1E_8706_CD82D2D1A26C_.wvu.FilterData" localSheetId="1" hidden="1">Inbound_Monitor!$A$2:$Q$2</definedName>
    <definedName name="Z_36A6BF06_8F3B_4E1E_8706_CD82D2D1A26C_.wvu.FilterData" localSheetId="0" hidden="1">Outbound_Monitor!$A$2:$W$2</definedName>
    <definedName name="Z_36C35BA6_AA6F_4D53_98C0_A44F5C162572_.wvu.FilterData" localSheetId="4" hidden="1">Schichtübergabe_Protokoll!$B$3:$N$3</definedName>
    <definedName name="Z_36E33579_7968_46D5_B812_EC51F10F4EB2_.wvu.FilterData" localSheetId="1" hidden="1">Inbound_Monitor!$A$2:$Q$13</definedName>
    <definedName name="Z_36EE509E_1059_425E_BE06_65D21FA1948C_.wvu.FilterData" localSheetId="1" hidden="1">Inbound_Monitor!$A$2:$Q$3</definedName>
    <definedName name="Z_36EE509E_1059_425E_BE06_65D21FA1948C_.wvu.FilterData" localSheetId="0" hidden="1">Outbound_Monitor!$A$2:$W$3</definedName>
    <definedName name="Z_3703B5B2_4B27_43B4_AAC9_03F50BF1143D_.wvu.FilterData" localSheetId="1" hidden="1">Inbound_Monitor!$A$2:$Q$3</definedName>
    <definedName name="Z_37061634_E6D6_4DA7_8377_1AA3D48EF84E_.wvu.FilterData" localSheetId="1" hidden="1">Inbound_Monitor!$A$2:$Q$13</definedName>
    <definedName name="Z_372D79DB_3045_4726_906E_B0693B180640_.wvu.FilterData" localSheetId="1" hidden="1">Inbound_Monitor!$A$2:$Q$3</definedName>
    <definedName name="Z_372D79DB_3045_4726_906E_B0693B180640_.wvu.FilterData" localSheetId="0" hidden="1">Outbound_Monitor!$A$2:$W$3</definedName>
    <definedName name="Z_372EFE7E_0A34_4548_A06F_51653FC0EB4C_.wvu.FilterData" localSheetId="1" hidden="1">Inbound_Monitor!$A$2:$Q$13</definedName>
    <definedName name="Z_372EFE7E_0A34_4548_A06F_51653FC0EB4C_.wvu.FilterData" localSheetId="0" hidden="1">Outbound_Monitor!$A$2:$W$3</definedName>
    <definedName name="Z_37332311_3311_459F_937C_41287E5B40EF_.wvu.FilterData" localSheetId="1" hidden="1">Inbound_Monitor!$A$2:$Q$13</definedName>
    <definedName name="Z_37332311_3311_459F_937C_41287E5B40EF_.wvu.FilterData" localSheetId="0" hidden="1">Outbound_Monitor!$A$2:$X$16</definedName>
    <definedName name="Z_373953AB_0EAC_4042_B889_72336AEB118D_.wvu.FilterData" localSheetId="1" hidden="1">Inbound_Monitor!$A$2:$Q$13</definedName>
    <definedName name="Z_373953AB_0EAC_4042_B889_72336AEB118D_.wvu.FilterData" localSheetId="0" hidden="1">Outbound_Monitor!$A$2:$X$16</definedName>
    <definedName name="Z_37422295_69D3_49F4_8A9C_02AAE450B6C8_.wvu.FilterData" localSheetId="1" hidden="1">Inbound_Monitor!$A$2:$Q$13</definedName>
    <definedName name="Z_37437107_43ED_4ACA_B2F4_977ABFF6F590_.wvu.FilterData" localSheetId="0" hidden="1">Outbound_Monitor!$A$2:$W$3</definedName>
    <definedName name="Z_3747EC61_7420_450D_93C6_57D07A157437_.wvu.FilterData" localSheetId="1" hidden="1">Inbound_Monitor!$A$2:$Q$13</definedName>
    <definedName name="Z_374D5DC0_C73B_47B4_9FE1_159A9B7F79D4_.wvu.FilterData" localSheetId="0" hidden="1">Outbound_Monitor!$A$2:$W$3</definedName>
    <definedName name="Z_3760A17D_AA36_4119_98C9_BCAF3FBD8363_.wvu.FilterData" localSheetId="0" hidden="1">Outbound_Monitor!$A$2:$W$3</definedName>
    <definedName name="Z_37649D96_40D4_4AC3_B15B_4A2A76F3967B_.wvu.FilterData" localSheetId="1" hidden="1">Inbound_Monitor!$A$2:$Q$13</definedName>
    <definedName name="Z_37649D96_40D4_4AC3_B15B_4A2A76F3967B_.wvu.FilterData" localSheetId="0" hidden="1">Outbound_Monitor!$A$2:$X$16</definedName>
    <definedName name="Z_376F454F_D503_4B7E_A4CF_40FFBCCEB27B_.wvu.FilterData" localSheetId="1" hidden="1">Inbound_Monitor!$A$2:$Q$13</definedName>
    <definedName name="Z_376F454F_D503_4B7E_A4CF_40FFBCCEB27B_.wvu.FilterData" localSheetId="0" hidden="1">Outbound_Monitor!$A$2:$W$3</definedName>
    <definedName name="Z_3779BC18_4A3E_40E8_AC41_442A7FEB1877_.wvu.FilterData" localSheetId="0" hidden="1">Outbound_Monitor!$A$2:$W$3</definedName>
    <definedName name="Z_377E40A5_6C45_4DC2_956C_ACEE74D5D3A8_.wvu.FilterData" localSheetId="1" hidden="1">Inbound_Monitor!$A$2:$Q$3</definedName>
    <definedName name="Z_378B2EE5_4069_4664_AF3E_939CF51CC83A_.wvu.FilterData" localSheetId="1" hidden="1">Inbound_Monitor!$A$2:$Q$13</definedName>
    <definedName name="Z_37B0A17A_F720_418C_8A2F_6039F7F8CF73_.wvu.FilterData" localSheetId="0" hidden="1">Outbound_Monitor!$A$2:$X$16</definedName>
    <definedName name="Z_37B36CCB_CE03_497F_91D1_74DB89FBA463_.wvu.FilterData" localSheetId="0" hidden="1">Outbound_Monitor!$A$2:$W$3</definedName>
    <definedName name="Z_37C2DE21_1123_4B47_8635_CDC46C137B76_.wvu.FilterData" localSheetId="0" hidden="1">Outbound_Monitor!$A$2:$W$3</definedName>
    <definedName name="Z_37C5F2F8_B9CC_4AC8_95B3_DB68D7640B9F_.wvu.FilterData" localSheetId="1" hidden="1">Inbound_Monitor!$A$2:$Q$3</definedName>
    <definedName name="Z_37DF1241_8D9C_445D_91FF_9100A336D25C_.wvu.FilterData" localSheetId="1" hidden="1">Inbound_Monitor!$A$2:$Q$13</definedName>
    <definedName name="Z_37DF1241_8D9C_445D_91FF_9100A336D25C_.wvu.FilterData" localSheetId="0" hidden="1">Outbound_Monitor!$A$2:$W$3</definedName>
    <definedName name="Z_37E69CEC_3D05_4B44_BB0B_76D4AAB90D4C_.wvu.FilterData" localSheetId="1" hidden="1">Inbound_Monitor!$A$2:$Q$2</definedName>
    <definedName name="Z_37E69CEC_3D05_4B44_BB0B_76D4AAB90D4C_.wvu.FilterData" localSheetId="0" hidden="1">Outbound_Monitor!$A$2:$W$2</definedName>
    <definedName name="Z_37EC0A37_0608_447F_83E3_6347FB2ECE04_.wvu.FilterData" localSheetId="0" hidden="1">Outbound_Monitor!$A$2:$W$3</definedName>
    <definedName name="Z_37F17448_3063_4198_865E_AD23C86FCCFF_.wvu.FilterData" localSheetId="1" hidden="1">Inbound_Monitor!$A$2:$Q$2</definedName>
    <definedName name="Z_37F17448_3063_4198_865E_AD23C86FCCFF_.wvu.FilterData" localSheetId="0" hidden="1">Outbound_Monitor!$A$2:$W$2</definedName>
    <definedName name="Z_37F95C0B_C4B8_4FC2_B7B9_B547D05F6748_.wvu.FilterData" localSheetId="0" hidden="1">Outbound_Monitor!$A$2:$W$3</definedName>
    <definedName name="Z_380AC9F3_DD7B_46D5_B28D_20AE5C07AE96_.wvu.FilterData" localSheetId="1" hidden="1">Inbound_Monitor!$A$2:$Q$13</definedName>
    <definedName name="Z_380AC9F3_DD7B_46D5_B28D_20AE5C07AE96_.wvu.FilterData" localSheetId="0" hidden="1">Outbound_Monitor!$A$2:$W$3</definedName>
    <definedName name="Z_381B880E_10BE_44EB_9806_8044065E7A57_.wvu.FilterData" localSheetId="1" hidden="1">Inbound_Monitor!$A$2:$Q$2</definedName>
    <definedName name="Z_381B880E_10BE_44EB_9806_8044065E7A57_.wvu.FilterData" localSheetId="0" hidden="1">Outbound_Monitor!$A$2:$W$2</definedName>
    <definedName name="Z_383B6303_306F_4441_8B7E_AE13BB5FE66F_.wvu.FilterData" localSheetId="0" hidden="1">Outbound_Monitor!$A$2:$W$3</definedName>
    <definedName name="Z_384BA5D6_AB44_4C4B_9858_050C230FD2C6_.wvu.FilterData" localSheetId="0" hidden="1">Outbound_Monitor!$A$2:$X$16</definedName>
    <definedName name="Z_385C41CF_1F66_4651_89EB_E0785CEAB884_.wvu.FilterData" localSheetId="0" hidden="1">Outbound_Monitor!$A$2:$W$3</definedName>
    <definedName name="Z_3868C7C7_71D3_43F6_B122_12250EDAB5E6_.wvu.FilterData" localSheetId="0" hidden="1">Outbound_Monitor!$A$2:$X$16</definedName>
    <definedName name="Z_386B5C10_F6FD_4D8D_B749_7EC2666775C2_.wvu.FilterData" localSheetId="0" hidden="1">Outbound_Monitor!$A$2:$X$16</definedName>
    <definedName name="Z_3873779B_FE87_4809_9C7C_B1801D7F5A3D_.wvu.FilterData" localSheetId="0" hidden="1">Outbound_Monitor!$A$2:$X$16</definedName>
    <definedName name="Z_387810F8_1001_46A6_AFA5_ABBB50B62C72_.wvu.FilterData" localSheetId="1" hidden="1">Inbound_Monitor!$A$2:$Q$13</definedName>
    <definedName name="Z_387810F8_1001_46A6_AFA5_ABBB50B62C72_.wvu.FilterData" localSheetId="0" hidden="1">Outbound_Monitor!$A$2:$W$3</definedName>
    <definedName name="Z_387C0DB4_CC5C_4B41_A615_90BB13AD8D9B_.wvu.FilterData" localSheetId="0" hidden="1">Outbound_Monitor!$A$2:$W$3</definedName>
    <definedName name="Z_387D2B7D_46DB_41A3_87C6_7A223AF46316_.wvu.FilterData" localSheetId="1" hidden="1">Inbound_Monitor!$A$2:$Q$2</definedName>
    <definedName name="Z_387D2B7D_46DB_41A3_87C6_7A223AF46316_.wvu.FilterData" localSheetId="0" hidden="1">Outbound_Monitor!$A$2:$W$2</definedName>
    <definedName name="Z_3882F221_B7F0_4C1D_87CC_81941B5B6787_.wvu.FilterData" localSheetId="0" hidden="1">Outbound_Monitor!$A$2:$W$3</definedName>
    <definedName name="Z_3886668C_CC38_44F2_B571_25591BF91982_.wvu.FilterData" localSheetId="1" hidden="1">Inbound_Monitor!$A$2:$Q$3</definedName>
    <definedName name="Z_3887846B_5D1D_4032_9CF9_C9EED92B5F41_.wvu.FilterData" localSheetId="1" hidden="1">Inbound_Monitor!$A$2:$Q$13</definedName>
    <definedName name="Z_3887846B_5D1D_4032_9CF9_C9EED92B5F41_.wvu.FilterData" localSheetId="0" hidden="1">Outbound_Monitor!$A$2:$X$16</definedName>
    <definedName name="Z_38895F52_4D88_4A60_9075_E13FAC9FBFB8_.wvu.FilterData" localSheetId="0" hidden="1">Outbound_Monitor!$A$2:$W$3</definedName>
    <definedName name="Z_388C33CA_AEEE_42A5_B990_0DF577200545_.wvu.FilterData" localSheetId="1" hidden="1">Inbound_Monitor!$A$2:$Q$2</definedName>
    <definedName name="Z_388C33CA_AEEE_42A5_B990_0DF577200545_.wvu.FilterData" localSheetId="0" hidden="1">Outbound_Monitor!$A$2:$W$2</definedName>
    <definedName name="Z_389247B4_F14D_4C97_9694_1EFC9B04CDBB_.wvu.FilterData" localSheetId="0" hidden="1">Outbound_Monitor!$A$2:$W$3</definedName>
    <definedName name="Z_38B6C8B4_E959_4412_87C7_A590E847DE9C_.wvu.FilterData" localSheetId="1" hidden="1">Inbound_Monitor!$A$2:$Q$13</definedName>
    <definedName name="Z_38BE1C78_DC39_41C8_B144_F8D83307EA25_.wvu.FilterData" localSheetId="1" hidden="1">Inbound_Monitor!$A$2:$Q$2</definedName>
    <definedName name="Z_38BE1C78_DC39_41C8_B144_F8D83307EA25_.wvu.FilterData" localSheetId="0" hidden="1">Outbound_Monitor!$A$2:$W$2</definedName>
    <definedName name="Z_38DDBA74_B7F9_41FA_9868_B3E1AB42871B_.wvu.FilterData" localSheetId="1" hidden="1">Inbound_Monitor!$A$2:$Q$13</definedName>
    <definedName name="Z_38DDBA74_B7F9_41FA_9868_B3E1AB42871B_.wvu.FilterData" localSheetId="0" hidden="1">Outbound_Monitor!$A$2:$X$16</definedName>
    <definedName name="Z_38E5AB58_2888_4FCE_96B5_51735D867804_.wvu.FilterData" localSheetId="0" hidden="1">Outbound_Monitor!$A$2:$W$3</definedName>
    <definedName name="Z_38EA34B6_7597_43BD_A041_AC161685259A_.wvu.FilterData" localSheetId="1" hidden="1">Inbound_Monitor!$A$2:$Q$3</definedName>
    <definedName name="Z_38EC33BC_5110_4DF3_8B31_D6FE6F912F22_.wvu.FilterData" localSheetId="1" hidden="1">Inbound_Monitor!$A$2:$Q$13</definedName>
    <definedName name="Z_38EDD772_AC11_4573_8EE1_5F30708947F0_.wvu.FilterData" localSheetId="0" hidden="1">Outbound_Monitor!$A$2:$W$3</definedName>
    <definedName name="Z_38F02557_AF64_44C0_90E4_55FD78B21E70_.wvu.FilterData" localSheetId="0" hidden="1">Outbound_Monitor!$A$2:$X$16</definedName>
    <definedName name="Z_38F1767D_8AC1_43B0_AE0B_95B093BDF347_.wvu.FilterData" localSheetId="1" hidden="1">Inbound_Monitor!$A$2:$Q$13</definedName>
    <definedName name="Z_38F1767D_8AC1_43B0_AE0B_95B093BDF347_.wvu.FilterData" localSheetId="0" hidden="1">Outbound_Monitor!$A$2:$W$3</definedName>
    <definedName name="Z_38F30082_75C1_4C1B_8C2F_E3B0AFCD4881_.wvu.FilterData" localSheetId="1" hidden="1">Inbound_Monitor!$A$2:$Q$3</definedName>
    <definedName name="Z_38FFD5C2_A791_4959_82D1_CBA44D5B89F1_.wvu.FilterData" localSheetId="0" hidden="1">Outbound_Monitor!$A$2:$W$3</definedName>
    <definedName name="Z_3909C1DE_FD33_472E_A12C_24A7F68F56CD_.wvu.FilterData" localSheetId="0" hidden="1">Outbound_Monitor!$A$2:$W$3</definedName>
    <definedName name="Z_390D2873_5756_46EB_8E59_80FAEFB26704_.wvu.FilterData" localSheetId="1" hidden="1">Inbound_Monitor!$A$2:$Q$13</definedName>
    <definedName name="Z_390FBC0B_B3E5_449B_9C3E_8FB5AA0F1E64_.wvu.FilterData" localSheetId="1" hidden="1">Inbound_Monitor!$A$2:$Q$3</definedName>
    <definedName name="Z_390FBC0B_B3E5_449B_9C3E_8FB5AA0F1E64_.wvu.FilterData" localSheetId="0" hidden="1">Outbound_Monitor!$A$2:$W$3</definedName>
    <definedName name="Z_3929AFA9_8BB9_413F_85C3_FB8A096ED076_.wvu.FilterData" localSheetId="0" hidden="1">Outbound_Monitor!$A$2:$W$3</definedName>
    <definedName name="Z_3933761B_758E_4759_A8A9_473986FC70A0_.wvu.FilterData" localSheetId="1" hidden="1">Inbound_Monitor!$A$2:$Q$3</definedName>
    <definedName name="Z_3933761B_758E_4759_A8A9_473986FC70A0_.wvu.FilterData" localSheetId="0" hidden="1">Outbound_Monitor!$A$2:$W$3</definedName>
    <definedName name="Z_3936B86A_BF8B_4BFE_9992_BA5F5FEAD676_.wvu.FilterData" localSheetId="0" hidden="1">Outbound_Monitor!$A$2:$X$16</definedName>
    <definedName name="Z_3938A31D_3F6D_419F_9559_5C029E04CC5F_.wvu.FilterData" localSheetId="0" hidden="1">Outbound_Monitor!$A$2:$W$3</definedName>
    <definedName name="Z_395933A0_9A5E_4455_80D0_F112F11AB7A7_.wvu.FilterData" localSheetId="0" hidden="1">Outbound_Monitor!$A$2:$W$3</definedName>
    <definedName name="Z_396A46CD_6A37_43C1_85AD_251418AA4BDA_.wvu.FilterData" localSheetId="1" hidden="1">Inbound_Monitor!$A$2:$Q$13</definedName>
    <definedName name="Z_396A46CD_6A37_43C1_85AD_251418AA4BDA_.wvu.FilterData" localSheetId="0" hidden="1">Outbound_Monitor!$A$2:$W$3</definedName>
    <definedName name="Z_39714219_A5D3_4014_9125_5359C513171F_.wvu.FilterData" localSheetId="1" hidden="1">Inbound_Monitor!$A$2:$Q$13</definedName>
    <definedName name="Z_39714219_A5D3_4014_9125_5359C513171F_.wvu.FilterData" localSheetId="0" hidden="1">Outbound_Monitor!$A$2:$W$3</definedName>
    <definedName name="Z_39714219_A5D3_4014_9125_5359C513171F_.wvu.FilterData" localSheetId="4" hidden="1">Schichtübergabe_Protokoll!$B$3:$N$3</definedName>
    <definedName name="Z_39725A9C_368D_498B_9FE8_4E6DB249D13B_.wvu.FilterData" localSheetId="1" hidden="1">Inbound_Monitor!$A$2:$Q$3</definedName>
    <definedName name="Z_39730C68_DA6A_4B6B_8C71_C67F0A693159_.wvu.FilterData" localSheetId="0" hidden="1">Outbound_Monitor!$A$2:$W$3</definedName>
    <definedName name="Z_39762F34_CB24_4F82_A556_F918C669E5DC_.wvu.FilterData" localSheetId="1" hidden="1">Inbound_Monitor!$A$2:$Q$3</definedName>
    <definedName name="Z_397ADAFD_080F_4274_B3EA_C6D602B72A5F_.wvu.FilterData" localSheetId="0" hidden="1">Outbound_Monitor!$A$2:$W$3</definedName>
    <definedName name="Z_398495EF_1179_4840_8C37_FEE1501702A8_.wvu.FilterData" localSheetId="0" hidden="1">Outbound_Monitor!$A$2:$W$3</definedName>
    <definedName name="Z_398B0498_1654_4FC6_AD1F_D43CEB8E4DF8_.wvu.FilterData" localSheetId="1" hidden="1">Inbound_Monitor!$A$2:$Q$2</definedName>
    <definedName name="Z_398B0498_1654_4FC6_AD1F_D43CEB8E4DF8_.wvu.FilterData" localSheetId="0" hidden="1">Outbound_Monitor!$A$2:$W$2</definedName>
    <definedName name="Z_398D9D33_880D_4B76_8B91_83B1E1CE3CF1_.wvu.FilterData" localSheetId="0" hidden="1">Outbound_Monitor!$A$2:$W$3</definedName>
    <definedName name="Z_39901B66_1D10_432A_8E57_AD0DA06520F4_.wvu.FilterData" localSheetId="0" hidden="1">Outbound_Monitor!$A$2:$W$3</definedName>
    <definedName name="Z_39A07619_954F_4FB2_9E53_DFFDAAB58253_.wvu.FilterData" localSheetId="0" hidden="1">Outbound_Monitor!$A$2:$W$3</definedName>
    <definedName name="Z_39B39547_A1B8_452C_9C20_FB8FBD28595D_.wvu.FilterData" localSheetId="0" hidden="1">Outbound_Monitor!$A$2:$W$3</definedName>
    <definedName name="Z_39BFCB20_73EA_4634_AFAE_6280F827F3D5_.wvu.FilterData" localSheetId="1" hidden="1">Inbound_Monitor!$A$2:$Q$3</definedName>
    <definedName name="Z_39BFCB20_73EA_4634_AFAE_6280F827F3D5_.wvu.FilterData" localSheetId="4" hidden="1">Schichtübergabe_Protokoll!$B$3:$N$3</definedName>
    <definedName name="Z_39C5C214_9C46_419B_8BB1_1B4E023BFFC6_.wvu.FilterData" localSheetId="0" hidden="1">Outbound_Monitor!$A$2:$W$3</definedName>
    <definedName name="Z_39D0949E_FA9A_414C_8EF5_CC18D3B69C6A_.wvu.FilterData" localSheetId="1" hidden="1">Inbound_Monitor!$A$2:$Q$13</definedName>
    <definedName name="Z_39D0949E_FA9A_414C_8EF5_CC18D3B69C6A_.wvu.FilterData" localSheetId="0" hidden="1">Outbound_Monitor!$A$2:$X$16</definedName>
    <definedName name="Z_39DF1C9F_F7DF_46F2_A380_9B3C94E971EF_.wvu.FilterData" localSheetId="0" hidden="1">Outbound_Monitor!#REF!</definedName>
    <definedName name="Z_39DF9F24_232C_40A3_B963_408537FC1493_.wvu.FilterData" localSheetId="1" hidden="1">Inbound_Monitor!$A$2:$Q$3</definedName>
    <definedName name="Z_39EA7642_E06B_4A81_A9DC_48FEAB688CFD_.wvu.FilterData" localSheetId="1" hidden="1">Inbound_Monitor!$A$2:$Q$3</definedName>
    <definedName name="Z_39EC60BE_B15E_4F0B_BC82_DD15365C9C04_.wvu.FilterData" localSheetId="1" hidden="1">Inbound_Monitor!$A$2:$Q$3</definedName>
    <definedName name="Z_39ED3BD9_CDFF_4B18_A2EF_52FCABF28FD3_.wvu.FilterData" localSheetId="0" hidden="1">Outbound_Monitor!$A$2:$W$3</definedName>
    <definedName name="Z_39F22372_4D06_4D22_8BC8_F67D7FD011FE_.wvu.FilterData" localSheetId="1" hidden="1">Inbound_Monitor!$A$2:$Q$3</definedName>
    <definedName name="Z_39F739DF_F07D_49FD_9FDA_3A137665B9F1_.wvu.FilterData" localSheetId="0" hidden="1">Outbound_Monitor!$A$2:$W$3</definedName>
    <definedName name="Z_3A154077_4F25_4743_BFF1_1C844B1A54AA_.wvu.FilterData" localSheetId="0" hidden="1">Outbound_Monitor!$A$2:$W$3</definedName>
    <definedName name="Z_3A3F0838_4641_4CC4_9726_A1CE54CC82C3_.wvu.FilterData" localSheetId="0" hidden="1">Outbound_Monitor!$A$2:$X$16</definedName>
    <definedName name="Z_3A42FCAC_EE47_4F59_AE46_ADF9CDAC19BF_.wvu.FilterData" localSheetId="1" hidden="1">Inbound_Monitor!$A$2:$Q$3</definedName>
    <definedName name="Z_3A4CB7F0_FD98_4353_978E_88143CACED97_.wvu.FilterData" localSheetId="0" hidden="1">Outbound_Monitor!$A$2:$X$16</definedName>
    <definedName name="Z_3A531387_3178_497F_B5BB_FB3E8D2B1B37_.wvu.FilterData" localSheetId="0" hidden="1">Outbound_Monitor!$A$2:$W$3</definedName>
    <definedName name="Z_3A5359F0_05D8_4F72_98CE_181D0BBB3F66_.wvu.FilterData" localSheetId="1" hidden="1">Inbound_Monitor!$A$2:$Q$13</definedName>
    <definedName name="Z_3A5359F0_05D8_4F72_98CE_181D0BBB3F66_.wvu.FilterData" localSheetId="0" hidden="1">Outbound_Monitor!$A$2:$W$3</definedName>
    <definedName name="Z_3A6836CA_EA88_4D93_899F_39F041BB5EED_.wvu.Rows" localSheetId="3" hidden="1">'SDDS_Office (nicht nutzen)'!#REF!,'SDDS_Office (nicht nutzen)'!#REF!,'SDDS_Office (nicht nutzen)'!#REF!,'SDDS_Office (nicht nutzen)'!#REF!</definedName>
    <definedName name="Z_3A7681AE_CB69_42C1_90A3_AE07EF4793E2_.wvu.FilterData" localSheetId="1" hidden="1">Inbound_Monitor!$A$2:$Q$13</definedName>
    <definedName name="Z_3A7681AE_CB69_42C1_90A3_AE07EF4793E2_.wvu.FilterData" localSheetId="0" hidden="1">Outbound_Monitor!$A$2:$W$3</definedName>
    <definedName name="Z_3A7EBAFE_A18D_465C_A86B_6DC405CAB0BD_.wvu.FilterData" localSheetId="0" hidden="1">Outbound_Monitor!$A$2:$W$3</definedName>
    <definedName name="Z_3A80EAAC_A76E_4D1A_A5FA_BC9C63DB8808_.wvu.FilterData" localSheetId="1" hidden="1">Inbound_Monitor!$A$2:$Q$13</definedName>
    <definedName name="Z_3A84EF63_DE3B_4F98_B254_6DB0934275D4_.wvu.FilterData" localSheetId="0" hidden="1">Outbound_Monitor!$A$2:$X$16</definedName>
    <definedName name="Z_3A88F653_2DF2_46E0_ADE6_59FD6067927E_.wvu.FilterData" localSheetId="1" hidden="1">Inbound_Monitor!$A$2:$Q$3</definedName>
    <definedName name="Z_3A88F653_2DF2_46E0_ADE6_59FD6067927E_.wvu.FilterData" localSheetId="0" hidden="1">Outbound_Monitor!$A$2:$W$3</definedName>
    <definedName name="Z_3A9D7159_937F_4D0E_B6EA_D4D9158CCD0B_.wvu.FilterData" localSheetId="0" hidden="1">Outbound_Monitor!$A$2:$W$3</definedName>
    <definedName name="Z_3A9DEBD3_2A7A_4ADA_8CAF_7264FD581C87_.wvu.FilterData" localSheetId="0" hidden="1">Outbound_Monitor!$A$2:$W$3</definedName>
    <definedName name="Z_3AA11692_9081_459E_BCA2_5935A387914B_.wvu.FilterData" localSheetId="1" hidden="1">Inbound_Monitor!$A$2:$Q$3</definedName>
    <definedName name="Z_3AA55CFE_01B3_478D_A01B_4171F570AAEE_.wvu.FilterData" localSheetId="1" hidden="1">Inbound_Monitor!$A$2:$Q$3</definedName>
    <definedName name="Z_3AA55CFE_01B3_478D_A01B_4171F570AAEE_.wvu.FilterData" localSheetId="0" hidden="1">Outbound_Monitor!$A$2:$W$3</definedName>
    <definedName name="Z_3AA949AF_BF61_452D_8CDC_4374F6EE87CF_.wvu.FilterData" localSheetId="0" hidden="1">Outbound_Monitor!$A$2:$W$3</definedName>
    <definedName name="Z_3AB35397_189E_4694_8731_466CEBD9E15E_.wvu.FilterData" localSheetId="1" hidden="1">Inbound_Monitor!$A$2:$Q$13</definedName>
    <definedName name="Z_3AB35397_189E_4694_8731_466CEBD9E15E_.wvu.FilterData" localSheetId="0" hidden="1">Outbound_Monitor!$A$2:$X$16</definedName>
    <definedName name="Z_3AB35397_189E_4694_8731_466CEBD9E15E_.wvu.FilterData" localSheetId="4" hidden="1">Schichtübergabe_Protokoll!$B$3:$N$3</definedName>
    <definedName name="Z_3AB6353E_7E29_4203_B8C9_90DD7712A1FB_.wvu.FilterData" localSheetId="1" hidden="1">Inbound_Monitor!$A$2:$Q$3</definedName>
    <definedName name="Z_3ABC18A9_2CF0_4D2A_918C_4941A1312DE9_.wvu.FilterData" localSheetId="0" hidden="1">Outbound_Monitor!$A$2:$W$3</definedName>
    <definedName name="Z_3ABC8385_519C_4C0E_9B83_F7A76DC47BD2_.wvu.FilterData" localSheetId="1" hidden="1">Inbound_Monitor!$A$2:$Q$3</definedName>
    <definedName name="Z_3AC2DCC2_9149_470B_8ED1_1255568612C5_.wvu.FilterData" localSheetId="1" hidden="1">Inbound_Monitor!$A$2:$Q$2</definedName>
    <definedName name="Z_3AC2DCC2_9149_470B_8ED1_1255568612C5_.wvu.FilterData" localSheetId="0" hidden="1">Outbound_Monitor!$A$2:$W$2</definedName>
    <definedName name="Z_3ACD21D0_4478_4223_A895_91237D32575B_.wvu.FilterData" localSheetId="1" hidden="1">Inbound_Monitor!$A$2:$Q$2</definedName>
    <definedName name="Z_3ACD21D0_4478_4223_A895_91237D32575B_.wvu.FilterData" localSheetId="0" hidden="1">Outbound_Monitor!$A$2:$W$2</definedName>
    <definedName name="Z_3AF937BA_6056_40E7_B750_A8C0674983EA_.wvu.FilterData" localSheetId="1" hidden="1">Inbound_Monitor!$A$2:$Q$2</definedName>
    <definedName name="Z_3AF937BA_6056_40E7_B750_A8C0674983EA_.wvu.FilterData" localSheetId="0" hidden="1">Outbound_Monitor!$A$2:$W$2</definedName>
    <definedName name="Z_3B0C6167_213F_4C44_8AE0_0F3F39E0F383_.wvu.FilterData" localSheetId="1" hidden="1">Inbound_Monitor!$A$2:$Q$2</definedName>
    <definedName name="Z_3B0C6167_213F_4C44_8AE0_0F3F39E0F383_.wvu.FilterData" localSheetId="0" hidden="1">Outbound_Monitor!$A$2:$W$2</definedName>
    <definedName name="Z_3B151B9F_5FA6_4CFA_AD95_F272E7884AB8_.wvu.FilterData" localSheetId="1" hidden="1">Inbound_Monitor!$A$2:$Q$2</definedName>
    <definedName name="Z_3B151B9F_5FA6_4CFA_AD95_F272E7884AB8_.wvu.FilterData" localSheetId="0" hidden="1">Outbound_Monitor!$A$2:$W$2</definedName>
    <definedName name="Z_3B1EEA84_CB1B_4BE1_AFF1_50BA7034A146_.wvu.FilterData" localSheetId="1" hidden="1">Inbound_Monitor!$A$2:$Q$2</definedName>
    <definedName name="Z_3B1EEA84_CB1B_4BE1_AFF1_50BA7034A146_.wvu.FilterData" localSheetId="0" hidden="1">Outbound_Monitor!$A$2:$W$2</definedName>
    <definedName name="Z_3B1F3056_F9EA_4664_B8BB_D6806BEA1DD1_.wvu.FilterData" localSheetId="1" hidden="1">Inbound_Monitor!$A$2:$Q$3</definedName>
    <definedName name="Z_3B1FC766_52FD_4889_9C34_5FD59D5CF300_.wvu.FilterData" localSheetId="0" hidden="1">Outbound_Monitor!$A$2:$X$16</definedName>
    <definedName name="Z_3B2472D3_BF53_463E_8844_4E2B50F5C1FC_.wvu.FilterData" localSheetId="0" hidden="1">Outbound_Monitor!$A$2:$W$3</definedName>
    <definedName name="Z_3B293563_333C_4403_9595_1CCC1EF7542E_.wvu.FilterData" localSheetId="0" hidden="1">Outbound_Monitor!$A$2:$W$3</definedName>
    <definedName name="Z_3B2B351E_EF8A_432C_8AF1_292D4E717E19_.wvu.FilterData" localSheetId="0" hidden="1">Outbound_Monitor!$A$2:$W$3</definedName>
    <definedName name="Z_3B2D33A6_AA90_4E3A_B40C_6E2691EF7948_.wvu.FilterData" localSheetId="0" hidden="1">Outbound_Monitor!$A$2:$W$3</definedName>
    <definedName name="Z_3B2E2C10_354C_4200_92C0_F0F4EB6DCA0A_.wvu.FilterData" localSheetId="0" hidden="1">Outbound_Monitor!$A$2:$W$3</definedName>
    <definedName name="Z_3B32CAED_15A0_43A0_BD83_38CCE19FD707_.wvu.FilterData" localSheetId="1" hidden="1">Inbound_Monitor!$A$2:$Q$3</definedName>
    <definedName name="Z_3B3AEBE6_6982_4CBC_A9FA_8056292F53A5_.wvu.FilterData" localSheetId="0" hidden="1">Outbound_Monitor!$A$2:$W$3</definedName>
    <definedName name="Z_3B47DFD5_822E_4C5E_AD2F_3BB6118310A8_.wvu.FilterData" localSheetId="0" hidden="1">Outbound_Monitor!$A$2:$W$3</definedName>
    <definedName name="Z_3B47F534_F482_49B0_BF86_4EE9AF82D175_.wvu.FilterData" localSheetId="0" hidden="1">Outbound_Monitor!$A$2:$W$3</definedName>
    <definedName name="Z_3B4DF879_2496_4BAC_A291_E635853C1567_.wvu.FilterData" localSheetId="1" hidden="1">Inbound_Monitor!$A$2:$Q$2</definedName>
    <definedName name="Z_3B4DF879_2496_4BAC_A291_E635853C1567_.wvu.FilterData" localSheetId="0" hidden="1">Outbound_Monitor!$A$2:$W$2</definedName>
    <definedName name="Z_3B57242A_DF04_4D9D_B852_B989FAAA144C_.wvu.FilterData" localSheetId="0" hidden="1">Outbound_Monitor!$A$2:$W$3</definedName>
    <definedName name="Z_3B5DCB37_3B47_44DE_8C45_50063A17B175_.wvu.FilterData" localSheetId="0" hidden="1">Outbound_Monitor!$A$2:$X$16</definedName>
    <definedName name="Z_3B5F0D07_0B9B_4D97_8368_FB47AFC8915D_.wvu.FilterData" localSheetId="0" hidden="1">Outbound_Monitor!$A$2:$W$3</definedName>
    <definedName name="Z_3B7234BA_DF30_4EA4_93D0_DC53FD958DFF_.wvu.FilterData" localSheetId="1" hidden="1">Inbound_Monitor!$A$2:$Q$13</definedName>
    <definedName name="Z_3B7234BA_DF30_4EA4_93D0_DC53FD958DFF_.wvu.FilterData" localSheetId="0" hidden="1">Outbound_Monitor!$A$2:$X$16</definedName>
    <definedName name="Z_3B929E2C_A29E_44A3_ABFD_90B86299BC65_.wvu.FilterData" localSheetId="0" hidden="1">Outbound_Monitor!$A$2:$W$3</definedName>
    <definedName name="Z_3B92BBE7_C634_4703_B2C2_F03657FB67CC_.wvu.FilterData" localSheetId="1" hidden="1">Inbound_Monitor!$A$2:$Q$3</definedName>
    <definedName name="Z_3B92BBE7_C634_4703_B2C2_F03657FB67CC_.wvu.FilterData" localSheetId="0" hidden="1">Outbound_Monitor!$A$2:$W$3</definedName>
    <definedName name="Z_3BAAEF85_8D3A_4079_A7A6_3D5BADE54722_.wvu.FilterData" localSheetId="1" hidden="1">Inbound_Monitor!$A$2:$Q$3</definedName>
    <definedName name="Z_3BBDC488_1F30_45AE_A47B_CF9B526FB656_.wvu.FilterData" localSheetId="0" hidden="1">Outbound_Monitor!$A$2:$W$3</definedName>
    <definedName name="Z_3BC71994_8E48_4DFE_9852_10734B4B9436_.wvu.FilterData" localSheetId="0" hidden="1">Outbound_Monitor!$A$2:$W$3</definedName>
    <definedName name="Z_3BC91C58_E447_4563_AE9E_66012C12BB51_.wvu.FilterData" localSheetId="1" hidden="1">Inbound_Monitor!$A$2:$Q$3</definedName>
    <definedName name="Z_3BC91C58_E447_4563_AE9E_66012C12BB51_.wvu.FilterData" localSheetId="0" hidden="1">Outbound_Monitor!$A$2:$W$3</definedName>
    <definedName name="Z_3BD86AEF_58D8_4D91_ACA1_D43BBEF49B4B_.wvu.FilterData" localSheetId="1" hidden="1">Inbound_Monitor!$A$2:$Q$2</definedName>
    <definedName name="Z_3BD86AEF_58D8_4D91_ACA1_D43BBEF49B4B_.wvu.FilterData" localSheetId="0" hidden="1">Outbound_Monitor!$A$2:$W$2</definedName>
    <definedName name="Z_3BDC9519_9EB0_4988_9F76_3E9191742496_.wvu.FilterData" localSheetId="0" hidden="1">Outbound_Monitor!$A$2:$W$3</definedName>
    <definedName name="Z_3BF8BC53_F234_419B_B2CD_8895A7016F22_.wvu.FilterData" localSheetId="1" hidden="1">Inbound_Monitor!$A$2:$Q$13</definedName>
    <definedName name="Z_3BFB669E_CC66_4C5F_857D_9F7F3BE5067F_.wvu.FilterData" localSheetId="0" hidden="1">Outbound_Monitor!$A$2:$X$16</definedName>
    <definedName name="Z_3BFD8E31_E731_48AC_8854_DD9636DA3AD5_.wvu.FilterData" localSheetId="0" hidden="1">Outbound_Monitor!$A$2:$W$3</definedName>
    <definedName name="Z_3C13BA6F_5390_488E_99BD_5D78FE5D00A4_.wvu.FilterData" localSheetId="0" hidden="1">Outbound_Monitor!$A$2:$X$16</definedName>
    <definedName name="Z_3C1DDA28_AA5A_4949_904C_1F6F0E3EDB6F_.wvu.FilterData" localSheetId="1" hidden="1">Inbound_Monitor!$A$2:$Q$3</definedName>
    <definedName name="Z_3C1E9FA3_C40F_4DA3_874B_CCB527BB8C8C_.wvu.FilterData" localSheetId="0" hidden="1">Outbound_Monitor!$A$2:$W$3</definedName>
    <definedName name="Z_3C1ED748_02C1_4F75_8C20_A513FE14BBC4_.wvu.FilterData" localSheetId="0" hidden="1">Outbound_Monitor!$A$2:$X$16</definedName>
    <definedName name="Z_3C28F9CB_72C5_41FE_AD4A_C8F9117F8061_.wvu.FilterData" localSheetId="0" hidden="1">Outbound_Monitor!$A$2:$W$3</definedName>
    <definedName name="Z_3C2C1F97_63EA_4CD8_B081_8A2BBF3E2553_.wvu.FilterData" localSheetId="1" hidden="1">Inbound_Monitor!$A$2:$Q$2</definedName>
    <definedName name="Z_3C2C1F97_63EA_4CD8_B081_8A2BBF3E2553_.wvu.FilterData" localSheetId="0" hidden="1">Outbound_Monitor!$A$2:$W$2</definedName>
    <definedName name="Z_3C344FB9_9483_4CB9_A241_2FC845323FFB_.wvu.FilterData" localSheetId="0" hidden="1">Outbound_Monitor!$A$2:$W$3</definedName>
    <definedName name="Z_3C381F63_AD24_4DB3_B8AF_CC2ABD82EC86_.wvu.FilterData" localSheetId="1" hidden="1">Inbound_Monitor!$A$2:$Q$13</definedName>
    <definedName name="Z_3C381F63_AD24_4DB3_B8AF_CC2ABD82EC86_.wvu.FilterData" localSheetId="0" hidden="1">Outbound_Monitor!$A$2:$X$16</definedName>
    <definedName name="Z_3C3B274A_B7B4_4249_B291_E8CF36071FCB_.wvu.FilterData" localSheetId="1" hidden="1">Inbound_Monitor!$A$2:$Q$3</definedName>
    <definedName name="Z_3C3B274A_B7B4_4249_B291_E8CF36071FCB_.wvu.FilterData" localSheetId="0" hidden="1">Outbound_Monitor!$A$2:$W$3</definedName>
    <definedName name="Z_3C46B380_7088_4ED0_84E6_98285A95AE5E_.wvu.FilterData" localSheetId="1" hidden="1">Inbound_Monitor!$A$2:$Q$3</definedName>
    <definedName name="Z_3C4D4DEA_B65F_4854_9ED0_7E0D4382E178_.wvu.FilterData" localSheetId="1" hidden="1">Inbound_Monitor!$A$2:$Q$3</definedName>
    <definedName name="Z_3C559E48_58D2_4AF4_BB93_537D60ABE175_.wvu.FilterData" localSheetId="1" hidden="1">Inbound_Monitor!$A$2:$Q$13</definedName>
    <definedName name="Z_3C559E48_58D2_4AF4_BB93_537D60ABE175_.wvu.FilterData" localSheetId="0" hidden="1">Outbound_Monitor!$A$2:$W$3</definedName>
    <definedName name="Z_3C573489_079D_4205_9E37_0ABB6CA5FD4A_.wvu.FilterData" localSheetId="1" hidden="1">Inbound_Monitor!$A$2:$Q$13</definedName>
    <definedName name="Z_3C573489_079D_4205_9E37_0ABB6CA5FD4A_.wvu.FilterData" localSheetId="0" hidden="1">Outbound_Monitor!$A$2:$X$16</definedName>
    <definedName name="Z_3C6143AD_550D_4A45_8E62_2BCF5AFFB8DB_.wvu.FilterData" localSheetId="0" hidden="1">Outbound_Monitor!$A$2:$W$3</definedName>
    <definedName name="Z_3C7CCF41_EC6F_4974_A40E_D3383AD21118_.wvu.FilterData" localSheetId="1" hidden="1">Inbound_Monitor!$A$2:$Q$2</definedName>
    <definedName name="Z_3C7CCF41_EC6F_4974_A40E_D3383AD21118_.wvu.FilterData" localSheetId="0" hidden="1">Outbound_Monitor!$A$2:$W$2</definedName>
    <definedName name="Z_3C8B6B22_5845_490A_8006_2BEEC3BB0842_.wvu.FilterData" localSheetId="0" hidden="1">Outbound_Monitor!$A$2:$W$3</definedName>
    <definedName name="Z_3C93DE56_024B_4891_B0BB_55F9EEB8CCD8_.wvu.FilterData" localSheetId="0" hidden="1">Outbound_Monitor!$A$2:$W$3</definedName>
    <definedName name="Z_3C9545EF_64D4_4677_B14E_20288543726F_.wvu.FilterData" localSheetId="0" hidden="1">Outbound_Monitor!$A$2:$X$16</definedName>
    <definedName name="Z_3CA1BE15_ABDA_4891_8150_934CE1778FF3_.wvu.FilterData" localSheetId="1" hidden="1">Inbound_Monitor!$A$2:$Q$2</definedName>
    <definedName name="Z_3CA1BE15_ABDA_4891_8150_934CE1778FF3_.wvu.FilterData" localSheetId="0" hidden="1">Outbound_Monitor!$A$2:$W$2</definedName>
    <definedName name="Z_3CAA59DC_29AE_4B9E_8BAC_FA24B2126E79_.wvu.FilterData" localSheetId="0" hidden="1">Outbound_Monitor!$A$2:$W$3</definedName>
    <definedName name="Z_3CAA9FA9_B0AD_428C_BB55_6F357B6C8439_.wvu.FilterData" localSheetId="0" hidden="1">Outbound_Monitor!$A$2:$W$3</definedName>
    <definedName name="Z_3CAE16FB_8881_438D_BFA0_D69332408F8E_.wvu.FilterData" localSheetId="1" hidden="1">Inbound_Monitor!$A$2:$Q$2</definedName>
    <definedName name="Z_3CAE16FB_8881_438D_BFA0_D69332408F8E_.wvu.FilterData" localSheetId="0" hidden="1">Outbound_Monitor!$A$2:$W$2</definedName>
    <definedName name="Z_3CB27230_F08E_448B_B3AC_24F81743F9E1_.wvu.FilterData" localSheetId="1" hidden="1">Inbound_Monitor!$A$2:$Q$2</definedName>
    <definedName name="Z_3CB27230_F08E_448B_B3AC_24F81743F9E1_.wvu.FilterData" localSheetId="0" hidden="1">Outbound_Monitor!$A$2:$W$2</definedName>
    <definedName name="Z_3CB4A90D_13B2_4AA7_A577_BEF1383497C7_.wvu.FilterData" localSheetId="4" hidden="1">Schichtübergabe_Protokoll!$B$3:$N$3</definedName>
    <definedName name="Z_3CBF73C7_1651_4C4D_B4E0_0E18F29CD948_.wvu.FilterData" localSheetId="0" hidden="1">Outbound_Monitor!$A$2:$W$3</definedName>
    <definedName name="Z_3CC6FB36_513B_4E82_BEAF_CE3A0161047A_.wvu.FilterData" localSheetId="1" hidden="1">Inbound_Monitor!$A$2:$Q$2</definedName>
    <definedName name="Z_3CC6FB36_513B_4E82_BEAF_CE3A0161047A_.wvu.FilterData" localSheetId="0" hidden="1">Outbound_Monitor!$A$2:$W$2</definedName>
    <definedName name="Z_3CDA6881_845C_4A2A_9DFE_498D23E80CFF_.wvu.FilterData" localSheetId="1" hidden="1">Inbound_Monitor!$A$2:$Q$13</definedName>
    <definedName name="Z_3CDA6881_845C_4A2A_9DFE_498D23E80CFF_.wvu.FilterData" localSheetId="0" hidden="1">Outbound_Monitor!$A$2:$W$3</definedName>
    <definedName name="Z_3CDBED37_8D57_4524_8ABB_51CB774DB517_.wvu.FilterData" localSheetId="1" hidden="1">Inbound_Monitor!$A$2:$Q$2</definedName>
    <definedName name="Z_3CDBED37_8D57_4524_8ABB_51CB774DB517_.wvu.FilterData" localSheetId="0" hidden="1">Outbound_Monitor!$A$2:$W$2</definedName>
    <definedName name="Z_3CE933B7_F02F_416E_8F63_9FA2DD07A7A4_.wvu.FilterData" localSheetId="0" hidden="1">Outbound_Monitor!$A$2:$W$3</definedName>
    <definedName name="Z_3CEADE0E_38C1_4FE0_8702_3E3CF9F8D3E6_.wvu.FilterData" localSheetId="0" hidden="1">Outbound_Monitor!$A$2:$W$3</definedName>
    <definedName name="Z_3CF35AD3_E962_4F5E_A402_65397CA543B3_.wvu.FilterData" localSheetId="0" hidden="1">Outbound_Monitor!$A$2:$X$16</definedName>
    <definedName name="Z_3CF8D26B_F494_4E45_9D94_43FAED94B8EC_.wvu.FilterData" localSheetId="0" hidden="1">Outbound_Monitor!$A$2:$W$3</definedName>
    <definedName name="Z_3D086A14_39F8_4BE3_BA38_01F0AF4447F0_.wvu.FilterData" localSheetId="1" hidden="1">Inbound_Monitor!$A$2:$Q$13</definedName>
    <definedName name="Z_3D086A14_39F8_4BE3_BA38_01F0AF4447F0_.wvu.FilterData" localSheetId="0" hidden="1">Outbound_Monitor!$A$2:$X$16</definedName>
    <definedName name="Z_3D24F67E_3855_457C_8B0F_C259E1B250FE_.wvu.FilterData" localSheetId="1" hidden="1">Inbound_Monitor!$A$2:$Q$13</definedName>
    <definedName name="Z_3D24F67E_3855_457C_8B0F_C259E1B250FE_.wvu.FilterData" localSheetId="0" hidden="1">Outbound_Monitor!$A$2:$X$16</definedName>
    <definedName name="Z_3D384B70_FD80_47D8_BC8A_D4E3F30FD0D0_.wvu.FilterData" localSheetId="0" hidden="1">Outbound_Monitor!$A$2:$W$3</definedName>
    <definedName name="Z_3D410D52_6858_4CC6_A84B_FFEE88C76261_.wvu.FilterData" localSheetId="1" hidden="1">Inbound_Monitor!$A$2:$Q$13</definedName>
    <definedName name="Z_3D49A858_A7FE_42D7_8A91_CD75DE8DEADB_.wvu.FilterData" localSheetId="0" hidden="1">Outbound_Monitor!$A$2:$W$3</definedName>
    <definedName name="Z_3D509AAD_ABBA_44C8_94F5_023A437A1ED6_.wvu.FilterData" localSheetId="0" hidden="1">Outbound_Monitor!$A$2:$W$3</definedName>
    <definedName name="Z_3D52C7AB_CD92_416C_A367_770FDE44FE6C_.wvu.FilterData" localSheetId="0" hidden="1">Outbound_Monitor!$A$2:$W$3</definedName>
    <definedName name="Z_3D5CC6AA_1230_4CF8_9070_C862BB922F41_.wvu.FilterData" localSheetId="0" hidden="1">Outbound_Monitor!$A$2:$W$3</definedName>
    <definedName name="Z_3D75F876_9619_4DC7_8C9D_4723CDE0471F_.wvu.FilterData" localSheetId="1" hidden="1">Inbound_Monitor!$A$2:$Q$13</definedName>
    <definedName name="Z_3D792B3C_221C_43CC_9939_CFADF86F06F9_.wvu.FilterData" localSheetId="0" hidden="1">Outbound_Monitor!$A$2:$W$3</definedName>
    <definedName name="Z_3D7DA386_2881_485F_A9B7_497AB77F447B_.wvu.FilterData" localSheetId="1" hidden="1">Inbound_Monitor!$A$2:$Q$13</definedName>
    <definedName name="Z_3D7DA386_2881_485F_A9B7_497AB77F447B_.wvu.FilterData" localSheetId="0" hidden="1">Outbound_Monitor!$A$2:$W$3</definedName>
    <definedName name="Z_3D7E32F2_9A88_42F3_A925_44ED241278C1_.wvu.FilterData" localSheetId="0" hidden="1">Outbound_Monitor!$A$2:$W$3</definedName>
    <definedName name="Z_3D7F9375_B99D_443E_B7EB_86A7AACCC6AF_.wvu.FilterData" localSheetId="0" hidden="1">Outbound_Monitor!$A$2:$X$16</definedName>
    <definedName name="Z_3D8327A5_1B5C_4F29_B230_BFF6E304FCA1_.wvu.FilterData" localSheetId="1" hidden="1">Inbound_Monitor!$A$2:$Q$3</definedName>
    <definedName name="Z_3D926050_BDD2_4D22_8B97_66CDA77EE73F_.wvu.FilterData" localSheetId="1" hidden="1">Inbound_Monitor!$A$2:$Q$13</definedName>
    <definedName name="Z_3D926050_BDD2_4D22_8B97_66CDA77EE73F_.wvu.FilterData" localSheetId="0" hidden="1">Outbound_Monitor!$A$2:$W$3</definedName>
    <definedName name="Z_3D9A9DF5_58FC_4F9D_A481_30A777FB3754_.wvu.FilterData" localSheetId="0" hidden="1">Outbound_Monitor!$A$2:$W$3</definedName>
    <definedName name="Z_3D9C7BAC_7AC3_4607_BB01_2ED3F1719ACC_.wvu.FilterData" localSheetId="1" hidden="1">Inbound_Monitor!$A$2:$Q$13</definedName>
    <definedName name="Z_3D9C7BAC_7AC3_4607_BB01_2ED3F1719ACC_.wvu.FilterData" localSheetId="0" hidden="1">Outbound_Monitor!$A$2:$W$3</definedName>
    <definedName name="Z_3D9F0F8D_5F69_4B45_96B6_C046276E671E_.wvu.FilterData" localSheetId="0" hidden="1">Outbound_Monitor!$A$2:$W$3</definedName>
    <definedName name="Z_3DA47145_E9A6_4C83_AC9B_5FBDE946D98A_.wvu.FilterData" localSheetId="0" hidden="1">Outbound_Monitor!$A$2:$X$16</definedName>
    <definedName name="Z_3DAF8966_30B4_423F_BC47_A66A61D76DC1_.wvu.FilterData" localSheetId="4" hidden="1">Schichtübergabe_Protokoll!$B$3:$N$3</definedName>
    <definedName name="Z_3DB152C2_6535_4A2B_B910_DBEE64881738_.wvu.Cols" localSheetId="1" hidden="1">Inbound_Monitor!#REF!</definedName>
    <definedName name="Z_3DB152C2_6535_4A2B_B910_DBEE64881738_.wvu.Cols" localSheetId="0" hidden="1">Outbound_Monitor!#REF!</definedName>
    <definedName name="Z_3DB152C2_6535_4A2B_B910_DBEE64881738_.wvu.FilterData" localSheetId="1" hidden="1">Inbound_Monitor!$A$2:$Q$3</definedName>
    <definedName name="Z_3DB152C2_6535_4A2B_B910_DBEE64881738_.wvu.FilterData" localSheetId="0" hidden="1">Outbound_Monitor!$A$2:$W$3</definedName>
    <definedName name="Z_3DB152C2_6535_4A2B_B910_DBEE64881738_.wvu.FilterData" localSheetId="4" hidden="1">Schichtübergabe_Protokoll!$B$3:$N$3</definedName>
    <definedName name="Z_3DBA71BE_2C10_408E_A944_25711DE866AA_.wvu.FilterData" localSheetId="1" hidden="1">Inbound_Monitor!$A$2:$Q$3</definedName>
    <definedName name="Z_3DBD6F3A_CAF1_4D9B_B01E_131C3CB2AB0C_.wvu.FilterData" localSheetId="0" hidden="1">Outbound_Monitor!$A$2:$W$3</definedName>
    <definedName name="Z_3DEB66B5_26A4_44A6_823E_982C0DF0C25A_.wvu.FilterData" localSheetId="1" hidden="1">Inbound_Monitor!$A$2:$Q$3</definedName>
    <definedName name="Z_3DED6780_0AAC_406D_A192_94DC2082F9A4_.wvu.FilterData" localSheetId="1" hidden="1">Inbound_Monitor!$A$2:$Q$3</definedName>
    <definedName name="Z_3DEEA020_8DA8_46C4_B3A8_F787A742138F_.wvu.FilterData" localSheetId="0" hidden="1">Outbound_Monitor!$A$2:$W$3</definedName>
    <definedName name="Z_3DFB3DEF_8651_4D8B_A3CF_17E1535AE22D_.wvu.FilterData" localSheetId="1" hidden="1">Inbound_Monitor!$A$2:$Q$3</definedName>
    <definedName name="Z_3DFB3DEF_8651_4D8B_A3CF_17E1535AE22D_.wvu.FilterData" localSheetId="0" hidden="1">Outbound_Monitor!$A$2:$W$3</definedName>
    <definedName name="Z_3DFB3DEF_8651_4D8B_A3CF_17E1535AE22D_.wvu.FilterData" localSheetId="4" hidden="1">Schichtübergabe_Protokoll!$B$3:$N$3</definedName>
    <definedName name="Z_3E03395B_021B_479B_88D6_4CB3A1C90048_.wvu.FilterData" localSheetId="0" hidden="1">Outbound_Monitor!$A$2:$W$3</definedName>
    <definedName name="Z_3E0486E6_40D1_40A9_9FB8_37CB9C208A85_.wvu.FilterData" localSheetId="0" hidden="1">Outbound_Monitor!$A$2:$W$3</definedName>
    <definedName name="Z_3E05C5DC_1A8C_41EE_9E5C_437342597056_.wvu.FilterData" localSheetId="1" hidden="1">Inbound_Monitor!$A$2:$Q$3</definedName>
    <definedName name="Z_3E05C5DC_1A8C_41EE_9E5C_437342597056_.wvu.FilterData" localSheetId="0" hidden="1">Outbound_Monitor!$A$2:$W$3</definedName>
    <definedName name="Z_3E16DF6E_0A6B_45FF_BBFA_15DE8B813D10_.wvu.FilterData" localSheetId="1" hidden="1">Inbound_Monitor!$A$2:$Q$13</definedName>
    <definedName name="Z_3E16DF6E_0A6B_45FF_BBFA_15DE8B813D10_.wvu.FilterData" localSheetId="0" hidden="1">Outbound_Monitor!$A$2:$W$3</definedName>
    <definedName name="Z_3E183208_D2F3_4E99_8C68_6615276FF345_.wvu.FilterData" localSheetId="0" hidden="1">Outbound_Monitor!$A$2:$W$3</definedName>
    <definedName name="Z_3E21DDD1_0B68_425B_B362_899C3E1524FC_.wvu.FilterData" localSheetId="1" hidden="1">Inbound_Monitor!$A$2:$Q$13</definedName>
    <definedName name="Z_3E23C405_4ECD_43B2_B1EC_7252E201FC84_.wvu.FilterData" localSheetId="1" hidden="1">Inbound_Monitor!$A$2:$Q$3</definedName>
    <definedName name="Z_3E249256_13C7_4FA8_BFB6_71D1E1A7556D_.wvu.FilterData" localSheetId="1" hidden="1">Inbound_Monitor!$A$2:$Q$13</definedName>
    <definedName name="Z_3E3B6D01_43A4_4AE5_B8EC_948E140685AD_.wvu.FilterData" localSheetId="0" hidden="1">Outbound_Monitor!$A$2:$X$16</definedName>
    <definedName name="Z_3E3BE1E4_3993_40DB_845F_B446735C1428_.wvu.FilterData" localSheetId="0" hidden="1">Outbound_Monitor!$A$2:$W$3</definedName>
    <definedName name="Z_3E4111E7_12D6_4DEA_ABFF_D33E36610372_.wvu.FilterData" localSheetId="0" hidden="1">Outbound_Monitor!$A$2:$W$3</definedName>
    <definedName name="Z_3E505535_70B8_4C3B_9CB2_C0D17093C5CF_.wvu.FilterData" localSheetId="1" hidden="1">Inbound_Monitor!$A$2:$Q$13</definedName>
    <definedName name="Z_3E57D1B5_5028_4232_A862_18F08666A6C9_.wvu.FilterData" localSheetId="0" hidden="1">Outbound_Monitor!$A$2:$W$3</definedName>
    <definedName name="Z_3E62F469_5884_4AF0_BBDF_DACE626E20AF_.wvu.FilterData" localSheetId="0" hidden="1">Outbound_Monitor!$A$2:$W$3</definedName>
    <definedName name="Z_3E759DC5_335C_462E_AFB3_47DCAC621602_.wvu.FilterData" localSheetId="0" hidden="1">Outbound_Monitor!$A$2:$W$3</definedName>
    <definedName name="Z_3E82DD60_85D7_4518_B91C_D793C30F31B4_.wvu.FilterData" localSheetId="0" hidden="1">Outbound_Monitor!$A$2:$W$3</definedName>
    <definedName name="Z_3E8CECD0_F76E_4045_A859_B13DE37255F6_.wvu.FilterData" localSheetId="0" hidden="1">Outbound_Monitor!$A$2:$W$3</definedName>
    <definedName name="Z_3E8FFB68_9D60_47FE_8A80_CD3B644E5D58_.wvu.FilterData" localSheetId="1" hidden="1">Inbound_Monitor!$A$2:$Q$2</definedName>
    <definedName name="Z_3E8FFB68_9D60_47FE_8A80_CD3B644E5D58_.wvu.FilterData" localSheetId="0" hidden="1">Outbound_Monitor!$A$2:$W$2</definedName>
    <definedName name="Z_3E9730E5_6480_4D97_B383_AFB64AC7D67C_.wvu.FilterData" localSheetId="0" hidden="1">Outbound_Monitor!$A$2:$W$3</definedName>
    <definedName name="Z_3EB586D1_3B54_4AE0_988B_AE042C497A7B_.wvu.FilterData" localSheetId="1" hidden="1">Inbound_Monitor!$A$2:$Q$2</definedName>
    <definedName name="Z_3EB586D1_3B54_4AE0_988B_AE042C497A7B_.wvu.FilterData" localSheetId="0" hidden="1">Outbound_Monitor!$A$2:$W$2</definedName>
    <definedName name="Z_3EB6F70B_B8AD_4DBF_A35C_F0EC629382C3_.wvu.FilterData" localSheetId="0" hidden="1">Outbound_Monitor!$A$2:$W$3</definedName>
    <definedName name="Z_3ECA30E6_B965_4DCA_9179_568DBAB7E279_.wvu.FilterData" localSheetId="0" hidden="1">Outbound_Monitor!$A$2:$W$3</definedName>
    <definedName name="Z_3ED5B0FD_2E1E_4D8A_B7D2_9C7C04BA1C5A_.wvu.FilterData" localSheetId="0" hidden="1">Outbound_Monitor!$A$2:$W$3</definedName>
    <definedName name="Z_3EDC8A8D_1CB5_4BD0_B464_FD9D93566FC6_.wvu.FilterData" localSheetId="0" hidden="1">Outbound_Monitor!$A$2:$X$16</definedName>
    <definedName name="Z_3EE07FB8_3537_45D4_801F_A8AABFC7A25B_.wvu.FilterData" localSheetId="0" hidden="1">Outbound_Monitor!$A$2:$W$3</definedName>
    <definedName name="Z_3EF34C95_64CB_4E34_AD04_8E33590B23C3_.wvu.FilterData" localSheetId="0" hidden="1">Outbound_Monitor!$A$2:$W$3</definedName>
    <definedName name="Z_3EF5927C_D570_4D2F_85F2_6240938B4202_.wvu.FilterData" localSheetId="0" hidden="1">Outbound_Monitor!$A$2:$W$3</definedName>
    <definedName name="Z_3EF6A79C_7CD0_4BA0_9155_3C1C94BD3951_.wvu.FilterData" localSheetId="0" hidden="1">Outbound_Monitor!$A$2:$W$3</definedName>
    <definedName name="Z_3EF853DA_418E_4D88_A4CF_210713F4435F_.wvu.FilterData" localSheetId="1" hidden="1">Inbound_Monitor!$A$2:$Q$3</definedName>
    <definedName name="Z_3F2E59D8_1CFC_49BB_9578_72424B296AD2_.wvu.FilterData" localSheetId="0" hidden="1">Outbound_Monitor!$A$2:$W$3</definedName>
    <definedName name="Z_3F3348B5_E30F_4578_8D2D_9D37C6C92923_.wvu.FilterData" localSheetId="1" hidden="1">Inbound_Monitor!$A$2:$Q$13</definedName>
    <definedName name="Z_3F3D4BF1_0486_4367_B7F8_9C7DB5A46A79_.wvu.FilterData" localSheetId="1" hidden="1">Inbound_Monitor!$A$2:$Q$2</definedName>
    <definedName name="Z_3F3D4BF1_0486_4367_B7F8_9C7DB5A46A79_.wvu.FilterData" localSheetId="0" hidden="1">Outbound_Monitor!$A$2:$W$2</definedName>
    <definedName name="Z_3F3EE44E_8F7C_460C_B3BE_E332A24C14A8_.wvu.FilterData" localSheetId="0" hidden="1">Outbound_Monitor!$A$2:$W$3</definedName>
    <definedName name="Z_3F58856A_0A25_4534_908F_2BC787963E40_.wvu.FilterData" localSheetId="0" hidden="1">Outbound_Monitor!$A$2:$X$16</definedName>
    <definedName name="Z_3F58903D_DF1D_4B7C_B5E2_B194973B8E35_.wvu.FilterData" localSheetId="1" hidden="1">Inbound_Monitor!$A$2:$Q$3</definedName>
    <definedName name="Z_3F615B6E_EDA4_42FB_BC0D_FE415E2D4BC7_.wvu.FilterData" localSheetId="0" hidden="1">Outbound_Monitor!$A$2:$W$3</definedName>
    <definedName name="Z_3F6382C5_0ECD_42E7_831D_1A07B221C40F_.wvu.FilterData" localSheetId="0" hidden="1">Outbound_Monitor!$A$2:$X$16</definedName>
    <definedName name="Z_3F694534_FBEA_493A_A2D7_C1A70B13CB03_.wvu.FilterData" localSheetId="1" hidden="1">Inbound_Monitor!$A$2:$Q$3</definedName>
    <definedName name="Z_3F694534_FBEA_493A_A2D7_C1A70B13CB03_.wvu.FilterData" localSheetId="0" hidden="1">Outbound_Monitor!$A$2:$W$3</definedName>
    <definedName name="Z_3F694534_FBEA_493A_A2D7_C1A70B13CB03_.wvu.FilterData" localSheetId="4" hidden="1">Schichtübergabe_Protokoll!$B$3:$N$3</definedName>
    <definedName name="Z_3F7794E4_4A8E_49B4_981A_677B6C626BA6_.wvu.FilterData" localSheetId="1" hidden="1">Inbound_Monitor!$A$2:$Q$3</definedName>
    <definedName name="Z_3F7AD910_110F_4791_B30E_72CD13E10732_.wvu.FilterData" localSheetId="0" hidden="1">Outbound_Monitor!$A$2:$W$3</definedName>
    <definedName name="Z_3F7E3C20_CB22_4A09_983A_EB70D825AA1D_.wvu.FilterData" localSheetId="1" hidden="1">Inbound_Monitor!$A$2:$Q$3</definedName>
    <definedName name="Z_3F7E3C20_CB22_4A09_983A_EB70D825AA1D_.wvu.FilterData" localSheetId="0" hidden="1">Outbound_Monitor!$A$2:$W$3</definedName>
    <definedName name="Z_3F98FCCA_D5F8_44F9_B0AB_9FCCD0185F13_.wvu.FilterData" localSheetId="1" hidden="1">Inbound_Monitor!$A$2:$Q$3</definedName>
    <definedName name="Z_3F9BA687_CCFE_43E4_8453_57F026A012ED_.wvu.FilterData" localSheetId="1" hidden="1">Inbound_Monitor!$A$2:$Q$3</definedName>
    <definedName name="Z_3F9CE6C0_F7E2_471E_8309_6E7553F88009_.wvu.FilterData" localSheetId="1" hidden="1">Inbound_Monitor!$A$2:$Q$3</definedName>
    <definedName name="Z_3F9CE6C0_F7E2_471E_8309_6E7553F88009_.wvu.FilterData" localSheetId="0" hidden="1">Outbound_Monitor!$A$2:$W$3</definedName>
    <definedName name="Z_3FA11999_8479_4271_A07B_DC02B7FA427F_.wvu.FilterData" localSheetId="1" hidden="1">Inbound_Monitor!$A$2:$Q$13</definedName>
    <definedName name="Z_3FA280F0_DC24_4417_9D71_300BBA881928_.wvu.FilterData" localSheetId="0" hidden="1">Outbound_Monitor!$A$2:$X$16</definedName>
    <definedName name="Z_3FA9F8FD_2165_45DF_84BB_1FBC6FF209A9_.wvu.FilterData" localSheetId="1" hidden="1">Inbound_Monitor!$A$2:$Q$13</definedName>
    <definedName name="Z_3FA9F8FD_2165_45DF_84BB_1FBC6FF209A9_.wvu.FilterData" localSheetId="0" hidden="1">Outbound_Monitor!$A$2:$X$16</definedName>
    <definedName name="Z_3FBD8A88_7B7C_4CFB_8DD2_1477DF9324F3_.wvu.FilterData" localSheetId="0" hidden="1">Outbound_Monitor!$A$2:$W$3</definedName>
    <definedName name="Z_3FDDE389_A558_4480_9B47_5BA622CB6E95_.wvu.FilterData" localSheetId="1" hidden="1">Inbound_Monitor!$A$2:$Q$13</definedName>
    <definedName name="Z_3FF787AA_D8B1_411E_8836_752DBA39F1CC_.wvu.FilterData" localSheetId="1" hidden="1">Inbound_Monitor!$A$2:$Q$3</definedName>
    <definedName name="Z_400E9CAC_9036_4DF8_BA09_1420761CB4DD_.wvu.FilterData" localSheetId="0" hidden="1">Outbound_Monitor!$A$2:$W$3</definedName>
    <definedName name="Z_400EDE37_2CF1_489D_907E_EF1BAEBE16D5_.wvu.FilterData" localSheetId="1" hidden="1">Inbound_Monitor!$A$2:$Q$2</definedName>
    <definedName name="Z_400EDE37_2CF1_489D_907E_EF1BAEBE16D5_.wvu.FilterData" localSheetId="0" hidden="1">Outbound_Monitor!$A$2:$W$2</definedName>
    <definedName name="Z_4036B532_74E1_4099_98AB_4753DD8C10B1_.wvu.FilterData" localSheetId="0" hidden="1">Outbound_Monitor!$A$2:$W$3</definedName>
    <definedName name="Z_403F5B35_4C1F_497E_A980_77586248A4DC_.wvu.FilterData" localSheetId="1" hidden="1">Inbound_Monitor!$A$2:$Q$13</definedName>
    <definedName name="Z_405507E2_A144_473C_960E_9203248EBD99_.wvu.FilterData" localSheetId="1" hidden="1">Inbound_Monitor!$A$2:$Q$13</definedName>
    <definedName name="Z_4058EACC_5B36_43FF_A53C_E18A353E40E2_.wvu.FilterData" localSheetId="0" hidden="1">Outbound_Monitor!$A$2:$W$3</definedName>
    <definedName name="Z_405DD9D8_85C6_4651_AA84_86BDF1B9EDDC_.wvu.FilterData" localSheetId="1" hidden="1">Inbound_Monitor!$A$2:$Q$3</definedName>
    <definedName name="Z_40638BE5_3370_4EA0_ABAD_88FA4F4A168B_.wvu.FilterData" localSheetId="0" hidden="1">Outbound_Monitor!$A$2:$W$3</definedName>
    <definedName name="Z_4081E594_FC06_45AE_95C2_F345C6D81B7C_.wvu.FilterData" localSheetId="0" hidden="1">Outbound_Monitor!$A$2:$X$16</definedName>
    <definedName name="Z_408BE816_0EA1_43EE_A6AA_F2938996CB95_.wvu.FilterData" localSheetId="0" hidden="1">Outbound_Monitor!$A$2:$W$3</definedName>
    <definedName name="Z_40983F17_9A4A_478F_9A3F_368C39B9464C_.wvu.FilterData" localSheetId="1" hidden="1">Inbound_Monitor!$A$2:$Q$3</definedName>
    <definedName name="Z_40A2E406_B6EF_4814_8C36_6D2945DEA0D7_.wvu.FilterData" localSheetId="1" hidden="1">Inbound_Monitor!$A$2:$Q$13</definedName>
    <definedName name="Z_40A2E406_B6EF_4814_8C36_6D2945DEA0D7_.wvu.FilterData" localSheetId="0" hidden="1">Outbound_Monitor!$A$2:$X$16</definedName>
    <definedName name="Z_40A5A608_4F6C_4D53_8227_7F1AEF9E40F6_.wvu.FilterData" localSheetId="0" hidden="1">Outbound_Monitor!$A$2:$X$16</definedName>
    <definedName name="Z_40A7900D_3CBD_4B37_B162_C8E28B3FE50E_.wvu.FilterData" localSheetId="1" hidden="1">Inbound_Monitor!$A$2:$Q$2</definedName>
    <definedName name="Z_40A7900D_3CBD_4B37_B162_C8E28B3FE50E_.wvu.FilterData" localSheetId="0" hidden="1">Outbound_Monitor!$A$2:$W$2</definedName>
    <definedName name="Z_40B4755E_4775_4FC4_9503_44F90E10293D_.wvu.FilterData" localSheetId="0" hidden="1">Outbound_Monitor!$A$2:$W$3</definedName>
    <definedName name="Z_40B92D1C_BB34_4D07_816C_6DC53B5A2F7E_.wvu.FilterData" localSheetId="0" hidden="1">Outbound_Monitor!$A$2:$X$16</definedName>
    <definedName name="Z_40BED111_FDB3_4F79_B080_8A5BB0DE9AC2_.wvu.FilterData" localSheetId="0" hidden="1">Outbound_Monitor!$A$2:$X$16</definedName>
    <definedName name="Z_40C67415_E9C5_4438_8617_23FEDBB7BC94_.wvu.FilterData" localSheetId="1" hidden="1">Inbound_Monitor!$A$2:$Q$13</definedName>
    <definedName name="Z_40C67415_E9C5_4438_8617_23FEDBB7BC94_.wvu.FilterData" localSheetId="0" hidden="1">Outbound_Monitor!$A$2:$X$16</definedName>
    <definedName name="Z_40D1D043_6E15_4262_918E_FDB1FE6F1438_.wvu.FilterData" localSheetId="0" hidden="1">Outbound_Monitor!$A$2:$W$3</definedName>
    <definedName name="Z_40D68BFE_6299_4674_9B41_AB398616136E_.wvu.FilterData" localSheetId="0" hidden="1">Outbound_Monitor!$A$2:$X$16</definedName>
    <definedName name="Z_40DE0A29_430F_4CA6_B039_4112B69ED73A_.wvu.FilterData" localSheetId="0" hidden="1">Outbound_Monitor!$A$2:$W$3</definedName>
    <definedName name="Z_40DE4F07_CFAE_482D_8F44_26DB8CDC9F3A_.wvu.FilterData" localSheetId="0" hidden="1">Outbound_Monitor!$A$2:$W$3</definedName>
    <definedName name="Z_40E62BA6_2E23_4301_8F61_36100FE27FF4_.wvu.FilterData" localSheetId="1" hidden="1">Inbound_Monitor!$A$2:$Q$3</definedName>
    <definedName name="Z_40EB9725_B866_4A09_B02A_EFD0EB55215F_.wvu.FilterData" localSheetId="0" hidden="1">Outbound_Monitor!$A$2:$W$3</definedName>
    <definedName name="Z_40F29B50_28D9_4F58_9739_A8035B96A2D8_.wvu.FilterData" localSheetId="0" hidden="1">Outbound_Monitor!$A$2:$W$3</definedName>
    <definedName name="Z_410951E0_094E_4E51_AE07_2D5ED9A41E6F_.wvu.FilterData" localSheetId="4" hidden="1">Schichtübergabe_Protokoll!$B$3:$N$3</definedName>
    <definedName name="Z_412A3AF0_2FF8_4F96_B454_87CF4D6895B1_.wvu.FilterData" localSheetId="1" hidden="1">Inbound_Monitor!$A$2:$Q$3</definedName>
    <definedName name="Z_4138B83D_7B84_479D_9B80_870EEF04084C_.wvu.FilterData" localSheetId="1" hidden="1">Inbound_Monitor!$A$2:$Q$13</definedName>
    <definedName name="Z_4138B83D_7B84_479D_9B80_870EEF04084C_.wvu.FilterData" localSheetId="0" hidden="1">Outbound_Monitor!$A$2:$W$3</definedName>
    <definedName name="Z_414997CD_67D4_42E5_9DA3_677321A4E9D8_.wvu.FilterData" localSheetId="1" hidden="1">Inbound_Monitor!$A$2:$Q$13</definedName>
    <definedName name="Z_414EA533_9DB3_4636_93F0_9B547ABE0403_.wvu.FilterData" localSheetId="1" hidden="1">Inbound_Monitor!$A$2:$Q$3</definedName>
    <definedName name="Z_415B1CAF_75B6_443A_90B3_B06C42B1555A_.wvu.FilterData" localSheetId="1" hidden="1">Inbound_Monitor!$A$2:$Q$13</definedName>
    <definedName name="Z_415B1CAF_75B6_443A_90B3_B06C42B1555A_.wvu.FilterData" localSheetId="0" hidden="1">Outbound_Monitor!$A$2:$X$16</definedName>
    <definedName name="Z_416EEB08_958B_46E0_B593_BC4DD71DB4C4_.wvu.FilterData" localSheetId="1" hidden="1">Inbound_Monitor!$A$2:$Q$13</definedName>
    <definedName name="Z_416EEB08_958B_46E0_B593_BC4DD71DB4C4_.wvu.FilterData" localSheetId="0" hidden="1">Outbound_Monitor!$A$2:$X$16</definedName>
    <definedName name="Z_417578C9_E986_4E30_AA5A_5CCFC62360B3_.wvu.FilterData" localSheetId="1" hidden="1">Inbound_Monitor!$A$2:$Q$2</definedName>
    <definedName name="Z_417578C9_E986_4E30_AA5A_5CCFC62360B3_.wvu.FilterData" localSheetId="0" hidden="1">Outbound_Monitor!$A$2:$W$2</definedName>
    <definedName name="Z_417DDBF2_C628_41B2_9126_E5375DA0E387_.wvu.FilterData" localSheetId="1" hidden="1">Inbound_Monitor!$A$2:$Q$13</definedName>
    <definedName name="Z_417DDBF2_C628_41B2_9126_E5375DA0E387_.wvu.FilterData" localSheetId="0" hidden="1">Outbound_Monitor!$A$2:$X$16</definedName>
    <definedName name="Z_4185BA83_DEEE_40C7_B7A1_237A59345954_.wvu.FilterData" localSheetId="0" hidden="1">Outbound_Monitor!$A$2:$X$16</definedName>
    <definedName name="Z_4189CDEE_B302_41B4_83AC_CD414B7E8625_.wvu.FilterData" localSheetId="0" hidden="1">Outbound_Monitor!$A$2:$W$3</definedName>
    <definedName name="Z_418C4BC4_BF5E_4E70_ACE9_E99BCCD7A56D_.wvu.FilterData" localSheetId="1" hidden="1">Inbound_Monitor!$A$2:$Q$2</definedName>
    <definedName name="Z_418C4BC4_BF5E_4E70_ACE9_E99BCCD7A56D_.wvu.FilterData" localSheetId="0" hidden="1">Outbound_Monitor!$A$2:$W$2</definedName>
    <definedName name="Z_418D2CEE_382B_4D0E_BFAF_85A06462EE22_.wvu.FilterData" localSheetId="0" hidden="1">Outbound_Monitor!$A$2:$W$3</definedName>
    <definedName name="Z_41BD6C7C_A505_43CA_B7CA_431DBF893D6E_.wvu.FilterData" localSheetId="1" hidden="1">Inbound_Monitor!$A$2:$Q$3</definedName>
    <definedName name="Z_41D6D052_E6A8_49F8_AFED_E0BB24E399F0_.wvu.FilterData" localSheetId="0" hidden="1">Outbound_Monitor!$A$2:$W$3</definedName>
    <definedName name="Z_41DC6114_1C56_43FD_B81D_D0A181133D34_.wvu.FilterData" localSheetId="1" hidden="1">Inbound_Monitor!$A$2:$Q$3</definedName>
    <definedName name="Z_41DC6114_1C56_43FD_B81D_D0A181133D34_.wvu.FilterData" localSheetId="0" hidden="1">Outbound_Monitor!$A$2:$W$3</definedName>
    <definedName name="Z_41E6D3AB_8B01_4817_861B_D5792354B3AD_.wvu.FilterData" localSheetId="1" hidden="1">Inbound_Monitor!$A$2:$Q$13</definedName>
    <definedName name="Z_41E6D3AB_8B01_4817_861B_D5792354B3AD_.wvu.FilterData" localSheetId="0" hidden="1">Outbound_Monitor!$A$2:$X$16</definedName>
    <definedName name="Z_41EF8CC3_52E3_490B_ABE7_ECF369621739_.wvu.FilterData" localSheetId="0" hidden="1">Outbound_Monitor!$A$2:$W$3</definedName>
    <definedName name="Z_4226B829_5468_4B26_A158_A79636B3DEDA_.wvu.FilterData" localSheetId="1" hidden="1">Inbound_Monitor!$A$2:$Q$3</definedName>
    <definedName name="Z_422B0D70_899A_4545_9294_C7C1C9BB87E0_.wvu.FilterData" localSheetId="1" hidden="1">Inbound_Monitor!$A$2:$Q$3</definedName>
    <definedName name="Z_422BF9A0_7ED8_4DD6_B01C_B70DDF96ABF0_.wvu.FilterData" localSheetId="0" hidden="1">Outbound_Monitor!$A$2:$W$3</definedName>
    <definedName name="Z_424D13B5_D29F_4AC8_851A_9FB75E29BBBF_.wvu.FilterData" localSheetId="1" hidden="1">Inbound_Monitor!$A$2:$Q$3</definedName>
    <definedName name="Z_424D13B5_D29F_4AC8_851A_9FB75E29BBBF_.wvu.FilterData" localSheetId="4" hidden="1">Schichtübergabe_Protokoll!$B$3:$N$3</definedName>
    <definedName name="Z_4259091D_D0F3_4F37_BEA1_28A56DCE2CAB_.wvu.FilterData" localSheetId="1" hidden="1">Inbound_Monitor!$A$2:$Q$13</definedName>
    <definedName name="Z_4259091D_D0F3_4F37_BEA1_28A56DCE2CAB_.wvu.FilterData" localSheetId="0" hidden="1">Outbound_Monitor!$A$2:$X$16</definedName>
    <definedName name="Z_4259091D_D0F3_4F37_BEA1_28A56DCE2CAB_.wvu.FilterData" localSheetId="4" hidden="1">Schichtübergabe_Protokoll!$B$3:$N$3</definedName>
    <definedName name="Z_425F8A0A_13FF_48DA_B672_D9A581771693_.wvu.FilterData" localSheetId="0" hidden="1">Outbound_Monitor!$A$2:$X$16</definedName>
    <definedName name="Z_425FF5B2_92BE_425E_A610_36BFE834462D_.wvu.FilterData" localSheetId="0" hidden="1">Outbound_Monitor!$A$2:$X$16</definedName>
    <definedName name="Z_426E8BF2_D8FD_4319_B391_00EF241D3616_.wvu.FilterData" localSheetId="1" hidden="1">Inbound_Monitor!$A$2:$Q$2</definedName>
    <definedName name="Z_426E8BF2_D8FD_4319_B391_00EF241D3616_.wvu.FilterData" localSheetId="0" hidden="1">Outbound_Monitor!$A$2:$W$2</definedName>
    <definedName name="Z_426EB6A1_B0D5_41A7_AE85_12F4A2A442CD_.wvu.FilterData" localSheetId="1" hidden="1">Inbound_Monitor!$A$2:$Q$3</definedName>
    <definedName name="Z_426EB6A1_B0D5_41A7_AE85_12F4A2A442CD_.wvu.FilterData" localSheetId="0" hidden="1">Outbound_Monitor!$A$2:$W$3</definedName>
    <definedName name="Z_426EDD90_2E28_4D67_A01E_5CA1774A972D_.wvu.FilterData" localSheetId="0" hidden="1">Outbound_Monitor!$A$2:$X$16</definedName>
    <definedName name="Z_426F9CF5_3109_4CB0_B90D_579EB72FD92F_.wvu.FilterData" localSheetId="0" hidden="1">Outbound_Monitor!$A$2:$W$3</definedName>
    <definedName name="Z_427F7EEE_D81D_47EB_AB5E_9210B82706AC_.wvu.FilterData" localSheetId="1" hidden="1">Inbound_Monitor!$A$2:$Q$3</definedName>
    <definedName name="Z_428F01C2_D797_47EA_85E1_93D3E361AE9E_.wvu.FilterData" localSheetId="1" hidden="1">Inbound_Monitor!$A$2:$Q$3</definedName>
    <definedName name="Z_428F01C2_D797_47EA_85E1_93D3E361AE9E_.wvu.FilterData" localSheetId="0" hidden="1">Outbound_Monitor!$A$2:$W$3</definedName>
    <definedName name="Z_42B269B7_A27E_430A_A8D5_180D90158F0F_.wvu.FilterData" localSheetId="0" hidden="1">Outbound_Monitor!$A$2:$W$3</definedName>
    <definedName name="Z_42BDEE92_90ED_4BD0_9C99_E1EB8B271259_.wvu.FilterData" localSheetId="0" hidden="1">Outbound_Monitor!$A$2:$W$3</definedName>
    <definedName name="Z_42C2AE9F_5239_44AB_8193_B89F7BE60AD8_.wvu.FilterData" localSheetId="1" hidden="1">Inbound_Monitor!$A$2:$Q$2</definedName>
    <definedName name="Z_42C2AE9F_5239_44AB_8193_B89F7BE60AD8_.wvu.FilterData" localSheetId="0" hidden="1">Outbound_Monitor!$A$2:$W$2</definedName>
    <definedName name="Z_42C793CB_076F_416C_B0DE_9197CDA4E75A_.wvu.FilterData" localSheetId="1" hidden="1">Inbound_Monitor!$A$2:$Q$3</definedName>
    <definedName name="Z_42C793CB_076F_416C_B0DE_9197CDA4E75A_.wvu.FilterData" localSheetId="0" hidden="1">Outbound_Monitor!$A$2:$W$3</definedName>
    <definedName name="Z_42D5A615_FDE8_4B3A_966D_4F12E1C89F74_.wvu.FilterData" localSheetId="0" hidden="1">Outbound_Monitor!$A$2:$W$3</definedName>
    <definedName name="Z_42E03CA8_C500_49F7_BBFE_7F076CB79D0F_.wvu.FilterData" localSheetId="1" hidden="1">Inbound_Monitor!$A$2:$Q$2</definedName>
    <definedName name="Z_42E03CA8_C500_49F7_BBFE_7F076CB79D0F_.wvu.FilterData" localSheetId="0" hidden="1">Outbound_Monitor!$A$2:$W$2</definedName>
    <definedName name="Z_42F6318D_6E56_42E8_8D72_3F8CC2360C87_.wvu.FilterData" localSheetId="1" hidden="1">Inbound_Monitor!$A$2:$Q$3</definedName>
    <definedName name="Z_431AAABE_F765_4BF1_B0C8_F6A12008D467_.wvu.FilterData" localSheetId="0" hidden="1">Outbound_Monitor!$A$2:$X$16</definedName>
    <definedName name="Z_43224762_CEA6_4093_BB25_EFEF1658D7C4_.wvu.FilterData" localSheetId="1" hidden="1">Inbound_Monitor!$A$2:$Q$3</definedName>
    <definedName name="Z_4324A21F_1902_4B38_BD7A_7C28F8143CC9_.wvu.FilterData" localSheetId="0" hidden="1">Outbound_Monitor!$A$2:$W$3</definedName>
    <definedName name="Z_433FFFFD_5798_4AF2_91A8_B12598AF30B5_.wvu.FilterData" localSheetId="0" hidden="1">Outbound_Monitor!$A$2:$W$3</definedName>
    <definedName name="Z_4356C43F_D40A_4A8D_91B0_36CB8FC5F0AC_.wvu.FilterData" localSheetId="0" hidden="1">Outbound_Monitor!$A$2:$X$16</definedName>
    <definedName name="Z_43573DD4_51CB_4B63_9A98_E87C361ABBC2_.wvu.FilterData" localSheetId="0" hidden="1">Outbound_Monitor!$A$2:$W$3</definedName>
    <definedName name="Z_435C6D0D_5ADE_4A05_8CE4_242FB39F2FD9_.wvu.FilterData" localSheetId="1" hidden="1">Inbound_Monitor!$A$2:$Q$3</definedName>
    <definedName name="Z_435C6D0D_5ADE_4A05_8CE4_242FB39F2FD9_.wvu.FilterData" localSheetId="0" hidden="1">Outbound_Monitor!$A$2:$W$3</definedName>
    <definedName name="Z_435C6D0D_5ADE_4A05_8CE4_242FB39F2FD9_.wvu.FilterData" localSheetId="4" hidden="1">Schichtübergabe_Protokoll!$B$3:$N$3</definedName>
    <definedName name="Z_43633300_823B_46C5_840A_070496097C55_.wvu.FilterData" localSheetId="0" hidden="1">Outbound_Monitor!$A$2:$W$3</definedName>
    <definedName name="Z_436DD56F_F1F7_4E7D_AF7E_F353BA46FB46_.wvu.FilterData" localSheetId="0" hidden="1">Outbound_Monitor!$A$2:$W$3</definedName>
    <definedName name="Z_43740726_8E12_4467_8518_03FE16A36AEB_.wvu.FilterData" localSheetId="1" hidden="1">Inbound_Monitor!$A$2:$Q$13</definedName>
    <definedName name="Z_43740726_8E12_4467_8518_03FE16A36AEB_.wvu.FilterData" localSheetId="0" hidden="1">Outbound_Monitor!$A$2:$W$3</definedName>
    <definedName name="Z_438B7896_ED33_4D73_B2BB_68B8D1FAD397_.wvu.FilterData" localSheetId="0" hidden="1">Outbound_Monitor!$A$2:$W$3</definedName>
    <definedName name="Z_438D25C0_B923_4D78_B612_F393CBF05476_.wvu.FilterData" localSheetId="1" hidden="1">Inbound_Monitor!$A$2:$Q$13</definedName>
    <definedName name="Z_4393FF22_2862_462B_AEFE_BE8162D26389_.wvu.FilterData" localSheetId="0" hidden="1">Outbound_Monitor!$A$2:$X$16</definedName>
    <definedName name="Z_43A00DAF_D4EC_46AA_A049_B833C8EA0147_.wvu.FilterData" localSheetId="0" hidden="1">Outbound_Monitor!$A$2:$W$3</definedName>
    <definedName name="Z_43A09C0F_FE5D_46AC_9C16_F2DBD0543AB9_.wvu.FilterData" localSheetId="1" hidden="1">Inbound_Monitor!$A$2:$Q$2</definedName>
    <definedName name="Z_43A09C0F_FE5D_46AC_9C16_F2DBD0543AB9_.wvu.FilterData" localSheetId="0" hidden="1">Outbound_Monitor!$A$2:$W$2</definedName>
    <definedName name="Z_43A3BC6B_66BC_4652_A94C_79C4B5723832_.wvu.FilterData" localSheetId="1" hidden="1">Inbound_Monitor!$A$2:$Q$3</definedName>
    <definedName name="Z_43A53F9B_8F0F_485F_8BD4_A1962FA3A829_.wvu.FilterData" localSheetId="0" hidden="1">Outbound_Monitor!$A$2:$W$3</definedName>
    <definedName name="Z_43B306E8_14B0_4682_8956_99C91F2B6042_.wvu.FilterData" localSheetId="0" hidden="1">Outbound_Monitor!$A$2:$W$3</definedName>
    <definedName name="Z_43B47669_8B2C_4751_8A7C_4D3075B771AF_.wvu.FilterData" localSheetId="1" hidden="1">Inbound_Monitor!$A$2:$Q$3</definedName>
    <definedName name="Z_43B9EAC3_B1BB_41E4_AC0F_F0EFDB166688_.wvu.FilterData" localSheetId="1" hidden="1">Inbound_Monitor!$A$2:$Q$3</definedName>
    <definedName name="Z_43B9EAC3_B1BB_41E4_AC0F_F0EFDB166688_.wvu.FilterData" localSheetId="0" hidden="1">Outbound_Monitor!$A$2:$W$3</definedName>
    <definedName name="Z_43CD6DFB_0814_4144_8BE7_B7B89E99880D_.wvu.FilterData" localSheetId="0" hidden="1">Outbound_Monitor!$A$2:$W$3</definedName>
    <definedName name="Z_43D1D097_FB17_4B5F_8F71_589EF3F712DC_.wvu.FilterData" localSheetId="0" hidden="1">Outbound_Monitor!$A$2:$W$3</definedName>
    <definedName name="Z_43F39A28_06BD_42DA_9CF6_BF17C32BBF3C_.wvu.FilterData" localSheetId="0" hidden="1">Outbound_Monitor!$A$2:$X$16</definedName>
    <definedName name="Z_43F78FC2_B2E0_49C0_AB93_00E0A741D7A5_.wvu.FilterData" localSheetId="0" hidden="1">Outbound_Monitor!$A$2:$W$3</definedName>
    <definedName name="Z_4402BF2A_4118_4F1B_8A40_5B2B51FB4134_.wvu.FilterData" localSheetId="0" hidden="1">Outbound_Monitor!$A$2:$X$16</definedName>
    <definedName name="Z_44076650_22E4_49BF_AF3D_7646B38D30A1_.wvu.FilterData" localSheetId="1" hidden="1">Inbound_Monitor!$A$2:$Q$2</definedName>
    <definedName name="Z_44076650_22E4_49BF_AF3D_7646B38D30A1_.wvu.FilterData" localSheetId="0" hidden="1">Outbound_Monitor!$A$2:$W$2</definedName>
    <definedName name="Z_440A0053_9394_4E66_B0CA_5D1978AFE076_.wvu.FilterData" localSheetId="0" hidden="1">Outbound_Monitor!$A$2:$W$3</definedName>
    <definedName name="Z_440BDD0B_5023_452D_9620_5A6006D649BD_.wvu.FilterData" localSheetId="1" hidden="1">Inbound_Monitor!$A$2:$Q$13</definedName>
    <definedName name="Z_440BDD0B_5023_452D_9620_5A6006D649BD_.wvu.FilterData" localSheetId="0" hidden="1">Outbound_Monitor!$A$2:$W$3</definedName>
    <definedName name="Z_440CD2AA_AA39_4131_97EA_B5C6818F6B4F_.wvu.Cols" localSheetId="1" hidden="1">Inbound_Monitor!#REF!</definedName>
    <definedName name="Z_440CD2AA_AA39_4131_97EA_B5C6818F6B4F_.wvu.Cols" localSheetId="0" hidden="1">Outbound_Monitor!#REF!</definedName>
    <definedName name="Z_440CD2AA_AA39_4131_97EA_B5C6818F6B4F_.wvu.FilterData" localSheetId="1" hidden="1">Inbound_Monitor!$A$2:$Q$3</definedName>
    <definedName name="Z_440CD2AA_AA39_4131_97EA_B5C6818F6B4F_.wvu.FilterData" localSheetId="0" hidden="1">Outbound_Monitor!$A$2:$W$3</definedName>
    <definedName name="Z_440CD2AA_AA39_4131_97EA_B5C6818F6B4F_.wvu.FilterData" localSheetId="4" hidden="1">Schichtübergabe_Protokoll!$B$3:$N$3</definedName>
    <definedName name="Z_440D5BDF_D990_4288_AA73_ED66A33FC81C_.wvu.FilterData" localSheetId="0" hidden="1">Outbound_Monitor!$A$2:$W$3</definedName>
    <definedName name="Z_4416CE76_CF65_40C7_9100_BCC7BE50AE7D_.wvu.FilterData" localSheetId="1" hidden="1">Inbound_Monitor!$A$2:$Q$13</definedName>
    <definedName name="Z_4416CE76_CF65_40C7_9100_BCC7BE50AE7D_.wvu.FilterData" localSheetId="0" hidden="1">Outbound_Monitor!$A$2:$W$3</definedName>
    <definedName name="Z_44274829_1D3D_4CEE_BD63_AA4F6B3241E7_.wvu.FilterData" localSheetId="1" hidden="1">Inbound_Monitor!$A$2:$Q$2</definedName>
    <definedName name="Z_44274829_1D3D_4CEE_BD63_AA4F6B3241E7_.wvu.FilterData" localSheetId="0" hidden="1">Outbound_Monitor!$A$2:$W$2</definedName>
    <definedName name="Z_443BA057_428C_4BE2_AAEC_254BB4DC7DE2_.wvu.FilterData" localSheetId="1" hidden="1">Inbound_Monitor!$A$2:$Q$3</definedName>
    <definedName name="Z_444CDD48_5F63_41CA_A6F0_177F91DBC88C_.wvu.FilterData" localSheetId="0" hidden="1">Outbound_Monitor!$A$2:$X$16</definedName>
    <definedName name="Z_444E6A90_E379_47A3_87AF_B966A1B897B8_.wvu.FilterData" localSheetId="0" hidden="1">Outbound_Monitor!$A$2:$W$3</definedName>
    <definedName name="Z_444ED700_45CB_41B4_B7A9_5FA3FFEDEEDC_.wvu.FilterData" localSheetId="0" hidden="1">Outbound_Monitor!$A$2:$W$3</definedName>
    <definedName name="Z_44505D97_DC36_49BA_AEA2_6523333CF7AB_.wvu.FilterData" localSheetId="0" hidden="1">Outbound_Monitor!$A$2:$W$3</definedName>
    <definedName name="Z_4465A7FA_8B16_4BA5_9AE8_93AD32F083D9_.wvu.FilterData" localSheetId="0" hidden="1">Outbound_Monitor!$A$2:$W$3</definedName>
    <definedName name="Z_446ABA4E_DE82_4783_B15C_6A045FB308D2_.wvu.FilterData" localSheetId="1" hidden="1">Inbound_Monitor!$A$2:$Q$13</definedName>
    <definedName name="Z_446ABA4E_DE82_4783_B15C_6A045FB308D2_.wvu.FilterData" localSheetId="0" hidden="1">Outbound_Monitor!$A$2:$W$3</definedName>
    <definedName name="Z_446F70A5_DA32_455A_8F44_5215D1BC8B15_.wvu.FilterData" localSheetId="1" hidden="1">Inbound_Monitor!$A$2:$Q$13</definedName>
    <definedName name="Z_446F9E7D_F4D5_45C0_85C1_B2D5670AB882_.wvu.FilterData" localSheetId="0" hidden="1">Outbound_Monitor!$A$2:$W$3</definedName>
    <definedName name="Z_4471B11B_68C3_4E5D_B51A_7E27C047E764_.wvu.FilterData" localSheetId="0" hidden="1">Outbound_Monitor!$A$2:$W$3</definedName>
    <definedName name="Z_4475994D_8CBB_47D1_8095_2990BEBCE52B_.wvu.FilterData" localSheetId="0" hidden="1">Outbound_Monitor!$A$2:$W$3</definedName>
    <definedName name="Z_447905A5_E544_4EFE_ACB3_E0CAFE0095C6_.wvu.FilterData" localSheetId="1" hidden="1">Inbound_Monitor!$A$2:$Q$3</definedName>
    <definedName name="Z_447E25D3_F20C_4E5A_A9FF_1BEC06DD4469_.wvu.FilterData" localSheetId="1" hidden="1">Inbound_Monitor!$A$2:$Q$3</definedName>
    <definedName name="Z_447E25D3_F20C_4E5A_A9FF_1BEC06DD4469_.wvu.FilterData" localSheetId="0" hidden="1">Outbound_Monitor!$A$2:$W$3</definedName>
    <definedName name="Z_448E1482_0B2E_402B_A1DA_F5EC34EF8793_.wvu.FilterData" localSheetId="0" hidden="1">Outbound_Monitor!$A$2:$X$16</definedName>
    <definedName name="Z_44C5385D_B63E_4CB3_ABD0_FD465E929797_.wvu.FilterData" localSheetId="0" hidden="1">Outbound_Monitor!$A$2:$W$3</definedName>
    <definedName name="Z_44C7B865_B1E8_4DB5_B9F2_6F99F8BB4D17_.wvu.FilterData" localSheetId="1" hidden="1">Inbound_Monitor!$A$2:$Q$3</definedName>
    <definedName name="Z_44C7B865_B1E8_4DB5_B9F2_6F99F8BB4D17_.wvu.FilterData" localSheetId="0" hidden="1">Outbound_Monitor!$A$2:$W$3</definedName>
    <definedName name="Z_44C81BE2_F1F1_408B_9AD2_9BC5CE043228_.wvu.FilterData" localSheetId="1" hidden="1">Inbound_Monitor!$A$2:$Q$3</definedName>
    <definedName name="Z_44E30F92_2DB0_46DF_A52B_01CA3889DED5_.wvu.FilterData" localSheetId="1" hidden="1">Inbound_Monitor!$A$2:$Q$13</definedName>
    <definedName name="Z_44E30F92_2DB0_46DF_A52B_01CA3889DED5_.wvu.FilterData" localSheetId="0" hidden="1">Outbound_Monitor!$A$2:$W$3</definedName>
    <definedName name="Z_44F41F81_6112_4F77_A039_346D4E260795_.wvu.FilterData" localSheetId="0" hidden="1">Outbound_Monitor!$A$2:$W$3</definedName>
    <definedName name="Z_45019966_0C52_48B7_84C8_790D11863BA4_.wvu.FilterData" localSheetId="1" hidden="1">Inbound_Monitor!$A$2:$Q$3</definedName>
    <definedName name="Z_45019966_0C52_48B7_84C8_790D11863BA4_.wvu.FilterData" localSheetId="0" hidden="1">Outbound_Monitor!$A$2:$W$3</definedName>
    <definedName name="Z_4503287D_D688_43DB_88FF_D7394A180914_.wvu.FilterData" localSheetId="0" hidden="1">Outbound_Monitor!#REF!</definedName>
    <definedName name="Z_452B2BA6_BFD0_4E76_B565_CF08B7676F28_.wvu.FilterData" localSheetId="0" hidden="1">Outbound_Monitor!$A$2:$W$3</definedName>
    <definedName name="Z_452BE1B7_CE9B_410C_BC5D_73EB4B550835_.wvu.FilterData" localSheetId="1" hidden="1">Inbound_Monitor!$A$2:$Q$13</definedName>
    <definedName name="Z_452D4BA9_8114_4D5B_80FA_DBBD065B44DB_.wvu.FilterData" localSheetId="1" hidden="1">Inbound_Monitor!$A$2:$Q$13</definedName>
    <definedName name="Z_45372F7D_3C0C_4340_8F31_6E7B2AB9D2EF_.wvu.FilterData" localSheetId="1" hidden="1">Inbound_Monitor!$A$2:$Q$13</definedName>
    <definedName name="Z_454E83AE_707A_4546_BF85_8585567761DA_.wvu.FilterData" localSheetId="0" hidden="1">Outbound_Monitor!$A$2:$X$16</definedName>
    <definedName name="Z_45510590_112D_4AB7_BD2B_5ABF621E6C71_.wvu.FilterData" localSheetId="0" hidden="1">Outbound_Monitor!$A$2:$W$3</definedName>
    <definedName name="Z_45541DD3_6598_454B_A61B_C7F106CECC2D_.wvu.Rows" localSheetId="3" hidden="1">'SDDS_Office (nicht nutzen)'!#REF!,'SDDS_Office (nicht nutzen)'!#REF!,'SDDS_Office (nicht nutzen)'!#REF!,'SDDS_Office (nicht nutzen)'!#REF!</definedName>
    <definedName name="Z_45548744_390E_4BC8_AD5D_4E8A34758C47_.wvu.FilterData" localSheetId="0" hidden="1">Outbound_Monitor!$A$2:$W$3</definedName>
    <definedName name="Z_455BD49A_861E_42A4_885E_3F94EE3C8302_.wvu.FilterData" localSheetId="0" hidden="1">Outbound_Monitor!$A$2:$W$3</definedName>
    <definedName name="Z_455C9662_87D1_4E0E_9609_88D7DFBE1D57_.wvu.FilterData" localSheetId="1" hidden="1">Inbound_Monitor!$A$2:$Q$3</definedName>
    <definedName name="Z_45635DEC_E33C_416E_A339_ADCC02D58750_.wvu.FilterData" localSheetId="0" hidden="1">Outbound_Monitor!$A$2:$W$3</definedName>
    <definedName name="Z_456B1A30_2D4E_4E3A_AEA7_FAA1E9740E64_.wvu.FilterData" localSheetId="1" hidden="1">Inbound_Monitor!$A$2:$Q$13</definedName>
    <definedName name="Z_457D8927_D2B6_4B54_873A_1CA82B4D10E8_.wvu.FilterData" localSheetId="0" hidden="1">Outbound_Monitor!$A$2:$W$3</definedName>
    <definedName name="Z_457D8927_D2B6_4B54_873A_1CA82B4D10E8_.wvu.FilterData" localSheetId="4" hidden="1">Schichtübergabe_Protokoll!$B$3:$N$3</definedName>
    <definedName name="Z_457DDA22_A979_453D_B614_9488FC33700A_.wvu.FilterData" localSheetId="0" hidden="1">Outbound_Monitor!$A$2:$W$3</definedName>
    <definedName name="Z_45815475_4877_44AC_83DD_D6C19B6ADB1F_.wvu.FilterData" localSheetId="1" hidden="1">Inbound_Monitor!$A$2:$Q$13</definedName>
    <definedName name="Z_4586B066_74F3_45FC_93FD_E01F3916F10A_.wvu.Rows" localSheetId="3" hidden="1">'SDDS_Office (nicht nutzen)'!#REF!,'SDDS_Office (nicht nutzen)'!#REF!,'SDDS_Office (nicht nutzen)'!#REF!</definedName>
    <definedName name="Z_458C4307_5D53_4A80_88EA_9D7603B5DF22_.wvu.FilterData" localSheetId="0" hidden="1">Outbound_Monitor!$A$2:$W$3</definedName>
    <definedName name="Z_4596A181_B36F_4ED1_86AB_F5A95DCDC24C_.wvu.FilterData" localSheetId="0" hidden="1">Outbound_Monitor!$A$2:$W$3</definedName>
    <definedName name="Z_4597B575_2AC5_4151_9F10_5AEC3D46FDB4_.wvu.FilterData" localSheetId="1" hidden="1">Inbound_Monitor!$A$2:$Q$3</definedName>
    <definedName name="Z_459F5BA1_F3CF_4BBB_8EA9_C8AA95036336_.wvu.FilterData" localSheetId="0" hidden="1">Outbound_Monitor!$A$2:$X$16</definedName>
    <definedName name="Z_45A8E538_05CC_44D0_8123_AD84081EEB18_.wvu.FilterData" localSheetId="1" hidden="1">Inbound_Monitor!$A$2:$Q$13</definedName>
    <definedName name="Z_45A8E538_05CC_44D0_8123_AD84081EEB18_.wvu.FilterData" localSheetId="0" hidden="1">Outbound_Monitor!$A$2:$W$3</definedName>
    <definedName name="Z_45AF01AC_B9E3_4B3A_8113_BBF33773D24A_.wvu.FilterData" localSheetId="1" hidden="1">Inbound_Monitor!$A$2:$Q$13</definedName>
    <definedName name="Z_45AF01AC_B9E3_4B3A_8113_BBF33773D24A_.wvu.FilterData" localSheetId="0" hidden="1">Outbound_Monitor!$A$2:$X$16</definedName>
    <definedName name="Z_45B15D3A_9366_4A33_8076_6523ED3A1D88_.wvu.FilterData" localSheetId="1" hidden="1">Inbound_Monitor!$A$2:$Q$3</definedName>
    <definedName name="Z_45B56B0F_3F2C_4EB3_BE64_134D1CF9D77E_.wvu.FilterData" localSheetId="0" hidden="1">Outbound_Monitor!$A$2:$W$3</definedName>
    <definedName name="Z_45B5D3B1_9383_40ED_8998_3E5024947D64_.wvu.FilterData" localSheetId="1" hidden="1">Inbound_Monitor!$A$2:$Q$13</definedName>
    <definedName name="Z_45B98640_5A41_4F37_89BE_CF9CC6142EC8_.wvu.FilterData" localSheetId="1" hidden="1">Inbound_Monitor!$A$2:$Q$3</definedName>
    <definedName name="Z_45B98640_5A41_4F37_89BE_CF9CC6142EC8_.wvu.FilterData" localSheetId="0" hidden="1">Outbound_Monitor!$A$2:$W$3</definedName>
    <definedName name="Z_45C864DC_AA0C_43B2_99F0_A3FA87CF20DB_.wvu.FilterData" localSheetId="0" hidden="1">Outbound_Monitor!$A$2:$W$3</definedName>
    <definedName name="Z_45D06DBC_3BE3_428F_A541_CBEB2D005F27_.wvu.FilterData" localSheetId="0" hidden="1">Outbound_Monitor!$A$2:$X$16</definedName>
    <definedName name="Z_45E3C7F2_2A15_446F_AA16_D7E26348C645_.wvu.FilterData" localSheetId="0" hidden="1">Outbound_Monitor!$A$2:$W$3</definedName>
    <definedName name="Z_45F4956D_62B6_42F0_92A4_58506CB37BF5_.wvu.FilterData" localSheetId="1" hidden="1">Inbound_Monitor!$A$2:$Q$13</definedName>
    <definedName name="Z_4601AB97_C687_42FF_9CDD_79CD39FB1599_.wvu.FilterData" localSheetId="0" hidden="1">Outbound_Monitor!$A$2:$W$3</definedName>
    <definedName name="Z_460C2085_B71F_435A_B0BA_EA5F843833D8_.wvu.FilterData" localSheetId="0" hidden="1">Outbound_Monitor!$A$2:$W$3</definedName>
    <definedName name="Z_461F9457_7436_439F_9F23_17BCC053958D_.wvu.FilterData" localSheetId="1" hidden="1">Inbound_Monitor!$A$2:$Q$13</definedName>
    <definedName name="Z_461F9457_7436_439F_9F23_17BCC053958D_.wvu.FilterData" localSheetId="0" hidden="1">Outbound_Monitor!$A$2:$W$3</definedName>
    <definedName name="Z_462B2100_B933_410C_A606_FCC12A81CD7D_.wvu.FilterData" localSheetId="0" hidden="1">Outbound_Monitor!$A$2:$W$3</definedName>
    <definedName name="Z_462F1D8D_18A3_4532_83DD_640F375701D7_.wvu.FilterData" localSheetId="1" hidden="1">Inbound_Monitor!$A$2:$Q$13</definedName>
    <definedName name="Z_462F1D8D_18A3_4532_83DD_640F375701D7_.wvu.FilterData" localSheetId="0" hidden="1">Outbound_Monitor!$A$2:$X$16</definedName>
    <definedName name="Z_46397303_092E_4E20_9295_B610982BD344_.wvu.FilterData" localSheetId="4" hidden="1">Schichtübergabe_Protokoll!$B$3:$N$3</definedName>
    <definedName name="Z_463B2375_3311_4F96_825D_F030B468F797_.wvu.FilterData" localSheetId="0" hidden="1">Outbound_Monitor!$A$2:$W$3</definedName>
    <definedName name="Z_46542405_C313_4453_B7D0_FA7491F5A717_.wvu.FilterData" localSheetId="1" hidden="1">Inbound_Monitor!$A$2:$Q$3</definedName>
    <definedName name="Z_46562541_59D7_4CEF_BD3E_7C7EC59DF479_.wvu.FilterData" localSheetId="0" hidden="1">Outbound_Monitor!$A$2:$W$3</definedName>
    <definedName name="Z_465F3A31_13B2_4601_96C7_2958A6A659A8_.wvu.FilterData" localSheetId="1" hidden="1">Inbound_Monitor!$A$2:$Q$3</definedName>
    <definedName name="Z_4661F112_8DF6_4D27_A895_03CF20C31D09_.wvu.FilterData" localSheetId="1" hidden="1">Inbound_Monitor!$A$2:$Q$3</definedName>
    <definedName name="Z_4661F112_8DF6_4D27_A895_03CF20C31D09_.wvu.FilterData" localSheetId="0" hidden="1">Outbound_Monitor!$A$2:$W$3</definedName>
    <definedName name="Z_4664A6FB_3531_48E8_8481_6F6499682932_.wvu.FilterData" localSheetId="0" hidden="1">Outbound_Monitor!$A$2:$W$3</definedName>
    <definedName name="Z_46703DDB_8DAA_470B_AD6A_32A5C9C68A3E_.wvu.FilterData" localSheetId="1" hidden="1">Inbound_Monitor!$A$2:$Q$13</definedName>
    <definedName name="Z_46703DDB_8DAA_470B_AD6A_32A5C9C68A3E_.wvu.FilterData" localSheetId="0" hidden="1">Outbound_Monitor!$A$2:$W$3</definedName>
    <definedName name="Z_46754859_9E9B_4D72_AEF3_49F03F505BFF_.wvu.FilterData" localSheetId="1" hidden="1">Inbound_Monitor!$A$2:$Q$13</definedName>
    <definedName name="Z_46754859_9E9B_4D72_AEF3_49F03F505BFF_.wvu.FilterData" localSheetId="0" hidden="1">Outbound_Monitor!$A$2:$X$16</definedName>
    <definedName name="Z_46754859_9E9B_4D72_AEF3_49F03F505BFF_.wvu.FilterData" localSheetId="4" hidden="1">Schichtübergabe_Protokoll!$B$3:$N$3</definedName>
    <definedName name="Z_467FECF5_E1C3_419D_9C25_564B0363F2F0_.wvu.FilterData" localSheetId="0" hidden="1">Outbound_Monitor!$A$2:$W$3</definedName>
    <definedName name="Z_468B34C8_2D2F_476B_8F06_FE5674029A1A_.wvu.FilterData" localSheetId="1" hidden="1">Inbound_Monitor!$A$2:$Q$2</definedName>
    <definedName name="Z_468B34C8_2D2F_476B_8F06_FE5674029A1A_.wvu.FilterData" localSheetId="0" hidden="1">Outbound_Monitor!$A$2:$W$2</definedName>
    <definedName name="Z_469A86E8_8C2F_4CCE_81DE_6D91B3396708_.wvu.FilterData" localSheetId="0" hidden="1">Outbound_Monitor!$A$2:$W$3</definedName>
    <definedName name="Z_46AEC33C_D03C_4A71_BF6F_25B6F76F08CF_.wvu.FilterData" localSheetId="1" hidden="1">Inbound_Monitor!$A$2:$Q$13</definedName>
    <definedName name="Z_46AEC33C_D03C_4A71_BF6F_25B6F76F08CF_.wvu.FilterData" localSheetId="0" hidden="1">Outbound_Monitor!$A$2:$W$3</definedName>
    <definedName name="Z_46C5E7EB_29B3_4246_8689_3CE92C84FB4D_.wvu.FilterData" localSheetId="0" hidden="1">Outbound_Monitor!$A$2:$W$3</definedName>
    <definedName name="Z_46CFE6A1_6A1A_48CE_9419_49708AF2C692_.wvu.FilterData" localSheetId="0" hidden="1">Outbound_Monitor!$A$2:$X$16</definedName>
    <definedName name="Z_46E615CA_A48D_4E7A_A2C4_B0DD0ABF83B2_.wvu.FilterData" localSheetId="0" hidden="1">Outbound_Monitor!$A$2:$W$3</definedName>
    <definedName name="Z_46FCAE1B_F49B_4D3A_BEC0_42B436765D15_.wvu.FilterData" localSheetId="1" hidden="1">Inbound_Monitor!$A$2:$Q$13</definedName>
    <definedName name="Z_46FCAE1B_F49B_4D3A_BEC0_42B436765D15_.wvu.FilterData" localSheetId="0" hidden="1">Outbound_Monitor!$A$2:$W$3</definedName>
    <definedName name="Z_4707D4AD_4AC8_43A8_A0F8_4395AD6804DF_.wvu.FilterData" localSheetId="1" hidden="1">Inbound_Monitor!$A$2:$Q$3</definedName>
    <definedName name="Z_470C3552_4E46_4D66_82B6_62A47904811C_.wvu.FilterData" localSheetId="1" hidden="1">Inbound_Monitor!$A$2:$Q$2</definedName>
    <definedName name="Z_470C3552_4E46_4D66_82B6_62A47904811C_.wvu.FilterData" localSheetId="0" hidden="1">Outbound_Monitor!$A$2:$W$2</definedName>
    <definedName name="Z_471A025C_0D95_4B30_9A8B_74B38A60A0F1_.wvu.FilterData" localSheetId="1" hidden="1">Inbound_Monitor!$A$2:$Q$3</definedName>
    <definedName name="Z_471B1796_6BDC_449D_9609_4A285CB23A5C_.wvu.FilterData" localSheetId="1" hidden="1">Inbound_Monitor!$A$2:$Q$3</definedName>
    <definedName name="Z_471C88FA_1BD9_45A3_9B1D_D8414ABC2440_.wvu.FilterData" localSheetId="1" hidden="1">Inbound_Monitor!$A$2:$Q$2</definedName>
    <definedName name="Z_471C88FA_1BD9_45A3_9B1D_D8414ABC2440_.wvu.FilterData" localSheetId="0" hidden="1">Outbound_Monitor!$A$2:$W$2</definedName>
    <definedName name="Z_47266601_2250_4A3D_AD51_3CE01CF080F0_.wvu.FilterData" localSheetId="0" hidden="1">Outbound_Monitor!$A$2:$X$16</definedName>
    <definedName name="Z_4734F102_FC6F_4EF3_BD01_2F80C5700E12_.wvu.FilterData" localSheetId="0" hidden="1">Outbound_Monitor!$A$2:$W$3</definedName>
    <definedName name="Z_47677C53_12E1_43DA_B2E7_8AA9BC07E115_.wvu.FilterData" localSheetId="0" hidden="1">Outbound_Monitor!$A$2:$W$3</definedName>
    <definedName name="Z_476B0548_91CC_4518_97F3_1C705E1A2B80_.wvu.FilterData" localSheetId="1" hidden="1">Inbound_Monitor!$A$2:$Q$2</definedName>
    <definedName name="Z_476B0548_91CC_4518_97F3_1C705E1A2B80_.wvu.FilterData" localSheetId="0" hidden="1">Outbound_Monitor!$A$2:$W$2</definedName>
    <definedName name="Z_4771D539_7F11_4C87_B0AD_4E106F059907_.wvu.FilterData" localSheetId="0" hidden="1">Outbound_Monitor!$A$2:$W$3</definedName>
    <definedName name="Z_478158A8_5B65_4F51_AE96_3435D8225A7F_.wvu.FilterData" localSheetId="0" hidden="1">Outbound_Monitor!$A$2:$W$3</definedName>
    <definedName name="Z_4789287A_9B89_4D2B_B7B8_AD31DDB398B2_.wvu.FilterData" localSheetId="1" hidden="1">Inbound_Monitor!$A$2:$Q$13</definedName>
    <definedName name="Z_479CB040_46D9_4DC0_AB8E_CCB77804DFB5_.wvu.FilterData" localSheetId="0" hidden="1">Outbound_Monitor!$A$2:$W$3</definedName>
    <definedName name="Z_47A2CCB5_D73D_475B_9C96_FB2E80825161_.wvu.FilterData" localSheetId="0" hidden="1">Outbound_Monitor!$A$2:$W$3</definedName>
    <definedName name="Z_47AA0644_E3A4_4304_A064_43FD31B921C0_.wvu.FilterData" localSheetId="0" hidden="1">Outbound_Monitor!$A$2:$W$3</definedName>
    <definedName name="Z_47BEA923_8B2C_4F2A_BCAA_FA9A2074B3AA_.wvu.FilterData" localSheetId="1" hidden="1">Inbound_Monitor!$A$2:$Q$3</definedName>
    <definedName name="Z_47C2B34F_8B3C_4A78_B2E5_7D7B097A0F6D_.wvu.FilterData" localSheetId="1" hidden="1">Inbound_Monitor!$A$2:$Q$3</definedName>
    <definedName name="Z_47D61D46_4D4F_4D87_94EB_9D594543CEEE_.wvu.FilterData" localSheetId="0" hidden="1">Outbound_Monitor!$A$2:$X$16</definedName>
    <definedName name="Z_480BFFF6_57A2_45DA_92C9_9F9DA6D781EB_.wvu.FilterData" localSheetId="0" hidden="1">Outbound_Monitor!$A$2:$W$3</definedName>
    <definedName name="Z_481ACBA3_CBE5_4938_AAE6_2CE61E43D33C_.wvu.FilterData" localSheetId="0" hidden="1">Outbound_Monitor!$A$2:$X$16</definedName>
    <definedName name="Z_48317042_D8A5_4F26_B6F9_5B4790EB7BC7_.wvu.FilterData" localSheetId="1" hidden="1">Inbound_Monitor!$A$2:$Q$13</definedName>
    <definedName name="Z_48317042_D8A5_4F26_B6F9_5B4790EB7BC7_.wvu.FilterData" localSheetId="0" hidden="1">Outbound_Monitor!$A$2:$W$3</definedName>
    <definedName name="Z_48332C8B_9522_4522_A13F_90CEDEC71D2C_.wvu.FilterData" localSheetId="0" hidden="1">Outbound_Monitor!$A$2:$X$16</definedName>
    <definedName name="Z_484B9BDF_AF87_4DA0_8A18_FD1AE130ADDA_.wvu.FilterData" localSheetId="0" hidden="1">Outbound_Monitor!$A$2:$W$3</definedName>
    <definedName name="Z_48526D2F_A613_4249_AFF0_92C0DC9E8B0F_.wvu.FilterData" localSheetId="0" hidden="1">Outbound_Monitor!$A$2:$W$3</definedName>
    <definedName name="Z_485A0EDF_D488_431C_809F_7D8C54E9EEF7_.wvu.FilterData" localSheetId="0" hidden="1">Outbound_Monitor!$A$2:$X$16</definedName>
    <definedName name="Z_485AB73C_B659_47A6_9FBD_FF1DD9A71A85_.wvu.FilterData" localSheetId="0" hidden="1">Outbound_Monitor!$A$2:$W$3</definedName>
    <definedName name="Z_485F147B_64F6_4102_8D59_2C6881E58665_.wvu.FilterData" localSheetId="0" hidden="1">Outbound_Monitor!$A$2:$W$3</definedName>
    <definedName name="Z_48768B01_C1C4_4C47_B4AF_4B5D9686D0F3_.wvu.FilterData" localSheetId="1" hidden="1">Inbound_Monitor!$A$2:$Q$3</definedName>
    <definedName name="Z_48768B01_C1C4_4C47_B4AF_4B5D9686D0F3_.wvu.FilterData" localSheetId="0" hidden="1">Outbound_Monitor!$A$2:$W$3</definedName>
    <definedName name="Z_48827CE8_F67F_4ABA_B0E4_69CF815AB7CE_.wvu.FilterData" localSheetId="0" hidden="1">Outbound_Monitor!$A$2:$W$3</definedName>
    <definedName name="Z_48874CF1_0D54_4466_B234_53F052B9B49E_.wvu.FilterData" localSheetId="1" hidden="1">Inbound_Monitor!$A$2:$Q$2</definedName>
    <definedName name="Z_48874CF1_0D54_4466_B234_53F052B9B49E_.wvu.FilterData" localSheetId="0" hidden="1">Outbound_Monitor!$A$2:$W$2</definedName>
    <definedName name="Z_48883643_24AE_46BB_8F4E_D36CA3AB9B25_.wvu.FilterData" localSheetId="0" hidden="1">Outbound_Monitor!$A$2:$W$3</definedName>
    <definedName name="Z_488CF8AC_3B65_4A9E_B74F_A4AE99618BC5_.wvu.FilterData" localSheetId="1" hidden="1">Inbound_Monitor!$A$2:$Q$2</definedName>
    <definedName name="Z_488CF8AC_3B65_4A9E_B74F_A4AE99618BC5_.wvu.FilterData" localSheetId="0" hidden="1">Outbound_Monitor!$A$2:$W$2</definedName>
    <definedName name="Z_489630CF_F714_4986_A2F6_250CCFEDB08F_.wvu.FilterData" localSheetId="1" hidden="1">Inbound_Monitor!$A$2:$Q$13</definedName>
    <definedName name="Z_489630CF_F714_4986_A2F6_250CCFEDB08F_.wvu.FilterData" localSheetId="0" hidden="1">Outbound_Monitor!$A$2:$W$3</definedName>
    <definedName name="Z_48B23693_3964_4621_BA35_77C4B7C7DEE6_.wvu.FilterData" localSheetId="1" hidden="1">Inbound_Monitor!$A$2:$Q$2</definedName>
    <definedName name="Z_48B23693_3964_4621_BA35_77C4B7C7DEE6_.wvu.FilterData" localSheetId="0" hidden="1">Outbound_Monitor!$A$2:$W$2</definedName>
    <definedName name="Z_48C0B290_B42C_4E62_8961_55C5F6124386_.wvu.FilterData" localSheetId="1" hidden="1">Inbound_Monitor!$A$2:$Q$13</definedName>
    <definedName name="Z_48C0B290_B42C_4E62_8961_55C5F6124386_.wvu.FilterData" localSheetId="0" hidden="1">Outbound_Monitor!$A$2:$X$16</definedName>
    <definedName name="Z_48C18D26_242B_4D4A_BE64_35042CA2182A_.wvu.FilterData" localSheetId="1" hidden="1">Inbound_Monitor!$A$2:$Q$3</definedName>
    <definedName name="Z_48C18D26_242B_4D4A_BE64_35042CA2182A_.wvu.FilterData" localSheetId="0" hidden="1">Outbound_Monitor!$A$2:$W$3</definedName>
    <definedName name="Z_48CB9C68_019A_4DDD_B37B_39561D138A9F_.wvu.FilterData" localSheetId="1" hidden="1">Inbound_Monitor!$A$2:$Q$13</definedName>
    <definedName name="Z_48CC73CE_F895_4C76_8A0A_3F319689BB4F_.wvu.FilterData" localSheetId="1" hidden="1">Inbound_Monitor!$A$2:$Q$13</definedName>
    <definedName name="Z_48CC73CE_F895_4C76_8A0A_3F319689BB4F_.wvu.FilterData" localSheetId="0" hidden="1">Outbound_Monitor!$A$2:$W$3</definedName>
    <definedName name="Z_48D1EAFB_7E79_4331_B3F2_63E50274208F_.wvu.FilterData" localSheetId="1" hidden="1">Inbound_Monitor!$A$2:$Q$2</definedName>
    <definedName name="Z_48D1EAFB_7E79_4331_B3F2_63E50274208F_.wvu.FilterData" localSheetId="0" hidden="1">Outbound_Monitor!$A$2:$W$2</definedName>
    <definedName name="Z_48DF5AD8_5DC2_42FD_86DF_F291D698215B_.wvu.FilterData" localSheetId="0" hidden="1">Outbound_Monitor!$A$2:$W$3</definedName>
    <definedName name="Z_48EB98AF_DEB7_400E_BB07_6E7E2E6399FB_.wvu.FilterData" localSheetId="0" hidden="1">Outbound_Monitor!$A$2:$W$3</definedName>
    <definedName name="Z_48F9A028_30BA_49BF_966D_5EBE32CEE2A7_.wvu.FilterData" localSheetId="0" hidden="1">Outbound_Monitor!$A$2:$W$3</definedName>
    <definedName name="Z_48F9B5E0_9055_4B09_9C52_07F65B550672_.wvu.FilterData" localSheetId="1" hidden="1">Inbound_Monitor!$A$2:$Q$3</definedName>
    <definedName name="Z_48F9B5E0_9055_4B09_9C52_07F65B550672_.wvu.FilterData" localSheetId="4" hidden="1">Schichtübergabe_Protokoll!$B$3:$N$3</definedName>
    <definedName name="Z_49069075_1A38_475E_A00D_997409F567BF_.wvu.FilterData" localSheetId="1" hidden="1">Inbound_Monitor!$A$2:$Q$3</definedName>
    <definedName name="Z_49138736_896A_41E6_A2E5_48A752893637_.wvu.FilterData" localSheetId="1" hidden="1">Inbound_Monitor!$A$2:$Q$2</definedName>
    <definedName name="Z_49138736_896A_41E6_A2E5_48A752893637_.wvu.FilterData" localSheetId="0" hidden="1">Outbound_Monitor!$A$2:$W$2</definedName>
    <definedName name="Z_4914ABAA_6208_4355_B86B_BFDBD78FD209_.wvu.FilterData" localSheetId="0" hidden="1">Outbound_Monitor!$A$2:$W$3</definedName>
    <definedName name="Z_4919886F_4604_41C2_B0AE_1AB1BC8EAABB_.wvu.FilterData" localSheetId="1" hidden="1">Inbound_Monitor!$A$2:$Q$3</definedName>
    <definedName name="Z_492112F3_D688_444E_A25B_E48B70D9B1E2_.wvu.FilterData" localSheetId="1" hidden="1">Inbound_Monitor!$A$2:$Q$13</definedName>
    <definedName name="Z_49241C42_D170_4284_A612_7A1AF5F534BB_.wvu.FilterData" localSheetId="0" hidden="1">Outbound_Monitor!$A$2:$W$3</definedName>
    <definedName name="Z_492648F6_39DF_48E8_9F7B_513A0AE20196_.wvu.FilterData" localSheetId="1" hidden="1">Inbound_Monitor!$A$2:$Q$3</definedName>
    <definedName name="Z_492648F6_39DF_48E8_9F7B_513A0AE20196_.wvu.FilterData" localSheetId="0" hidden="1">Outbound_Monitor!$A$2:$W$3</definedName>
    <definedName name="Z_4928F3D0_0E31_4252_8A3F_35053358592F_.wvu.FilterData" localSheetId="1" hidden="1">Inbound_Monitor!$A$2:$Q$2</definedName>
    <definedName name="Z_4928F3D0_0E31_4252_8A3F_35053358592F_.wvu.FilterData" localSheetId="0" hidden="1">Outbound_Monitor!$A$2:$W$2</definedName>
    <definedName name="Z_492CC097_3228_420B_92F3_3E9684F91ADC_.wvu.FilterData" localSheetId="0" hidden="1">Outbound_Monitor!$A$2:$W$3</definedName>
    <definedName name="Z_49370571_75D4_474C_8C98_C9F002BEBD1A_.wvu.FilterData" localSheetId="1" hidden="1">Inbound_Monitor!$A$2:$Q$2</definedName>
    <definedName name="Z_49370571_75D4_474C_8C98_C9F002BEBD1A_.wvu.FilterData" localSheetId="0" hidden="1">Outbound_Monitor!$A$2:$W$2</definedName>
    <definedName name="Z_494BEBA6_1D2A_42A9_AE6F_6C1FD1762A1D_.wvu.FilterData" localSheetId="0" hidden="1">Outbound_Monitor!$A$2:$W$3</definedName>
    <definedName name="Z_4951D47D_C701_45DA_B08A_3E4C1C235E0C_.wvu.FilterData" localSheetId="0" hidden="1">Outbound_Monitor!$A$2:$W$3</definedName>
    <definedName name="Z_495504F4_B877_4EEC_8F7E_D6B46CF01111_.wvu.FilterData" localSheetId="4" hidden="1">Schichtübergabe_Protokoll!$B$3:$N$3</definedName>
    <definedName name="Z_49563028_84D0_4AC5_AC0C_5A4627C0A991_.wvu.FilterData" localSheetId="0" hidden="1">Outbound_Monitor!$A$2:$X$16</definedName>
    <definedName name="Z_495A65DD_5BE2_417B_A461_056F97D804ED_.wvu.FilterData" localSheetId="0" hidden="1">Outbound_Monitor!$A$2:$W$3</definedName>
    <definedName name="Z_495D8729_48BD_4C4B_974D_AE992F6E6277_.wvu.FilterData" localSheetId="1" hidden="1">Inbound_Monitor!$A$2:$Q$13</definedName>
    <definedName name="Z_495D8729_48BD_4C4B_974D_AE992F6E6277_.wvu.FilterData" localSheetId="0" hidden="1">Outbound_Monitor!$A$2:$X$16</definedName>
    <definedName name="Z_496A0A38_A787_4BED_A5E3_4A617312982E_.wvu.FilterData" localSheetId="1" hidden="1">Inbound_Monitor!$A$2:$Q$13</definedName>
    <definedName name="Z_496A0A38_A787_4BED_A5E3_4A617312982E_.wvu.FilterData" localSheetId="0" hidden="1">Outbound_Monitor!$A$2:$X$16</definedName>
    <definedName name="Z_49735695_0450_4C1C_B0C9_7E24D2D673F2_.wvu.FilterData" localSheetId="0" hidden="1">Outbound_Monitor!$A$2:$W$3</definedName>
    <definedName name="Z_497922AF_E9A5_4DAB_AD76_E46749310C73_.wvu.FilterData" localSheetId="1" hidden="1">Inbound_Monitor!$A$2:$Q$3</definedName>
    <definedName name="Z_4994FFD7_2A2A_4C37_B6AA_A7A696405627_.wvu.FilterData" localSheetId="0" hidden="1">Outbound_Monitor!$A$2:$W$3</definedName>
    <definedName name="Z_49A0727D_D81F_44B5_BAA4_EDB0CE74222E_.wvu.FilterData" localSheetId="1" hidden="1">Inbound_Monitor!$A$2:$Q$3</definedName>
    <definedName name="Z_49A4C4DA_C0A1_40AE_9F55_FC9FBC852D8B_.wvu.FilterData" localSheetId="1" hidden="1">Inbound_Monitor!$A$2:$Q$13</definedName>
    <definedName name="Z_49A4C4DA_C0A1_40AE_9F55_FC9FBC852D8B_.wvu.FilterData" localSheetId="0" hidden="1">Outbound_Monitor!$A$2:$W$3</definedName>
    <definedName name="Z_49A53D25_FA86_48F5_BEFF_38A4DADD65A4_.wvu.FilterData" localSheetId="1" hidden="1">Inbound_Monitor!$A$2:$Q$2</definedName>
    <definedName name="Z_49A53D25_FA86_48F5_BEFF_38A4DADD65A4_.wvu.FilterData" localSheetId="0" hidden="1">Outbound_Monitor!$A$2:$W$2</definedName>
    <definedName name="Z_49AE6F31_20EA_4C22_9B5B_A4EC08F97FAA_.wvu.FilterData" localSheetId="1" hidden="1">Inbound_Monitor!$A$2:$Q$2</definedName>
    <definedName name="Z_49AE6F31_20EA_4C22_9B5B_A4EC08F97FAA_.wvu.FilterData" localSheetId="0" hidden="1">Outbound_Monitor!$A$2:$W$2</definedName>
    <definedName name="Z_49C07A5F_AEC6_4ADE_A790_A8F334D5647B_.wvu.FilterData" localSheetId="1" hidden="1">Inbound_Monitor!$A$2:$Q$3</definedName>
    <definedName name="Z_49C1D206_9BE0_499B_939A_86184D95EEA4_.wvu.FilterData" localSheetId="0" hidden="1">Outbound_Monitor!$A$2:$W$3</definedName>
    <definedName name="Z_49C94ED9_0FDE_4375_B9D2_9CA7F97AC3CF_.wvu.FilterData" localSheetId="0" hidden="1">Outbound_Monitor!$A$2:$W$3</definedName>
    <definedName name="Z_49C9CA10_FE8F_4D07_B3FE_13636A66D2FC_.wvu.FilterData" localSheetId="0" hidden="1">Outbound_Monitor!$A$2:$W$3</definedName>
    <definedName name="Z_49D74077_14F1_4515_BFF3_FE7BDA2550AC_.wvu.FilterData" localSheetId="1" hidden="1">Inbound_Monitor!$A$2:$Q$3</definedName>
    <definedName name="Z_49D74077_14F1_4515_BFF3_FE7BDA2550AC_.wvu.FilterData" localSheetId="0" hidden="1">Outbound_Monitor!$A$2:$W$3</definedName>
    <definedName name="Z_49E85273_8DA8_4703_A544_E026195C5596_.wvu.FilterData" localSheetId="0" hidden="1">Outbound_Monitor!$A$2:$W$3</definedName>
    <definedName name="Z_49EA6EB1_56B4_4C16_BD6E_84AEB51B9A4D_.wvu.FilterData" localSheetId="0" hidden="1">Outbound_Monitor!$A$2:$W$3</definedName>
    <definedName name="Z_4A0DBC34_E2AB_4576_8C31_927D56FE8E3D_.wvu.FilterData" localSheetId="1" hidden="1">Inbound_Monitor!$A$2:$Q$2</definedName>
    <definedName name="Z_4A0DBC34_E2AB_4576_8C31_927D56FE8E3D_.wvu.FilterData" localSheetId="0" hidden="1">Outbound_Monitor!$A$2:$W$2</definedName>
    <definedName name="Z_4A0FB0C7_24A9_4813_B4D8_6B8D35FBA1E2_.wvu.FilterData" localSheetId="1" hidden="1">Inbound_Monitor!$A$2:$Q$13</definedName>
    <definedName name="Z_4A1F4F24_1C3D_48CE_AE26_C9497878357B_.wvu.FilterData" localSheetId="1" hidden="1">Inbound_Monitor!$A$2:$Q$13</definedName>
    <definedName name="Z_4A1F4F24_1C3D_48CE_AE26_C9497878357B_.wvu.FilterData" localSheetId="0" hidden="1">Outbound_Monitor!$A$2:$X$16</definedName>
    <definedName name="Z_4A2A9249_E34A_4C19_8570_6EBCC98856AC_.wvu.FilterData" localSheetId="1" hidden="1">Inbound_Monitor!$A$2:$Q$3</definedName>
    <definedName name="Z_4A2A9249_E34A_4C19_8570_6EBCC98856AC_.wvu.FilterData" localSheetId="0" hidden="1">Outbound_Monitor!$A$2:$W$3</definedName>
    <definedName name="Z_4A2AF776_A08B_4FAE_8C31_EA7C7E8C7533_.wvu.FilterData" localSheetId="0" hidden="1">Outbound_Monitor!$A$2:$W$3</definedName>
    <definedName name="Z_4A2B34B9_0295_4685_9187_4FF0243B7EA5_.wvu.FilterData" localSheetId="0" hidden="1">Outbound_Monitor!$A$2:$X$16</definedName>
    <definedName name="Z_4A467526_47C0_4BB5_BEC9_01C01B8826A8_.wvu.FilterData" localSheetId="0" hidden="1">Outbound_Monitor!$A$2:$X$16</definedName>
    <definedName name="Z_4A507B51_A9BE_4D6E_85A5_B796048C8120_.wvu.FilterData" localSheetId="0" hidden="1">Outbound_Monitor!$A$2:$X$16</definedName>
    <definedName name="Z_4A6095C6_8980_429D_894C_687753A4EBC5_.wvu.FilterData" localSheetId="1" hidden="1">Inbound_Monitor!$A$2:$Q$3</definedName>
    <definedName name="Z_4A639514_640B_44A4_91EB_1C03BC976600_.wvu.FilterData" localSheetId="0" hidden="1">Outbound_Monitor!$A$2:$W$3</definedName>
    <definedName name="Z_4A6698F8_FF7F_46ED_B80B_3ACA3A6C8CE3_.wvu.FilterData" localSheetId="0" hidden="1">Outbound_Monitor!$A$2:$W$3</definedName>
    <definedName name="Z_4A66CA7D_5BDA_4D60_B814_22898C91D013_.wvu.FilterData" localSheetId="1" hidden="1">Inbound_Monitor!$A$2:$Q$3</definedName>
    <definedName name="Z_4A66CA7D_5BDA_4D60_B814_22898C91D013_.wvu.FilterData" localSheetId="0" hidden="1">Outbound_Monitor!$A$2:$W$3</definedName>
    <definedName name="Z_4A699165_5652_4787_910D_A3863042FB08_.wvu.FilterData" localSheetId="0" hidden="1">Outbound_Monitor!$A$2:$X$16</definedName>
    <definedName name="Z_4A78D174_D4B8_4A7D_ADDC_C1DBCB4F4E00_.wvu.FilterData" localSheetId="1" hidden="1">Inbound_Monitor!$A$2:$Q$3</definedName>
    <definedName name="Z_4A7A0029_6F45_43E4_811B_BCE2ACE1A577_.wvu.FilterData" localSheetId="1" hidden="1">Inbound_Monitor!$A$2:$Q$3</definedName>
    <definedName name="Z_4A84AA61_AA18_4F3B_B544_160C6EBD7943_.wvu.FilterData" localSheetId="0" hidden="1">Outbound_Monitor!$A$2:$W$3</definedName>
    <definedName name="Z_4A9F9314_83B3_4E60_9DE4_295EC7899DBD_.wvu.FilterData" localSheetId="0" hidden="1">Outbound_Monitor!$A$2:$W$3</definedName>
    <definedName name="Z_4AA650FD_4BAE_4D92_9986_165D897B9863_.wvu.FilterData" localSheetId="1" hidden="1">Inbound_Monitor!$A$2:$Q$13</definedName>
    <definedName name="Z_4AA650FD_4BAE_4D92_9986_165D897B9863_.wvu.FilterData" localSheetId="0" hidden="1">Outbound_Monitor!$A$2:$X$16</definedName>
    <definedName name="Z_4AAD0A80_8D92_4584_83FB_DC598DE6B935_.wvu.FilterData" localSheetId="1" hidden="1">Inbound_Monitor!$A$2:$Q$2</definedName>
    <definedName name="Z_4AAD0A80_8D92_4584_83FB_DC598DE6B935_.wvu.FilterData" localSheetId="0" hidden="1">Outbound_Monitor!$A$2:$W$2</definedName>
    <definedName name="Z_4AB63D72_5397_4151_BA88_1CD525505E16_.wvu.FilterData" localSheetId="0" hidden="1">Outbound_Monitor!$A$2:$W$3</definedName>
    <definedName name="Z_4AB967C7_1021_44D4_8A12_BB989471901E_.wvu.FilterData" localSheetId="0" hidden="1">Outbound_Monitor!$A$2:$W$3</definedName>
    <definedName name="Z_4AD0DDD4_D52B_4DA0_9F7B_C8A8B9C9B390_.wvu.FilterData" localSheetId="0" hidden="1">Outbound_Monitor!$A$2:$W$3</definedName>
    <definedName name="Z_4ADCEBA2_7965_4D93_A6CC_3A6A3D81B520_.wvu.FilterData" localSheetId="1" hidden="1">Inbound_Monitor!$A$2:$Q$3</definedName>
    <definedName name="Z_4AF5FAA2_6A69_4035_9EA9_5A43CC5856ED_.wvu.FilterData" localSheetId="0" hidden="1">Outbound_Monitor!$A$2:$X$16</definedName>
    <definedName name="Z_4B055AFD_816D_4B86_8F4E_910A0733CEE2_.wvu.FilterData" localSheetId="0" hidden="1">Outbound_Monitor!$A$2:$W$3</definedName>
    <definedName name="Z_4B14DF0D_6D22_4156_88E7_762B7C116383_.wvu.FilterData" localSheetId="1" hidden="1">Inbound_Monitor!$A$2:$Q$3</definedName>
    <definedName name="Z_4B33209B_27AF_4B0B_9677_774A81AC8634_.wvu.FilterData" localSheetId="1" hidden="1">Inbound_Monitor!$A$2:$Q$3</definedName>
    <definedName name="Z_4B33209B_27AF_4B0B_9677_774A81AC8634_.wvu.FilterData" localSheetId="4" hidden="1">Schichtübergabe_Protokoll!$B$3:$N$3</definedName>
    <definedName name="Z_4B351875_3F67_4BDD_AB48_5A4230453A06_.wvu.FilterData" localSheetId="0" hidden="1">Outbound_Monitor!$A$2:$W$3</definedName>
    <definedName name="Z_4B412266_CE42_4F4B_9F4E_2845CCE961FB_.wvu.FilterData" localSheetId="0" hidden="1">Outbound_Monitor!$A$2:$X$16</definedName>
    <definedName name="Z_4B461C90_A2DB_49C2_BF4D_297463E6FBB8_.wvu.FilterData" localSheetId="0" hidden="1">Outbound_Monitor!$A$2:$W$3</definedName>
    <definedName name="Z_4B498946_319D_44B0_A756_EFD6DA126941_.wvu.FilterData" localSheetId="0" hidden="1">Outbound_Monitor!$A$2:$W$3</definedName>
    <definedName name="Z_4B5E264B_F603_42F7_B484_8E4FB2F1E6F7_.wvu.FilterData" localSheetId="1" hidden="1">Inbound_Monitor!$A$2:$Q$2</definedName>
    <definedName name="Z_4B5E264B_F603_42F7_B484_8E4FB2F1E6F7_.wvu.FilterData" localSheetId="0" hidden="1">Outbound_Monitor!$A$2:$W$2</definedName>
    <definedName name="Z_4B634853_D8F9_4040_973C_11D59243F36D_.wvu.FilterData" localSheetId="1" hidden="1">Inbound_Monitor!$A$2:$Q$3</definedName>
    <definedName name="Z_4B634853_D8F9_4040_973C_11D59243F36D_.wvu.FilterData" localSheetId="0" hidden="1">Outbound_Monitor!$A$2:$W$3</definedName>
    <definedName name="Z_4B7DB1EC_D440_4159_BD59_8045A1D87E3A_.wvu.FilterData" localSheetId="1" hidden="1">Inbound_Monitor!$A$2:$Q$3</definedName>
    <definedName name="Z_4B9159FB_ADCD_4254_B8FF_2324A32AFC9B_.wvu.FilterData" localSheetId="0" hidden="1">Outbound_Monitor!$A$2:$W$3</definedName>
    <definedName name="Z_4B950847_2380_4FC2_9AC5_1DB72BEC1EB9_.wvu.FilterData" localSheetId="0" hidden="1">Outbound_Monitor!$A$2:$X$16</definedName>
    <definedName name="Z_4B9CFCFF_97A9_4D7B_BFA4_A3324AB1A53D_.wvu.FilterData" localSheetId="4" hidden="1">Schichtübergabe_Protokoll!$B$3:$N$3</definedName>
    <definedName name="Z_4BA1E20B_4668_44DA_B987_8A87FDABC405_.wvu.FilterData" localSheetId="0" hidden="1">Outbound_Monitor!$A$2:$W$3</definedName>
    <definedName name="Z_4BA9637E_38EF_4A17_9364_9686DC4B884A_.wvu.FilterData" localSheetId="0" hidden="1">Outbound_Monitor!$A$2:$W$3</definedName>
    <definedName name="Z_4BB31A89_AD13_4E64_8AD2_AFBA6BD71439_.wvu.FilterData" localSheetId="0" hidden="1">Outbound_Monitor!$A$2:$W$3</definedName>
    <definedName name="Z_4BB41059_2985_45C0_A6FC_21347463AE82_.wvu.FilterData" localSheetId="0" hidden="1">Outbound_Monitor!$A$2:$W$3</definedName>
    <definedName name="Z_4BC94CCB_2523_4DA3_8500_39171EF9642E_.wvu.FilterData" localSheetId="1" hidden="1">Inbound_Monitor!$A$2:$Q$13</definedName>
    <definedName name="Z_4BCB919F_3662_4780_B38F_262D6F1FBE00_.wvu.FilterData" localSheetId="0" hidden="1">Outbound_Monitor!$A$2:$X$16</definedName>
    <definedName name="Z_4BCEBA7B_33B4_4758_B432_AA0BA761491C_.wvu.FilterData" localSheetId="0" hidden="1">Outbound_Monitor!$A$2:$X$16</definedName>
    <definedName name="Z_4BDAD981_D6F9_431A_9447_6D2CA2D5B874_.wvu.FilterData" localSheetId="0" hidden="1">Outbound_Monitor!$A$2:$X$16</definedName>
    <definedName name="Z_4BF48E68_A25B_45DF_AC71_BB4E4B222EF5_.wvu.FilterData" localSheetId="0" hidden="1">Outbound_Monitor!$A$2:$W$3</definedName>
    <definedName name="Z_4BF913F1_152A_4C32_8BAD_16DC19862BFA_.wvu.FilterData" localSheetId="1" hidden="1">Inbound_Monitor!$A$2:$Q$2</definedName>
    <definedName name="Z_4BF913F1_152A_4C32_8BAD_16DC19862BFA_.wvu.FilterData" localSheetId="0" hidden="1">Outbound_Monitor!$A$2:$W$2</definedName>
    <definedName name="Z_4BFFC08C_6BCB_48AF_B4EE_27EB72472B1B_.wvu.FilterData" localSheetId="0" hidden="1">Outbound_Monitor!$A$2:$W$3</definedName>
    <definedName name="Z_4C03BB10_96A4_4D28_B4E3_144EC1FE5264_.wvu.FilterData" localSheetId="1" hidden="1">Inbound_Monitor!$A$2:$Q$13</definedName>
    <definedName name="Z_4C03BB10_96A4_4D28_B4E3_144EC1FE5264_.wvu.FilterData" localSheetId="0" hidden="1">Outbound_Monitor!$A$2:$X$16</definedName>
    <definedName name="Z_4C08DCEF_AF31_494F_8159_B1A6FDFEC000_.wvu.FilterData" localSheetId="1" hidden="1">Inbound_Monitor!$A$2:$Q$13</definedName>
    <definedName name="Z_4C0C1580_CE93_45D6_841B_E6E45212954D_.wvu.FilterData" localSheetId="0" hidden="1">Outbound_Monitor!$A$2:$W$3</definedName>
    <definedName name="Z_4C0D3DF9_1755_441A_A09D_DCAF9D3ECEB3_.wvu.Cols" localSheetId="1" hidden="1">Inbound_Monitor!#REF!</definedName>
    <definedName name="Z_4C0D3DF9_1755_441A_A09D_DCAF9D3ECEB3_.wvu.Cols" localSheetId="0" hidden="1">Outbound_Monitor!#REF!</definedName>
    <definedName name="Z_4C0D3DF9_1755_441A_A09D_DCAF9D3ECEB3_.wvu.FilterData" localSheetId="1" hidden="1">Inbound_Monitor!$A$2:$Q$3</definedName>
    <definedName name="Z_4C0D3DF9_1755_441A_A09D_DCAF9D3ECEB3_.wvu.FilterData" localSheetId="0" hidden="1">Outbound_Monitor!$A$2:$W$3</definedName>
    <definedName name="Z_4C0D3DF9_1755_441A_A09D_DCAF9D3ECEB3_.wvu.FilterData" localSheetId="4" hidden="1">Schichtübergabe_Protokoll!$B$3:$N$3</definedName>
    <definedName name="Z_4C10B16E_5AC2_4524_A16B_5FBCBDE315FA_.wvu.FilterData" localSheetId="0" hidden="1">Outbound_Monitor!$A$2:$W$3</definedName>
    <definedName name="Z_4C1262D0_881F_44FA_B804_2B82EA3CD853_.wvu.FilterData" localSheetId="1" hidden="1">Inbound_Monitor!$A$2:$Q$3</definedName>
    <definedName name="Z_4C1262D0_881F_44FA_B804_2B82EA3CD853_.wvu.FilterData" localSheetId="0" hidden="1">Outbound_Monitor!$A$2:$W$3</definedName>
    <definedName name="Z_4C27223F_C0CF_4AA2_BC15_9D6AF0427E3D_.wvu.FilterData" localSheetId="0" hidden="1">Outbound_Monitor!$A$2:$W$3</definedName>
    <definedName name="Z_4C3312DF_6497_404D_830F_31D28D3032E6_.wvu.FilterData" localSheetId="0" hidden="1">Outbound_Monitor!$A$2:$W$3</definedName>
    <definedName name="Z_4C3EFCB1_83ED_4216_900A_7FCA3977B521_.wvu.FilterData" localSheetId="0" hidden="1">Outbound_Monitor!$A$2:$W$3</definedName>
    <definedName name="Z_4C4FA807_AABC_4C77_BA8E_7A117B588794_.wvu.FilterData" localSheetId="1" hidden="1">Inbound_Monitor!$A$2:$Q$3</definedName>
    <definedName name="Z_4C5024E9_F8E2_4C32_AA42_899901BA5BBF_.wvu.FilterData" localSheetId="1" hidden="1">Inbound_Monitor!$A$2:$Q$13</definedName>
    <definedName name="Z_4C5024E9_F8E2_4C32_AA42_899901BA5BBF_.wvu.FilterData" localSheetId="0" hidden="1">Outbound_Monitor!$A$2:$W$3</definedName>
    <definedName name="Z_4C50929A_18E5_4151_9007_E1A0008A09AE_.wvu.FilterData" localSheetId="1" hidden="1">Inbound_Monitor!$A$2:$Q$3</definedName>
    <definedName name="Z_4C50F117_0DF0_4797_A69F_F0105FFA2DB9_.wvu.FilterData" localSheetId="0" hidden="1">Outbound_Monitor!$A$2:$W$3</definedName>
    <definedName name="Z_4C51C43A_9CB0_444C_8B2D_9681C222D13C_.wvu.FilterData" localSheetId="1" hidden="1">Inbound_Monitor!$A$2:$Q$13</definedName>
    <definedName name="Z_4C51C43A_9CB0_444C_8B2D_9681C222D13C_.wvu.FilterData" localSheetId="0" hidden="1">Outbound_Monitor!$A$2:$W$3</definedName>
    <definedName name="Z_4C5AB345_9B5D_4867_8350_141465230643_.wvu.FilterData" localSheetId="0" hidden="1">Outbound_Monitor!$A$2:$W$3</definedName>
    <definedName name="Z_4C69FD09_9AD7_4DFE_B3E9_A023B692EE09_.wvu.FilterData" localSheetId="0" hidden="1">Outbound_Monitor!$A$2:$W$3</definedName>
    <definedName name="Z_4C7A7AE5_2944_427D_ADA2_861E79797C26_.wvu.FilterData" localSheetId="0" hidden="1">Outbound_Monitor!$A$2:$W$3</definedName>
    <definedName name="Z_4C7B84A1_0F8E_4C46_B7E5_5477956E7E20_.wvu.FilterData" localSheetId="1" hidden="1">Inbound_Monitor!$A$2:$Q$3</definedName>
    <definedName name="Z_4C870EE1_8C2B_4692_A874_97F820E72372_.wvu.FilterData" localSheetId="0" hidden="1">Outbound_Monitor!$A$2:$W$3</definedName>
    <definedName name="Z_4C8C1BC6_BAE1_4F3F_B0EF_A2A4053ECE6B_.wvu.FilterData" localSheetId="1" hidden="1">Inbound_Monitor!$A$2:$Q$2</definedName>
    <definedName name="Z_4C8C1BC6_BAE1_4F3F_B0EF_A2A4053ECE6B_.wvu.FilterData" localSheetId="0" hidden="1">Outbound_Monitor!$A$2:$W$2</definedName>
    <definedName name="Z_4C926DD1_AF5E_4081_A5FD_D1246F29D023_.wvu.FilterData" localSheetId="1" hidden="1">Inbound_Monitor!$A$2:$Q$13</definedName>
    <definedName name="Z_4C9412EE_E442_4794_953A_DDD1A1F85521_.wvu.FilterData" localSheetId="0" hidden="1">Outbound_Monitor!$A$2:$W$3</definedName>
    <definedName name="Z_4C9D4C2D_8D58_4504_8C35_ED5CDC2F7B91_.wvu.FilterData" localSheetId="0" hidden="1">Outbound_Monitor!$A$2:$W$3</definedName>
    <definedName name="Z_4C9EADBC_0D37_45E1_9192_3A59C20C680B_.wvu.FilterData" localSheetId="0" hidden="1">Outbound_Monitor!$A$2:$W$3</definedName>
    <definedName name="Z_4CB6F0A9_D958_42D2_A294_1A15B00810E4_.wvu.FilterData" localSheetId="0" hidden="1">Outbound_Monitor!$A$2:$W$3</definedName>
    <definedName name="Z_4CB77BCC_F2DF_4C32_8B03_DAEDE2A6BCD1_.wvu.FilterData" localSheetId="0" hidden="1">Outbound_Monitor!$A$2:$X$16</definedName>
    <definedName name="Z_4CC553F7_B318_44B9_B5D9_F39637930881_.wvu.FilterData" localSheetId="0" hidden="1">Outbound_Monitor!$A$2:$W$3</definedName>
    <definedName name="Z_4CC5D397_F4F4_40DB_A22B_AC22B85C46BA_.wvu.FilterData" localSheetId="0" hidden="1">Outbound_Monitor!$A$2:$W$3</definedName>
    <definedName name="Z_4CD64FB1_15FA_4841_8111_CF67A979AB72_.wvu.FilterData" localSheetId="0" hidden="1">Outbound_Monitor!$A$2:$W$3</definedName>
    <definedName name="Z_4CE1670C_2016_4A7E_8870_94AA25E6E4AA_.wvu.FilterData" localSheetId="0" hidden="1">Outbound_Monitor!$A$2:$W$3</definedName>
    <definedName name="Z_4CF79DFE_0822_48C4_B599_6B2E7F216E9C_.wvu.FilterData" localSheetId="0" hidden="1">Outbound_Monitor!$A$2:$X$16</definedName>
    <definedName name="Z_4D00C6E8_E247_48CD_80E9_99D261610513_.wvu.FilterData" localSheetId="0" hidden="1">Outbound_Monitor!$A$2:$W$3</definedName>
    <definedName name="Z_4D0471E1_6CF9_4E00_A770_C60173697241_.wvu.FilterData" localSheetId="1" hidden="1">Inbound_Monitor!$A$2:$Q$3</definedName>
    <definedName name="Z_4D0C62A1_78CB_4A97_8812_91E0D8384D40_.wvu.FilterData" localSheetId="0" hidden="1">Outbound_Monitor!$A$2:$X$16</definedName>
    <definedName name="Z_4D128266_C47E_4A59_ACC8_254C8EFA10EC_.wvu.FilterData" localSheetId="1" hidden="1">Inbound_Monitor!$A$2:$Q$3</definedName>
    <definedName name="Z_4D181B45_4DBC_4B56_B1EA_778361194712_.wvu.FilterData" localSheetId="1" hidden="1">Inbound_Monitor!$A$2:$Q$3</definedName>
    <definedName name="Z_4D181B45_4DBC_4B56_B1EA_778361194712_.wvu.FilterData" localSheetId="0" hidden="1">Outbound_Monitor!$A$2:$W$3</definedName>
    <definedName name="Z_4D288764_F0BD_4CD6_A07E_53C69936D2DA_.wvu.FilterData" localSheetId="0" hidden="1">Outbound_Monitor!$A$2:$W$3</definedName>
    <definedName name="Z_4D377ABF_9C12_4605_A9D5_9B0ADDA1C38B_.wvu.FilterData" localSheetId="0" hidden="1">Outbound_Monitor!$A$2:$W$3</definedName>
    <definedName name="Z_4D3FF4A9_D257_41FB_BD75_E2D51DFC0B67_.wvu.FilterData" localSheetId="1" hidden="1">Inbound_Monitor!$A$2:$Q$13</definedName>
    <definedName name="Z_4D3FF4A9_D257_41FB_BD75_E2D51DFC0B67_.wvu.FilterData" localSheetId="0" hidden="1">Outbound_Monitor!$A$2:$X$16</definedName>
    <definedName name="Z_4D4A1521_64E2_4C3C_88CB_BCDD10186E09_.wvu.FilterData" localSheetId="1" hidden="1">Inbound_Monitor!$A$2:$Q$3</definedName>
    <definedName name="Z_4D54602F_D6BB_4F36_B70F_BB2689EA9357_.wvu.FilterData" localSheetId="0" hidden="1">Outbound_Monitor!$A$2:$X$16</definedName>
    <definedName name="Z_4D712C16_EA3B_4B06_A9D1_D6DFD1017C03_.wvu.FilterData" localSheetId="1" hidden="1">Inbound_Monitor!$A$2:$Q$13</definedName>
    <definedName name="Z_4D7B0DB8_9727_4960_B08C_E5B612875A1C_.wvu.FilterData" localSheetId="1" hidden="1">Inbound_Monitor!$A$2:$Q$13</definedName>
    <definedName name="Z_4D7B0DB8_9727_4960_B08C_E5B612875A1C_.wvu.FilterData" localSheetId="0" hidden="1">Outbound_Monitor!$A$2:$X$16</definedName>
    <definedName name="Z_4D89E404_C231_450A_AC92_B1DEA2D430E1_.wvu.FilterData" localSheetId="0" hidden="1">Outbound_Monitor!$A$2:$X$16</definedName>
    <definedName name="Z_4DAA6891_E9B9_4D3D_A601_3F581604F2DB_.wvu.FilterData" localSheetId="0" hidden="1">Outbound_Monitor!$A$2:$W$3</definedName>
    <definedName name="Z_4DC50F96_4A68_4660_B46C_8F9ED72D7141_.wvu.Cols" localSheetId="1" hidden="1">Inbound_Monitor!#REF!</definedName>
    <definedName name="Z_4DC50F96_4A68_4660_B46C_8F9ED72D7141_.wvu.Cols" localSheetId="0" hidden="1">Outbound_Monitor!#REF!</definedName>
    <definedName name="Z_4DC50F96_4A68_4660_B46C_8F9ED72D7141_.wvu.FilterData" localSheetId="1" hidden="1">Inbound_Monitor!$A$2:$Q$3</definedName>
    <definedName name="Z_4DC50F96_4A68_4660_B46C_8F9ED72D7141_.wvu.FilterData" localSheetId="0" hidden="1">Outbound_Monitor!$A$2:$W$3</definedName>
    <definedName name="Z_4DC50F96_4A68_4660_B46C_8F9ED72D7141_.wvu.FilterData" localSheetId="4" hidden="1">Schichtübergabe_Protokoll!$B$3:$N$3</definedName>
    <definedName name="Z_4DC9F2C5_2A81_4B5B_A403_3772B1BF1BC3_.wvu.FilterData" localSheetId="0" hidden="1">Outbound_Monitor!$A$2:$W$3</definedName>
    <definedName name="Z_4DCB1E52_1B35_4A4E_AD3F_44C10794CD0D_.wvu.FilterData" localSheetId="1" hidden="1">Inbound_Monitor!$A$2:$Q$13</definedName>
    <definedName name="Z_4DE5625D_5520_4D9D_AB5E_9F5441DEC0EC_.wvu.FilterData" localSheetId="1" hidden="1">Inbound_Monitor!$A$2:$Q$13</definedName>
    <definedName name="Z_4DE5625D_5520_4D9D_AB5E_9F5441DEC0EC_.wvu.FilterData" localSheetId="0" hidden="1">Outbound_Monitor!$A$2:$X$16</definedName>
    <definedName name="Z_4DE71017_3FE5_47BF_BCA2_8FEECCA644C5_.wvu.FilterData" localSheetId="0" hidden="1">Outbound_Monitor!$A$2:$W$3</definedName>
    <definedName name="Z_4DEBCDA2_AD48_4242_A2C2_0D34C03BCEDF_.wvu.FilterData" localSheetId="1" hidden="1">Inbound_Monitor!$A$2:$Q$13</definedName>
    <definedName name="Z_4DEBCDA2_AD48_4242_A2C2_0D34C03BCEDF_.wvu.FilterData" localSheetId="0" hidden="1">Outbound_Monitor!$A$2:$W$3</definedName>
    <definedName name="Z_4DEBCDA2_AD48_4242_A2C2_0D34C03BCEDF_.wvu.FilterData" localSheetId="4" hidden="1">Schichtübergabe_Protokoll!$B$3:$N$3</definedName>
    <definedName name="Z_4DF3A4A3_CC1D_4FDA_BF82_68303CBF2F9F_.wvu.FilterData" localSheetId="0" hidden="1">Outbound_Monitor!$A$2:$X$16</definedName>
    <definedName name="Z_4DF4B906_9D31_453B_AF06_71EFA2B33E8C_.wvu.FilterData" localSheetId="0" hidden="1">Outbound_Monitor!$A$2:$W$3</definedName>
    <definedName name="Z_4DF93E18_6B5F_4C96_8C99_C46F3B5427DD_.wvu.FilterData" localSheetId="1" hidden="1">Inbound_Monitor!$A$2:$Q$3</definedName>
    <definedName name="Z_4DF93E18_6B5F_4C96_8C99_C46F3B5427DD_.wvu.FilterData" localSheetId="0" hidden="1">Outbound_Monitor!$A$2:$W$3</definedName>
    <definedName name="Z_4E0269D5_D311_442A_ACC4_0944FD7C2235_.wvu.FilterData" localSheetId="0" hidden="1">Outbound_Monitor!$A$2:$W$3</definedName>
    <definedName name="Z_4E075284_8B2C_45A9_A564_3DE02847E85A_.wvu.FilterData" localSheetId="0" hidden="1">Outbound_Monitor!$A$2:$W$3</definedName>
    <definedName name="Z_4E09BCAC_EA8C_46E5_BB90_C2C302B9D18A_.wvu.FilterData" localSheetId="1" hidden="1">Inbound_Monitor!$A$2:$Q$13</definedName>
    <definedName name="Z_4E1058EB_4E95_46F9_A747_C046089C1E17_.wvu.FilterData" localSheetId="0" hidden="1">Outbound_Monitor!$A$2:$W$3</definedName>
    <definedName name="Z_4E245A31_A786_475D_9EE3_2F320435ED80_.wvu.FilterData" localSheetId="0" hidden="1">Outbound_Monitor!$A$2:$W$3</definedName>
    <definedName name="Z_4E27E77C_9CE7_4DEE_88B8_32E506AF2245_.wvu.FilterData" localSheetId="0" hidden="1">Outbound_Monitor!$A$3:$X$16</definedName>
    <definedName name="Z_4E2AE51A_0BA7_47C0_AC53_C6AAE6ED2330_.wvu.FilterData" localSheetId="0" hidden="1">Outbound_Monitor!$A$2:$W$3</definedName>
    <definedName name="Z_4E2E3B85_F4EA_4E40_B10B_16321A983ED2_.wvu.FilterData" localSheetId="0" hidden="1">Outbound_Monitor!$A$2:$W$3</definedName>
    <definedName name="Z_4E341896_4687_43BB_82A0_770C220DCBDF_.wvu.FilterData" localSheetId="1" hidden="1">Inbound_Monitor!$A$2:$Q$2</definedName>
    <definedName name="Z_4E341896_4687_43BB_82A0_770C220DCBDF_.wvu.FilterData" localSheetId="0" hidden="1">Outbound_Monitor!$A$2:$W$2</definedName>
    <definedName name="Z_4E3801B9_0161_4E63_BDAE_DA2B3DA330BE_.wvu.FilterData" localSheetId="0" hidden="1">Outbound_Monitor!$A$2:$X$16</definedName>
    <definedName name="Z_4E4E823A_7044_4CF0_9C18_3E51AB6A7713_.wvu.FilterData" localSheetId="1" hidden="1">Inbound_Monitor!$A$2:$Q$3</definedName>
    <definedName name="Z_4E5124CF_68F0_4183_A224_B281BADAD568_.wvu.FilterData" localSheetId="1" hidden="1">Inbound_Monitor!$A$2:$Q$13</definedName>
    <definedName name="Z_4E5EE50C_4054_49FA_9119_D8921B2C1A43_.wvu.FilterData" localSheetId="1" hidden="1">Inbound_Monitor!$A$2:$Q$3</definedName>
    <definedName name="Z_4E5EE50C_4054_49FA_9119_D8921B2C1A43_.wvu.FilterData" localSheetId="0" hidden="1">Outbound_Monitor!$A$2:$W$3</definedName>
    <definedName name="Z_4E6BEC55_DAD4_4939_9092_B38B4BCB7FC8_.wvu.FilterData" localSheetId="0" hidden="1">Outbound_Monitor!$A$2:$W$3</definedName>
    <definedName name="Z_4E770B23_8342_44DF_B397_B83016F7ACC9_.wvu.FilterData" localSheetId="0" hidden="1">Outbound_Monitor!$A$2:$W$3</definedName>
    <definedName name="Z_4E798D4C_11B4_44CB_8E99_209C72B08198_.wvu.FilterData" localSheetId="1" hidden="1">Inbound_Monitor!$A$2:$Q$13</definedName>
    <definedName name="Z_4E798D4C_11B4_44CB_8E99_209C72B08198_.wvu.FilterData" localSheetId="0" hidden="1">Outbound_Monitor!$A$2:$X$16</definedName>
    <definedName name="Z_4E79F8B7_C6A8_4940_BF49_4941EE9F4345_.wvu.FilterData" localSheetId="0" hidden="1">Outbound_Monitor!$A$2:$W$3</definedName>
    <definedName name="Z_4E7ECB36_4AB9_4D5C_8D2B_0DC82825D4B2_.wvu.FilterData" localSheetId="1" hidden="1">Inbound_Monitor!$A$2:$Q$13</definedName>
    <definedName name="Z_4E7ECB36_4AB9_4D5C_8D2B_0DC82825D4B2_.wvu.FilterData" localSheetId="0" hidden="1">Outbound_Monitor!$A$2:$W$3</definedName>
    <definedName name="Z_4E83FA80_C7AA_4871_A8D9_728504D956F0_.wvu.FilterData" localSheetId="0" hidden="1">Outbound_Monitor!$A$2:$X$16</definedName>
    <definedName name="Z_4E864E29_5768_47D8_ABEA_8DD7784A0035_.wvu.FilterData" localSheetId="0" hidden="1">Outbound_Monitor!$A$2:$W$3</definedName>
    <definedName name="Z_4E914ABA_CF50_4C2E_98B8_7F74BB694285_.wvu.FilterData" localSheetId="0" hidden="1">Outbound_Monitor!$A$2:$W$3</definedName>
    <definedName name="Z_4E9160B5_AF91_49AF_9019_342498A939A0_.wvu.FilterData" localSheetId="1" hidden="1">Inbound_Monitor!$A$2:$Q$3</definedName>
    <definedName name="Z_4EA798E4_0B67_420D_90E4_A349ED70939F_.wvu.FilterData" localSheetId="1" hidden="1">Inbound_Monitor!$A$2:$Q$2</definedName>
    <definedName name="Z_4EA798E4_0B67_420D_90E4_A349ED70939F_.wvu.FilterData" localSheetId="0" hidden="1">Outbound_Monitor!$A$2:$W$2</definedName>
    <definedName name="Z_4EAAA286_A19E_4FE5_8DD1_5FB7A4F09B37_.wvu.FilterData" localSheetId="0" hidden="1">Outbound_Monitor!$A$2:$W$3</definedName>
    <definedName name="Z_4EB79105_D374_4937_8D3C_C4B029ADBCD6_.wvu.FilterData" localSheetId="0" hidden="1">Outbound_Monitor!$A$2:$W$3</definedName>
    <definedName name="Z_4EC9D1C8_0ED7_4C82_BDDF_BDDD2F5D34C3_.wvu.FilterData" localSheetId="0" hidden="1">Outbound_Monitor!$A$2:$W$3</definedName>
    <definedName name="Z_4ED2DE0E_EC67_4B58_B85E_CE063C63991F_.wvu.FilterData" localSheetId="0" hidden="1">Outbound_Monitor!$A$2:$W$3</definedName>
    <definedName name="Z_4EDC60DB_2CB0_4248_9551_0566CB8A7F54_.wvu.FilterData" localSheetId="0" hidden="1">Outbound_Monitor!$A$2:$W$3</definedName>
    <definedName name="Z_4EDD881C_E27C_479D_A651_D614CF4D790C_.wvu.FilterData" localSheetId="1" hidden="1">Inbound_Monitor!$A$2:$Q$13</definedName>
    <definedName name="Z_4EDD881C_E27C_479D_A651_D614CF4D790C_.wvu.FilterData" localSheetId="0" hidden="1">Outbound_Monitor!$A$2:$W$3</definedName>
    <definedName name="Z_4EE3C8DD_3CB1_48B9_B122_DF7C09E4EA89_.wvu.FilterData" localSheetId="1" hidden="1">Inbound_Monitor!$A$2:$Q$13</definedName>
    <definedName name="Z_4F0843BF_C6EE_417D_9E18_5F371E323A01_.wvu.FilterData" localSheetId="0" hidden="1">Outbound_Monitor!$A$2:$W$3</definedName>
    <definedName name="Z_4F0B99B4_CBFF_47CD_BF60_B1154384929B_.wvu.FilterData" localSheetId="1" hidden="1">Inbound_Monitor!$A$2:$Q$3</definedName>
    <definedName name="Z_4F0FF0A3_0EB2_4047_BC7D_3BDB7327459F_.wvu.FilterData" localSheetId="1" hidden="1">Inbound_Monitor!$A$2:$Q$13</definedName>
    <definedName name="Z_4F0FF0A3_0EB2_4047_BC7D_3BDB7327459F_.wvu.FilterData" localSheetId="0" hidden="1">Outbound_Monitor!$A$2:$W$3</definedName>
    <definedName name="Z_4F13565D_037E_49A9_9C6D_9693E4F65350_.wvu.FilterData" localSheetId="0" hidden="1">Outbound_Monitor!$A$2:$W$3</definedName>
    <definedName name="Z_4F1609EB_CCC0_467C_A13A_40D036B950BD_.wvu.FilterData" localSheetId="0" hidden="1">Outbound_Monitor!$A$2:$W$3</definedName>
    <definedName name="Z_4F198121_6BC5_40C6_AF73_98021D8A7287_.wvu.FilterData" localSheetId="1" hidden="1">Inbound_Monitor!$A$2:$Q$13</definedName>
    <definedName name="Z_4F198121_6BC5_40C6_AF73_98021D8A7287_.wvu.FilterData" localSheetId="0" hidden="1">Outbound_Monitor!$A$2:$W$3</definedName>
    <definedName name="Z_4F1D1D88_2054_48C8_A999_482294AFD105_.wvu.FilterData" localSheetId="0" hidden="1">Outbound_Monitor!$A$2:$X$16</definedName>
    <definedName name="Z_4F1E2E46_5235_4369_B630_EE74146163B6_.wvu.FilterData" localSheetId="0" hidden="1">Outbound_Monitor!$A$2:$W$3</definedName>
    <definedName name="Z_4F31546E_2214_416E_B84A_22E6FA7EFB86_.wvu.FilterData" localSheetId="1" hidden="1">Inbound_Monitor!$A$2:$Q$13</definedName>
    <definedName name="Z_4F40DA8A_5EA5_4206_9A14_EBB1DE0AD41F_.wvu.FilterData" localSheetId="1" hidden="1">Inbound_Monitor!$A$2:$Q$2</definedName>
    <definedName name="Z_4F40DA8A_5EA5_4206_9A14_EBB1DE0AD41F_.wvu.FilterData" localSheetId="0" hidden="1">Outbound_Monitor!$A$2:$W$2</definedName>
    <definedName name="Z_4F5EB2AC_3632_4D5A_90A6_95569050E330_.wvu.FilterData" localSheetId="1" hidden="1">Inbound_Monitor!$A$2:$Q$2</definedName>
    <definedName name="Z_4F5EB2AC_3632_4D5A_90A6_95569050E330_.wvu.FilterData" localSheetId="0" hidden="1">Outbound_Monitor!$A$2:$W$2</definedName>
    <definedName name="Z_4F6B2C1A_95B7_4177_805A_C150754B6DB5_.wvu.FilterData" localSheetId="0" hidden="1">Outbound_Monitor!$A$2:$W$3</definedName>
    <definedName name="Z_4F76E949_67E9_4370_9F9C_87527554839D_.wvu.FilterData" localSheetId="1" hidden="1">Inbound_Monitor!$A$2:$Q$13</definedName>
    <definedName name="Z_4F76E949_67E9_4370_9F9C_87527554839D_.wvu.FilterData" localSheetId="0" hidden="1">Outbound_Monitor!$A$2:$W$3</definedName>
    <definedName name="Z_4F782C57_1B7E_4AC1_A312_72747204D95A_.wvu.FilterData" localSheetId="1" hidden="1">Inbound_Monitor!$A$2:$Q$3</definedName>
    <definedName name="Z_4F7CB51A_553F_442C_9E5D_87682F826BE3_.wvu.FilterData" localSheetId="1" hidden="1">Inbound_Monitor!$A$2:$Q$13</definedName>
    <definedName name="Z_4F7CB51A_553F_442C_9E5D_87682F826BE3_.wvu.FilterData" localSheetId="0" hidden="1">Outbound_Monitor!$A$2:$X$16</definedName>
    <definedName name="Z_4F7CB51A_553F_442C_9E5D_87682F826BE3_.wvu.FilterData" localSheetId="4" hidden="1">Schichtübergabe_Protokoll!$B$3:$N$3</definedName>
    <definedName name="Z_4F880D06_6BF1_4E0B_BFA1_4B335F048750_.wvu.FilterData" localSheetId="0" hidden="1">Outbound_Monitor!$A$2:$W$3</definedName>
    <definedName name="Z_4F8DA0F5_16A8_472D_88F4_CBFFA7EE3AFF_.wvu.FilterData" localSheetId="0" hidden="1">Outbound_Monitor!$A$2:$W$3</definedName>
    <definedName name="Z_4F961D0E_B65D_4DFD_A5E5_A756F4EB7970_.wvu.FilterData" localSheetId="1" hidden="1">Inbound_Monitor!$A$2:$Q$3</definedName>
    <definedName name="Z_4FA47DB1_D797_4FE3_86CB_41017CAF272C_.wvu.FilterData" localSheetId="0" hidden="1">Outbound_Monitor!$A$2:$W$3</definedName>
    <definedName name="Z_4FA7AABE_1001_4D00_BDF4_B30E03EBC1EE_.wvu.FilterData" localSheetId="0" hidden="1">Outbound_Monitor!$A$2:$W$3</definedName>
    <definedName name="Z_4FC27D83_D29B_4C80_A8EA_16238FE573C1_.wvu.FilterData" localSheetId="1" hidden="1">Inbound_Monitor!$A$2:$Q$3</definedName>
    <definedName name="Z_4FC5215A_4E38_456D_BD3D_722FC5E4829A_.wvu.FilterData" localSheetId="0" hidden="1">Outbound_Monitor!$A$2:$W$3</definedName>
    <definedName name="Z_4FD6C107_A7DB_4AC1_9DCD_2A1E38C454F4_.wvu.FilterData" localSheetId="0" hidden="1">Outbound_Monitor!$A$2:$W$3</definedName>
    <definedName name="Z_4FE5B3C6_3007_4F46_89EC_DD15932AC173_.wvu.FilterData" localSheetId="0" hidden="1">Outbound_Monitor!$A$2:$W$3</definedName>
    <definedName name="Z_4FF4CB40_F3B5_46FF_8689_47AAEF3971E1_.wvu.FilterData" localSheetId="0" hidden="1">Outbound_Monitor!$A$2:$X$16</definedName>
    <definedName name="Z_4FF62583_B747_4BC9_9FCC_D4BE9CCD9649_.wvu.FilterData" localSheetId="1" hidden="1">Inbound_Monitor!$A$2:$Q$3</definedName>
    <definedName name="Z_500E72BE_0070_4FA2_AFDB_AF82741BDB64_.wvu.FilterData" localSheetId="1" hidden="1">Inbound_Monitor!$A$2:$Q$2</definedName>
    <definedName name="Z_500E72BE_0070_4FA2_AFDB_AF82741BDB64_.wvu.FilterData" localSheetId="0" hidden="1">Outbound_Monitor!$A$2:$W$2</definedName>
    <definedName name="Z_50197D09_FB7F_4784_8E0F_71CAAE1E6974_.wvu.FilterData" localSheetId="0" hidden="1">Outbound_Monitor!$A$2:$W$3</definedName>
    <definedName name="Z_5024929C_64D0_47CC_B9B5_A0A8BE7366B8_.wvu.FilterData" localSheetId="1" hidden="1">Inbound_Monitor!$A$2:$Q$3</definedName>
    <definedName name="Z_5024929C_64D0_47CC_B9B5_A0A8BE7366B8_.wvu.FilterData" localSheetId="0" hidden="1">Outbound_Monitor!$A$2:$W$3</definedName>
    <definedName name="Z_50279BED_C276_4C29_8182_71670722FFC7_.wvu.FilterData" localSheetId="0" hidden="1">Outbound_Monitor!$A$2:$X$16</definedName>
    <definedName name="Z_50290CF5_4695_457E_9B04_88D382C6FF6A_.wvu.FilterData" localSheetId="1" hidden="1">Inbound_Monitor!$A$2:$Q$13</definedName>
    <definedName name="Z_502A7C1B_7822_4BBD_BFDD_7CAC4739F016_.wvu.FilterData" localSheetId="1" hidden="1">Inbound_Monitor!$A$2:$Q$3</definedName>
    <definedName name="Z_5030543C_5C99_43E7_BB25_ECE13C56A622_.wvu.FilterData" localSheetId="0" hidden="1">Outbound_Monitor!$A$2:$W$3</definedName>
    <definedName name="Z_50359A25_7B55_497A_B538_003BCCAA304C_.wvu.FilterData" localSheetId="1" hidden="1">Inbound_Monitor!$A$2:$Q$2</definedName>
    <definedName name="Z_50359A25_7B55_497A_B538_003BCCAA304C_.wvu.FilterData" localSheetId="0" hidden="1">Outbound_Monitor!$A$2:$W$2</definedName>
    <definedName name="Z_506875D1_224D_4FC0_97B8_0AA292F6FADA_.wvu.FilterData" localSheetId="0" hidden="1">Outbound_Monitor!$A$2:$W$3</definedName>
    <definedName name="Z_5071D521_66F4_42F8_A109_BA2A606DEA13_.wvu.FilterData" localSheetId="0" hidden="1">Outbound_Monitor!$A$2:$X$16</definedName>
    <definedName name="Z_508D7CC3_A7F1_4B6B_9CD4_0ECC702AF2E6_.wvu.FilterData" localSheetId="1" hidden="1">Inbound_Monitor!$A$2:$Q$3</definedName>
    <definedName name="Z_50931019_A88C_4BF9_BA98_BB4A462E6A1A_.wvu.FilterData" localSheetId="0" hidden="1">Outbound_Monitor!$A$2:$X$16</definedName>
    <definedName name="Z_50AEF930_B6B0_4F5D_9F4D_1E7E50DE9BD5_.wvu.FilterData" localSheetId="1" hidden="1">Inbound_Monitor!$A$2:$Q$13</definedName>
    <definedName name="Z_50BEBDC6_6B61_4048_BB90_4FBACA05C535_.wvu.FilterData" localSheetId="0" hidden="1">Outbound_Monitor!$A$2:$W$3</definedName>
    <definedName name="Z_50CC3F46_9F32_4AF5_AA9B_C0D28C6A71D8_.wvu.FilterData" localSheetId="0" hidden="1">Outbound_Monitor!$A$2:$W$3</definedName>
    <definedName name="Z_50E48A91_6E11_4178_89DF_8676C31EC430_.wvu.FilterData" localSheetId="0" hidden="1">Outbound_Monitor!$A$2:$X$16</definedName>
    <definedName name="Z_50E51E7D_3F16_477D_A58F_914BBD9799AE_.wvu.FilterData" localSheetId="1" hidden="1">Inbound_Monitor!$A$2:$Q$13</definedName>
    <definedName name="Z_50EAA2FF_C755_47B7_B163_E20A1BF56BEA_.wvu.FilterData" localSheetId="1" hidden="1">Inbound_Monitor!$A$2:$Q$3</definedName>
    <definedName name="Z_50F58B2E_7F6F_4CFD_AFF9_05C46A58011B_.wvu.FilterData" localSheetId="1" hidden="1">Inbound_Monitor!$A$2:$Q$13</definedName>
    <definedName name="Z_50F58B2E_7F6F_4CFD_AFF9_05C46A58011B_.wvu.FilterData" localSheetId="0" hidden="1">Outbound_Monitor!$A$2:$X$16</definedName>
    <definedName name="Z_511E8909_B945_4CA1_9078_92B4A68811A5_.wvu.FilterData" localSheetId="1" hidden="1">Inbound_Monitor!$A$2:$Q$2</definedName>
    <definedName name="Z_511E8909_B945_4CA1_9078_92B4A68811A5_.wvu.FilterData" localSheetId="0" hidden="1">Outbound_Monitor!$A$2:$W$2</definedName>
    <definedName name="Z_5127DA54_534D_4F06_BCD8_5C1B021AD3E2_.wvu.Cols" localSheetId="1" hidden="1">Inbound_Monitor!#REF!</definedName>
    <definedName name="Z_5127DA54_534D_4F06_BCD8_5C1B021AD3E2_.wvu.Cols" localSheetId="0" hidden="1">Outbound_Monitor!#REF!</definedName>
    <definedName name="Z_5127DA54_534D_4F06_BCD8_5C1B021AD3E2_.wvu.FilterData" localSheetId="1" hidden="1">Inbound_Monitor!$A$2:$Q$3</definedName>
    <definedName name="Z_5127DA54_534D_4F06_BCD8_5C1B021AD3E2_.wvu.FilterData" localSheetId="0" hidden="1">Outbound_Monitor!$A$2:$W$3</definedName>
    <definedName name="Z_5127DA54_534D_4F06_BCD8_5C1B021AD3E2_.wvu.FilterData" localSheetId="4" hidden="1">Schichtübergabe_Protokoll!$B$3:$N$3</definedName>
    <definedName name="Z_5131081C_D4FA_415D_96E5_C1029B5BB935_.wvu.FilterData" localSheetId="0" hidden="1">Outbound_Monitor!$A$2:$W$3</definedName>
    <definedName name="Z_5131B152_0973_4D7F_ADDF_FF72391DF88E_.wvu.FilterData" localSheetId="0" hidden="1">Outbound_Monitor!$A$2:$W$3</definedName>
    <definedName name="Z_51492A52_6F42_4025_A8BB_4DF5E4925071_.wvu.FilterData" localSheetId="0" hidden="1">Outbound_Monitor!$A$2:$W$3</definedName>
    <definedName name="Z_514D84F6_F00B_4ED7_874E_3F3A12F0B708_.wvu.FilterData" localSheetId="0" hidden="1">Outbound_Monitor!$A$2:$W$3</definedName>
    <definedName name="Z_51568033_D0E0_4679_B12B_72AC533F681C_.wvu.FilterData" localSheetId="0" hidden="1">Outbound_Monitor!$A$2:$W$3</definedName>
    <definedName name="Z_515B5426_BF61_42F7_8333_5DDEC824CB32_.wvu.FilterData" localSheetId="0" hidden="1">Outbound_Monitor!$A$2:$W$3</definedName>
    <definedName name="Z_5168A499_9284_4CF7_A2D8_24635845A333_.wvu.FilterData" localSheetId="1" hidden="1">Inbound_Monitor!$A$2:$Q$3</definedName>
    <definedName name="Z_51702F09_7736_4009_B20B_B59EA5BACCB0_.wvu.FilterData" localSheetId="0" hidden="1">Outbound_Monitor!$A$2:$W$3</definedName>
    <definedName name="Z_517A8E9F_79A6_4678_AED5_1EB6CF8CAD99_.wvu.FilterData" localSheetId="1" hidden="1">Inbound_Monitor!$A$2:$Q$3</definedName>
    <definedName name="Z_518BDCBB_9061_4347_95B9_EBB8E2B89078_.wvu.FilterData" localSheetId="0" hidden="1">Outbound_Monitor!$A$2:$W$3</definedName>
    <definedName name="Z_519626B1_FF46_4E06_9185_C2ED551C870E_.wvu.FilterData" localSheetId="0" hidden="1">Outbound_Monitor!$A$2:$W$3</definedName>
    <definedName name="Z_519C125E_F8C8_4565_9B59_034CC3843578_.wvu.FilterData" localSheetId="1" hidden="1">Inbound_Monitor!$A$2:$Q$3</definedName>
    <definedName name="Z_51A3B0EC_5F29_4373_B998_E2159D1F4CBC_.wvu.FilterData" localSheetId="0" hidden="1">Outbound_Monitor!$A$2:$W$3</definedName>
    <definedName name="Z_51A60EEC_8B8E_4550_A1D8_65B720C1A173_.wvu.FilterData" localSheetId="1" hidden="1">Inbound_Monitor!$A$2:$Q$13</definedName>
    <definedName name="Z_51A60EEC_8B8E_4550_A1D8_65B720C1A173_.wvu.FilterData" localSheetId="0" hidden="1">Outbound_Monitor!$A$2:$W$3</definedName>
    <definedName name="Z_51AB9FF2_0BB2_44C3_A162_EECBD1ACB438_.wvu.FilterData" localSheetId="0" hidden="1">Outbound_Monitor!$A$2:$W$3</definedName>
    <definedName name="Z_51B30810_BCF7_44D4_884E_5EA825CD0010_.wvu.FilterData" localSheetId="1" hidden="1">Inbound_Monitor!$A$2:$Q$3</definedName>
    <definedName name="Z_51B30810_BCF7_44D4_884E_5EA825CD0010_.wvu.FilterData" localSheetId="0" hidden="1">Outbound_Monitor!$A$2:$W$3</definedName>
    <definedName name="Z_51B7E7EE_486C_4DB6_9942_7BDA95AC8719_.wvu.FilterData" localSheetId="1" hidden="1">Inbound_Monitor!$A$2:$Q$13</definedName>
    <definedName name="Z_51B7E7EE_486C_4DB6_9942_7BDA95AC8719_.wvu.FilterData" localSheetId="0" hidden="1">Outbound_Monitor!$A$2:$W$3</definedName>
    <definedName name="Z_51BA32EC_DAE7_4BF2_B98F_BC3602BA6DBE_.wvu.FilterData" localSheetId="1" hidden="1">Inbound_Monitor!$A$2:$Q$3</definedName>
    <definedName name="Z_51BA32EC_DAE7_4BF2_B98F_BC3602BA6DBE_.wvu.FilterData" localSheetId="0" hidden="1">Outbound_Monitor!$A$2:$W$3</definedName>
    <definedName name="Z_51BF102B_CC89_46C4_86B6_5F8557404076_.wvu.FilterData" localSheetId="0" hidden="1">Outbound_Monitor!$A$2:$X$16</definedName>
    <definedName name="Z_51D2CC75_87B1_455B_8848_D327F8D4A4DC_.wvu.FilterData" localSheetId="1" hidden="1">Inbound_Monitor!$A$2:$Q$3</definedName>
    <definedName name="Z_51D2CC75_87B1_455B_8848_D327F8D4A4DC_.wvu.FilterData" localSheetId="0" hidden="1">Outbound_Monitor!$A$2:$W$3</definedName>
    <definedName name="Z_51E54C62_B7E4_446A_80A6_B5CF1C2C3797_.wvu.FilterData" localSheetId="0" hidden="1">Outbound_Monitor!$A$2:$W$3</definedName>
    <definedName name="Z_51ED46B5_496B_4D22_ACB7_45FCB00DB689_.wvu.FilterData" localSheetId="0" hidden="1">Outbound_Monitor!$A$2:$W$3</definedName>
    <definedName name="Z_51F5640F_BDFA_491B_A6C3_BC829E015AAB_.wvu.FilterData" localSheetId="1" hidden="1">Inbound_Monitor!$A$2:$Q$13</definedName>
    <definedName name="Z_51FAD590_3BE3_4D4E_A8B4_AD61869DD4B1_.wvu.FilterData" localSheetId="1" hidden="1">Inbound_Monitor!$A$2:$Q$13</definedName>
    <definedName name="Z_51FAD590_3BE3_4D4E_A8B4_AD61869DD4B1_.wvu.FilterData" localSheetId="0" hidden="1">Outbound_Monitor!$A$2:$X$16</definedName>
    <definedName name="Z_51FB7203_8F68_41BF_B6F7_F42B1800F901_.wvu.FilterData" localSheetId="1" hidden="1">Inbound_Monitor!$A$2:$Q$2</definedName>
    <definedName name="Z_51FB7203_8F68_41BF_B6F7_F42B1800F901_.wvu.FilterData" localSheetId="0" hidden="1">Outbound_Monitor!$A$2:$W$2</definedName>
    <definedName name="Z_51FF239A_8B91_4BC0_8550_BC9BED6C11A3_.wvu.FilterData" localSheetId="1" hidden="1">Inbound_Monitor!$A$2:$Q$3</definedName>
    <definedName name="Z_51FF7882_A4B5_4246_9692_8E53C93F1D0D_.wvu.FilterData" localSheetId="0" hidden="1">Outbound_Monitor!$A$2:$W$3</definedName>
    <definedName name="Z_51FFFE08_5B93_45F4_AB9B_1EC45F2CDFE8_.wvu.FilterData" localSheetId="1" hidden="1">Inbound_Monitor!$A$2:$Q$3</definedName>
    <definedName name="Z_51FFFE08_5B93_45F4_AB9B_1EC45F2CDFE8_.wvu.FilterData" localSheetId="0" hidden="1">Outbound_Monitor!$A$2:$W$3</definedName>
    <definedName name="Z_5216E89C_A201_4DC6_AD4C_4F7A8EC0716C_.wvu.FilterData" localSheetId="1" hidden="1">Inbound_Monitor!$A$2:$Q$13</definedName>
    <definedName name="Z_522A7053_42A1_4F13_830F_BDB9F96E5300_.wvu.FilterData" localSheetId="1" hidden="1">Inbound_Monitor!$A$2:$Q$2</definedName>
    <definedName name="Z_522A7053_42A1_4F13_830F_BDB9F96E5300_.wvu.FilterData" localSheetId="0" hidden="1">Outbound_Monitor!$A$2:$W$2</definedName>
    <definedName name="Z_522CFE67_CF10_437C_813A_BD36E1A2B5E3_.wvu.FilterData" localSheetId="0" hidden="1">Outbound_Monitor!$A$2:$W$3</definedName>
    <definedName name="Z_5242A857_AA4B_4143_A092_75EA973C547E_.wvu.FilterData" localSheetId="1" hidden="1">Inbound_Monitor!$A$2:$Q$3</definedName>
    <definedName name="Z_5249B041_11EB_4621_AEF2_740A69E0D415_.wvu.FilterData" localSheetId="1" hidden="1">Inbound_Monitor!$A$2:$Q$13</definedName>
    <definedName name="Z_5249B041_11EB_4621_AEF2_740A69E0D415_.wvu.FilterData" localSheetId="0" hidden="1">Outbound_Monitor!$A$2:$W$3</definedName>
    <definedName name="Z_524DBECF_13E0_4BA8_9519_9A98E2721864_.wvu.FilterData" localSheetId="1" hidden="1">Inbound_Monitor!$A$2:$Q$3</definedName>
    <definedName name="Z_524DBECF_13E0_4BA8_9519_9A98E2721864_.wvu.FilterData" localSheetId="0" hidden="1">Outbound_Monitor!$A$2:$W$3</definedName>
    <definedName name="Z_524F9575_FB5C_49FC_8349_9A3EF57B260C_.wvu.FilterData" localSheetId="0" hidden="1">Outbound_Monitor!$A$2:$W$3</definedName>
    <definedName name="Z_5254D9CB_4547_4C12_8141_5F1E5B8DBE00_.wvu.FilterData" localSheetId="1" hidden="1">Inbound_Monitor!$A$2:$Q$2</definedName>
    <definedName name="Z_5254D9CB_4547_4C12_8141_5F1E5B8DBE00_.wvu.FilterData" localSheetId="0" hidden="1">Outbound_Monitor!$A$2:$W$2</definedName>
    <definedName name="Z_52685E52_3421_4B06_AA29_1CBF98BF6BAA_.wvu.FilterData" localSheetId="0" hidden="1">Outbound_Monitor!$A$2:$W$3</definedName>
    <definedName name="Z_526C9E29_53AB_4832_AA19_E70BFD599738_.wvu.FilterData" localSheetId="1" hidden="1">Inbound_Monitor!$A$2:$Q$2</definedName>
    <definedName name="Z_526C9E29_53AB_4832_AA19_E70BFD599738_.wvu.FilterData" localSheetId="0" hidden="1">Outbound_Monitor!$A$2:$W$2</definedName>
    <definedName name="Z_527F1D74_883B_4DF7_B0F7_81B0AFCDE354_.wvu.FilterData" localSheetId="1" hidden="1">Inbound_Monitor!$A$2:$Q$13</definedName>
    <definedName name="Z_527F1D74_883B_4DF7_B0F7_81B0AFCDE354_.wvu.FilterData" localSheetId="0" hidden="1">Outbound_Monitor!$A$2:$W$3</definedName>
    <definedName name="Z_5280FC47_8014_49FF_84DD_C7FD1612CA69_.wvu.FilterData" localSheetId="1" hidden="1">Inbound_Monitor!$A$2:$Q$3</definedName>
    <definedName name="Z_52830F22_25AB_49B3_8292_175E07DC7CB8_.wvu.FilterData" localSheetId="0" hidden="1">Outbound_Monitor!$A$2:$W$3</definedName>
    <definedName name="Z_52937B73_6F60_4281_9CAE_EED742E26BD4_.wvu.FilterData" localSheetId="1" hidden="1">Inbound_Monitor!$A$2:$Q$3</definedName>
    <definedName name="Z_52937B73_6F60_4281_9CAE_EED742E26BD4_.wvu.FilterData" localSheetId="0" hidden="1">Outbound_Monitor!$A$2:$W$3</definedName>
    <definedName name="Z_52A91A1B_F8EA_4C12_A67D_F07B50532CD5_.wvu.FilterData" localSheetId="1" hidden="1">Inbound_Monitor!$A$2:$Q$13</definedName>
    <definedName name="Z_52AE59A0_3D26_4F34_8574_B2382B7BCBE9_.wvu.FilterData" localSheetId="1" hidden="1">Inbound_Monitor!$A$2:$Q$13</definedName>
    <definedName name="Z_52B3C32D_0CA8_4A5D_B31C_DB7275855265_.wvu.FilterData" localSheetId="0" hidden="1">Outbound_Monitor!$A$2:$X$16</definedName>
    <definedName name="Z_52B53277_E119_4ABE_95BC_A25C3FE82FC8_.wvu.FilterData" localSheetId="0" hidden="1">Outbound_Monitor!$A$2:$W$3</definedName>
    <definedName name="Z_52B90FA9_30A7_4D7B_B0A8_55E14B06A14B_.wvu.FilterData" localSheetId="0" hidden="1">Outbound_Monitor!$A$2:$W$3</definedName>
    <definedName name="Z_52B9962B_5906_47A5_B08D_42EF4F4B08DE_.wvu.FilterData" localSheetId="1" hidden="1">Inbound_Monitor!$A$2:$Q$13</definedName>
    <definedName name="Z_52BA068F_6273_4583_BF98_93763B596492_.wvu.FilterData" localSheetId="1" hidden="1">Inbound_Monitor!$A$2:$Q$3</definedName>
    <definedName name="Z_52BD6B50_07DC_40E4_ADAD_DC06F04D0E73_.wvu.FilterData" localSheetId="0" hidden="1">Outbound_Monitor!$A$2:$W$3</definedName>
    <definedName name="Z_52CE27FE_77C9_40EE_8AA6_04C7A9096451_.wvu.FilterData" localSheetId="0" hidden="1">Outbound_Monitor!$A$2:$X$16</definedName>
    <definedName name="Z_52E1C619_D65A_40D8_8884_1A6D53301D3F_.wvu.FilterData" localSheetId="0" hidden="1">Outbound_Monitor!$A$2:$W$3</definedName>
    <definedName name="Z_52E48094_1EB8_4578_8981_29CDCA0E98C0_.wvu.FilterData" localSheetId="1" hidden="1">Inbound_Monitor!$A$2:$Q$3</definedName>
    <definedName name="Z_53039CC7_56CC_44F6_A917_F5AA5AF80929_.wvu.FilterData" localSheetId="1" hidden="1">Inbound_Monitor!$A$2:$Q$13</definedName>
    <definedName name="Z_53090A59_F2BF_42F9_ACA1_93F30CAA28AA_.wvu.FilterData" localSheetId="1" hidden="1">Inbound_Monitor!$A$2:$Q$13</definedName>
    <definedName name="Z_530A3FDF_3709_49D2_B95C_A93490EC0D09_.wvu.FilterData" localSheetId="1" hidden="1">Inbound_Monitor!$A$2:$Q$13</definedName>
    <definedName name="Z_531E3489_BF43_49CD_A01C_5AD900FE5E2C_.wvu.FilterData" localSheetId="1" hidden="1">Inbound_Monitor!$A$2:$Q$2</definedName>
    <definedName name="Z_531E3489_BF43_49CD_A01C_5AD900FE5E2C_.wvu.FilterData" localSheetId="0" hidden="1">Outbound_Monitor!$A$2:$W$2</definedName>
    <definedName name="Z_5338998A_DF98_4986_97F3_F97FB5FAA1F2_.wvu.FilterData" localSheetId="1" hidden="1">Inbound_Monitor!$A$2:$Q$3</definedName>
    <definedName name="Z_53503654_27CE_48A8_BB52_076EC485E5A0_.wvu.FilterData" localSheetId="0" hidden="1">Outbound_Monitor!$A$2:$X$16</definedName>
    <definedName name="Z_535D9007_706F_4B8C_9B28_97131704AF7B_.wvu.FilterData" localSheetId="0" hidden="1">Outbound_Monitor!#REF!</definedName>
    <definedName name="Z_5369DA47_056C_4067_84AC_2CEE4D60FE75_.wvu.FilterData" localSheetId="1" hidden="1">Inbound_Monitor!$A$2:$Q$3</definedName>
    <definedName name="Z_536A04E3_D1AB_438D_84E3_C523DDD7EB1C_.wvu.FilterData" localSheetId="1" hidden="1">Inbound_Monitor!$A$2:$Q$3</definedName>
    <definedName name="Z_53766A22_D0BC_482F_8B5B_CBC330EF3394_.wvu.FilterData" localSheetId="1" hidden="1">Inbound_Monitor!$A$2:$Q$3</definedName>
    <definedName name="Z_538359A7_9F87_4D3F_AACE_6D5B496C08A3_.wvu.FilterData" localSheetId="1" hidden="1">Inbound_Monitor!$A$2:$Q$3</definedName>
    <definedName name="Z_538359A7_9F87_4D3F_AACE_6D5B496C08A3_.wvu.FilterData" localSheetId="0" hidden="1">Outbound_Monitor!$A$2:$W$3</definedName>
    <definedName name="Z_53867436_A265_4590_9C95_6F5D561FDEE6_.wvu.FilterData" localSheetId="0" hidden="1">Outbound_Monitor!$A$2:$X$16</definedName>
    <definedName name="Z_53926752_1BD1_47AF_A30B_FE4C6F49523C_.wvu.FilterData" localSheetId="1" hidden="1">Inbound_Monitor!$A$2:$Q$2</definedName>
    <definedName name="Z_53926752_1BD1_47AF_A30B_FE4C6F49523C_.wvu.FilterData" localSheetId="0" hidden="1">Outbound_Monitor!$A$2:$W$2</definedName>
    <definedName name="Z_53AC487F_3C96_4407_9B7E_162FCCE29C18_.wvu.FilterData" localSheetId="1" hidden="1">Inbound_Monitor!$A$2:$Q$2</definedName>
    <definedName name="Z_53AC487F_3C96_4407_9B7E_162FCCE29C18_.wvu.FilterData" localSheetId="0" hidden="1">Outbound_Monitor!$A$2:$W$2</definedName>
    <definedName name="Z_53B260C5_899A_4F68_8812_DF2901235B1F_.wvu.FilterData" localSheetId="4" hidden="1">Schichtübergabe_Protokoll!$B$3:$N$3</definedName>
    <definedName name="Z_53BBFDA8_9DEB_408E_95E0_B9D5A05B8074_.wvu.FilterData" localSheetId="4" hidden="1">Schichtübergabe_Protokoll!$B$3:$N$3</definedName>
    <definedName name="Z_53C76DAF_739E_41C3_8572_2A35BB06F320_.wvu.FilterData" localSheetId="1" hidden="1">Inbound_Monitor!$A$2:$Q$2</definedName>
    <definedName name="Z_53C76DAF_739E_41C3_8572_2A35BB06F320_.wvu.FilterData" localSheetId="0" hidden="1">Outbound_Monitor!$A$2:$W$2</definedName>
    <definedName name="Z_53D97310_AB6B_4364_97F6_86BE950546DA_.wvu.FilterData" localSheetId="0" hidden="1">Outbound_Monitor!$A$2:$X$16</definedName>
    <definedName name="Z_53E06D71_EB41_462F_9AAC_82BABC850AFC_.wvu.FilterData" localSheetId="0" hidden="1">Outbound_Monitor!$A$2:$W$3</definedName>
    <definedName name="Z_53EBDE76_9880_467C_954D_A020A527643A_.wvu.FilterData" localSheetId="0" hidden="1">Outbound_Monitor!$A$2:$W$3</definedName>
    <definedName name="Z_53F98DA3_A0AE_481C_87F7_E64A24F29FF7_.wvu.FilterData" localSheetId="1" hidden="1">Inbound_Monitor!$A$2:$Q$3</definedName>
    <definedName name="Z_53FC9D8D_1928_45E9_9EEE_B91CDC4F8833_.wvu.FilterData" localSheetId="0" hidden="1">Outbound_Monitor!$A$2:$W$3</definedName>
    <definedName name="Z_5406BCFB_A228_4A6A_8238_8768E663ACF7_.wvu.FilterData" localSheetId="0" hidden="1">Outbound_Monitor!$A$2:$W$3</definedName>
    <definedName name="Z_5410B0BF_9C13_4408_AA8C_9DFAD4BE387D_.wvu.FilterData" localSheetId="1" hidden="1">Inbound_Monitor!$A$2:$Q$3</definedName>
    <definedName name="Z_5410B0BF_9C13_4408_AA8C_9DFAD4BE387D_.wvu.FilterData" localSheetId="0" hidden="1">Outbound_Monitor!$A$2:$W$3</definedName>
    <definedName name="Z_543162FF_A349_4491_B2D5_2AED349A2439_.wvu.FilterData" localSheetId="0" hidden="1">Outbound_Monitor!$A$2:$X$16</definedName>
    <definedName name="Z_543661FC_5BBC_4851_8B25_7CB13796502D_.wvu.FilterData" localSheetId="1" hidden="1">Inbound_Monitor!$A$2:$Q$13</definedName>
    <definedName name="Z_544AD02D_09FA_4933_913D_D24AF13D3504_.wvu.FilterData" localSheetId="1" hidden="1">Inbound_Monitor!$A$2:$Q$13</definedName>
    <definedName name="Z_54599AE4_73E3_4753_B215_BD3241D3E130_.wvu.FilterData" localSheetId="1" hidden="1">Inbound_Monitor!$A$2:$Q$2</definedName>
    <definedName name="Z_54599AE4_73E3_4753_B215_BD3241D3E130_.wvu.FilterData" localSheetId="0" hidden="1">Outbound_Monitor!$A$2:$W$2</definedName>
    <definedName name="Z_546DF91A_23FD_417D_956B_C01E894D21E6_.wvu.FilterData" localSheetId="1" hidden="1">Inbound_Monitor!$A$2:$Q$3</definedName>
    <definedName name="Z_547816A8_C138_45FA_9329_7797B176CB1C_.wvu.FilterData" localSheetId="1" hidden="1">Inbound_Monitor!$A$2:$Q$13</definedName>
    <definedName name="Z_547816A8_C138_45FA_9329_7797B176CB1C_.wvu.FilterData" localSheetId="0" hidden="1">Outbound_Monitor!$A$2:$X$16</definedName>
    <definedName name="Z_547B1009_1F0E_4FEE_8F73_262E9C9AF3B4_.wvu.FilterData" localSheetId="1" hidden="1">Inbound_Monitor!$A$2:$Q$2</definedName>
    <definedName name="Z_547B1009_1F0E_4FEE_8F73_262E9C9AF3B4_.wvu.FilterData" localSheetId="0" hidden="1">Outbound_Monitor!$A$2:$W$2</definedName>
    <definedName name="Z_547C9CAF_A71B_4DC5_AA8F_823935B68F06_.wvu.FilterData" localSheetId="1" hidden="1">Inbound_Monitor!$A$2:$Q$2</definedName>
    <definedName name="Z_547C9CAF_A71B_4DC5_AA8F_823935B68F06_.wvu.FilterData" localSheetId="0" hidden="1">Outbound_Monitor!$A$2:$W$2</definedName>
    <definedName name="Z_5491CA79_47CB_41C7_930D_D60CA7FA1D76_.wvu.FilterData" localSheetId="0" hidden="1">Outbound_Monitor!$A$2:$W$3</definedName>
    <definedName name="Z_54938AC4_C835_4B8E_8DCA_FBF835DFD0CC_.wvu.FilterData" localSheetId="0" hidden="1">Outbound_Monitor!$A$2:$W$3</definedName>
    <definedName name="Z_549792B9_7566_4C3F_9458_66CF267BCFDF_.wvu.FilterData" localSheetId="0" hidden="1">Outbound_Monitor!$A$2:$X$16</definedName>
    <definedName name="Z_54AA1132_8343_46FB_BEC7_3FE0A1627ABF_.wvu.FilterData" localSheetId="0" hidden="1">Outbound_Monitor!$A$2:$W$3</definedName>
    <definedName name="Z_54B5E8C8_F08C_47A1_B7A1_8884403611EC_.wvu.FilterData" localSheetId="0" hidden="1">Outbound_Monitor!$A$2:$W$3</definedName>
    <definedName name="Z_54BFF023_3927_483B_AE74_27D7E28293EF_.wvu.FilterData" localSheetId="1" hidden="1">Inbound_Monitor!$A$2:$Q$13</definedName>
    <definedName name="Z_54BFF023_3927_483B_AE74_27D7E28293EF_.wvu.FilterData" localSheetId="0" hidden="1">Outbound_Monitor!$A$2:$W$3</definedName>
    <definedName name="Z_54BFF023_3927_483B_AE74_27D7E28293EF_.wvu.FilterData" localSheetId="4" hidden="1">Schichtübergabe_Protokoll!$B$3:$N$3</definedName>
    <definedName name="Z_54C60B1D_18AB_41FC_B4C0_562D6DB76CEF_.wvu.FilterData" localSheetId="0" hidden="1">Outbound_Monitor!$A$2:$X$16</definedName>
    <definedName name="Z_54CD6DE3_D29F_4965_B069_1864AEFCD503_.wvu.FilterData" localSheetId="1" hidden="1">Inbound_Monitor!$A$2:$Q$3</definedName>
    <definedName name="Z_54D300F9_1B33_47A0_A647_86D79076A6A6_.wvu.FilterData" localSheetId="0" hidden="1">Outbound_Monitor!$A$2:$W$3</definedName>
    <definedName name="Z_54D58664_5F4B_47D1_B0E5_B49F1C095937_.wvu.FilterData" localSheetId="1" hidden="1">Inbound_Monitor!$A$2:$Q$3</definedName>
    <definedName name="Z_54D97C5A_96FF_4CAD_95DC_E0E0E23A980F_.wvu.FilterData" localSheetId="1" hidden="1">Inbound_Monitor!$A$2:$Q$13</definedName>
    <definedName name="Z_54DD756F_B57C_4EE7_81CB_7ACFF4648263_.wvu.FilterData" localSheetId="1" hidden="1">Inbound_Monitor!$A$2:$Q$3</definedName>
    <definedName name="Z_54DF89B0_24AE_4788_853F_19F06F554BFA_.wvu.FilterData" localSheetId="0" hidden="1">Outbound_Monitor!$A$2:$W$3</definedName>
    <definedName name="Z_54E8C250_4CDE_44FD_AAAF_7DB4794479FD_.wvu.FilterData" localSheetId="1" hidden="1">Inbound_Monitor!$A$2:$Q$13</definedName>
    <definedName name="Z_54E8C250_4CDE_44FD_AAAF_7DB4794479FD_.wvu.FilterData" localSheetId="0" hidden="1">Outbound_Monitor!$A$2:$W$3</definedName>
    <definedName name="Z_54F411A2_B98E_4C55_9913_086FC2621349_.wvu.FilterData" localSheetId="1" hidden="1">Inbound_Monitor!$A$2:$Q$3</definedName>
    <definedName name="Z_54F93E05_D0F1_46B9_8FEA_7B22FD825429_.wvu.FilterData" localSheetId="0" hidden="1">Outbound_Monitor!$A$2:$W$3</definedName>
    <definedName name="Z_551027B4_0D50_4B49_9818_3DC24D5FCC30_.wvu.FilterData" localSheetId="1" hidden="1">Inbound_Monitor!$A$2:$Q$3</definedName>
    <definedName name="Z_551027B4_0D50_4B49_9818_3DC24D5FCC30_.wvu.FilterData" localSheetId="0" hidden="1">Outbound_Monitor!$A$2:$W$3</definedName>
    <definedName name="Z_5510B79D_4A28_4405_B0A1_02F193FA54CD_.wvu.FilterData" localSheetId="1" hidden="1">Inbound_Monitor!$A$2:$Q$3</definedName>
    <definedName name="Z_5510B79D_4A28_4405_B0A1_02F193FA54CD_.wvu.FilterData" localSheetId="4" hidden="1">Schichtübergabe_Protokoll!$B$3:$N$3</definedName>
    <definedName name="Z_554CD19B_6A33_475C_A804_A22F6A66B6E7_.wvu.FilterData" localSheetId="0" hidden="1">Outbound_Monitor!$A$2:$X$16</definedName>
    <definedName name="Z_554E07F8_9B6F_460E_82A6_5B72156D072D_.wvu.FilterData" localSheetId="1" hidden="1">Inbound_Monitor!$A$2:$Q$2</definedName>
    <definedName name="Z_554E07F8_9B6F_460E_82A6_5B72156D072D_.wvu.FilterData" localSheetId="0" hidden="1">Outbound_Monitor!$A$2:$W$2</definedName>
    <definedName name="Z_554EA6AC_665E_48F1_BD2C_8B244AFF5A75_.wvu.FilterData" localSheetId="0" hidden="1">Outbound_Monitor!$A$2:$W$3</definedName>
    <definedName name="Z_5553B17F_5E38_459F_9E7B_3B8FB8EDA0E9_.wvu.FilterData" localSheetId="1" hidden="1">Inbound_Monitor!$A$2:$Q$13</definedName>
    <definedName name="Z_5553B17F_5E38_459F_9E7B_3B8FB8EDA0E9_.wvu.FilterData" localSheetId="0" hidden="1">Outbound_Monitor!$A$2:$X$16</definedName>
    <definedName name="Z_5553B17F_5E38_459F_9E7B_3B8FB8EDA0E9_.wvu.FilterData" localSheetId="4" hidden="1">Schichtübergabe_Protokoll!$B$3:$N$3</definedName>
    <definedName name="Z_5556BDA3_52DD_44F0_B84B_68EB6C207F05_.wvu.FilterData" localSheetId="0" hidden="1">Outbound_Monitor!$A$2:$W$3</definedName>
    <definedName name="Z_555B4889_3EE7_4ECE_815B_C03AE1642EFE_.wvu.FilterData" localSheetId="0" hidden="1">Outbound_Monitor!$A$2:$W$3</definedName>
    <definedName name="Z_55647989_089E_4C4F_B806_2F4FBA1DAAEA_.wvu.FilterData" localSheetId="1" hidden="1">Inbound_Monitor!$A$2:$Q$13</definedName>
    <definedName name="Z_55647989_089E_4C4F_B806_2F4FBA1DAAEA_.wvu.FilterData" localSheetId="0" hidden="1">Outbound_Monitor!$A$2:$W$3</definedName>
    <definedName name="Z_5579B6EF_C5E5_4076_9F04_A29351918FE3_.wvu.FilterData" localSheetId="1" hidden="1">Inbound_Monitor!$A$2:$Q$13</definedName>
    <definedName name="Z_5579B6EF_C5E5_4076_9F04_A29351918FE3_.wvu.FilterData" localSheetId="0" hidden="1">Outbound_Monitor!$A$2:$W$3</definedName>
    <definedName name="Z_5585E19B_0FF5_45FE_8A8D_72AAA6E74E6E_.wvu.FilterData" localSheetId="0" hidden="1">Outbound_Monitor!$A$2:$W$3</definedName>
    <definedName name="Z_558B4DF1_CA6A_48AE_981F_3DC498AFFE3D_.wvu.FilterData" localSheetId="1" hidden="1">Inbound_Monitor!$A$2:$Q$3</definedName>
    <definedName name="Z_558B4DF1_CA6A_48AE_981F_3DC498AFFE3D_.wvu.FilterData" localSheetId="4" hidden="1">Schichtübergabe_Protokoll!$B$3:$N$3</definedName>
    <definedName name="Z_558FDBDE_E796_4171_A266_802B94F241D9_.wvu.FilterData" localSheetId="0" hidden="1">Outbound_Monitor!$A$2:$W$3</definedName>
    <definedName name="Z_55A078B0_0AB6_4C8D_B20B_CCDA7041EC47_.wvu.FilterData" localSheetId="0" hidden="1">Outbound_Monitor!$A$2:$W$3</definedName>
    <definedName name="Z_55A8BF7F_A1FF_4298_9259_3D91D7EB02F9_.wvu.FilterData" localSheetId="0" hidden="1">Outbound_Monitor!$A$2:$W$3</definedName>
    <definedName name="Z_55AC13E6_BE21_453E_8155_1A2B7F0D989D_.wvu.FilterData" localSheetId="0" hidden="1">Outbound_Monitor!$A$2:$X$16</definedName>
    <definedName name="Z_55AF439A_9BEF_437B_B27F_1F35EB34D92E_.wvu.FilterData" localSheetId="1" hidden="1">Inbound_Monitor!$A$2:$Q$2</definedName>
    <definedName name="Z_55AF439A_9BEF_437B_B27F_1F35EB34D92E_.wvu.FilterData" localSheetId="0" hidden="1">Outbound_Monitor!$A$2:$W$2</definedName>
    <definedName name="Z_55D01845_9D86_405C_A652_DFE7CF8E5C48_.wvu.FilterData" localSheetId="1" hidden="1">Inbound_Monitor!$A$2:$Q$13</definedName>
    <definedName name="Z_55D01845_9D86_405C_A652_DFE7CF8E5C48_.wvu.FilterData" localSheetId="0" hidden="1">Outbound_Monitor!$A$2:$W$3</definedName>
    <definedName name="Z_55EB05D8_9446_4CAD_B089_E2A64B1F0D1E_.wvu.FilterData" localSheetId="0" hidden="1">Outbound_Monitor!$A$2:$W$3</definedName>
    <definedName name="Z_55FC180D_4948_4C28_BAA8_B811F278E8CE_.wvu.FilterData" localSheetId="0" hidden="1">Outbound_Monitor!$A$2:$W$3</definedName>
    <definedName name="Z_561021F1_64B8_4FE2_B640_82B8FA990848_.wvu.FilterData" localSheetId="1" hidden="1">Inbound_Monitor!$A$2:$Q$13</definedName>
    <definedName name="Z_561021F1_64B8_4FE2_B640_82B8FA990848_.wvu.FilterData" localSheetId="0" hidden="1">Outbound_Monitor!$A$2:$W$3</definedName>
    <definedName name="Z_561021F1_64B8_4FE2_B640_82B8FA990848_.wvu.FilterData" localSheetId="4" hidden="1">Schichtübergabe_Protokoll!$B$3:$N$3</definedName>
    <definedName name="Z_56159D47_EAE6_4A12_92F0_417D472B66D2_.wvu.FilterData" localSheetId="1" hidden="1">Inbound_Monitor!$A$2:$Q$13</definedName>
    <definedName name="Z_56159D47_EAE6_4A12_92F0_417D472B66D2_.wvu.FilterData" localSheetId="0" hidden="1">Outbound_Monitor!$A$2:$W$3</definedName>
    <definedName name="Z_5615B217_55A6_4F24_B33B_64D4BA7314E8_.wvu.FilterData" localSheetId="1" hidden="1">Inbound_Monitor!$A$2:$Q$3</definedName>
    <definedName name="Z_5615B217_55A6_4F24_B33B_64D4BA7314E8_.wvu.FilterData" localSheetId="0" hidden="1">Outbound_Monitor!$A$2:$W$3</definedName>
    <definedName name="Z_561F5FF6_8D0A_46C1_BFAC_05E43A720CF0_.wvu.FilterData" localSheetId="1" hidden="1">Inbound_Monitor!$A$2:$Q$3</definedName>
    <definedName name="Z_561F5FF6_8D0A_46C1_BFAC_05E43A720CF0_.wvu.FilterData" localSheetId="0" hidden="1">Outbound_Monitor!$A$2:$W$3</definedName>
    <definedName name="Z_561FD2D0_21D4_4175_981E_FDD1226F2660_.wvu.FilterData" localSheetId="1" hidden="1">Inbound_Monitor!$A$2:$Q$13</definedName>
    <definedName name="Z_561FD2D0_21D4_4175_981E_FDD1226F2660_.wvu.FilterData" localSheetId="0" hidden="1">Outbound_Monitor!$A$2:$X$16</definedName>
    <definedName name="Z_56369D7E_EF14_42F0_824A_6411A5041BA2_.wvu.FilterData" localSheetId="0" hidden="1">Outbound_Monitor!$A$2:$W$3</definedName>
    <definedName name="Z_56402DFB_9A48_4F04_B9B3_87B62D8AD438_.wvu.FilterData" localSheetId="0" hidden="1">Outbound_Monitor!$A$2:$W$3</definedName>
    <definedName name="Z_56436E4B_FC90_40E8_9DBF_1E224F83A901_.wvu.FilterData" localSheetId="1" hidden="1">Inbound_Monitor!$A$2:$Q$13</definedName>
    <definedName name="Z_5647DFB9_5A01_404B_829E_89DB760757BA_.wvu.FilterData" localSheetId="0" hidden="1">Outbound_Monitor!$A$2:$W$3</definedName>
    <definedName name="Z_564BE4AF_CF2B_4D9E_B5C3_F26FC512960F_.wvu.FilterData" localSheetId="1" hidden="1">Inbound_Monitor!$A$2:$Q$13</definedName>
    <definedName name="Z_564BE4AF_CF2B_4D9E_B5C3_F26FC512960F_.wvu.FilterData" localSheetId="0" hidden="1">Outbound_Monitor!$A$2:$W$3</definedName>
    <definedName name="Z_5679E9A6_A98E_41B4_BC34_46B3DED58B75_.wvu.FilterData" localSheetId="0" hidden="1">Outbound_Monitor!$A$2:$X$16</definedName>
    <definedName name="Z_568A46CB_8564_40AB_8A78_63019DD4965D_.wvu.FilterData" localSheetId="1" hidden="1">Inbound_Monitor!$A$2:$Q$3</definedName>
    <definedName name="Z_568A46CB_8564_40AB_8A78_63019DD4965D_.wvu.FilterData" localSheetId="0" hidden="1">Outbound_Monitor!$A$2:$W$3</definedName>
    <definedName name="Z_5692E1D8_7D36_4721_8031_5D8F0A7B952A_.wvu.FilterData" localSheetId="1" hidden="1">Inbound_Monitor!$A$2:$Q$3</definedName>
    <definedName name="Z_5692E1D8_7D36_4721_8031_5D8F0A7B952A_.wvu.FilterData" localSheetId="0" hidden="1">Outbound_Monitor!$A$2:$W$3</definedName>
    <definedName name="Z_56A6F843_E71E_4BA3_A30D_3E608AD54A42_.wvu.FilterData" localSheetId="1" hidden="1">Inbound_Monitor!$A$2:$Q$13</definedName>
    <definedName name="Z_56A6F843_E71E_4BA3_A30D_3E608AD54A42_.wvu.FilterData" localSheetId="0" hidden="1">Outbound_Monitor!$A$2:$W$3</definedName>
    <definedName name="Z_56AC4498_F6A9_4272_95BA_25FBF64404E6_.wvu.FilterData" localSheetId="1" hidden="1">Inbound_Monitor!$A$2:$Q$3</definedName>
    <definedName name="Z_56B1A095_258D_4B69_B34A_B330568A90D3_.wvu.FilterData" localSheetId="1" hidden="1">Inbound_Monitor!$A$2:$Q$13</definedName>
    <definedName name="Z_56B1A095_258D_4B69_B34A_B330568A90D3_.wvu.FilterData" localSheetId="0" hidden="1">Outbound_Monitor!$A$2:$W$3</definedName>
    <definedName name="Z_56BC6D6C_B375_4848_996C_95782F03F297_.wvu.FilterData" localSheetId="0" hidden="1">Outbound_Monitor!$A$2:$W$3</definedName>
    <definedName name="Z_56BD70CC_5248_4FE8_BDE0_C1D55787704A_.wvu.FilterData" localSheetId="0" hidden="1">Outbound_Monitor!$A$2:$W$3</definedName>
    <definedName name="Z_56BDE947_901F_466C_90C8_28FCE57B6604_.wvu.FilterData" localSheetId="0" hidden="1">Outbound_Monitor!$A$2:$W$3</definedName>
    <definedName name="Z_56D90497_BB3D_466D_A448_A2153BEEA2B1_.wvu.FilterData" localSheetId="1" hidden="1">Inbound_Monitor!$A$2:$Q$2</definedName>
    <definedName name="Z_56D90497_BB3D_466D_A448_A2153BEEA2B1_.wvu.FilterData" localSheetId="0" hidden="1">Outbound_Monitor!$A$2:$W$2</definedName>
    <definedName name="Z_56EA64CD_91AC_4BAA_A948_D425B65AAB89_.wvu.FilterData" localSheetId="0" hidden="1">Outbound_Monitor!$A$2:$W$3</definedName>
    <definedName name="Z_56ED62E7_FFB2_4FDB_AD6C_91410D461F68_.wvu.Rows" localSheetId="3" hidden="1">'SDDS_Office (nicht nutzen)'!#REF!,'SDDS_Office (nicht nutzen)'!#REF!,'SDDS_Office (nicht nutzen)'!#REF!</definedName>
    <definedName name="Z_56F16F52_DC7D_4DAD_B545_C5E0582F3D0D_.wvu.FilterData" localSheetId="1" hidden="1">Inbound_Monitor!$A$2:$Q$3</definedName>
    <definedName name="Z_5707B650_D7FD_4EF1_B8F3_8D8063F5793F_.wvu.FilterData" localSheetId="1" hidden="1">Inbound_Monitor!$A$2:$Q$2</definedName>
    <definedName name="Z_5707B650_D7FD_4EF1_B8F3_8D8063F5793F_.wvu.FilterData" localSheetId="0" hidden="1">Outbound_Monitor!$A$2:$W$2</definedName>
    <definedName name="Z_5709BC40_A591_40B6_8E06_BAD3967A1EF7_.wvu.FilterData" localSheetId="1" hidden="1">Inbound_Monitor!$A$2:$Q$3</definedName>
    <definedName name="Z_5709BC40_A591_40B6_8E06_BAD3967A1EF7_.wvu.FilterData" localSheetId="0" hidden="1">Outbound_Monitor!$A$2:$W$3</definedName>
    <definedName name="Z_5729F21B_3D0D_4117_93D9_FDE64156C580_.wvu.FilterData" localSheetId="0" hidden="1">Outbound_Monitor!$A$2:$W$3</definedName>
    <definedName name="Z_5736BFF5_AA78_4826_97AF_FC893CCBD179_.wvu.FilterData" localSheetId="0" hidden="1">Outbound_Monitor!$A$2:$W$3</definedName>
    <definedName name="Z_57468BC2_FB3A_4E06_B04D_67FA901BD879_.wvu.FilterData" localSheetId="0" hidden="1">Outbound_Monitor!$A$2:$W$3</definedName>
    <definedName name="Z_57584A78_E26A_4166_90D5_A8731E878F8E_.wvu.FilterData" localSheetId="1" hidden="1">Inbound_Monitor!$A$2:$Q$3</definedName>
    <definedName name="Z_57644627_88F5_4D1A_82DC_BEAA0E74D550_.wvu.FilterData" localSheetId="0" hidden="1">Outbound_Monitor!$A$2:$W$3</definedName>
    <definedName name="Z_576B2210_69EB_446F_8D9D_D2F2E5B07BD4_.wvu.FilterData" localSheetId="1" hidden="1">Inbound_Monitor!$A$2:$Q$2</definedName>
    <definedName name="Z_576B2210_69EB_446F_8D9D_D2F2E5B07BD4_.wvu.FilterData" localSheetId="0" hidden="1">Outbound_Monitor!$A$2:$W$2</definedName>
    <definedName name="Z_577850EA_5156_426F_B55F_E6297FDD59AC_.wvu.FilterData" localSheetId="0" hidden="1">Outbound_Monitor!$A$2:$X$16</definedName>
    <definedName name="Z_5782AF0D_F606_4407_9948_8E4BA196D7BE_.wvu.FilterData" localSheetId="1" hidden="1">Inbound_Monitor!$A$2:$Q$2</definedName>
    <definedName name="Z_5782AF0D_F606_4407_9948_8E4BA196D7BE_.wvu.FilterData" localSheetId="0" hidden="1">Outbound_Monitor!$A$2:$W$2</definedName>
    <definedName name="Z_5787DC9D_5626_4A56_A3E6_4A229B21ED2A_.wvu.FilterData" localSheetId="1" hidden="1">Inbound_Monitor!$A$2:$Q$3</definedName>
    <definedName name="Z_5787DC9D_5626_4A56_A3E6_4A229B21ED2A_.wvu.FilterData" localSheetId="0" hidden="1">Outbound_Monitor!$A$2:$W$3</definedName>
    <definedName name="Z_57898AD0_D77F_4DF9_85B6_F0D0C4F8AFCC_.wvu.FilterData" localSheetId="0" hidden="1">Outbound_Monitor!$A$2:$W$3</definedName>
    <definedName name="Z_578B8ED8_46CD_4076_8C32_8E264B115C7F_.wvu.FilterData" localSheetId="0" hidden="1">Outbound_Monitor!$A$2:$W$3</definedName>
    <definedName name="Z_5793F5B4_AC92_441D_B1F6_0BE25D9B5AA7_.wvu.FilterData" localSheetId="1" hidden="1">Inbound_Monitor!$A$2:$Q$3</definedName>
    <definedName name="Z_579A857A_8E76_44BD_BB81_8A7125AC0A00_.wvu.FilterData" localSheetId="1" hidden="1">Inbound_Monitor!$A$2:$Q$2</definedName>
    <definedName name="Z_579A857A_8E76_44BD_BB81_8A7125AC0A00_.wvu.FilterData" localSheetId="0" hidden="1">Outbound_Monitor!$A$2:$W$2</definedName>
    <definedName name="Z_579C9905_4FE3_4771_8776_C9613019B696_.wvu.FilterData" localSheetId="0" hidden="1">Outbound_Monitor!$A$2:$W$3</definedName>
    <definedName name="Z_579F6755_7A1B_4AE6_9F4C_EBCC1A3E1699_.wvu.FilterData" localSheetId="1" hidden="1">Inbound_Monitor!$A$2:$Q$2</definedName>
    <definedName name="Z_579F6755_7A1B_4AE6_9F4C_EBCC1A3E1699_.wvu.FilterData" localSheetId="0" hidden="1">Outbound_Monitor!$A$2:$W$2</definedName>
    <definedName name="Z_57A1B8C4_BE2F_45F2_A356_B3C23308EE5F_.wvu.FilterData" localSheetId="4" hidden="1">Schichtübergabe_Protokoll!$B$3:$N$3</definedName>
    <definedName name="Z_57A9F445_51CE_4726_AEC7_99BDF44759DC_.wvu.FilterData" localSheetId="0" hidden="1">Outbound_Monitor!$A$2:$X$16</definedName>
    <definedName name="Z_57B6DB6B_246C_4F7F_9D24_18A3CCD5CCCA_.wvu.FilterData" localSheetId="1" hidden="1">Inbound_Monitor!$A$2:$Q$3</definedName>
    <definedName name="Z_57C1E196_53D5_443A_BCE8_C38472D534A5_.wvu.FilterData" localSheetId="1" hidden="1">Inbound_Monitor!$A$2:$Q$2</definedName>
    <definedName name="Z_57C1E196_53D5_443A_BCE8_C38472D534A5_.wvu.FilterData" localSheetId="0" hidden="1">Outbound_Monitor!$A$2:$W$2</definedName>
    <definedName name="Z_57D059E7_028D_49A1_AEB7_A11F43D9C386_.wvu.FilterData" localSheetId="1" hidden="1">Inbound_Monitor!$A$2:$Q$2</definedName>
    <definedName name="Z_57D059E7_028D_49A1_AEB7_A11F43D9C386_.wvu.FilterData" localSheetId="0" hidden="1">Outbound_Monitor!$A$2:$W$2</definedName>
    <definedName name="Z_57D372B9_E280_4DCB_82DE_323EE27C9E94_.wvu.FilterData" localSheetId="0" hidden="1">Outbound_Monitor!$A$2:$W$3</definedName>
    <definedName name="Z_57D92F00_AF31_45ED_BAE3_2B38AD29B212_.wvu.FilterData" localSheetId="1" hidden="1">Inbound_Monitor!$A$2:$Q$3</definedName>
    <definedName name="Z_57DB1667_35DA_4B39_A0BC_D98D3CDFD440_.wvu.FilterData" localSheetId="0" hidden="1">Outbound_Monitor!$A$2:$W$3</definedName>
    <definedName name="Z_57EA696E_7769_4E5C_B1D5_1CF73E6DE20F_.wvu.FilterData" localSheetId="1" hidden="1">Inbound_Monitor!$A$2:$Q$13</definedName>
    <definedName name="Z_5806AA68_A954_454D_B349_A9669B1F4C0F_.wvu.FilterData" localSheetId="0" hidden="1">Outbound_Monitor!$A$2:$X$16</definedName>
    <definedName name="Z_58091997_E6F0_4B9F_B3D9_3197B3DB5BEB_.wvu.FilterData" localSheetId="0" hidden="1">Outbound_Monitor!#REF!</definedName>
    <definedName name="Z_581C14FF_93B3_41A5_9BB5_E5401EF158E6_.wvu.FilterData" localSheetId="1" hidden="1">Inbound_Monitor!$A$2:$Q$3</definedName>
    <definedName name="Z_581C14FF_93B3_41A5_9BB5_E5401EF158E6_.wvu.FilterData" localSheetId="0" hidden="1">Outbound_Monitor!$A$2:$W$3</definedName>
    <definedName name="Z_581DD1F7_B77B_468E_80E4_B96BD6294E3E_.wvu.FilterData" localSheetId="1" hidden="1">Inbound_Monitor!$A$2:$Q$3</definedName>
    <definedName name="Z_58239E97_9989_4467_B21E_141DC68FFD57_.wvu.FilterData" localSheetId="0" hidden="1">Outbound_Monitor!$A$2:$W$3</definedName>
    <definedName name="Z_582B9932_F432_4202_8EDC_6905F4575C99_.wvu.FilterData" localSheetId="0" hidden="1">Outbound_Monitor!$A$2:$X$16</definedName>
    <definedName name="Z_582CC55C_1ACC_40A3_B6E1_CB95E63DE56C_.wvu.FilterData" localSheetId="0" hidden="1">Outbound_Monitor!$A$2:$W$3</definedName>
    <definedName name="Z_583139DF_86A7_4374_BE40_1402AF5BC17E_.wvu.FilterData" localSheetId="1" hidden="1">Inbound_Monitor!$A$2:$Q$3</definedName>
    <definedName name="Z_585CCC82_8341_4BC4_AF3E_4DB444502282_.wvu.FilterData" localSheetId="0" hidden="1">Outbound_Monitor!$A$2:$W$3</definedName>
    <definedName name="Z_586630BA_2706_475E_9077_94A015E7914A_.wvu.FilterData" localSheetId="1" hidden="1">Inbound_Monitor!$A$2:$Q$13</definedName>
    <definedName name="Z_586630BA_2706_475E_9077_94A015E7914A_.wvu.FilterData" localSheetId="0" hidden="1">Outbound_Monitor!$A$2:$X$16</definedName>
    <definedName name="Z_58820ECB_93A9_4281_8776_23FFE3050517_.wvu.FilterData" localSheetId="1" hidden="1">Inbound_Monitor!$A$2:$Q$13</definedName>
    <definedName name="Z_58879D64_6117_4186_9190_E2BF2F44DBBF_.wvu.FilterData" localSheetId="0" hidden="1">Outbound_Monitor!$A$2:$W$3</definedName>
    <definedName name="Z_589C2D9C_A119_4796_BA9B_B4B3D8B5BAF0_.wvu.FilterData" localSheetId="1" hidden="1">Inbound_Monitor!$A$2:$Q$2</definedName>
    <definedName name="Z_589C2D9C_A119_4796_BA9B_B4B3D8B5BAF0_.wvu.FilterData" localSheetId="0" hidden="1">Outbound_Monitor!$A$2:$W$2</definedName>
    <definedName name="Z_58A82722_9493_4EFA_8101_D9F6256401A7_.wvu.FilterData" localSheetId="0" hidden="1">Outbound_Monitor!$A$2:$W$3</definedName>
    <definedName name="Z_58AA1D40_536D_4B9E_A797_91CDCC64752B_.wvu.FilterData" localSheetId="1" hidden="1">Inbound_Monitor!$A$2:$Q$13</definedName>
    <definedName name="Z_58AAB9A2_7A49_46D2_B043_BE7ECDF1371A_.wvu.FilterData" localSheetId="0" hidden="1">Outbound_Monitor!$A$2:$X$16</definedName>
    <definedName name="Z_58B561A5_E503_4B90_89A9_9EE556C37C81_.wvu.Rows" localSheetId="3" hidden="1">'SDDS_Office (nicht nutzen)'!#REF!,'SDDS_Office (nicht nutzen)'!#REF!,'SDDS_Office (nicht nutzen)'!#REF!</definedName>
    <definedName name="Z_58BEBA72_F786_4FAD_A876_987E9D5A90E6_.wvu.FilterData" localSheetId="1" hidden="1">Inbound_Monitor!$A$2:$Q$3</definedName>
    <definedName name="Z_58C2F391_2E8C_4AC3_A64D_D72DBE3C6056_.wvu.FilterData" localSheetId="0" hidden="1">Outbound_Monitor!$A$2:$W$3</definedName>
    <definedName name="Z_58C675A3_4707_44E4_8059_EC95D63AE562_.wvu.FilterData" localSheetId="0" hidden="1">Outbound_Monitor!$A$2:$X$16</definedName>
    <definedName name="Z_58C8E832_8C5E_4FD3_823B_23FFA51409B1_.wvu.FilterData" localSheetId="0" hidden="1">Outbound_Monitor!$A$2:$W$3</definedName>
    <definedName name="Z_58CAA586_2A9B_482F_9B39_4A243BA7467F_.wvu.FilterData" localSheetId="0" hidden="1">Outbound_Monitor!$A$2:$X$16</definedName>
    <definedName name="Z_58CB370A_04B9_4B5C_A091_5643BAE5AACF_.wvu.FilterData" localSheetId="0" hidden="1">Outbound_Monitor!$A$2:$W$3</definedName>
    <definedName name="Z_58CFD584_9873_4D0E_9CEB_FB63B99E9FF4_.wvu.FilterData" localSheetId="0" hidden="1">Outbound_Monitor!$A$2:$W$3</definedName>
    <definedName name="Z_58DE4393_16C6_40E8_AC54_8EC509CF96F9_.wvu.FilterData" localSheetId="1" hidden="1">Inbound_Monitor!$A$2:$Q$3</definedName>
    <definedName name="Z_58DE4393_16C6_40E8_AC54_8EC509CF96F9_.wvu.FilterData" localSheetId="0" hidden="1">Outbound_Monitor!$A$2:$W$3</definedName>
    <definedName name="Z_59026259_B8DE_4B7F_88A7_93139433E362_.wvu.FilterData" localSheetId="0" hidden="1">Outbound_Monitor!$A$2:$W$3</definedName>
    <definedName name="Z_590BDA3F_2F85_4AA4_BA92_81A0A58684EC_.wvu.FilterData" localSheetId="1" hidden="1">Inbound_Monitor!$A$2:$Q$13</definedName>
    <definedName name="Z_5921DBE4_9F99_4EDB_B5A1_7A02DFB98896_.wvu.FilterData" localSheetId="1" hidden="1">Inbound_Monitor!$A$2:$Q$3</definedName>
    <definedName name="Z_593E7278_6F73_411A_BE19_C1A26593E9A7_.wvu.FilterData" localSheetId="0" hidden="1">Outbound_Monitor!$A$2:$W$3</definedName>
    <definedName name="Z_594CA8F9_A7EE_4EEF_B4EA_BFEA7A0B82BB_.wvu.FilterData" localSheetId="1" hidden="1">Inbound_Monitor!$A$2:$Q$2</definedName>
    <definedName name="Z_594CA8F9_A7EE_4EEF_B4EA_BFEA7A0B82BB_.wvu.FilterData" localSheetId="0" hidden="1">Outbound_Monitor!$A$2:$W$2</definedName>
    <definedName name="Z_594FE189_10E8_488F_B401_68FF0EE7632F_.wvu.FilterData" localSheetId="1" hidden="1">Inbound_Monitor!$A$2:$Q$13</definedName>
    <definedName name="Z_594FE189_10E8_488F_B401_68FF0EE7632F_.wvu.FilterData" localSheetId="0" hidden="1">Outbound_Monitor!$A$2:$W$3</definedName>
    <definedName name="Z_595398B4_4716_4ABD_85B0_DA4B02283030_.wvu.FilterData" localSheetId="0" hidden="1">Outbound_Monitor!$A$2:$W$3</definedName>
    <definedName name="Z_596102FA_2DCA_4B59_B4D9_F67A31C5D545_.wvu.FilterData" localSheetId="1" hidden="1">Inbound_Monitor!$A$2:$Q$13</definedName>
    <definedName name="Z_5962CA47_1EC3_42A8_B3DE_BFE09F72711E_.wvu.FilterData" localSheetId="1" hidden="1">Inbound_Monitor!$A$2:$Q$3</definedName>
    <definedName name="Z_5963C9D2_D91C_4CC9_9DD0_807672209107_.wvu.FilterData" localSheetId="1" hidden="1">Inbound_Monitor!$A$2:$Q$2</definedName>
    <definedName name="Z_5963C9D2_D91C_4CC9_9DD0_807672209107_.wvu.FilterData" localSheetId="0" hidden="1">Outbound_Monitor!$A$2:$W$2</definedName>
    <definedName name="Z_596DEF74_F569_4446_8872_D0B4C0C5BC74_.wvu.FilterData" localSheetId="0" hidden="1">Outbound_Monitor!$A$2:$W$3</definedName>
    <definedName name="Z_5974A9A4_CD3F_4F6A_8024_10BDC8F4388D_.wvu.FilterData" localSheetId="1" hidden="1">Inbound_Monitor!$A$2:$Q$3</definedName>
    <definedName name="Z_5977BE27_67E0_442F_B6F1_D25B72B3FB48_.wvu.FilterData" localSheetId="0" hidden="1">Outbound_Monitor!$A$2:$W$3</definedName>
    <definedName name="Z_5979ED33_337A_4F11_A605_5C97A6AA9AD9_.wvu.FilterData" localSheetId="0" hidden="1">Outbound_Monitor!$A$2:$W$3</definedName>
    <definedName name="Z_597AA1BA_B187_4F25_81BF_470963B7116B_.wvu.FilterData" localSheetId="0" hidden="1">Outbound_Monitor!$A$2:$W$3</definedName>
    <definedName name="Z_597C20BE_39C1_44D5_80A2_184F47068662_.wvu.FilterData" localSheetId="1" hidden="1">Inbound_Monitor!$A$2:$Q$3</definedName>
    <definedName name="Z_59B70812_11E1_4197_A6C9_BE0C41711610_.wvu.FilterData" localSheetId="1" hidden="1">Inbound_Monitor!$A$2:$Q$3</definedName>
    <definedName name="Z_59BB97E4_6EC5_4B9C_82B4_831320ACAD9A_.wvu.FilterData" localSheetId="1" hidden="1">Inbound_Monitor!$A$2:$Q$3</definedName>
    <definedName name="Z_59C01363_78ED_434A_9C1A_15B07CB39587_.wvu.FilterData" localSheetId="0" hidden="1">Outbound_Monitor!$A$2:$W$3</definedName>
    <definedName name="Z_59C50CAA_9433_4A74_B710_B8430CD837BC_.wvu.FilterData" localSheetId="1" hidden="1">Inbound_Monitor!$A$2:$Q$2</definedName>
    <definedName name="Z_59C50CAA_9433_4A74_B710_B8430CD837BC_.wvu.FilterData" localSheetId="0" hidden="1">Outbound_Monitor!$A$2:$W$2</definedName>
    <definedName name="Z_59DFC269_346C_4300_B9A3_BFB98639F56C_.wvu.FilterData" localSheetId="1" hidden="1">Inbound_Monitor!$A$2:$Q$3</definedName>
    <definedName name="Z_59E66EAF_4E9E_4532_8DDC_34FDC5990DE7_.wvu.FilterData" localSheetId="1" hidden="1">Inbound_Monitor!$A$2:$Q$3</definedName>
    <definedName name="Z_59E8CBB0_C4C7_46CC_99FD_6AD03A3BDB8E_.wvu.FilterData" localSheetId="1" hidden="1">Inbound_Monitor!$A$2:$Q$13</definedName>
    <definedName name="Z_59F33B4B_B3C3_4075_BD73_78D5D9E8AAE7_.wvu.FilterData" localSheetId="1" hidden="1">Inbound_Monitor!$A$2:$Q$13</definedName>
    <definedName name="Z_59F496FF_FC56_43A0_A1AE_C7ADC0C0A34B_.wvu.FilterData" localSheetId="1" hidden="1">Inbound_Monitor!$A$2:$Q$13</definedName>
    <definedName name="Z_59F496FF_FC56_43A0_A1AE_C7ADC0C0A34B_.wvu.FilterData" localSheetId="0" hidden="1">Outbound_Monitor!$A$2:$W$3</definedName>
    <definedName name="Z_5A0D850B_8D2A_4B0B_A72E_F7EA05F1A418_.wvu.FilterData" localSheetId="1" hidden="1">Inbound_Monitor!$A$2:$Q$2</definedName>
    <definedName name="Z_5A0D850B_8D2A_4B0B_A72E_F7EA05F1A418_.wvu.FilterData" localSheetId="0" hidden="1">Outbound_Monitor!$A$2:$W$2</definedName>
    <definedName name="Z_5A1C463D_12DB_4CF2_8603_ECC6D727F549_.wvu.FilterData" localSheetId="0" hidden="1">Outbound_Monitor!$A$2:$W$3</definedName>
    <definedName name="Z_5A29FCBF_A9FC_4276_B075_D353380339BB_.wvu.FilterData" localSheetId="0" hidden="1">Outbound_Monitor!$A$2:$W$3</definedName>
    <definedName name="Z_5A56D292_775F_464B_AD6A_446ED452C0DA_.wvu.FilterData" localSheetId="0" hidden="1">Outbound_Monitor!$A$2:$W$3</definedName>
    <definedName name="Z_5A61D9E3_623A_46CC_AEFD_3B4705142DE5_.wvu.FilterData" localSheetId="0" hidden="1">Outbound_Monitor!$A$2:$W$3</definedName>
    <definedName name="Z_5A6CBB6A_1F4A_4AA6_8731_1C1A582240F6_.wvu.FilterData" localSheetId="1" hidden="1">Inbound_Monitor!$A$2:$Q$2</definedName>
    <definedName name="Z_5A6CBB6A_1F4A_4AA6_8731_1C1A582240F6_.wvu.FilterData" localSheetId="0" hidden="1">Outbound_Monitor!$A$2:$W$2</definedName>
    <definedName name="Z_5A6FB7A8_402E_4E0F_A139_798B3A09424B_.wvu.FilterData" localSheetId="1" hidden="1">Inbound_Monitor!$A$2:$Q$2</definedName>
    <definedName name="Z_5A6FB7A8_402E_4E0F_A139_798B3A09424B_.wvu.FilterData" localSheetId="0" hidden="1">Outbound_Monitor!$A$2:$W$2</definedName>
    <definedName name="Z_5A8B8265_398D_4727_BAC4_CEFE1CFE83BE_.wvu.FilterData" localSheetId="4" hidden="1">Schichtübergabe_Protokoll!$B$3:$N$3</definedName>
    <definedName name="Z_5A8C5A41_B26A_445A_98C0_DA8D36AFDF53_.wvu.FilterData" localSheetId="1" hidden="1">Inbound_Monitor!$A$2:$Q$3</definedName>
    <definedName name="Z_5A8C5A41_B26A_445A_98C0_DA8D36AFDF53_.wvu.FilterData" localSheetId="0" hidden="1">Outbound_Monitor!$A$2:$W$3</definedName>
    <definedName name="Z_5A93B113_FCF4_431E_B178_E92563B52FAB_.wvu.FilterData" localSheetId="0" hidden="1">Outbound_Monitor!$A$2:$X$16</definedName>
    <definedName name="Z_5A9DC351_7F8A_4D6D_BF9D_7E20E2E31A74_.wvu.FilterData" localSheetId="1" hidden="1">Inbound_Monitor!$A$2:$Q$13</definedName>
    <definedName name="Z_5A9E8FDF_DE3D_4581_B1F0_973BECE3D449_.wvu.FilterData" localSheetId="0" hidden="1">Outbound_Monitor!$A$2:$W$3</definedName>
    <definedName name="Z_5A9F93A4_3C2B_4696_90E8_0A979D711EF1_.wvu.FilterData" localSheetId="0" hidden="1">Outbound_Monitor!$A$2:$W$3</definedName>
    <definedName name="Z_5AA3F1D4_74E5_4391_BFEB_D8B588333BFA_.wvu.FilterData" localSheetId="0" hidden="1">Outbound_Monitor!$A$2:$X$16</definedName>
    <definedName name="Z_5AA94D8D_EDA5_48FA_8E40_49326849C3E7_.wvu.FilterData" localSheetId="0" hidden="1">Outbound_Monitor!$A$2:$X$16</definedName>
    <definedName name="Z_5AB4C3F3_2B1A_45A8_9626_2BCC1CC6C823_.wvu.FilterData" localSheetId="0" hidden="1">Outbound_Monitor!$A$2:$X$16</definedName>
    <definedName name="Z_5AB6AE5D_B9DB_4E93_94B5_C0ED0B5D21A5_.wvu.FilterData" localSheetId="0" hidden="1">Outbound_Monitor!$A$2:$X$16</definedName>
    <definedName name="Z_5AC08342_A602_4F7D_9232_9ABD86BA5CC1_.wvu.FilterData" localSheetId="0" hidden="1">Outbound_Monitor!$A$2:$W$3</definedName>
    <definedName name="Z_5AC3CF50_D558_4313_BD4C_10A174679A85_.wvu.FilterData" localSheetId="0" hidden="1">Outbound_Monitor!$A$2:$W$3</definedName>
    <definedName name="Z_5ACA4CBE_E382_498D_BC58_4F362FF4BCEC_.wvu.FilterData" localSheetId="1" hidden="1">Inbound_Monitor!$A$2:$Q$3</definedName>
    <definedName name="Z_5ACA4CBE_E382_498D_BC58_4F362FF4BCEC_.wvu.FilterData" localSheetId="0" hidden="1">Outbound_Monitor!$A$2:$W$3</definedName>
    <definedName name="Z_5ADDBE83_A90E_42B7_9E0C_EF60DD94C541_.wvu.FilterData" localSheetId="0" hidden="1">Outbound_Monitor!$A$2:$W$3</definedName>
    <definedName name="Z_5AF07AEA_88DD_4E1B_8F75_A2A3B49D0C26_.wvu.FilterData" localSheetId="0" hidden="1">Outbound_Monitor!$A$2:$X$16</definedName>
    <definedName name="Z_5AF132D1_DC71_45C8_B547_AA9440CA43A7_.wvu.FilterData" localSheetId="1" hidden="1">Inbound_Monitor!$A$2:$Q$3</definedName>
    <definedName name="Z_5AF132D1_DC71_45C8_B547_AA9440CA43A7_.wvu.FilterData" localSheetId="0" hidden="1">Outbound_Monitor!$A$2:$W$3</definedName>
    <definedName name="Z_5AF41368_B0A8_40F3_B3D3_B30AF0CCB6C5_.wvu.FilterData" localSheetId="0" hidden="1">Outbound_Monitor!$A$2:$W$3</definedName>
    <definedName name="Z_5AF84E2D_C838_40A1_9FF8_6836FB2B0357_.wvu.FilterData" localSheetId="0" hidden="1">Outbound_Monitor!$A$2:$W$3</definedName>
    <definedName name="Z_5AF93AE5_0B18_468B_953C_558FFF537486_.wvu.FilterData" localSheetId="1" hidden="1">Inbound_Monitor!$A$2:$Q$2</definedName>
    <definedName name="Z_5AF93AE5_0B18_468B_953C_558FFF537486_.wvu.FilterData" localSheetId="0" hidden="1">Outbound_Monitor!$A$2:$W$2</definedName>
    <definedName name="Z_5B0276D9_31D3_4259_AEF3_28A32DD1CABD_.wvu.FilterData" localSheetId="1" hidden="1">Inbound_Monitor!$A$2:$Q$13</definedName>
    <definedName name="Z_5B15827F_F9D8_4FF5_B1D2_CEF84D093A8D_.wvu.FilterData" localSheetId="0" hidden="1">Outbound_Monitor!$A$2:$W$3</definedName>
    <definedName name="Z_5B17B92A_FD8B_492F_BFCF_C4D859CC4D9E_.wvu.FilterData" localSheetId="0" hidden="1">Outbound_Monitor!$A$2:$W$3</definedName>
    <definedName name="Z_5B35F80D_EE33_4B5E_A95F_C59EFDAEADD3_.wvu.FilterData" localSheetId="0" hidden="1">Outbound_Monitor!$A$2:$W$3</definedName>
    <definedName name="Z_5B39719C_34E6_4E90_8317_E0C57C9AF5CA_.wvu.FilterData" localSheetId="1" hidden="1">Inbound_Monitor!$A$2:$Q$2</definedName>
    <definedName name="Z_5B39719C_34E6_4E90_8317_E0C57C9AF5CA_.wvu.FilterData" localSheetId="0" hidden="1">Outbound_Monitor!$A$2:$W$2</definedName>
    <definedName name="Z_5B416674_645C_4433_9CE0_970D3AAAE6AA_.wvu.FilterData" localSheetId="1" hidden="1">Inbound_Monitor!$A$2:$Q$13</definedName>
    <definedName name="Z_5B416674_645C_4433_9CE0_970D3AAAE6AA_.wvu.FilterData" localSheetId="0" hidden="1">Outbound_Monitor!$A$2:$W$3</definedName>
    <definedName name="Z_5B5603CA_3551_45F8_9F98_20088272E83E_.wvu.FilterData" localSheetId="1" hidden="1">Inbound_Monitor!$A$2:$Q$13</definedName>
    <definedName name="Z_5B5603CA_3551_45F8_9F98_20088272E83E_.wvu.FilterData" localSheetId="0" hidden="1">Outbound_Monitor!$A$2:$W$3</definedName>
    <definedName name="Z_5B58D0AC_98BF_4EDF_8A90_500D840645F4_.wvu.FilterData" localSheetId="0" hidden="1">Outbound_Monitor!$A$2:$W$3</definedName>
    <definedName name="Z_5B6B53C0_81E7_407F_8A5C_16B6219316A1_.wvu.FilterData" localSheetId="0" hidden="1">Outbound_Monitor!$A$2:$W$3</definedName>
    <definedName name="Z_5B6B8899_917F_43EE_849F_E98678566A77_.wvu.FilterData" localSheetId="1" hidden="1">Inbound_Monitor!$A$2:$Q$3</definedName>
    <definedName name="Z_5B6C48E0_4B36_4198_A3C0_D5B31F398964_.wvu.FilterData" localSheetId="0" hidden="1">Outbound_Monitor!$A$2:$W$3</definedName>
    <definedName name="Z_5B718BCF_4454_4BD9_B14F_033246E6AD7E_.wvu.FilterData" localSheetId="0" hidden="1">Outbound_Monitor!$A$3:$X$16</definedName>
    <definedName name="Z_5B73018A_2956_4B1B_9C74_9019B8A98E4C_.wvu.FilterData" localSheetId="1" hidden="1">Inbound_Monitor!$A$2:$Q$13</definedName>
    <definedName name="Z_5B73018A_2956_4B1B_9C74_9019B8A98E4C_.wvu.FilterData" localSheetId="0" hidden="1">Outbound_Monitor!$A$2:$W$3</definedName>
    <definedName name="Z_5B7A3013_D28B_4F64_9598_940D27ADA7DF_.wvu.FilterData" localSheetId="1" hidden="1">Inbound_Monitor!$A$2:$Q$2</definedName>
    <definedName name="Z_5B7A3013_D28B_4F64_9598_940D27ADA7DF_.wvu.FilterData" localSheetId="0" hidden="1">Outbound_Monitor!$A$2:$W$2</definedName>
    <definedName name="Z_5B80DA94_A302_427F_87BF_F35BD82E4DA7_.wvu.FilterData" localSheetId="0" hidden="1">Outbound_Monitor!$A$2:$W$3</definedName>
    <definedName name="Z_5B99348E_1633_4337_ACFB_98643FB85F8F_.wvu.FilterData" localSheetId="1" hidden="1">Inbound_Monitor!$A$2:$Q$3</definedName>
    <definedName name="Z_5BA258DF_AD4B_44FD_9BB3_7670A9CE0130_.wvu.FilterData" localSheetId="0" hidden="1">Outbound_Monitor!$A$2:$W$3</definedName>
    <definedName name="Z_5BA2C079_DC2A_4555_A64D_24580BC4F517_.wvu.FilterData" localSheetId="0" hidden="1">Outbound_Monitor!$A$2:$X$16</definedName>
    <definedName name="Z_5BB42063_D78D_4582_987A_9040441DC0B4_.wvu.FilterData" localSheetId="0" hidden="1">Outbound_Monitor!$A$2:$W$3</definedName>
    <definedName name="Z_5BD7D2A7_6DFB_4BA9_880D_835A55BBCDA3_.wvu.FilterData" localSheetId="0" hidden="1">Outbound_Monitor!$A$2:$W$3</definedName>
    <definedName name="Z_5BD8DA36_C8E8_421D_B61D_FE22D2FFD862_.wvu.FilterData" localSheetId="1" hidden="1">Inbound_Monitor!$A$2:$Q$3</definedName>
    <definedName name="Z_5BD8DA36_C8E8_421D_B61D_FE22D2FFD862_.wvu.FilterData" localSheetId="0" hidden="1">Outbound_Monitor!$A$2:$W$3</definedName>
    <definedName name="Z_5BDB9249_3CB0_4AF8_AF14_441A7D63318D_.wvu.FilterData" localSheetId="1" hidden="1">Inbound_Monitor!$A$2:$Q$3</definedName>
    <definedName name="Z_5BDB9249_3CB0_4AF8_AF14_441A7D63318D_.wvu.FilterData" localSheetId="0" hidden="1">Outbound_Monitor!$A$2:$W$3</definedName>
    <definedName name="Z_5BDBE0BD_DE83_415F_B23A_72212A44D9E8_.wvu.FilterData" localSheetId="0" hidden="1">Outbound_Monitor!#REF!</definedName>
    <definedName name="Z_5BDFBDC3_8F68_41AB_8D6E_15452E65F637_.wvu.FilterData" localSheetId="1" hidden="1">Inbound_Monitor!$A$2:$Q$2</definedName>
    <definedName name="Z_5BDFBDC3_8F68_41AB_8D6E_15452E65F637_.wvu.FilterData" localSheetId="0" hidden="1">Outbound_Monitor!$A$2:$W$2</definedName>
    <definedName name="Z_5BF06DE7_807A_4854_B25C_537EFA52136A_.wvu.FilterData" localSheetId="1" hidden="1">Inbound_Monitor!$A$2:$Q$13</definedName>
    <definedName name="Z_5BF06DE7_807A_4854_B25C_537EFA52136A_.wvu.FilterData" localSheetId="0" hidden="1">Outbound_Monitor!$A$2:$W$3</definedName>
    <definedName name="Z_5BFA2467_164C_48A6_9BD2_08A703979507_.wvu.FilterData" localSheetId="1" hidden="1">Inbound_Monitor!$A$2:$Q$13</definedName>
    <definedName name="Z_5BFA2467_164C_48A6_9BD2_08A703979507_.wvu.FilterData" localSheetId="0" hidden="1">Outbound_Monitor!$A$2:$W$3</definedName>
    <definedName name="Z_5C06169E_B972_4FAF_850B_BC41574FDCFE_.wvu.FilterData" localSheetId="0" hidden="1">Outbound_Monitor!$A$2:$W$3</definedName>
    <definedName name="Z_5C08FF89_1419_49CB_B793_A550E82CD5B8_.wvu.FilterData" localSheetId="1" hidden="1">Inbound_Monitor!$A$2:$Q$13</definedName>
    <definedName name="Z_5C1317BD_D843_4D76_A4F3_AC85E5A7E18A_.wvu.FilterData" localSheetId="0" hidden="1">Outbound_Monitor!$A$2:$W$3</definedName>
    <definedName name="Z_5C2D7738_A73B_4FA1_B30F_0F65A425F645_.wvu.FilterData" localSheetId="1" hidden="1">Inbound_Monitor!$A$2:$Q$3</definedName>
    <definedName name="Z_5C3651B6_D995_4EF9_89ED_5D1616094E9A_.wvu.FilterData" localSheetId="0" hidden="1">Outbound_Monitor!$A$2:$W$3</definedName>
    <definedName name="Z_5C4F5701_4501_41F4_82F1_2BAF5F537547_.wvu.FilterData" localSheetId="1" hidden="1">Inbound_Monitor!$A$2:$Q$3</definedName>
    <definedName name="Z_5C71FE08_DBCC_4A76_931B_A7DC1F431FBB_.wvu.FilterData" localSheetId="0" hidden="1">Outbound_Monitor!$A$2:$W$3</definedName>
    <definedName name="Z_5C8770FB_CE5F_4269_8520_4FBDD1B6BEB3_.wvu.FilterData" localSheetId="0" hidden="1">Outbound_Monitor!$A$2:$W$3</definedName>
    <definedName name="Z_5CA18622_F062_4A55_8EE1_FB09EF864569_.wvu.FilterData" localSheetId="0" hidden="1">Outbound_Monitor!$A$2:$X$16</definedName>
    <definedName name="Z_5CAA2FA1_6022_4AB6_8DC8_965D5E6860E6_.wvu.FilterData" localSheetId="1" hidden="1">Inbound_Monitor!$A$2:$Q$13</definedName>
    <definedName name="Z_5CC8DCC8_6853_4960_A413_C88225B1304A_.wvu.FilterData" localSheetId="1" hidden="1">Inbound_Monitor!$A$2:$Q$3</definedName>
    <definedName name="Z_5CCD0F15_27E1_453A_955E_0BF44D4A5C20_.wvu.FilterData" localSheetId="0" hidden="1">Outbound_Monitor!$A$2:$W$3</definedName>
    <definedName name="Z_5CD18610_FA41_4B62_BBE1_CFDF313857D4_.wvu.FilterData" localSheetId="1" hidden="1">Inbound_Monitor!$A$2:$Q$13</definedName>
    <definedName name="Z_5CD18610_FA41_4B62_BBE1_CFDF313857D4_.wvu.FilterData" localSheetId="0" hidden="1">Outbound_Monitor!$A$2:$W$3</definedName>
    <definedName name="Z_5CD2376F_5922_4035_A1C5_25222B6D229D_.wvu.FilterData" localSheetId="1" hidden="1">Inbound_Monitor!$A$2:$Q$13</definedName>
    <definedName name="Z_5CD509AC_5D26_42F8_BDFE_4576110A00F9_.wvu.FilterData" localSheetId="0" hidden="1">Outbound_Monitor!$A$2:$W$3</definedName>
    <definedName name="Z_5CED29D3_E59A_44D0_BD40_92D506F8D0C0_.wvu.FilterData" localSheetId="1" hidden="1">Inbound_Monitor!$A$2:$Q$13</definedName>
    <definedName name="Z_5D048668_A2CB_41AE_A0CB_77AA3D87B2E5_.wvu.FilterData" localSheetId="0" hidden="1">Outbound_Monitor!$A$2:$W$3</definedName>
    <definedName name="Z_5D14CDE3_5ECD_430D_A13F_19599BE31B32_.wvu.FilterData" localSheetId="4" hidden="1">Schichtübergabe_Protokoll!$B$3:$N$3</definedName>
    <definedName name="Z_5D153533_4369_4BF7_A4C2_D97290D030C6_.wvu.FilterData" localSheetId="1" hidden="1">Inbound_Monitor!$A$2:$Q$3</definedName>
    <definedName name="Z_5D153533_4369_4BF7_A4C2_D97290D030C6_.wvu.FilterData" localSheetId="4" hidden="1">Schichtübergabe_Protokoll!$B$3:$N$3</definedName>
    <definedName name="Z_5D16EA79_7FFB_4304_8A15_5459B3636738_.wvu.FilterData" localSheetId="1" hidden="1">Inbound_Monitor!$A$2:$Q$13</definedName>
    <definedName name="Z_5D19A55E_9AC6_4244_8500_CB8503B224C5_.wvu.FilterData" localSheetId="0" hidden="1">Outbound_Monitor!$A$2:$W$3</definedName>
    <definedName name="Z_5D19CDE3_81FC_4147_908E_B5FDFFDC6D80_.wvu.FilterData" localSheetId="0" hidden="1">Outbound_Monitor!$A$2:$W$3</definedName>
    <definedName name="Z_5D1AF675_70F3_4726_A554_FCE38FA77791_.wvu.FilterData" localSheetId="4" hidden="1">Schichtübergabe_Protokoll!$B$3:$N$3</definedName>
    <definedName name="Z_5D2943F4_E258_49BC_A341_F52B0FC74679_.wvu.FilterData" localSheetId="0" hidden="1">Outbound_Monitor!$A$2:$W$3</definedName>
    <definedName name="Z_5D29FE1B_FC36_4619_9396_265695E26482_.wvu.FilterData" localSheetId="0" hidden="1">Outbound_Monitor!$A$2:$W$3</definedName>
    <definedName name="Z_5D2AD3FE_25DE_4248_A8E7_3B01661E40F6_.wvu.FilterData" localSheetId="0" hidden="1">Outbound_Monitor!$A$2:$W$3</definedName>
    <definedName name="Z_5D3792CD_6AA7_4147_8787_1E42C225B93A_.wvu.FilterData" localSheetId="1" hidden="1">Inbound_Monitor!$A$2:$Q$2</definedName>
    <definedName name="Z_5D3792CD_6AA7_4147_8787_1E42C225B93A_.wvu.FilterData" localSheetId="0" hidden="1">Outbound_Monitor!$A$2:$W$2</definedName>
    <definedName name="Z_5D3B243B_677F_4165_99F1_AACF894F609D_.wvu.FilterData" localSheetId="1" hidden="1">Inbound_Monitor!$A$2:$Q$2</definedName>
    <definedName name="Z_5D3B243B_677F_4165_99F1_AACF894F609D_.wvu.FilterData" localSheetId="0" hidden="1">Outbound_Monitor!$A$2:$W$2</definedName>
    <definedName name="Z_5D3BEA63_BECB_426B_AA83_183F6A67F734_.wvu.FilterData" localSheetId="0" hidden="1">Outbound_Monitor!$A$2:$W$3</definedName>
    <definedName name="Z_5D4E6FFA_9F2F_479D_AC09_0C6217253610_.wvu.FilterData" localSheetId="1" hidden="1">Inbound_Monitor!$A$2:$Q$3</definedName>
    <definedName name="Z_5D4F2B23_29D3_4DC7_A613_7E373DEA1C5E_.wvu.FilterData" localSheetId="1" hidden="1">Inbound_Monitor!$A$2:$Q$3</definedName>
    <definedName name="Z_5D4F2B23_29D3_4DC7_A613_7E373DEA1C5E_.wvu.FilterData" localSheetId="0" hidden="1">Outbound_Monitor!$A$2:$W$3</definedName>
    <definedName name="Z_5D6243FD_B5D6_47CB_A690_25969F963040_.wvu.FilterData" localSheetId="1" hidden="1">Inbound_Monitor!$A$2:$Q$3</definedName>
    <definedName name="Z_5D62BD52_1FA7_471D_ABBB_61E549585FFA_.wvu.FilterData" localSheetId="1" hidden="1">Inbound_Monitor!$A$2:$Q$13</definedName>
    <definedName name="Z_5D62BD52_1FA7_471D_ABBB_61E549585FFA_.wvu.FilterData" localSheetId="0" hidden="1">Outbound_Monitor!$A$2:$X$16</definedName>
    <definedName name="Z_5D69E216_4C28_4557_A656_BB284F660EF6_.wvu.FilterData" localSheetId="0" hidden="1">Outbound_Monitor!$A$2:$W$3</definedName>
    <definedName name="Z_5D7DA840_D395_4D5C_BF5B_B6811D9BCC9C_.wvu.FilterData" localSheetId="0" hidden="1">Outbound_Monitor!$A$2:$W$3</definedName>
    <definedName name="Z_5D7EDB88_2C4B_4C76_B899_6570AB29559D_.wvu.FilterData" localSheetId="0" hidden="1">Outbound_Monitor!$A$2:$X$16</definedName>
    <definedName name="Z_5D84AD19_B206_4A80_B9A7_718752718D2B_.wvu.FilterData" localSheetId="1" hidden="1">Inbound_Monitor!$A$2:$Q$3</definedName>
    <definedName name="Z_5D892521_C5C5_4F80_AE03_9EA2085AAD8C_.wvu.FilterData" localSheetId="1" hidden="1">Inbound_Monitor!$A$2:$Q$13</definedName>
    <definedName name="Z_5D892521_C5C5_4F80_AE03_9EA2085AAD8C_.wvu.FilterData" localSheetId="0" hidden="1">Outbound_Monitor!$A$2:$W$3</definedName>
    <definedName name="Z_5D9021F8_04FF_4C54_AC86_B3F7EA560644_.wvu.FilterData" localSheetId="1" hidden="1">Inbound_Monitor!$A$2:$Q$3</definedName>
    <definedName name="Z_5D9021F8_04FF_4C54_AC86_B3F7EA560644_.wvu.FilterData" localSheetId="0" hidden="1">Outbound_Monitor!$A$2:$W$3</definedName>
    <definedName name="Z_5DA64C45_AF7B_4B38_92F9_48D5444E6DA0_.wvu.FilterData" localSheetId="1" hidden="1">Inbound_Monitor!$A$2:$Q$13</definedName>
    <definedName name="Z_5DADADCF_2301_457E_913E_6FD02197055A_.wvu.FilterData" localSheetId="1" hidden="1">Inbound_Monitor!$A$2:$Q$3</definedName>
    <definedName name="Z_5DB300F1_13DB_49E1_98EB_11EA9F0968A8_.wvu.FilterData" localSheetId="0" hidden="1">Outbound_Monitor!$A$2:$W$3</definedName>
    <definedName name="Z_5DBE375F_9D4A_4EA8_9CB5_BFED0338F936_.wvu.FilterData" localSheetId="0" hidden="1">Outbound_Monitor!$A$2:$W$3</definedName>
    <definedName name="Z_5DCEE7BE_5645_4281_9329_E200FAFDCDBB_.wvu.FilterData" localSheetId="1" hidden="1">Inbound_Monitor!$A$2:$Q$3</definedName>
    <definedName name="Z_5DE464E5_8FFA_4CFC_B948_DD6E36D2E813_.wvu.FilterData" localSheetId="1" hidden="1">Inbound_Monitor!$A$2:$Q$3</definedName>
    <definedName name="Z_5DED8819_972A_454A_9A05_0D60371CDDF6_.wvu.FilterData" localSheetId="0" hidden="1">Outbound_Monitor!$A$2:$W$3</definedName>
    <definedName name="Z_5DF6A205_A0AE_4172_81A7_5D4105F1D177_.wvu.FilterData" localSheetId="1" hidden="1">Inbound_Monitor!$A$2:$Q$2</definedName>
    <definedName name="Z_5DF6A205_A0AE_4172_81A7_5D4105F1D177_.wvu.FilterData" localSheetId="0" hidden="1">Outbound_Monitor!$A$2:$W$2</definedName>
    <definedName name="Z_5DF786AF_8FF1_4317_A10B_FB5B3C51D219_.wvu.FilterData" localSheetId="0" hidden="1">Outbound_Monitor!$A$2:$W$3</definedName>
    <definedName name="Z_5E0147CA_DE3A_4E3A_91B4_80C181DFF7EC_.wvu.FilterData" localSheetId="1" hidden="1">Inbound_Monitor!$A$2:$Q$2</definedName>
    <definedName name="Z_5E0147CA_DE3A_4E3A_91B4_80C181DFF7EC_.wvu.FilterData" localSheetId="0" hidden="1">Outbound_Monitor!$A$2:$W$2</definedName>
    <definedName name="Z_5E07FF5C_35AC_4E6F_80FA_6EF0AAE1734F_.wvu.FilterData" localSheetId="0" hidden="1">Outbound_Monitor!$A$2:$W$3</definedName>
    <definedName name="Z_5E092E99_E15A_4D26_811C_E99DFD0AE7CD_.wvu.FilterData" localSheetId="0" hidden="1">Outbound_Monitor!$A$2:$W$3</definedName>
    <definedName name="Z_5E0D812B_55FA_4751_8B67_A9A565230DC6_.wvu.FilterData" localSheetId="1" hidden="1">Inbound_Monitor!$A$2:$Q$2</definedName>
    <definedName name="Z_5E0D812B_55FA_4751_8B67_A9A565230DC6_.wvu.FilterData" localSheetId="0" hidden="1">Outbound_Monitor!$A$2:$W$2</definedName>
    <definedName name="Z_5E27A86A_F7CA_4B47_887F_5911AAB99529_.wvu.FilterData" localSheetId="0" hidden="1">Outbound_Monitor!$A$2:$X$16</definedName>
    <definedName name="Z_5E2D212D_B76D_4739_B8E8_092DE4240EB5_.wvu.FilterData" localSheetId="0" hidden="1">Outbound_Monitor!$A$2:$W$3</definedName>
    <definedName name="Z_5E3100CF_A451_4BE9_B486_2989568BB7C1_.wvu.FilterData" localSheetId="0" hidden="1">Outbound_Monitor!$A$2:$W$3</definedName>
    <definedName name="Z_5E3A2FAB_7944_4756_9D81_8AD3F27FD8B6_.wvu.FilterData" localSheetId="0" hidden="1">Outbound_Monitor!$A$2:$X$16</definedName>
    <definedName name="Z_5E3C2AD7_9FB8_4583_8111_4BB03E128D8D_.wvu.FilterData" localSheetId="0" hidden="1">Outbound_Monitor!$A$2:$X$16</definedName>
    <definedName name="Z_5E3D578C_72BF_4EA9_8814_4C8DFE44AE46_.wvu.FilterData" localSheetId="1" hidden="1">Inbound_Monitor!$A$2:$Q$3</definedName>
    <definedName name="Z_5E3D578C_72BF_4EA9_8814_4C8DFE44AE46_.wvu.FilterData" localSheetId="0" hidden="1">Outbound_Monitor!$A$2:$W$3</definedName>
    <definedName name="Z_5E433F93_2BBA_4422_A7C2_42348BD299EA_.wvu.FilterData" localSheetId="0" hidden="1">Outbound_Monitor!$A$2:$W$3</definedName>
    <definedName name="Z_5E6DB314_8F21_4B6F_A139_EB6A60F2A20E_.wvu.FilterData" localSheetId="1" hidden="1">Inbound_Monitor!$A$2:$Q$13</definedName>
    <definedName name="Z_5E6DB314_8F21_4B6F_A139_EB6A60F2A20E_.wvu.FilterData" localSheetId="0" hidden="1">Outbound_Monitor!$A$2:$X$16</definedName>
    <definedName name="Z_5E8D8D70_6377_4CE6_8FF6_5D58B78BBE21_.wvu.FilterData" localSheetId="0" hidden="1">Outbound_Monitor!$A$2:$W$3</definedName>
    <definedName name="Z_5E90D3E5_E3B4_4499_B014_9D1E2B428A99_.wvu.FilterData" localSheetId="1" hidden="1">Inbound_Monitor!$A$2:$Q$3</definedName>
    <definedName name="Z_5E92B78E_CBAD_4A7B_A509_F74AE6310AD3_.wvu.FilterData" localSheetId="1" hidden="1">Inbound_Monitor!$A$2:$Q$3</definedName>
    <definedName name="Z_5E92B78E_CBAD_4A7B_A509_F74AE6310AD3_.wvu.FilterData" localSheetId="0" hidden="1">Outbound_Monitor!$A$2:$W$3</definedName>
    <definedName name="Z_5EA2EEA5_0AD0_4D17_978F_158618B52B1A_.wvu.FilterData" localSheetId="1" hidden="1">Inbound_Monitor!$A$2:$Q$13</definedName>
    <definedName name="Z_5EBEB04F_782C_4821_8340_020F9E6851BA_.wvu.FilterData" localSheetId="0" hidden="1">Outbound_Monitor!$A$2:$W$3</definedName>
    <definedName name="Z_5EC00BE0_BA68_4120_B8E1_C2D3D29BAAD6_.wvu.FilterData" localSheetId="0" hidden="1">Outbound_Monitor!$A$2:$W$3</definedName>
    <definedName name="Z_5EC64A8F_9AAB_44FE_86DD_BFCEA424D6E0_.wvu.FilterData" localSheetId="1" hidden="1">Inbound_Monitor!$A$2:$Q$2</definedName>
    <definedName name="Z_5EC64A8F_9AAB_44FE_86DD_BFCEA424D6E0_.wvu.FilterData" localSheetId="0" hidden="1">Outbound_Monitor!$A$2:$W$2</definedName>
    <definedName name="Z_5ECEBE82_97A5_4C64_B978_5BBC5CD1BB3F_.wvu.FilterData" localSheetId="1" hidden="1">Inbound_Monitor!$A$2:$Q$13</definedName>
    <definedName name="Z_5ECEBE82_97A5_4C64_B978_5BBC5CD1BB3F_.wvu.FilterData" localSheetId="0" hidden="1">Outbound_Monitor!$A$2:$X$16</definedName>
    <definedName name="Z_5ED1B43E_2E03_4F9E_AA82_621329B0D144_.wvu.FilterData" localSheetId="1" hidden="1">Inbound_Monitor!$A$2:$Q$3</definedName>
    <definedName name="Z_5ED1B43E_2E03_4F9E_AA82_621329B0D144_.wvu.FilterData" localSheetId="0" hidden="1">Outbound_Monitor!$A$2:$W$3</definedName>
    <definedName name="Z_5EE1D0AD_71EA_4EC4_85D4_B4E644A598BC_.wvu.FilterData" localSheetId="0" hidden="1">Outbound_Monitor!$A$2:$W$3</definedName>
    <definedName name="Z_5EEC9195_0F21_4233_A25F_D02C39998F80_.wvu.FilterData" localSheetId="1" hidden="1">Inbound_Monitor!$A$2:$Q$13</definedName>
    <definedName name="Z_5EEC9195_0F21_4233_A25F_D02C39998F80_.wvu.FilterData" localSheetId="0" hidden="1">Outbound_Monitor!$A$2:$X$16</definedName>
    <definedName name="Z_5EF1FA07_1D6A_48F6_BC47_B9A1DA2B6A72_.wvu.FilterData" localSheetId="1" hidden="1">Inbound_Monitor!$A$2:$Q$3</definedName>
    <definedName name="Z_5EFAFA36_1821_4A4B_859F_C3D0B2FE835B_.wvu.FilterData" localSheetId="0" hidden="1">Outbound_Monitor!$A$2:$W$3</definedName>
    <definedName name="Z_5F06D30D_273D_4121_B4EA_1E3916FE4423_.wvu.FilterData" localSheetId="1" hidden="1">Inbound_Monitor!$A$2:$Q$3</definedName>
    <definedName name="Z_5F09A146_683C_4F65_9A75_6EF62BF5E37F_.wvu.FilterData" localSheetId="0" hidden="1">Outbound_Monitor!$A$2:$X$16</definedName>
    <definedName name="Z_5F35F645_DCDF_4D70_8A73_43C2F2E894F5_.wvu.FilterData" localSheetId="0" hidden="1">Outbound_Monitor!$A$2:$W$3</definedName>
    <definedName name="Z_5F35F645_DCDF_4D70_8A73_43C2F2E894F5_.wvu.FilterData" localSheetId="4" hidden="1">Schichtübergabe_Protokoll!$B$3:$N$3</definedName>
    <definedName name="Z_5F3F5DC9_DE6F_45CF_961F_586510A45AE3_.wvu.FilterData" localSheetId="0" hidden="1">Outbound_Monitor!$A$2:$W$3</definedName>
    <definedName name="Z_5F4F9FB6_8086_4198_B38C_7BA387E93250_.wvu.FilterData" localSheetId="1" hidden="1">Inbound_Monitor!$A$2:$Q$3</definedName>
    <definedName name="Z_5F5474BA_6A40_4AB1_99BE_C3FDF5191308_.wvu.FilterData" localSheetId="1" hidden="1">Inbound_Monitor!$A$2:$Q$13</definedName>
    <definedName name="Z_5F5969F0_264C_476E_BF26_C5A0EEA52F0F_.wvu.FilterData" localSheetId="1" hidden="1">Inbound_Monitor!$A$2:$Q$2</definedName>
    <definedName name="Z_5F5969F0_264C_476E_BF26_C5A0EEA52F0F_.wvu.FilterData" localSheetId="0" hidden="1">Outbound_Monitor!$A$2:$W$2</definedName>
    <definedName name="Z_5F6F89BF_917B_4A2F_AEDC_58C1877C5C7B_.wvu.FilterData" localSheetId="0" hidden="1">Outbound_Monitor!$A$2:$W$3</definedName>
    <definedName name="Z_5F720CF6_8599_4BE8_8EAB_9154628EC263_.wvu.FilterData" localSheetId="1" hidden="1">Inbound_Monitor!$A$2:$Q$2</definedName>
    <definedName name="Z_5F720CF6_8599_4BE8_8EAB_9154628EC263_.wvu.FilterData" localSheetId="0" hidden="1">Outbound_Monitor!$A$2:$W$2</definedName>
    <definedName name="Z_5F740A0D_CFBA_4050_98F2_70660A983CAA_.wvu.FilterData" localSheetId="1" hidden="1">Inbound_Monitor!$A$2:$Q$13</definedName>
    <definedName name="Z_5F740A0D_CFBA_4050_98F2_70660A983CAA_.wvu.FilterData" localSheetId="0" hidden="1">Outbound_Monitor!$A$2:$X$16</definedName>
    <definedName name="Z_5F791291_76CC_4618_808E_E9B0F0DE9D71_.wvu.FilterData" localSheetId="0" hidden="1">Outbound_Monitor!$A$2:$W$3</definedName>
    <definedName name="Z_5F8B0B93_58D5_448B_A452_EC446DC07606_.wvu.FilterData" localSheetId="1" hidden="1">Inbound_Monitor!$A$2:$Q$3</definedName>
    <definedName name="Z_5F8D510E_99C5_40CE_BE29_4EE5D4B78BF9_.wvu.FilterData" localSheetId="4" hidden="1">Schichtübergabe_Protokoll!$B$3:$N$3</definedName>
    <definedName name="Z_5F924D33_1DF9_4EE8_869D_4649BC140A97_.wvu.FilterData" localSheetId="4" hidden="1">Schichtübergabe_Protokoll!$B$3:$N$3</definedName>
    <definedName name="Z_5FA507C7_008E_4EEE_B5C4_D94738361138_.wvu.FilterData" localSheetId="0" hidden="1">Outbound_Monitor!$A$2:$W$3</definedName>
    <definedName name="Z_5FA5E73E_62E6_4B03_A218_75E828077519_.wvu.FilterData" localSheetId="1" hidden="1">Inbound_Monitor!$A$2:$Q$3</definedName>
    <definedName name="Z_5FA5E73E_62E6_4B03_A218_75E828077519_.wvu.FilterData" localSheetId="0" hidden="1">Outbound_Monitor!$A$2:$W$3</definedName>
    <definedName name="Z_5FAAD338_97B8_4B0E_AA4D_66CCE2E4E9F7_.wvu.FilterData" localSheetId="0" hidden="1">Outbound_Monitor!$A$2:$W$3</definedName>
    <definedName name="Z_5FB509EA_048A_448E_9682_D563BDF75FE9_.wvu.FilterData" localSheetId="0" hidden="1">Outbound_Monitor!$A$2:$W$3</definedName>
    <definedName name="Z_5FB6E99A_E3B0_4C08_BBEB_C34E0B5850E4_.wvu.FilterData" localSheetId="1" hidden="1">Inbound_Monitor!$A$2:$Q$3</definedName>
    <definedName name="Z_5FC0AD83_D9B2_4489_A8B9_F3887300AB55_.wvu.FilterData" localSheetId="1" hidden="1">Inbound_Monitor!$A$2:$Q$13</definedName>
    <definedName name="Z_5FC0AD83_D9B2_4489_A8B9_F3887300AB55_.wvu.FilterData" localSheetId="0" hidden="1">Outbound_Monitor!$A$2:$W$3</definedName>
    <definedName name="Z_5FC704DE_FF81_4B75_A45D_3CD15078B9A1_.wvu.FilterData" localSheetId="1" hidden="1">Inbound_Monitor!$A$2:$Q$3</definedName>
    <definedName name="Z_5FD02947_D1F0_42EA_B618_42B343AAEC05_.wvu.FilterData" localSheetId="0" hidden="1">Outbound_Monitor!$A$2:$W$3</definedName>
    <definedName name="Z_5FD4D8CA_4DEA_4879_9207_BD7A60106BF7_.wvu.FilterData" localSheetId="1" hidden="1">Inbound_Monitor!$A$2:$Q$3</definedName>
    <definedName name="Z_5FD5E50A_E3AC_445B_8ADA_EE46A1D966C0_.wvu.FilterData" localSheetId="0" hidden="1">Outbound_Monitor!$A$2:$W$3</definedName>
    <definedName name="Z_5FEA4FDE_089E_4FA0_83CD_1CD3D24CAECB_.wvu.FilterData" localSheetId="0" hidden="1">Outbound_Monitor!$A$2:$W$3</definedName>
    <definedName name="Z_5FEF5291_3D34_4225_9261_9071F127E836_.wvu.FilterData" localSheetId="1" hidden="1">Inbound_Monitor!$A$2:$Q$3</definedName>
    <definedName name="Z_5FF36440_B151_4FA5_8852_E8E8F98BDEBC_.wvu.FilterData" localSheetId="0" hidden="1">Outbound_Monitor!$A$2:$W$3</definedName>
    <definedName name="Z_5FFFD13F_BF14_42E9_ABD6_813065F1454C_.wvu.FilterData" localSheetId="0" hidden="1">Outbound_Monitor!$A$2:$X$16</definedName>
    <definedName name="Z_600C2CCC_F5BF_47C4_A2FA_3C0AC0F195EB_.wvu.FilterData" localSheetId="1" hidden="1">Inbound_Monitor!$A$2:$Q$13</definedName>
    <definedName name="Z_601D7286_7AF3_4431_B8AA_2EEB3D4F64AF_.wvu.FilterData" localSheetId="0" hidden="1">Outbound_Monitor!$A$2:$X$16</definedName>
    <definedName name="Z_6039A11B_3EED_44CE_95E2_BB8698552D03_.wvu.FilterData" localSheetId="0" hidden="1">Outbound_Monitor!$A$2:$X$16</definedName>
    <definedName name="Z_604F3432_CA08_4655_B951_781160798B8F_.wvu.Cols" localSheetId="1" hidden="1">Inbound_Monitor!#REF!</definedName>
    <definedName name="Z_604F3432_CA08_4655_B951_781160798B8F_.wvu.Cols" localSheetId="0" hidden="1">Outbound_Monitor!#REF!,Outbound_Monitor!#REF!</definedName>
    <definedName name="Z_604F3432_CA08_4655_B951_781160798B8F_.wvu.FilterData" localSheetId="1" hidden="1">Inbound_Monitor!$A$2:$Q$3</definedName>
    <definedName name="Z_604F3432_CA08_4655_B951_781160798B8F_.wvu.FilterData" localSheetId="0" hidden="1">Outbound_Monitor!$A$2:$W$3</definedName>
    <definedName name="Z_604F3432_CA08_4655_B951_781160798B8F_.wvu.FilterData" localSheetId="4" hidden="1">Schichtübergabe_Protokoll!$B$3:$N$3</definedName>
    <definedName name="Z_605863F6_842F_4EC8_B0B0_B743E470C62B_.wvu.FilterData" localSheetId="0" hidden="1">Outbound_Monitor!$A$2:$W$3</definedName>
    <definedName name="Z_606DCF3D_B12F_4912_9ECE_5CC57DEF67A0_.wvu.FilterData" localSheetId="1" hidden="1">Inbound_Monitor!$A$2:$Q$3</definedName>
    <definedName name="Z_607A02F8_A8A7_4F0E_B13E_F98ECCE494AE_.wvu.FilterData" localSheetId="0" hidden="1">Outbound_Monitor!$A$2:$W$3</definedName>
    <definedName name="Z_607B1F07_A3FA_49B8_BF71_565C69D2DE5D_.wvu.FilterData" localSheetId="1" hidden="1">Inbound_Monitor!$A$2:$Q$3</definedName>
    <definedName name="Z_607B1F07_A3FA_49B8_BF71_565C69D2DE5D_.wvu.FilterData" localSheetId="0" hidden="1">Outbound_Monitor!$A$2:$W$3</definedName>
    <definedName name="Z_607EDE2B_0D3A_4C2A_BCA6_DB7262B0B46C_.wvu.FilterData" localSheetId="0" hidden="1">Outbound_Monitor!$A$2:$X$16</definedName>
    <definedName name="Z_6089CEFE_1E77_4DD7_8054_92D10AD142C8_.wvu.FilterData" localSheetId="0" hidden="1">Outbound_Monitor!$A$2:$W$3</definedName>
    <definedName name="Z_608DC7D8_5731_4670_BBEB_C184AD5E79A8_.wvu.FilterData" localSheetId="0" hidden="1">Outbound_Monitor!$A$2:$X$16</definedName>
    <definedName name="Z_60A511F7_9DE1_4760_9F09_9FA82D471982_.wvu.FilterData" localSheetId="1" hidden="1">Inbound_Monitor!$A$2:$Q$2</definedName>
    <definedName name="Z_60A511F7_9DE1_4760_9F09_9FA82D471982_.wvu.FilterData" localSheetId="0" hidden="1">Outbound_Monitor!$A$2:$W$2</definedName>
    <definedName name="Z_60B23117_5A22_49E1_9810_E7323779473E_.wvu.FilterData" localSheetId="0" hidden="1">Outbound_Monitor!$A$2:$W$3</definedName>
    <definedName name="Z_60B78781_6FDC_4DEB_B196_7E91A75D701C_.wvu.FilterData" localSheetId="0" hidden="1">Outbound_Monitor!$A$2:$W$3</definedName>
    <definedName name="Z_60B78781_6FDC_4DEB_B196_7E91A75D701C_.wvu.FilterData" localSheetId="4" hidden="1">Schichtübergabe_Protokoll!$B$3:$N$3</definedName>
    <definedName name="Z_60BBD08B_075B_4892_9153_27A678EF293F_.wvu.FilterData" localSheetId="1" hidden="1">Inbound_Monitor!$A$2:$Q$13</definedName>
    <definedName name="Z_60C77A03_CADB_457D_AF2E_53101D08C03D_.wvu.FilterData" localSheetId="0" hidden="1">Outbound_Monitor!$A$2:$W$3</definedName>
    <definedName name="Z_60ECDC5B_9163_4521_B6DA_3D4BF429A307_.wvu.FilterData" localSheetId="0" hidden="1">Outbound_Monitor!$A$2:$W$3</definedName>
    <definedName name="Z_60F60861_9F4B_451A_8794_25A5E24169E7_.wvu.FilterData" localSheetId="1" hidden="1">Inbound_Monitor!$A$2:$Q$3</definedName>
    <definedName name="Z_60F60861_9F4B_451A_8794_25A5E24169E7_.wvu.FilterData" localSheetId="0" hidden="1">Outbound_Monitor!$A$2:$W$3</definedName>
    <definedName name="Z_60FEC73C_2929_4196_B201_67CFA63B2ABB_.wvu.FilterData" localSheetId="1" hidden="1">Inbound_Monitor!$A$2:$Q$13</definedName>
    <definedName name="Z_61251973_C40E_4BB4_8780_6F6371062DCE_.wvu.FilterData" localSheetId="1" hidden="1">Inbound_Monitor!$A$2:$Q$13</definedName>
    <definedName name="Z_61251973_C40E_4BB4_8780_6F6371062DCE_.wvu.FilterData" localSheetId="0" hidden="1">Outbound_Monitor!$A$2:$W$3</definedName>
    <definedName name="Z_6136412F_82DF_441B_B7C9_FF92D8397EBB_.wvu.Cols" localSheetId="1" hidden="1">Inbound_Monitor!#REF!</definedName>
    <definedName name="Z_6136412F_82DF_441B_B7C9_FF92D8397EBB_.wvu.Cols" localSheetId="0" hidden="1">Outbound_Monitor!#REF!</definedName>
    <definedName name="Z_6136412F_82DF_441B_B7C9_FF92D8397EBB_.wvu.FilterData" localSheetId="1" hidden="1">Inbound_Monitor!$A$2:$Q$3</definedName>
    <definedName name="Z_6136412F_82DF_441B_B7C9_FF92D8397EBB_.wvu.FilterData" localSheetId="0" hidden="1">Outbound_Monitor!$A$2:$W$3</definedName>
    <definedName name="Z_6136412F_82DF_441B_B7C9_FF92D8397EBB_.wvu.FilterData" localSheetId="4" hidden="1">Schichtübergabe_Protokoll!$B$3:$N$3</definedName>
    <definedName name="Z_613D2DA5_139F_4825_A0BD_B1053DB563A5_.wvu.FilterData" localSheetId="0" hidden="1">Outbound_Monitor!$A$2:$W$3</definedName>
    <definedName name="Z_6143AD65_FBDD_4D22_BDAE_95984FC50F87_.wvu.FilterData" localSheetId="0" hidden="1">Outbound_Monitor!$A$2:$W$3</definedName>
    <definedName name="Z_614524BD_07BA_4936_AF8D_D85667CEB2E9_.wvu.FilterData" localSheetId="0" hidden="1">Outbound_Monitor!$A$2:$W$3</definedName>
    <definedName name="Z_6149B402_413D_492C_86C4_2BE9AF32AB88_.wvu.FilterData" localSheetId="0" hidden="1">Outbound_Monitor!$A$2:$X$16</definedName>
    <definedName name="Z_614C9691_000C_4580_B8FF_BBCB3E1F0ED8_.wvu.FilterData" localSheetId="1" hidden="1">Inbound_Monitor!$A$2:$Q$13</definedName>
    <definedName name="Z_614CF292_8C8D_4A67_8EC8_D74781FCC7C0_.wvu.FilterData" localSheetId="1" hidden="1">Inbound_Monitor!$A$2:$Q$13</definedName>
    <definedName name="Z_614EF62C_273F_4EE4_85A8_E38FF50C4535_.wvu.FilterData" localSheetId="0" hidden="1">Outbound_Monitor!$A$2:$W$3</definedName>
    <definedName name="Z_6154B3BE_AE99_4CBA_B5B3_9C10FD3A3B41_.wvu.FilterData" localSheetId="1" hidden="1">Inbound_Monitor!$A$2:$Q$2</definedName>
    <definedName name="Z_6154B3BE_AE99_4CBA_B5B3_9C10FD3A3B41_.wvu.FilterData" localSheetId="0" hidden="1">Outbound_Monitor!$A$2:$W$2</definedName>
    <definedName name="Z_6154D3EC_D7CB_4BF3_A853_86D336D98852_.wvu.FilterData" localSheetId="0" hidden="1">Outbound_Monitor!$A$2:$X$16</definedName>
    <definedName name="Z_6157FF30_B039_4E11_A998_FF43B63DA803_.wvu.FilterData" localSheetId="0" hidden="1">Outbound_Monitor!$A$2:$W$3</definedName>
    <definedName name="Z_615F5D2A_F3E0_438A_BC8B_C3136ADDF98F_.wvu.FilterData" localSheetId="1" hidden="1">Inbound_Monitor!$A$2:$Q$13</definedName>
    <definedName name="Z_615F5D2A_F3E0_438A_BC8B_C3136ADDF98F_.wvu.FilterData" localSheetId="0" hidden="1">Outbound_Monitor!$A$2:$W$3</definedName>
    <definedName name="Z_61629A48_520F_4A4A_9E38_29944A90DBCE_.wvu.FilterData" localSheetId="0" hidden="1">Outbound_Monitor!$A$2:$W$3</definedName>
    <definedName name="Z_61644299_DB88_4868_8C05_3D4C5E3BF83A_.wvu.FilterData" localSheetId="1" hidden="1">Inbound_Monitor!$A$2:$Q$13</definedName>
    <definedName name="Z_6173EAA2_DE39_4659_AAE2_C5854EEC46A7_.wvu.FilterData" localSheetId="1" hidden="1">Inbound_Monitor!$A$2:$Q$3</definedName>
    <definedName name="Z_6173EAA2_DE39_4659_AAE2_C5854EEC46A7_.wvu.FilterData" localSheetId="0" hidden="1">Outbound_Monitor!$A$2:$W$3</definedName>
    <definedName name="Z_619BA283_9B32_4211_9F8B_797FA5D3B410_.wvu.FilterData" localSheetId="0" hidden="1">Outbound_Monitor!$A$2:$W$3</definedName>
    <definedName name="Z_61A02782_08E8_4A95_9800_7E32E711B3B0_.wvu.FilterData" localSheetId="0" hidden="1">Outbound_Monitor!$A$2:$W$3</definedName>
    <definedName name="Z_61A528A6_EF73_4FDD_9ADF_5D9C23D36154_.wvu.FilterData" localSheetId="0" hidden="1">Outbound_Monitor!$A$2:$X$16</definedName>
    <definedName name="Z_61A9989D_3E07_49F3_89BF_86C4A0DDB02F_.wvu.FilterData" localSheetId="0" hidden="1">Outbound_Monitor!$A$2:$W$3</definedName>
    <definedName name="Z_61AC3AB8_D23B_4FAC_B172_4729124B6800_.wvu.FilterData" localSheetId="1" hidden="1">Inbound_Monitor!$A$2:$Q$3</definedName>
    <definedName name="Z_61B23C87_65CE_4BC6_B7F9_33633965D240_.wvu.FilterData" localSheetId="1" hidden="1">Inbound_Monitor!$A$2:$Q$3</definedName>
    <definedName name="Z_61BD64FC_A295_4007_8D62_31FF5325DC6D_.wvu.FilterData" localSheetId="0" hidden="1">Outbound_Monitor!$A$2:$W$3</definedName>
    <definedName name="Z_61D869AB_E297_4D4E_AA80_526FFCE3DA73_.wvu.FilterData" localSheetId="0" hidden="1">Outbound_Monitor!$A$2:$W$3</definedName>
    <definedName name="Z_61E10896_F6FE_49C2_9F00_C5638AF0D3C1_.wvu.FilterData" localSheetId="0" hidden="1">Outbound_Monitor!$A$2:$W$3</definedName>
    <definedName name="Z_61ED4802_736B_4B5B_8E1D_19D0AA18C6D0_.wvu.FilterData" localSheetId="0" hidden="1">Outbound_Monitor!$A$2:$X$16</definedName>
    <definedName name="Z_61F03BF4_FD34_4777_9CC8_3A0D6EE8585D_.wvu.FilterData" localSheetId="1" hidden="1">Inbound_Monitor!$A$2:$Q$3</definedName>
    <definedName name="Z_61F49BFC_2E90_4FB2_9200_3CD9551B931E_.wvu.FilterData" localSheetId="0" hidden="1">Outbound_Monitor!$A$2:$W$3</definedName>
    <definedName name="Z_61FA451D_CF22_4845_814A_4148A440EDE6_.wvu.FilterData" localSheetId="1" hidden="1">Inbound_Monitor!$A$2:$Q$13</definedName>
    <definedName name="Z_61FB78F2_C41B_4674_9BEB_3661C889A6F0_.wvu.FilterData" localSheetId="0" hidden="1">Outbound_Monitor!#REF!</definedName>
    <definedName name="Z_61FFE61A_4724_4CC8_BDA9_87CA3E8CE667_.wvu.FilterData" localSheetId="0" hidden="1">Outbound_Monitor!$A$2:$W$3</definedName>
    <definedName name="Z_62036B6F_35FB_4B82_9316_182EB740DEC8_.wvu.FilterData" localSheetId="0" hidden="1">Outbound_Monitor!$A$2:$W$3</definedName>
    <definedName name="Z_620C7449_BB06_4485_8ACA_E847692073FB_.wvu.FilterData" localSheetId="1" hidden="1">Inbound_Monitor!$A$2:$Q$13</definedName>
    <definedName name="Z_620C7449_BB06_4485_8ACA_E847692073FB_.wvu.FilterData" localSheetId="0" hidden="1">Outbound_Monitor!$A$2:$X$16</definedName>
    <definedName name="Z_6222B9DD_F6E7_4C29_BF44_A09F7950D863_.wvu.FilterData" localSheetId="0" hidden="1">Outbound_Monitor!$A$2:$W$3</definedName>
    <definedName name="Z_622C3FBB_EFC9_4EF9_A3BA_3A94632F3365_.wvu.FilterData" localSheetId="1" hidden="1">Inbound_Monitor!$A$2:$Q$2</definedName>
    <definedName name="Z_622C3FBB_EFC9_4EF9_A3BA_3A94632F3365_.wvu.FilterData" localSheetId="0" hidden="1">Outbound_Monitor!$A$2:$W$2</definedName>
    <definedName name="Z_6256BC5A_350F_4E6C_93A5_F34474D4C974_.wvu.FilterData" localSheetId="0" hidden="1">Outbound_Monitor!$A$2:$W$3</definedName>
    <definedName name="Z_625FE315_8F26_4801_9868_675333CD2569_.wvu.FilterData" localSheetId="0" hidden="1">Outbound_Monitor!$A$2:$W$3</definedName>
    <definedName name="Z_62669C78_E369_4465_95EA_86610AE2C96E_.wvu.FilterData" localSheetId="1" hidden="1">Inbound_Monitor!$A$2:$Q$13</definedName>
    <definedName name="Z_626781FE_8F62_4D80_851C_4171B64F5271_.wvu.FilterData" localSheetId="0" hidden="1">Outbound_Monitor!$A$2:$X$16</definedName>
    <definedName name="Z_6286DC62_F070_416D_BC20_DEB599C10414_.wvu.FilterData" localSheetId="0" hidden="1">Outbound_Monitor!$A$2:$W$3</definedName>
    <definedName name="Z_628A73F8_E90C_4361_9ED7_470C668C6996_.wvu.FilterData" localSheetId="0" hidden="1">Outbound_Monitor!$A$2:$W$3</definedName>
    <definedName name="Z_629EEE08_F27E_4EA0_AE9F_FCAC6E278D1D_.wvu.FilterData" localSheetId="1" hidden="1">Inbound_Monitor!$A$2:$Q$13</definedName>
    <definedName name="Z_629EEE08_F27E_4EA0_AE9F_FCAC6E278D1D_.wvu.FilterData" localSheetId="0" hidden="1">Outbound_Monitor!$A$2:$W$3</definedName>
    <definedName name="Z_629FFA5D_9A0B_4A14_AD31_F1FC8B47F0BF_.wvu.FilterData" localSheetId="1" hidden="1">Inbound_Monitor!$A$2:$Q$2</definedName>
    <definedName name="Z_629FFA5D_9A0B_4A14_AD31_F1FC8B47F0BF_.wvu.FilterData" localSheetId="0" hidden="1">Outbound_Monitor!$A$2:$W$2</definedName>
    <definedName name="Z_62B29CAB_5B04_494A_865C_D5801BC01438_.wvu.FilterData" localSheetId="0" hidden="1">Outbound_Monitor!$A$2:$X$16</definedName>
    <definedName name="Z_62B7D45F_99D8_4FD1_9CED_22590BB55C3D_.wvu.FilterData" localSheetId="0" hidden="1">Outbound_Monitor!$A$2:$W$3</definedName>
    <definedName name="Z_62BF96AD_3831_4D54_A1CA_025AB059E167_.wvu.FilterData" localSheetId="1" hidden="1">Inbound_Monitor!$A$2:$Q$13</definedName>
    <definedName name="Z_62BF96AD_3831_4D54_A1CA_025AB059E167_.wvu.FilterData" localSheetId="0" hidden="1">Outbound_Monitor!$A$2:$W$3</definedName>
    <definedName name="Z_62C409AA_4131_4C16_A6B1_2EC25B57BECD_.wvu.FilterData" localSheetId="1" hidden="1">Inbound_Monitor!$A$2:$Q$13</definedName>
    <definedName name="Z_62C409AA_4131_4C16_A6B1_2EC25B57BECD_.wvu.FilterData" localSheetId="0" hidden="1">Outbound_Monitor!$A$2:$X$16</definedName>
    <definedName name="Z_62CB8361_1671_4676_A7FF_C2540344CB80_.wvu.FilterData" localSheetId="0" hidden="1">Outbound_Monitor!$A$2:$W$3</definedName>
    <definedName name="Z_62E0D639_7BFB_4B36_A3E3_D567DFF87B29_.wvu.FilterData" localSheetId="0" hidden="1">Outbound_Monitor!$A$2:$X$16</definedName>
    <definedName name="Z_62E5879D_7D26_4B72_8BE0_A8570845236D_.wvu.FilterData" localSheetId="1" hidden="1">Inbound_Monitor!$A$2:$Q$3</definedName>
    <definedName name="Z_62E5879D_7D26_4B72_8BE0_A8570845236D_.wvu.FilterData" localSheetId="0" hidden="1">Outbound_Monitor!$A$2:$W$3</definedName>
    <definedName name="Z_62FD5368_172B_4CEB_B4C7_FA70A678AAFF_.wvu.FilterData" localSheetId="0" hidden="1">Outbound_Monitor!$A$2:$W$3</definedName>
    <definedName name="Z_630A4EF0_C73E_4CD6_9C5C_F71F6AC335F1_.wvu.FilterData" localSheetId="1" hidden="1">Inbound_Monitor!$A$2:$Q$3</definedName>
    <definedName name="Z_631B650F_B339_4B4D_986B_81ECCE99DE6C_.wvu.FilterData" localSheetId="1" hidden="1">Inbound_Monitor!$A$2:$Q$3</definedName>
    <definedName name="Z_6325B59F_032F_4F39_B15B_9A05914FF556_.wvu.FilterData" localSheetId="1" hidden="1">Inbound_Monitor!$A$2:$Q$13</definedName>
    <definedName name="Z_6325B59F_032F_4F39_B15B_9A05914FF556_.wvu.FilterData" localSheetId="0" hidden="1">Outbound_Monitor!$A$2:$W$3</definedName>
    <definedName name="Z_632B4BDA_CE54_4DB2_94C7_89224F92F991_.wvu.FilterData" localSheetId="1" hidden="1">Inbound_Monitor!$A$2:$Q$3</definedName>
    <definedName name="Z_632B4BDA_CE54_4DB2_94C7_89224F92F991_.wvu.FilterData" localSheetId="0" hidden="1">Outbound_Monitor!$A$2:$W$3</definedName>
    <definedName name="Z_632E9172_E073_4251_9693_3201D8EFA561_.wvu.FilterData" localSheetId="1" hidden="1">Inbound_Monitor!$A$2:$Q$13</definedName>
    <definedName name="Z_632E9172_E073_4251_9693_3201D8EFA561_.wvu.FilterData" localSheetId="0" hidden="1">Outbound_Monitor!$A$2:$X$16</definedName>
    <definedName name="Z_633029A8_AE9F_4E53_B9FD_57A7C8F2CDFD_.wvu.FilterData" localSheetId="1" hidden="1">Inbound_Monitor!$A$2:$Q$13</definedName>
    <definedName name="Z_6336E7FC_B896_4C2D_B557_5DB70542F314_.wvu.FilterData" localSheetId="1" hidden="1">Inbound_Monitor!$A$2:$Q$2</definedName>
    <definedName name="Z_6336E7FC_B896_4C2D_B557_5DB70542F314_.wvu.FilterData" localSheetId="0" hidden="1">Outbound_Monitor!$A$2:$W$2</definedName>
    <definedName name="Z_633705D1_3233_4209_B5E0_F540769B762B_.wvu.FilterData" localSheetId="0" hidden="1">Outbound_Monitor!$A$2:$W$3</definedName>
    <definedName name="Z_6337A369_E7BD_4D62_B185_BF0020C996AE_.wvu.FilterData" localSheetId="1" hidden="1">Inbound_Monitor!$A$2:$Q$2</definedName>
    <definedName name="Z_6337A369_E7BD_4D62_B185_BF0020C996AE_.wvu.FilterData" localSheetId="0" hidden="1">Outbound_Monitor!$A$2:$W$2</definedName>
    <definedName name="Z_635E4AEC_2F5B_4BDA_B5CE_85382F03647B_.wvu.FilterData" localSheetId="1" hidden="1">Inbound_Monitor!$A$2:$Q$13</definedName>
    <definedName name="Z_635E4AEC_2F5B_4BDA_B5CE_85382F03647B_.wvu.FilterData" localSheetId="0" hidden="1">Outbound_Monitor!$A$2:$W$3</definedName>
    <definedName name="Z_63630418_C34F_4420_87FE_7BA44DDF3572_.wvu.FilterData" localSheetId="1" hidden="1">Inbound_Monitor!$A$2:$Q$2</definedName>
    <definedName name="Z_63630418_C34F_4420_87FE_7BA44DDF3572_.wvu.FilterData" localSheetId="0" hidden="1">Outbound_Monitor!$A$2:$W$2</definedName>
    <definedName name="Z_6364B0DF_A08F_4DC4_835A_73A49D2816A9_.wvu.FilterData" localSheetId="0" hidden="1">Outbound_Monitor!$A$2:$W$3</definedName>
    <definedName name="Z_636941DB_8104_482C_A372_1D26D0474A9D_.wvu.FilterData" localSheetId="1" hidden="1">Inbound_Monitor!$A$2:$Q$13</definedName>
    <definedName name="Z_636941DB_8104_482C_A372_1D26D0474A9D_.wvu.FilterData" localSheetId="0" hidden="1">Outbound_Monitor!$A$2:$W$3</definedName>
    <definedName name="Z_6377A140_C291_46DE_A8EF_97C2843275F8_.wvu.FilterData" localSheetId="0" hidden="1">Outbound_Monitor!$A$2:$W$3</definedName>
    <definedName name="Z_637EDA0C_38E0_4F7D_AEAA_5F2C618E13C9_.wvu.FilterData" localSheetId="0" hidden="1">Outbound_Monitor!$A$2:$W$3</definedName>
    <definedName name="Z_63980C81_37D2_47E9_A3EC_934678A85B44_.wvu.FilterData" localSheetId="0" hidden="1">Outbound_Monitor!$A$2:$X$16</definedName>
    <definedName name="Z_639E9DE2_270D_4FAF_BAD9_0330256F85D5_.wvu.FilterData" localSheetId="0" hidden="1">Outbound_Monitor!$A$2:$X$16</definedName>
    <definedName name="Z_63A356A7_92CA_4C0A_B682_EBFDB0ABC776_.wvu.FilterData" localSheetId="0" hidden="1">Outbound_Monitor!$A$2:$W$3</definedName>
    <definedName name="Z_63A49A5A_AA94_486F_B2A3_D01264FE0219_.wvu.FilterData" localSheetId="0" hidden="1">Outbound_Monitor!$A$2:$W$3</definedName>
    <definedName name="Z_63AF3412_77A6_4367_ABFD_1E88C55737B5_.wvu.FilterData" localSheetId="0" hidden="1">Outbound_Monitor!$A$2:$W$3</definedName>
    <definedName name="Z_63B0390A_6B90_4FBE_B565_6BE43C877D0B_.wvu.FilterData" localSheetId="1" hidden="1">Inbound_Monitor!$A$2:$Q$3</definedName>
    <definedName name="Z_63B7C761_C19F_4787_871E_78AD162848DC_.wvu.FilterData" localSheetId="1" hidden="1">Inbound_Monitor!$A$2:$Q$3</definedName>
    <definedName name="Z_63C184F2_0D00_4D44_9D68_B6E5E893357E_.wvu.FilterData" localSheetId="1" hidden="1">Inbound_Monitor!$A$2:$Q$13</definedName>
    <definedName name="Z_63C1CF57_EDCF_4B31_A6F3_C80CB52C9E8B_.wvu.FilterData" localSheetId="1" hidden="1">Inbound_Monitor!$A$2:$Q$13</definedName>
    <definedName name="Z_63C3516D_9531_4462_9247_4A5F73749E6D_.wvu.FilterData" localSheetId="0" hidden="1">Outbound_Monitor!$A$2:$W$3</definedName>
    <definedName name="Z_63F46CA4_535E_4987_A7CB_60789448BAC0_.wvu.FilterData" localSheetId="1" hidden="1">Inbound_Monitor!$A$2:$Q$13</definedName>
    <definedName name="Z_63FC8EFB_0F3E_4A09_B63C_48FE6A7B6064_.wvu.FilterData" localSheetId="1" hidden="1">Inbound_Monitor!$A$2:$Q$13</definedName>
    <definedName name="Z_63FC8EFB_0F3E_4A09_B63C_48FE6A7B6064_.wvu.FilterData" localSheetId="0" hidden="1">Outbound_Monitor!$A$2:$W$3</definedName>
    <definedName name="Z_63FC8EFB_0F3E_4A09_B63C_48FE6A7B6064_.wvu.FilterData" localSheetId="4" hidden="1">Schichtübergabe_Protokoll!$B$3:$N$3</definedName>
    <definedName name="Z_63FFEC87_80F2_4D98_8CE8_1C1CB8FFD42B_.wvu.FilterData" localSheetId="1" hidden="1">Inbound_Monitor!$A$2:$Q$3</definedName>
    <definedName name="Z_64091019_ED42_4E7D_AECF_64B93C6FF5A8_.wvu.FilterData" localSheetId="1" hidden="1">Inbound_Monitor!$A$2:$Q$2</definedName>
    <definedName name="Z_64091019_ED42_4E7D_AECF_64B93C6FF5A8_.wvu.FilterData" localSheetId="0" hidden="1">Outbound_Monitor!$A$2:$W$2</definedName>
    <definedName name="Z_6409AFB8_43DA_4897_AE50_9648A795CEBA_.wvu.FilterData" localSheetId="1" hidden="1">Inbound_Monitor!$A$2:$Q$13</definedName>
    <definedName name="Z_6409AFB8_43DA_4897_AE50_9648A795CEBA_.wvu.FilterData" localSheetId="0" hidden="1">Outbound_Monitor!$A$2:$X$16</definedName>
    <definedName name="Z_64183BFC_C645_4B90_9F5D_0CA51956D2A0_.wvu.FilterData" localSheetId="1" hidden="1">Inbound_Monitor!$A$2:$Q$13</definedName>
    <definedName name="Z_64271AEE_B428_4810_89DC_8A550E3ABAD2_.wvu.FilterData" localSheetId="0" hidden="1">Outbound_Monitor!$A$2:$W$3</definedName>
    <definedName name="Z_64280C5F_17CA_453A_9DA8_4458441F5AEA_.wvu.FilterData" localSheetId="1" hidden="1">Inbound_Monitor!$A$2:$Q$13</definedName>
    <definedName name="Z_64280C5F_17CA_453A_9DA8_4458441F5AEA_.wvu.FilterData" localSheetId="0" hidden="1">Outbound_Monitor!$A$2:$X$16</definedName>
    <definedName name="Z_64292A4E_A8DB_461F_93F8_C90FC6B314F1_.wvu.FilterData" localSheetId="0" hidden="1">Outbound_Monitor!$A$2:$X$16</definedName>
    <definedName name="Z_64450C13_2B28_4122_9E75_C2BE56566920_.wvu.FilterData" localSheetId="1" hidden="1">Inbound_Monitor!$A$2:$Q$3</definedName>
    <definedName name="Z_6453E28D_4CA5_495A_BDC5_56E0B6BEA306_.wvu.FilterData" localSheetId="1" hidden="1">Inbound_Monitor!$A$2:$Q$2</definedName>
    <definedName name="Z_6453E28D_4CA5_495A_BDC5_56E0B6BEA306_.wvu.FilterData" localSheetId="0" hidden="1">Outbound_Monitor!$A$2:$W$2</definedName>
    <definedName name="Z_646B8C29_896E_4A51_81CA_42766FEAE086_.wvu.FilterData" localSheetId="0" hidden="1">Outbound_Monitor!$A$2:$W$3</definedName>
    <definedName name="Z_646D8BFD_FAA8_4DD1_BF45_75DE201BA471_.wvu.FilterData" localSheetId="0" hidden="1">Outbound_Monitor!$A$2:$W$3</definedName>
    <definedName name="Z_64758916_28E6_4305_B0C4_892D06CEDC50_.wvu.FilterData" localSheetId="1" hidden="1">Inbound_Monitor!$A$2:$Q$13</definedName>
    <definedName name="Z_64758916_28E6_4305_B0C4_892D06CEDC50_.wvu.FilterData" localSheetId="0" hidden="1">Outbound_Monitor!$A$2:$W$3</definedName>
    <definedName name="Z_647BB4CF_88AF_4C25_A71A_2E224D994A93_.wvu.FilterData" localSheetId="1" hidden="1">Inbound_Monitor!$A$2:$Q$13</definedName>
    <definedName name="Z_647F3B9D_55D3_4618_BD4B_BC03909361AA_.wvu.FilterData" localSheetId="1" hidden="1">Inbound_Monitor!$A$2:$Q$13</definedName>
    <definedName name="Z_648A47EF_7A7B_49C5_B1B6_395D8C0B355E_.wvu.FilterData" localSheetId="1" hidden="1">Inbound_Monitor!$A$2:$Q$3</definedName>
    <definedName name="Z_648A47EF_7A7B_49C5_B1B6_395D8C0B355E_.wvu.FilterData" localSheetId="0" hidden="1">Outbound_Monitor!$A$2:$W$3</definedName>
    <definedName name="Z_648F5DBA_5435_42D9_9533_09366CCA44E1_.wvu.FilterData" localSheetId="0" hidden="1">Outbound_Monitor!$A$2:$W$3</definedName>
    <definedName name="Z_649577D4_8E78_415B_9647_138176F99C69_.wvu.FilterData" localSheetId="1" hidden="1">Inbound_Monitor!$A$2:$Q$3</definedName>
    <definedName name="Z_649577D4_8E78_415B_9647_138176F99C69_.wvu.FilterData" localSheetId="0" hidden="1">Outbound_Monitor!$A$2:$W$3</definedName>
    <definedName name="Z_64ADB3BC_C548_4F0B_8DAB_2AC052A3584A_.wvu.FilterData" localSheetId="1" hidden="1">Inbound_Monitor!$A$2:$Q$13</definedName>
    <definedName name="Z_64B2F2DE_106B_464E_A7F9_477E1000D40C_.wvu.FilterData" localSheetId="0" hidden="1">Outbound_Monitor!$A$2:$W$3</definedName>
    <definedName name="Z_64BA72D4_A96D_4F8F_AEA7_BCC08D39689A_.wvu.FilterData" localSheetId="1" hidden="1">Inbound_Monitor!$A$2:$Q$3</definedName>
    <definedName name="Z_64BA72D4_A96D_4F8F_AEA7_BCC08D39689A_.wvu.FilterData" localSheetId="0" hidden="1">Outbound_Monitor!$A$2:$W$3</definedName>
    <definedName name="Z_64CCB0AA_BF32_45D4_9EEB_186DB6D8CEFD_.wvu.FilterData" localSheetId="1" hidden="1">Inbound_Monitor!$A$2:$Q$3</definedName>
    <definedName name="Z_64D26813_F1CC_4873_BA66_14186A5394E2_.wvu.FilterData" localSheetId="1" hidden="1">Inbound_Monitor!$A$2:$Q$2</definedName>
    <definedName name="Z_64D26813_F1CC_4873_BA66_14186A5394E2_.wvu.FilterData" localSheetId="0" hidden="1">Outbound_Monitor!$A$2:$W$2</definedName>
    <definedName name="Z_64E74B09_7D80_4587_A619_941CE6E1581D_.wvu.FilterData" localSheetId="1" hidden="1">Inbound_Monitor!$A$2:$Q$13</definedName>
    <definedName name="Z_64FB1DF8_6489_4D7B_A590_43C4A621BF66_.wvu.FilterData" localSheetId="0" hidden="1">Outbound_Monitor!$A$2:$X$16</definedName>
    <definedName name="Z_65021612_9D0B_457B_9F77_CE7E9EB957C4_.wvu.FilterData" localSheetId="0" hidden="1">Outbound_Monitor!$A$2:$W$3</definedName>
    <definedName name="Z_65051834_6489_4CB4_8AEE_DCB88E969EC2_.wvu.FilterData" localSheetId="1" hidden="1">Inbound_Monitor!$A$2:$Q$3</definedName>
    <definedName name="Z_65055D21_738C_4778_A658_B884C7DDD95D_.wvu.FilterData" localSheetId="1" hidden="1">Inbound_Monitor!$A$2:$Q$3</definedName>
    <definedName name="Z_6507BFAE_C8FF_48B4_B40B_04BDAFF07AB9_.wvu.FilterData" localSheetId="1" hidden="1">Inbound_Monitor!$A$2:$Q$3</definedName>
    <definedName name="Z_6515344B_1D89_45DD_B6ED_8DF466BE7436_.wvu.FilterData" localSheetId="1" hidden="1">Inbound_Monitor!$A$2:$Q$13</definedName>
    <definedName name="Z_6515344B_1D89_45DD_B6ED_8DF466BE7436_.wvu.FilterData" localSheetId="0" hidden="1">Outbound_Monitor!$A$2:$W$3</definedName>
    <definedName name="Z_652180A6_B044_480B_A6E3_A2A1F77B9C8D_.wvu.FilterData" localSheetId="0" hidden="1">Outbound_Monitor!$A$2:$W$3</definedName>
    <definedName name="Z_65277180_D088_43B8_BE79_45350E68AA2F_.wvu.FilterData" localSheetId="0" hidden="1">Outbound_Monitor!$A$2:$W$3</definedName>
    <definedName name="Z_652FCB3E_CD85_46EE_9BBB_0A75B667B94A_.wvu.FilterData" localSheetId="1" hidden="1">Inbound_Monitor!$A$2:$Q$3</definedName>
    <definedName name="Z_653554B6_2FDE_4550_998A_FBCDF5BCF06C_.wvu.FilterData" localSheetId="0" hidden="1">Outbound_Monitor!$A$2:$W$3</definedName>
    <definedName name="Z_653A1D20_E070_44D7_884E_6F7ABED37EF0_.wvu.FilterData" localSheetId="1" hidden="1">Inbound_Monitor!$A$2:$Q$3</definedName>
    <definedName name="Z_653DAA03_66E2_4736_9158_E2FC5CB2E71D_.wvu.FilterData" localSheetId="0" hidden="1">Outbound_Monitor!$A$2:$W$3</definedName>
    <definedName name="Z_654A4132_EE1C_4799_878B_9B0DF20725D3_.wvu.FilterData" localSheetId="1" hidden="1">Inbound_Monitor!$A$2:$Q$13</definedName>
    <definedName name="Z_654B7936_4524_4D55_B6D9_3D17242B777C_.wvu.FilterData" localSheetId="0" hidden="1">Outbound_Monitor!$A$2:$W$3</definedName>
    <definedName name="Z_6561E730_E483_4E2F_AC9C_1BBCB78055E1_.wvu.FilterData" localSheetId="1" hidden="1">Inbound_Monitor!$A$2:$Q$13</definedName>
    <definedName name="Z_6569D9EC_E00D_41EB_9E08_DDE3EC3C4A64_.wvu.FilterData" localSheetId="0" hidden="1">Outbound_Monitor!$A$2:$W$3</definedName>
    <definedName name="Z_656D107B_FA68_42E8_BE8A_E84C70CAEACE_.wvu.FilterData" localSheetId="1" hidden="1">Inbound_Monitor!$A$2:$Q$2</definedName>
    <definedName name="Z_656D107B_FA68_42E8_BE8A_E84C70CAEACE_.wvu.FilterData" localSheetId="0" hidden="1">Outbound_Monitor!$A$2:$W$2</definedName>
    <definedName name="Z_6573C96E_85B8_4541_8D7F_33E5010354DA_.wvu.FilterData" localSheetId="0" hidden="1">Outbound_Monitor!$A$2:$W$3</definedName>
    <definedName name="Z_65791A8B_553C_43D3_9ED0_A8EF82D1020A_.wvu.FilterData" localSheetId="1" hidden="1">Inbound_Monitor!$A$2:$Q$3</definedName>
    <definedName name="Z_65791A8B_553C_43D3_9ED0_A8EF82D1020A_.wvu.FilterData" localSheetId="0" hidden="1">Outbound_Monitor!$A$2:$W$3</definedName>
    <definedName name="Z_6579A703_9E0B_4CA6_B8A6_17F99DD06668_.wvu.FilterData" localSheetId="1" hidden="1">Inbound_Monitor!$A$2:$Q$3</definedName>
    <definedName name="Z_657C6F59_7654_4DFC_832E_CFEA565946C3_.wvu.FilterData" localSheetId="1" hidden="1">Inbound_Monitor!$A$2:$Q$3</definedName>
    <definedName name="Z_657F617A_65CF_4431_8190_CF7B49077B1D_.wvu.FilterData" localSheetId="1" hidden="1">Inbound_Monitor!$A$2:$Q$3</definedName>
    <definedName name="Z_65827F6D_CCE4_47DF_BEA8_6BEF4D44974D_.wvu.FilterData" localSheetId="1" hidden="1">Inbound_Monitor!$A$2:$Q$13</definedName>
    <definedName name="Z_65827F6D_CCE4_47DF_BEA8_6BEF4D44974D_.wvu.FilterData" localSheetId="0" hidden="1">Outbound_Monitor!$A$2:$X$16</definedName>
    <definedName name="Z_6592C7F3_0790_4629_9255_F3C73430E191_.wvu.FilterData" localSheetId="1" hidden="1">Inbound_Monitor!$A$2:$Q$3</definedName>
    <definedName name="Z_6592C7F3_0790_4629_9255_F3C73430E191_.wvu.FilterData" localSheetId="0" hidden="1">Outbound_Monitor!$A$2:$W$3</definedName>
    <definedName name="Z_6596F3C4_3D1A_4E6E_ADB4_A4D5CB4BAF60_.wvu.FilterData" localSheetId="0" hidden="1">Outbound_Monitor!$A$2:$W$3</definedName>
    <definedName name="Z_6599BB14_F043_49E3_8323_243EAF837E87_.wvu.FilterData" localSheetId="0" hidden="1">Outbound_Monitor!$A$2:$W$3</definedName>
    <definedName name="Z_659E4564_4EC9_4037_9EEE_422A2E885E07_.wvu.FilterData" localSheetId="1" hidden="1">Inbound_Monitor!$A$2:$Q$13</definedName>
    <definedName name="Z_659E4564_4EC9_4037_9EEE_422A2E885E07_.wvu.FilterData" localSheetId="0" hidden="1">Outbound_Monitor!$A$2:$X$16</definedName>
    <definedName name="Z_65BA3523_E67E_4DBB_B0D3_71FE4D728E61_.wvu.FilterData" localSheetId="1" hidden="1">Inbound_Monitor!$A$2:$Q$2</definedName>
    <definedName name="Z_65BA3523_E67E_4DBB_B0D3_71FE4D728E61_.wvu.FilterData" localSheetId="0" hidden="1">Outbound_Monitor!$A$2:$W$2</definedName>
    <definedName name="Z_65C023BF_CF04_4305_A14D_81AFB112AA1D_.wvu.FilterData" localSheetId="1" hidden="1">Inbound_Monitor!$A$2:$Q$13</definedName>
    <definedName name="Z_65C023BF_CF04_4305_A14D_81AFB112AA1D_.wvu.FilterData" localSheetId="0" hidden="1">Outbound_Monitor!$A$2:$X$16</definedName>
    <definedName name="Z_65CFC5AA_409A_44D4_98D7_9DA5160C4E33_.wvu.FilterData" localSheetId="0" hidden="1">Outbound_Monitor!$A$2:$W$3</definedName>
    <definedName name="Z_65D4F55D_3B36_4A38_83D0_AB480142324E_.wvu.FilterData" localSheetId="0" hidden="1">Outbound_Monitor!$A$2:$X$16</definedName>
    <definedName name="Z_65D77015_BD57_4471_ADA4_94B7DAA8596E_.wvu.FilterData" localSheetId="1" hidden="1">Inbound_Monitor!$A$2:$Q$13</definedName>
    <definedName name="Z_65D77015_BD57_4471_ADA4_94B7DAA8596E_.wvu.FilterData" localSheetId="0" hidden="1">Outbound_Monitor!$A$2:$X$16</definedName>
    <definedName name="Z_6604E5D6_5271_411C_96A5_30E975A33A83_.wvu.FilterData" localSheetId="1" hidden="1">Inbound_Monitor!$A$2:$Q$13</definedName>
    <definedName name="Z_66150344_380C_442C_BBD7_7AB123CB5421_.wvu.FilterData" localSheetId="0" hidden="1">Outbound_Monitor!$A$2:$W$3</definedName>
    <definedName name="Z_663C37FD_D356_4D72_957D_3F1A1574D489_.wvu.FilterData" localSheetId="0" hidden="1">Outbound_Monitor!$A$2:$W$3</definedName>
    <definedName name="Z_663D21D5_EAF7_4828_AE4B_85A1969E2E41_.wvu.FilterData" localSheetId="1" hidden="1">Inbound_Monitor!$A$2:$Q$13</definedName>
    <definedName name="Z_663D21D5_EAF7_4828_AE4B_85A1969E2E41_.wvu.FilterData" localSheetId="0" hidden="1">Outbound_Monitor!$A$2:$X$16</definedName>
    <definedName name="Z_6644A077_455F_4038_860D_2938A3DB4CCD_.wvu.FilterData" localSheetId="1" hidden="1">Inbound_Monitor!$A$2:$Q$3</definedName>
    <definedName name="Z_66502C2B_357C_4543_A2BF_71BDFA302C16_.wvu.FilterData" localSheetId="1" hidden="1">Inbound_Monitor!$A$2:$Q$3</definedName>
    <definedName name="Z_66502C2B_357C_4543_A2BF_71BDFA302C16_.wvu.FilterData" localSheetId="4" hidden="1">Schichtübergabe_Protokoll!$B$3:$N$3</definedName>
    <definedName name="Z_6672A650_E6CC_4435_B11F_7AEAEEB91A0E_.wvu.FilterData" localSheetId="0" hidden="1">Outbound_Monitor!$A$2:$W$3</definedName>
    <definedName name="Z_667B427D_2A53_45A7_9634_04FEAE88F177_.wvu.FilterData" localSheetId="0" hidden="1">Outbound_Monitor!$A$2:$W$3</definedName>
    <definedName name="Z_667F376E_27A6_4A7D_B28B_1A17D68BC8D5_.wvu.FilterData" localSheetId="1" hidden="1">Inbound_Monitor!$A$2:$Q$3</definedName>
    <definedName name="Z_668C580D_20BC_46D4_A7B3_08C4C57A1941_.wvu.FilterData" localSheetId="0" hidden="1">Outbound_Monitor!$A$2:$W$3</definedName>
    <definedName name="Z_668D3886_8B35_46F4_A17A_B1E11606E12A_.wvu.FilterData" localSheetId="1" hidden="1">Inbound_Monitor!$A$2:$Q$3</definedName>
    <definedName name="Z_66A19D8F_B9C5_4B82_82CD_9C5B5024BCA1_.wvu.FilterData" localSheetId="1" hidden="1">Inbound_Monitor!$A$2:$Q$13</definedName>
    <definedName name="Z_66A19D8F_B9C5_4B82_82CD_9C5B5024BCA1_.wvu.FilterData" localSheetId="0" hidden="1">Outbound_Monitor!$A$2:$X$16</definedName>
    <definedName name="Z_66B64F3A_756C_46D0_B0BA_666CA1BD67E4_.wvu.FilterData" localSheetId="1" hidden="1">Inbound_Monitor!$A$2:$Q$3</definedName>
    <definedName name="Z_66B64F3A_756C_46D0_B0BA_666CA1BD67E4_.wvu.FilterData" localSheetId="4" hidden="1">Schichtübergabe_Protokoll!$B$3:$N$3</definedName>
    <definedName name="Z_66C44BA6_FBB9_49C5_BA33_0F3C384C53C1_.wvu.FilterData" localSheetId="0" hidden="1">Outbound_Monitor!$A$2:$W$3</definedName>
    <definedName name="Z_66CDFCBB_BD75_4B77_BC6C_F2B55770896B_.wvu.FilterData" localSheetId="1" hidden="1">Inbound_Monitor!$A$2:$Q$3</definedName>
    <definedName name="Z_66D2322A_16C2_482C_8714_5F5843FEA476_.wvu.FilterData" localSheetId="0" hidden="1">Outbound_Monitor!$A$2:$W$3</definedName>
    <definedName name="Z_66E4401A_DB9C_493B_AF3E_1EB9D31D3A72_.wvu.FilterData" localSheetId="1" hidden="1">Inbound_Monitor!$A$2:$Q$3</definedName>
    <definedName name="Z_66E4401A_DB9C_493B_AF3E_1EB9D31D3A72_.wvu.FilterData" localSheetId="0" hidden="1">Outbound_Monitor!$A$2:$W$3</definedName>
    <definedName name="Z_66EB17C3_23F3_47C0_AEE7_BEF7A13DAC4F_.wvu.FilterData" localSheetId="0" hidden="1">Outbound_Monitor!$A$2:$W$3</definedName>
    <definedName name="Z_66EBD4EB_7E5E_42DF_88D9_67829A4D0257_.wvu.FilterData" localSheetId="1" hidden="1">Inbound_Monitor!$A$2:$Q$3</definedName>
    <definedName name="Z_66EBD4EB_7E5E_42DF_88D9_67829A4D0257_.wvu.FilterData" localSheetId="0" hidden="1">Outbound_Monitor!#REF!</definedName>
    <definedName name="Z_66ED0230_D3BE_4E81_8CE9_F887B5EAA4C3_.wvu.FilterData" localSheetId="1" hidden="1">Inbound_Monitor!$A$2:$Q$2</definedName>
    <definedName name="Z_66ED0230_D3BE_4E81_8CE9_F887B5EAA4C3_.wvu.FilterData" localSheetId="0" hidden="1">Outbound_Monitor!$A$2:$W$2</definedName>
    <definedName name="Z_66EE2318_8F9E_409B_92F6_E44FE9223FAF_.wvu.FilterData" localSheetId="0" hidden="1">Outbound_Monitor!$A$2:$W$3</definedName>
    <definedName name="Z_66FCCA86_09A3_4C50_BAAD_75D7B551C340_.wvu.FilterData" localSheetId="1" hidden="1">Inbound_Monitor!$A$2:$Q$13</definedName>
    <definedName name="Z_66FCCA86_09A3_4C50_BAAD_75D7B551C340_.wvu.FilterData" localSheetId="0" hidden="1">Outbound_Monitor!$A$2:$W$3</definedName>
    <definedName name="Z_66FDF8D5_B326_4760_B98C_749A7880EE12_.wvu.FilterData" localSheetId="0" hidden="1">Outbound_Monitor!$A$2:$W$3</definedName>
    <definedName name="Z_6701AE8F_F1F1_4CDF_BC32_ABCDFC08EB55_.wvu.FilterData" localSheetId="1" hidden="1">Inbound_Monitor!$A$2:$Q$2</definedName>
    <definedName name="Z_6701AE8F_F1F1_4CDF_BC32_ABCDFC08EB55_.wvu.FilterData" localSheetId="0" hidden="1">Outbound_Monitor!$A$2:$W$2</definedName>
    <definedName name="Z_6708B78B_5682_48D6_8C4B_F55DA665A113_.wvu.FilterData" localSheetId="1" hidden="1">Inbound_Monitor!$A$2:$Q$13</definedName>
    <definedName name="Z_6708B78B_5682_48D6_8C4B_F55DA665A113_.wvu.FilterData" localSheetId="0" hidden="1">Outbound_Monitor!$A$2:$W$3</definedName>
    <definedName name="Z_671275F8_6D33_4748_B6BA_629995B393ED_.wvu.FilterData" localSheetId="1" hidden="1">Inbound_Monitor!$A$2:$Q$3</definedName>
    <definedName name="Z_6726D361_8464_4C09_82BE_DB87B5F4B76E_.wvu.FilterData" localSheetId="1" hidden="1">Inbound_Monitor!$A$2:$Q$2</definedName>
    <definedName name="Z_6726D361_8464_4C09_82BE_DB87B5F4B76E_.wvu.FilterData" localSheetId="0" hidden="1">Outbound_Monitor!$A$2:$W$2</definedName>
    <definedName name="Z_672E59F7_8761_4398_BEF5_68BAF17EBEF1_.wvu.FilterData" localSheetId="0" hidden="1">Outbound_Monitor!$A$2:$X$16</definedName>
    <definedName name="Z_67420C93_D8ED_4D21_9FC6_9088DF80D050_.wvu.FilterData" localSheetId="0" hidden="1">Outbound_Monitor!$A$2:$W$3</definedName>
    <definedName name="Z_67473B53_24D8_4203_9856_899D08EAF958_.wvu.FilterData" localSheetId="0" hidden="1">Outbound_Monitor!$A$2:$X$16</definedName>
    <definedName name="Z_674C51F6_46FB_443F_9881_A86DE0E0BF31_.wvu.FilterData" localSheetId="1" hidden="1">Inbound_Monitor!$A$2:$Q$3</definedName>
    <definedName name="Z_6754E30F_D1B1_4B9A_AE8B_B89DDBFF4467_.wvu.FilterData" localSheetId="0" hidden="1">Outbound_Monitor!$A$2:$W$3</definedName>
    <definedName name="Z_67738BB9_4A4C_47C5_B3FB_F3C7D9ED35F2_.wvu.FilterData" localSheetId="1" hidden="1">Inbound_Monitor!$A$2:$Q$3</definedName>
    <definedName name="Z_67738BB9_4A4C_47C5_B3FB_F3C7D9ED35F2_.wvu.FilterData" localSheetId="0" hidden="1">Outbound_Monitor!$A$2:$W$3</definedName>
    <definedName name="Z_67738BB9_4A4C_47C5_B3FB_F3C7D9ED35F2_.wvu.FilterData" localSheetId="4" hidden="1">Schichtübergabe_Protokoll!$B$3:$N$3</definedName>
    <definedName name="Z_6781B5EF_2A6E_4D63_8C51_98694206F8D3_.wvu.FilterData" localSheetId="1" hidden="1">Inbound_Monitor!$A$2:$Q$3</definedName>
    <definedName name="Z_6785DB5A_C2C7_44E9_BBF8_8DDBCC4F23DA_.wvu.FilterData" localSheetId="1" hidden="1">Inbound_Monitor!$A$2:$Q$13</definedName>
    <definedName name="Z_678786CE_3769_49DA_8738_3275BFD8DC14_.wvu.FilterData" localSheetId="0" hidden="1">Outbound_Monitor!$A$2:$W$3</definedName>
    <definedName name="Z_678B7407_17E8_41BC_8627_C2C8A9396D39_.wvu.FilterData" localSheetId="1" hidden="1">Inbound_Monitor!$A$2:$Q$3</definedName>
    <definedName name="Z_67A1339F_D3B9_44A8_B41D_87DE26113E5D_.wvu.FilterData" localSheetId="0" hidden="1">Outbound_Monitor!$A$2:$W$3</definedName>
    <definedName name="Z_67A41AE9_E5DB_4750_AA9E_C4A5139C0DBF_.wvu.FilterData" localSheetId="1" hidden="1">Inbound_Monitor!$A$2:$Q$3</definedName>
    <definedName name="Z_67A80DB8_C822_43EF_8FD5_2E3A205A9414_.wvu.FilterData" localSheetId="1" hidden="1">Inbound_Monitor!$A$2:$Q$3</definedName>
    <definedName name="Z_67AB130B_02EC_48C4_B1AB_F762FB6BAA18_.wvu.FilterData" localSheetId="1" hidden="1">Inbound_Monitor!$A$2:$Q$13</definedName>
    <definedName name="Z_67AB130B_02EC_48C4_B1AB_F762FB6BAA18_.wvu.FilterData" localSheetId="0" hidden="1">Outbound_Monitor!$A$2:$X$16</definedName>
    <definedName name="Z_67B40B73_283E_4866_8874_CED5AD0420A7_.wvu.FilterData" localSheetId="1" hidden="1">Inbound_Monitor!$A$2:$Q$3</definedName>
    <definedName name="Z_67B4A937_34E8_49EE_A362_054574B1F87D_.wvu.FilterData" localSheetId="0" hidden="1">Outbound_Monitor!$A$2:$W$3</definedName>
    <definedName name="Z_67B8AA01_45AB_4C26_9B92_DB46F5670625_.wvu.FilterData" localSheetId="0" hidden="1">Outbound_Monitor!$A$2:$X$16</definedName>
    <definedName name="Z_67C14F63_4631_46C4_AB66_F871C5544347_.wvu.FilterData" localSheetId="0" hidden="1">Outbound_Monitor!$A$2:$W$3</definedName>
    <definedName name="Z_67CC8813_95C9_42CE_AC21_83478E903DE8_.wvu.FilterData" localSheetId="1" hidden="1">Inbound_Monitor!$A$2:$Q$3</definedName>
    <definedName name="Z_67D263E5_21FA_41D9_A6D8_3EBDFD8D36F1_.wvu.FilterData" localSheetId="0" hidden="1">Outbound_Monitor!$A$2:$W$3</definedName>
    <definedName name="Z_67E38D9B_0AFA_424E_B93D_B419AD22F934_.wvu.FilterData" localSheetId="0" hidden="1">Outbound_Monitor!$A$2:$W$3</definedName>
    <definedName name="Z_67EAE772_935B_460A_A303_D7EABFCCE7C4_.wvu.FilterData" localSheetId="0" hidden="1">Outbound_Monitor!$A$2:$W$3</definedName>
    <definedName name="Z_67EE5EFF_BA37_4040_B189_25A5DF94EA0E_.wvu.FilterData" localSheetId="1" hidden="1">Inbound_Monitor!$A$2:$Q$13</definedName>
    <definedName name="Z_67EE5EFF_BA37_4040_B189_25A5DF94EA0E_.wvu.FilterData" localSheetId="0" hidden="1">Outbound_Monitor!$A$2:$W$3</definedName>
    <definedName name="Z_67EE9D6B_1640_40B8_B0B0_598953FF1A30_.wvu.FilterData" localSheetId="1" hidden="1">Inbound_Monitor!$A$2:$Q$3</definedName>
    <definedName name="Z_67EE9D6B_1640_40B8_B0B0_598953FF1A30_.wvu.FilterData" localSheetId="0" hidden="1">Outbound_Monitor!$A$2:$W$3</definedName>
    <definedName name="Z_67F1E50B_CE1C_4ECC_91E7_D763191F6203_.wvu.FilterData" localSheetId="1" hidden="1">Inbound_Monitor!$A$2:$Q$13</definedName>
    <definedName name="Z_67F1E50B_CE1C_4ECC_91E7_D763191F6203_.wvu.FilterData" localSheetId="0" hidden="1">Outbound_Monitor!$A$2:$W$3</definedName>
    <definedName name="Z_67FD6F86_51A9_4F66_9BF7_55F3630A9EEF_.wvu.FilterData" localSheetId="1" hidden="1">Inbound_Monitor!$A$2:$Q$2</definedName>
    <definedName name="Z_67FD6F86_51A9_4F66_9BF7_55F3630A9EEF_.wvu.FilterData" localSheetId="0" hidden="1">Outbound_Monitor!$A$2:$W$2</definedName>
    <definedName name="Z_68023D50_CD38_4C76_B68C_E50EC3755360_.wvu.FilterData" localSheetId="1" hidden="1">Inbound_Monitor!$A$2:$Q$13</definedName>
    <definedName name="Z_68023D50_CD38_4C76_B68C_E50EC3755360_.wvu.FilterData" localSheetId="0" hidden="1">Outbound_Monitor!$A$2:$X$16</definedName>
    <definedName name="Z_681A0EC6_3F65_4361_9201_949685493B14_.wvu.FilterData" localSheetId="0" hidden="1">Outbound_Monitor!$A$2:$W$3</definedName>
    <definedName name="Z_68210670_3373_47AB_8192_DA967AA6F90A_.wvu.FilterData" localSheetId="1" hidden="1">Inbound_Monitor!$A$2:$Q$3</definedName>
    <definedName name="Z_68210670_3373_47AB_8192_DA967AA6F90A_.wvu.FilterData" localSheetId="0" hidden="1">Outbound_Monitor!$A$2:$W$3</definedName>
    <definedName name="Z_682732E5_A737_41AE_A27D_6A51728F8953_.wvu.FilterData" localSheetId="0" hidden="1">Outbound_Monitor!$A$2:$W$3</definedName>
    <definedName name="Z_682B4CF4_EEA2_46F9_A6DA_4BA37B408215_.wvu.FilterData" localSheetId="1" hidden="1">Inbound_Monitor!$A$2:$Q$13</definedName>
    <definedName name="Z_68492A8A_57C0_475B_B8A8_BC78FC3B6CCA_.wvu.FilterData" localSheetId="1" hidden="1">Inbound_Monitor!$A$2:$Q$2</definedName>
    <definedName name="Z_68492A8A_57C0_475B_B8A8_BC78FC3B6CCA_.wvu.FilterData" localSheetId="0" hidden="1">Outbound_Monitor!$A$2:$W$2</definedName>
    <definedName name="Z_684F78F3_3068_4B01_8724_0B53D422A434_.wvu.FilterData" localSheetId="1" hidden="1">Inbound_Monitor!$A$2:$Q$3</definedName>
    <definedName name="Z_68543DBD_0513_4E90_8BE7_9E122EB4EEB7_.wvu.FilterData" localSheetId="0" hidden="1">Outbound_Monitor!$A$2:$W$3</definedName>
    <definedName name="Z_6860E323_32FB_41CD_8756_31DE2AE74A68_.wvu.FilterData" localSheetId="0" hidden="1">Outbound_Monitor!$A$2:$X$16</definedName>
    <definedName name="Z_68682153_6172_4512_A2E9_DEC3176CA21E_.wvu.FilterData" localSheetId="1" hidden="1">Inbound_Monitor!$A$2:$Q$13</definedName>
    <definedName name="Z_68682153_6172_4512_A2E9_DEC3176CA21E_.wvu.FilterData" localSheetId="0" hidden="1">Outbound_Monitor!$A$2:$W$3</definedName>
    <definedName name="Z_6874FB40_A942_4808_ABDF_54CEF2444117_.wvu.FilterData" localSheetId="1" hidden="1">Inbound_Monitor!$A$2:$Q$3</definedName>
    <definedName name="Z_6874FB40_A942_4808_ABDF_54CEF2444117_.wvu.FilterData" localSheetId="0" hidden="1">Outbound_Monitor!$A$2:$W$3</definedName>
    <definedName name="Z_6874FB40_A942_4808_ABDF_54CEF2444117_.wvu.FilterData" localSheetId="4" hidden="1">Schichtübergabe_Protokoll!$B$3:$N$3</definedName>
    <definedName name="Z_687EC83B_CBEF_4297_B835_63E5A051C9A9_.wvu.FilterData" localSheetId="1" hidden="1">Inbound_Monitor!$A$2:$Q$13</definedName>
    <definedName name="Z_687ED071_06ED_4ED7_ACDD_61C6E2B9D005_.wvu.FilterData" localSheetId="0" hidden="1">Outbound_Monitor!$A$2:$W$3</definedName>
    <definedName name="Z_6887449F_C41D_4399_9B5B_B6BC2C09C654_.wvu.FilterData" localSheetId="1" hidden="1">Inbound_Monitor!$A$2:$Q$3</definedName>
    <definedName name="Z_688B543E_63B6_438A_9E63_047111BFBB50_.wvu.FilterData" localSheetId="0" hidden="1">Outbound_Monitor!$A$2:$X$16</definedName>
    <definedName name="Z_6891DA1B_9944_461D_B4A6_0D828AF8C920_.wvu.FilterData" localSheetId="0" hidden="1">Outbound_Monitor!$A$2:$W$3</definedName>
    <definedName name="Z_689FAB16_34A8_49C0_A8E7_61A10F670BA9_.wvu.FilterData" localSheetId="0" hidden="1">Outbound_Monitor!$A$2:$X$16</definedName>
    <definedName name="Z_68A8E205_3F2F_4065_BE00_7008EDCE5239_.wvu.FilterData" localSheetId="0" hidden="1">Outbound_Monitor!$A$2:$W$3</definedName>
    <definedName name="Z_68B18F32_CBEC_45D4_A705_EBA160DB72F9_.wvu.FilterData" localSheetId="1" hidden="1">Inbound_Monitor!$A$2:$Q$13</definedName>
    <definedName name="Z_68B18F32_CBEC_45D4_A705_EBA160DB72F9_.wvu.FilterData" localSheetId="0" hidden="1">Outbound_Monitor!$A$2:$X$16</definedName>
    <definedName name="Z_68B57EA0_3B1F_4879_A3E4_AC0526D9489F_.wvu.FilterData" localSheetId="1" hidden="1">Inbound_Monitor!$A$2:$Q$13</definedName>
    <definedName name="Z_68B57EA0_3B1F_4879_A3E4_AC0526D9489F_.wvu.FilterData" localSheetId="0" hidden="1">Outbound_Monitor!$A$2:$X$16</definedName>
    <definedName name="Z_68B638B3_281C_4BF0_884F_00912D5550AB_.wvu.FilterData" localSheetId="1" hidden="1">Inbound_Monitor!$A$2:$Q$2</definedName>
    <definedName name="Z_68B638B3_281C_4BF0_884F_00912D5550AB_.wvu.FilterData" localSheetId="0" hidden="1">Outbound_Monitor!$A$2:$W$2</definedName>
    <definedName name="Z_68BC7C02_7AC4_4E75_9BD6_77F634901805_.wvu.FilterData" localSheetId="1" hidden="1">Inbound_Monitor!$A$2:$Q$13</definedName>
    <definedName name="Z_68BC7C02_7AC4_4E75_9BD6_77F634901805_.wvu.FilterData" localSheetId="0" hidden="1">Outbound_Monitor!$A$2:$X$16</definedName>
    <definedName name="Z_68D17F1C_BA53_40CB_966C_95975FABD970_.wvu.FilterData" localSheetId="4" hidden="1">Schichtübergabe_Protokoll!$B$3:$N$3</definedName>
    <definedName name="Z_68D7700B_B23B_452C_80A2_2DB6983D2188_.wvu.FilterData" localSheetId="0" hidden="1">Outbound_Monitor!$A$2:$X$16</definedName>
    <definedName name="Z_68DDD145_AA7D_414C_A1D3_F3CD5E9301AF_.wvu.FilterData" localSheetId="1" hidden="1">Inbound_Monitor!$A$2:$Q$13</definedName>
    <definedName name="Z_68E608B0_E450_42BF_8FAF_6E559B860CA6_.wvu.FilterData" localSheetId="1" hidden="1">Inbound_Monitor!$A$2:$Q$2</definedName>
    <definedName name="Z_68E608B0_E450_42BF_8FAF_6E559B860CA6_.wvu.FilterData" localSheetId="0" hidden="1">Outbound_Monitor!$A$2:$W$2</definedName>
    <definedName name="Z_68E87EE1_D587_42CE_8EB9_BD5A462D6D2A_.wvu.FilterData" localSheetId="0" hidden="1">Outbound_Monitor!$A$2:$X$16</definedName>
    <definedName name="Z_68EAFF71_0486_48AB_AB97_356AA2FF2819_.wvu.FilterData" localSheetId="1" hidden="1">Inbound_Monitor!$A$2:$Q$13</definedName>
    <definedName name="Z_68EAFF71_0486_48AB_AB97_356AA2FF2819_.wvu.FilterData" localSheetId="0" hidden="1">Outbound_Monitor!$A$2:$X$16</definedName>
    <definedName name="Z_68F8B607_A504_4CB9_B879_3A68C5104025_.wvu.FilterData" localSheetId="0" hidden="1">Outbound_Monitor!$A$2:$X$16</definedName>
    <definedName name="Z_68FD1001_F82C_4517_B013_57F8645EC530_.wvu.FilterData" localSheetId="1" hidden="1">Inbound_Monitor!$A$2:$Q$3</definedName>
    <definedName name="Z_69025CAD_0AAF_4231_BEE8_1EE96DF0F921_.wvu.FilterData" localSheetId="1" hidden="1">Inbound_Monitor!$A$2:$Q$2</definedName>
    <definedName name="Z_69025CAD_0AAF_4231_BEE8_1EE96DF0F921_.wvu.FilterData" localSheetId="0" hidden="1">Outbound_Monitor!$A$2:$W$2</definedName>
    <definedName name="Z_69398532_A9F9_4A1E_9085_F3F92299535F_.wvu.FilterData" localSheetId="1" hidden="1">Inbound_Monitor!$A$2:$Q$13</definedName>
    <definedName name="Z_69706D8C_B9D7_47EE_837E_849DE5E85D38_.wvu.FilterData" localSheetId="4" hidden="1">Schichtübergabe_Protokoll!$B$3:$N$3</definedName>
    <definedName name="Z_698F5E60_E6E7_4F9A_BB6A_61735F66A06F_.wvu.FilterData" localSheetId="1" hidden="1">Inbound_Monitor!$A$2:$Q$13</definedName>
    <definedName name="Z_698F5E60_E6E7_4F9A_BB6A_61735F66A06F_.wvu.FilterData" localSheetId="0" hidden="1">Outbound_Monitor!$A$2:$W$3</definedName>
    <definedName name="Z_6993DDFC_C0D6_4E00_8759_93E2AB444139_.wvu.FilterData" localSheetId="0" hidden="1">Outbound_Monitor!$A$2:$W$3</definedName>
    <definedName name="Z_699DF9E0_96B2_4A71_BE0A_50DF754E7E7D_.wvu.FilterData" localSheetId="1" hidden="1">Inbound_Monitor!$A$2:$Q$13</definedName>
    <definedName name="Z_699DF9E0_96B2_4A71_BE0A_50DF754E7E7D_.wvu.FilterData" localSheetId="0" hidden="1">Outbound_Monitor!$A$2:$W$3</definedName>
    <definedName name="Z_69A474D0_8E04_4BC3_83EC_6DEAD95F65EF_.wvu.FilterData" localSheetId="0" hidden="1">Outbound_Monitor!$A$2:$W$3</definedName>
    <definedName name="Z_69A969F4_F88F_4F1C_B539_9BB1BB5CB4A2_.wvu.FilterData" localSheetId="0" hidden="1">Outbound_Monitor!$A$2:$W$3</definedName>
    <definedName name="Z_69B2F2EC_9A08_4FBC_8F2D_0C689BFAEF29_.wvu.FilterData" localSheetId="1" hidden="1">Inbound_Monitor!$A$2:$Q$13</definedName>
    <definedName name="Z_69B2F2EC_9A08_4FBC_8F2D_0C689BFAEF29_.wvu.FilterData" localSheetId="0" hidden="1">Outbound_Monitor!$A$2:$W$3</definedName>
    <definedName name="Z_69B7A8F3_6DD7_46D0_A2AC_3496A74AF0FD_.wvu.FilterData" localSheetId="0" hidden="1">Outbound_Monitor!$A$2:$W$3</definedName>
    <definedName name="Z_69BDA782_859D_4D1A_83E4_0003B0F4A4F4_.wvu.FilterData" localSheetId="1" hidden="1">Inbound_Monitor!$A$2:$Q$3</definedName>
    <definedName name="Z_69CE325C_D8FE_41F3_BCDF_C2B31F9A3139_.wvu.FilterData" localSheetId="4" hidden="1">Schichtübergabe_Protokoll!$B$3:$N$3</definedName>
    <definedName name="Z_69D1B833_EF3B_48E7_A335_C6463496C877_.wvu.FilterData" localSheetId="0" hidden="1">Outbound_Monitor!$A$2:$W$3</definedName>
    <definedName name="Z_69D5CB7A_3F4D_4DF6_B575_58D11F0436FD_.wvu.FilterData" localSheetId="1" hidden="1">Inbound_Monitor!$A$2:$Q$3</definedName>
    <definedName name="Z_69D5CB7A_3F4D_4DF6_B575_58D11F0436FD_.wvu.FilterData" localSheetId="0" hidden="1">Outbound_Monitor!$A$2:$W$3</definedName>
    <definedName name="Z_69D8843F_1B82_44D5_B0F8_776CBB81ADBE_.wvu.FilterData" localSheetId="0" hidden="1">Outbound_Monitor!$A$2:$X$16</definedName>
    <definedName name="Z_69FBE976_C1DA_494A_AE06_8DF238C56748_.wvu.FilterData" localSheetId="0" hidden="1">Outbound_Monitor!$A$2:$W$3</definedName>
    <definedName name="Z_6A0569F3_5586_4264_AB26_47CE6DA71396_.wvu.FilterData" localSheetId="1" hidden="1">Inbound_Monitor!$A$2:$Q$3</definedName>
    <definedName name="Z_6A063474_385C_43EE_8948_2060D038B57E_.wvu.FilterData" localSheetId="0" hidden="1">Outbound_Monitor!$A$2:$W$3</definedName>
    <definedName name="Z_6A09924F_F50A_43DF_8C32_E860948C9C04_.wvu.FilterData" localSheetId="1" hidden="1">Inbound_Monitor!$A$2:$Q$3</definedName>
    <definedName name="Z_6A0E196C_1C08_4420_AE5A_ADE30AFDEF32_.wvu.FilterData" localSheetId="1" hidden="1">Inbound_Monitor!$A$2:$Q$13</definedName>
    <definedName name="Z_6A0E196C_1C08_4420_AE5A_ADE30AFDEF32_.wvu.FilterData" localSheetId="0" hidden="1">Outbound_Monitor!$A$2:$W$3</definedName>
    <definedName name="Z_6A178CE9_614E_4EA6_9DD9_B0AA65A27197_.wvu.FilterData" localSheetId="1" hidden="1">Inbound_Monitor!$A$2:$Q$2</definedName>
    <definedName name="Z_6A178CE9_614E_4EA6_9DD9_B0AA65A27197_.wvu.FilterData" localSheetId="0" hidden="1">Outbound_Monitor!$A$2:$W$2</definedName>
    <definedName name="Z_6A239574_2A52_4BFB_BC01_3AE032BBB7A8_.wvu.FilterData" localSheetId="0" hidden="1">Outbound_Monitor!$A$2:$W$3</definedName>
    <definedName name="Z_6A30991C_58AA_408E_A8FF_3D1FA0E81CC2_.wvu.FilterData" localSheetId="0" hidden="1">Outbound_Monitor!$A$2:$W$3</definedName>
    <definedName name="Z_6A32AB07_8514_4E31_BD32_54F9FC1D9C97_.wvu.FilterData" localSheetId="1" hidden="1">Inbound_Monitor!$A$2:$Q$13</definedName>
    <definedName name="Z_6A33ECF5_A91D_4284_8702_8EF79CBADC17_.wvu.FilterData" localSheetId="0" hidden="1">Outbound_Monitor!$A$2:$X$16</definedName>
    <definedName name="Z_6A5121E5_806A_4075_8F76_E1673E9031E7_.wvu.FilterData" localSheetId="1" hidden="1">Inbound_Monitor!$A$2:$Q$3</definedName>
    <definedName name="Z_6A5121E5_806A_4075_8F76_E1673E9031E7_.wvu.FilterData" localSheetId="0" hidden="1">Outbound_Monitor!$A$2:$W$3</definedName>
    <definedName name="Z_6A5EAD1D_8C15_45E1_8C6A_077327F66B35_.wvu.FilterData" localSheetId="4" hidden="1">Schichtübergabe_Protokoll!$B$3:$N$3</definedName>
    <definedName name="Z_6A66C7BB_2128_4349_A777_FA137FCE4389_.wvu.FilterData" localSheetId="1" hidden="1">Inbound_Monitor!$A$2:$Q$13</definedName>
    <definedName name="Z_6A66C7BB_2128_4349_A777_FA137FCE4389_.wvu.FilterData" localSheetId="0" hidden="1">Outbound_Monitor!$A$2:$X$16</definedName>
    <definedName name="Z_6A69B09C_9E27_4CC5_9EC7_0420B07AF042_.wvu.FilterData" localSheetId="1" hidden="1">Inbound_Monitor!$A$2:$Q$3</definedName>
    <definedName name="Z_6A69B09C_9E27_4CC5_9EC7_0420B07AF042_.wvu.FilterData" localSheetId="4" hidden="1">Schichtübergabe_Protokoll!$B$3:$N$3</definedName>
    <definedName name="Z_6A6A76BD_5FF3_4BCF_A2B7_0CA97383103A_.wvu.FilterData" localSheetId="0" hidden="1">Outbound_Monitor!$A$2:$W$3</definedName>
    <definedName name="Z_6A6AB005_95D5_4813_BCDA_3FF67B7182AC_.wvu.FilterData" localSheetId="1" hidden="1">Inbound_Monitor!$A$2:$Q$13</definedName>
    <definedName name="Z_6A6AB005_95D5_4813_BCDA_3FF67B7182AC_.wvu.FilterData" localSheetId="0" hidden="1">Outbound_Monitor!$A$2:$X$16</definedName>
    <definedName name="Z_6A738E28_C6EA_4E8F_84BE_5A3EBC9B134B_.wvu.FilterData" localSheetId="0" hidden="1">Outbound_Monitor!$A$2:$W$3</definedName>
    <definedName name="Z_6A7B0AAD_0226_47AB_B249_893DB3019170_.wvu.FilterData" localSheetId="1" hidden="1">Inbound_Monitor!$A$2:$Q$13</definedName>
    <definedName name="Z_6A88C5ED_D11E_4A63_875F_C97EEDA42DAA_.wvu.FilterData" localSheetId="0" hidden="1">Outbound_Monitor!$A$2:$W$3</definedName>
    <definedName name="Z_6A8A72FE_6871_4BE4_BEC3_EABE4163A0BD_.wvu.FilterData" localSheetId="1" hidden="1">Inbound_Monitor!$A$2:$Q$13</definedName>
    <definedName name="Z_6A8A72FE_6871_4BE4_BEC3_EABE4163A0BD_.wvu.FilterData" localSheetId="0" hidden="1">Outbound_Monitor!$A$2:$X$16</definedName>
    <definedName name="Z_6A8D4348_DE94_4D7A_9681_82D8D630BC40_.wvu.FilterData" localSheetId="1" hidden="1">Inbound_Monitor!$A$2:$Q$3</definedName>
    <definedName name="Z_6A988760_86D1_4294_B205_689B5F571F04_.wvu.FilterData" localSheetId="0" hidden="1">Outbound_Monitor!$A$2:$W$3</definedName>
    <definedName name="Z_6A98D2CC_B9A7_4ACB_8C17_B3C2F78D8FD0_.wvu.FilterData" localSheetId="0" hidden="1">Outbound_Monitor!$A$2:$W$3</definedName>
    <definedName name="Z_6A9C71B6_5C4E_496B_A3BE_477EA44E7AFC_.wvu.FilterData" localSheetId="0" hidden="1">Outbound_Monitor!$A$2:$W$3</definedName>
    <definedName name="Z_6A9C862F_5011_4D86_992A_C985A434B4E9_.wvu.FilterData" localSheetId="1" hidden="1">Inbound_Monitor!$A$2:$Q$2</definedName>
    <definedName name="Z_6A9C862F_5011_4D86_992A_C985A434B4E9_.wvu.FilterData" localSheetId="0" hidden="1">Outbound_Monitor!$A$2:$W$2</definedName>
    <definedName name="Z_6AA3A67D_2AF5_4E0F_80CB_896DD2A93C3A_.wvu.FilterData" localSheetId="1" hidden="1">Inbound_Monitor!$A$2:$Q$3</definedName>
    <definedName name="Z_6AA78B54_DC3A_43BA_AF36_138311A4A177_.wvu.FilterData" localSheetId="0" hidden="1">Outbound_Monitor!$A$2:$W$3</definedName>
    <definedName name="Z_6AA8751C_5D9C_4FEE_B20B_EBBABFF973EB_.wvu.FilterData" localSheetId="1" hidden="1">Inbound_Monitor!$A$2:$Q$13</definedName>
    <definedName name="Z_6AA94275_D449_4924_ACBD_05FBD873D0A0_.wvu.FilterData" localSheetId="1" hidden="1">Inbound_Monitor!$A$2:$Q$13</definedName>
    <definedName name="Z_6AA94275_D449_4924_ACBD_05FBD873D0A0_.wvu.FilterData" localSheetId="0" hidden="1">Outbound_Monitor!$A$2:$X$16</definedName>
    <definedName name="Z_6AB3770F_4399_402C_88A1_58F86580AE30_.wvu.FilterData" localSheetId="1" hidden="1">Inbound_Monitor!$A$2:$Q$2</definedName>
    <definedName name="Z_6AB3770F_4399_402C_88A1_58F86580AE30_.wvu.FilterData" localSheetId="0" hidden="1">Outbound_Monitor!$A$2:$W$2</definedName>
    <definedName name="Z_6AB45FB9_92D0_4EEB_BCE2_9A71EB60DD40_.wvu.FilterData" localSheetId="1" hidden="1">Inbound_Monitor!$A$2:$Q$13</definedName>
    <definedName name="Z_6AB45FB9_92D0_4EEB_BCE2_9A71EB60DD40_.wvu.FilterData" localSheetId="0" hidden="1">Outbound_Monitor!$A$2:$X$16</definedName>
    <definedName name="Z_6AC157F2_25BA_4E2E_AE4E_7E589B09EC7E_.wvu.FilterData" localSheetId="1" hidden="1">Inbound_Monitor!$A$2:$Q$2</definedName>
    <definedName name="Z_6AC157F2_25BA_4E2E_AE4E_7E589B09EC7E_.wvu.FilterData" localSheetId="0" hidden="1">Outbound_Monitor!$A$2:$W$2</definedName>
    <definedName name="Z_6AC89AC2_7B36_4E85_8AC5_A9F1F070C4F1_.wvu.FilterData" localSheetId="1" hidden="1">Inbound_Monitor!$A$2:$Q$2</definedName>
    <definedName name="Z_6AC89AC2_7B36_4E85_8AC5_A9F1F070C4F1_.wvu.FilterData" localSheetId="0" hidden="1">Outbound_Monitor!$A$2:$W$2</definedName>
    <definedName name="Z_6ACCA780_3F4A_40BB_B8EA_00A88E63B7B7_.wvu.FilterData" localSheetId="1" hidden="1">Inbound_Monitor!$A$2:$Q$13</definedName>
    <definedName name="Z_6ACCA780_3F4A_40BB_B8EA_00A88E63B7B7_.wvu.FilterData" localSheetId="0" hidden="1">Outbound_Monitor!$A$2:$W$3</definedName>
    <definedName name="Z_6ADA9695_5555_42FC_BE31_AE57F18F868A_.wvu.FilterData" localSheetId="1" hidden="1">Inbound_Monitor!$A$2:$Q$13</definedName>
    <definedName name="Z_6AF174DF_7CC4_49BB_AE9D_E3F8D7B5617B_.wvu.FilterData" localSheetId="0" hidden="1">Outbound_Monitor!$A$2:$X$16</definedName>
    <definedName name="Z_6AF1CE5A_1E07_401B_AC45_A9CADEC59FCF_.wvu.FilterData" localSheetId="0" hidden="1">Outbound_Monitor!$A$2:$X$16</definedName>
    <definedName name="Z_6B025457_B715_4323_9786_6F10DB5EFB57_.wvu.FilterData" localSheetId="1" hidden="1">Inbound_Monitor!$A$2:$Q$13</definedName>
    <definedName name="Z_6B025457_B715_4323_9786_6F10DB5EFB57_.wvu.FilterData" localSheetId="0" hidden="1">Outbound_Monitor!$A$2:$W$3</definedName>
    <definedName name="Z_6B0364F6_7E95_4725_A806_97F5600F6005_.wvu.FilterData" localSheetId="0" hidden="1">Outbound_Monitor!$A$2:$W$3</definedName>
    <definedName name="Z_6B043426_62F4_449D_821A_87F47892B668_.wvu.FilterData" localSheetId="4" hidden="1">Schichtübergabe_Protokoll!$B$3:$N$3</definedName>
    <definedName name="Z_6B1863D5_315C_498E_B66B_0BBE1AD1BABE_.wvu.FilterData" localSheetId="0" hidden="1">Outbound_Monitor!$A$2:$W$3</definedName>
    <definedName name="Z_6B1FEB90_E1D0_4488_BC1A_49DB9949E9C9_.wvu.FilterData" localSheetId="0" hidden="1">Outbound_Monitor!$A$2:$W$3</definedName>
    <definedName name="Z_6B24FD9D_AC43_4DCE_8A67_F990E1814E9A_.wvu.FilterData" localSheetId="1" hidden="1">Inbound_Monitor!$A$2:$Q$2</definedName>
    <definedName name="Z_6B24FD9D_AC43_4DCE_8A67_F990E1814E9A_.wvu.FilterData" localSheetId="0" hidden="1">Outbound_Monitor!$A$2:$W$2</definedName>
    <definedName name="Z_6B32935D_2E45_418C_9161_D3CA70ED0296_.wvu.FilterData" localSheetId="1" hidden="1">Inbound_Monitor!$A$2:$Q$3</definedName>
    <definedName name="Z_6B32935D_2E45_418C_9161_D3CA70ED0296_.wvu.FilterData" localSheetId="0" hidden="1">Outbound_Monitor!$A$2:$W$3</definedName>
    <definedName name="Z_6B34F10B_FE9E_4496_8904_ED8AA89C0B56_.wvu.Rows" localSheetId="3" hidden="1">'SDDS_Office (nicht nutzen)'!#REF!,'SDDS_Office (nicht nutzen)'!#REF!,'SDDS_Office (nicht nutzen)'!#REF!,'SDDS_Office (nicht nutzen)'!#REF!</definedName>
    <definedName name="Z_6B3E6CF5_D2C0_4EDD_AB5B_3B4FB601C727_.wvu.FilterData" localSheetId="1" hidden="1">Inbound_Monitor!$A$2:$Q$3</definedName>
    <definedName name="Z_6B43D099_FA5D_4CA1_90DA_52F2B3214B42_.wvu.FilterData" localSheetId="1" hidden="1">Inbound_Monitor!$A$2:$Q$3</definedName>
    <definedName name="Z_6B4C4210_5AEC_40BC_8BA9_13EAFB864CEB_.wvu.FilterData" localSheetId="0" hidden="1">Outbound_Monitor!$A$2:$X$16</definedName>
    <definedName name="Z_6B572DE4_D2A9_4913_8763_F2CA9D1416BC_.wvu.FilterData" localSheetId="0" hidden="1">Outbound_Monitor!$A$2:$W$3</definedName>
    <definedName name="Z_6B5CB1AB_AB93_4195_A968_D68A8EE773E7_.wvu.FilterData" localSheetId="1" hidden="1">Inbound_Monitor!$A$2:$Q$3</definedName>
    <definedName name="Z_6B5CB1AB_AB93_4195_A968_D68A8EE773E7_.wvu.FilterData" localSheetId="0" hidden="1">Outbound_Monitor!$A$2:$W$3</definedName>
    <definedName name="Z_6B5D6A4D_C163_4225_82F9_D28A664B19CE_.wvu.FilterData" localSheetId="0" hidden="1">Outbound_Monitor!$A$2:$W$3</definedName>
    <definedName name="Z_6B6087F4_925D_4DD4_BFD9_B46438B2DA2C_.wvu.FilterData" localSheetId="0" hidden="1">Outbound_Monitor!$A$2:$W$3</definedName>
    <definedName name="Z_6B69316E_CD86_4B24_82CE_465F86AF6FE5_.wvu.FilterData" localSheetId="0" hidden="1">Outbound_Monitor!$A$2:$W$3</definedName>
    <definedName name="Z_6B6C1D44_2C0A_4309_AFE6_4510492BC5C9_.wvu.FilterData" localSheetId="4" hidden="1">Schichtübergabe_Protokoll!$B$3:$N$3</definedName>
    <definedName name="Z_6B70AD61_9541_4475_BA61_ADBC04BD1073_.wvu.FilterData" localSheetId="1" hidden="1">Inbound_Monitor!$A$2:$Q$3</definedName>
    <definedName name="Z_6B70AD61_9541_4475_BA61_ADBC04BD1073_.wvu.FilterData" localSheetId="0" hidden="1">Outbound_Monitor!$A$2:$W$3</definedName>
    <definedName name="Z_6B772A2E_B2C6_4C7B_81FC_FDD29A319B05_.wvu.FilterData" localSheetId="0" hidden="1">Outbound_Monitor!$A$2:$X$16</definedName>
    <definedName name="Z_6B82556B_3FB7_4FDA_ACE3_F1758A8D6C6A_.wvu.FilterData" localSheetId="0" hidden="1">Outbound_Monitor!$A$2:$W$3</definedName>
    <definedName name="Z_6B979355_9F74_4AE0_B9BE_F1E0D37889EC_.wvu.FilterData" localSheetId="1" hidden="1">Inbound_Monitor!$A$2:$Q$13</definedName>
    <definedName name="Z_6B9EA4E4_0FF4_460F_9C54_601F109204E0_.wvu.FilterData" localSheetId="0" hidden="1">Outbound_Monitor!$A$2:$W$3</definedName>
    <definedName name="Z_6BB5090F_8BD7_4848_A810_EDE8CBBEDA0F_.wvu.FilterData" localSheetId="0" hidden="1">Outbound_Monitor!$A$2:$W$3</definedName>
    <definedName name="Z_6BBC0CBC_7177_42F0_81A9_1B64F7F9148A_.wvu.FilterData" localSheetId="1" hidden="1">Inbound_Monitor!$A$2:$Q$3</definedName>
    <definedName name="Z_6BCB498A_3992_49F7_A1A8_E228E8FC8B19_.wvu.FilterData" localSheetId="0" hidden="1">Outbound_Monitor!$A$2:$W$3</definedName>
    <definedName name="Z_6BD95B84_E778_4D10_9961_1960FAED15FD_.wvu.FilterData" localSheetId="1" hidden="1">Inbound_Monitor!$A$2:$Q$13</definedName>
    <definedName name="Z_6BD95B84_E778_4D10_9961_1960FAED15FD_.wvu.FilterData" localSheetId="0" hidden="1">Outbound_Monitor!$A$2:$W$3</definedName>
    <definedName name="Z_6BDBA40B_2219_4DA7_8012_732BCCE86ED8_.wvu.FilterData" localSheetId="1" hidden="1">Inbound_Monitor!$A$2:$Q$13</definedName>
    <definedName name="Z_6BDBA40B_2219_4DA7_8012_732BCCE86ED8_.wvu.FilterData" localSheetId="0" hidden="1">Outbound_Monitor!$A$2:$X$16</definedName>
    <definedName name="Z_6BE046DA_4903_4307_95B0_45423B36E01C_.wvu.FilterData" localSheetId="0" hidden="1">Outbound_Monitor!$A$2:$W$3</definedName>
    <definedName name="Z_6BE3FF9C_9108_4088_9756_867D07A5B70D_.wvu.FilterData" localSheetId="0" hidden="1">Outbound_Monitor!$A$2:$W$3</definedName>
    <definedName name="Z_6BF46F7D_1686_465E_9EE2_38DED6DF3E5C_.wvu.FilterData" localSheetId="0" hidden="1">Outbound_Monitor!$A$2:$W$3</definedName>
    <definedName name="Z_6BFF0033_902D_4A4A_94E4_14746929AF4D_.wvu.FilterData" localSheetId="1" hidden="1">Inbound_Monitor!$A$2:$Q$3</definedName>
    <definedName name="Z_6C04DD47_4BCE_4935_8937_196CACC7AAEC_.wvu.FilterData" localSheetId="0" hidden="1">Outbound_Monitor!$A$2:$X$16</definedName>
    <definedName name="Z_6C149CD6_AE3E_4A66_A62C_9AD481EDAA71_.wvu.FilterData" localSheetId="1" hidden="1">Inbound_Monitor!$A$2:$Q$13</definedName>
    <definedName name="Z_6C149CD6_AE3E_4A66_A62C_9AD481EDAA71_.wvu.FilterData" localSheetId="0" hidden="1">Outbound_Monitor!$A$2:$W$3</definedName>
    <definedName name="Z_6C19E0C9_7776_4AC5_86E6_7E5AE583BDD3_.wvu.FilterData" localSheetId="0" hidden="1">Outbound_Monitor!$A$2:$W$3</definedName>
    <definedName name="Z_6C19E0C9_7776_4AC5_86E6_7E5AE583BDD3_.wvu.FilterData" localSheetId="4" hidden="1">Schichtübergabe_Protokoll!$B$3:$N$3</definedName>
    <definedName name="Z_6C29CD0F_3BF8_4218_BBA8_EA6710C69B92_.wvu.FilterData" localSheetId="0" hidden="1">Outbound_Monitor!$A$2:$W$3</definedName>
    <definedName name="Z_6C2CAE6A_7F66_4372_B3A5_66C1DE50F4CD_.wvu.FilterData" localSheetId="1" hidden="1">Inbound_Monitor!$A$2:$Q$13</definedName>
    <definedName name="Z_6C3B076F_EA06_433C_8A6B_66CF5286C17A_.wvu.FilterData" localSheetId="1" hidden="1">Inbound_Monitor!$A$2:$Q$2</definedName>
    <definedName name="Z_6C3B076F_EA06_433C_8A6B_66CF5286C17A_.wvu.FilterData" localSheetId="0" hidden="1">Outbound_Monitor!$A$2:$W$2</definedName>
    <definedName name="Z_6C68DBF3_5384_42AB_9EB7_F9E1D57F2559_.wvu.FilterData" localSheetId="0" hidden="1">Outbound_Monitor!$A$2:$X$16</definedName>
    <definedName name="Z_6C6B844D_431D_4FF5_A3D6_021FC88C2957_.wvu.FilterData" localSheetId="0" hidden="1">Outbound_Monitor!$A$2:$W$3</definedName>
    <definedName name="Z_6C7ADD08_8F21_4453_8FFA_D9E867D1A0A7_.wvu.FilterData" localSheetId="0" hidden="1">Outbound_Monitor!$A$2:$X$16</definedName>
    <definedName name="Z_6C7E53E8_B0C5_46FC_88F6_C010259FCC06_.wvu.FilterData" localSheetId="0" hidden="1">Outbound_Monitor!$A$2:$X$16</definedName>
    <definedName name="Z_6C839AFF_12D4_4DEB_BC83_E8ECA68D5875_.wvu.FilterData" localSheetId="4" hidden="1">Schichtübergabe_Protokoll!$B$3:$N$3</definedName>
    <definedName name="Z_6C8E343B_6D39_4440_9FFC_BD8503E296BF_.wvu.FilterData" localSheetId="0" hidden="1">Outbound_Monitor!$A$2:$X$16</definedName>
    <definedName name="Z_6C8EF529_D2B4_40BA_8785_1FC54DF5C9A6_.wvu.FilterData" localSheetId="1" hidden="1">Inbound_Monitor!$A$2:$Q$13</definedName>
    <definedName name="Z_6C8EF529_D2B4_40BA_8785_1FC54DF5C9A6_.wvu.FilterData" localSheetId="0" hidden="1">Outbound_Monitor!$A$2:$X$16</definedName>
    <definedName name="Z_6C99BE87_9CB7_4E11_B38E_D885AC5DDE0E_.wvu.FilterData" localSheetId="0" hidden="1">Outbound_Monitor!$A$2:$W$3</definedName>
    <definedName name="Z_6CA10EFF_4592_4E78_95EC_BB9E8BBA43B0_.wvu.FilterData" localSheetId="0" hidden="1">Outbound_Monitor!$A$2:$X$16</definedName>
    <definedName name="Z_6CB21FF8_9EA9_4875_B6D1_636A1E537C88_.wvu.FilterData" localSheetId="1" hidden="1">Inbound_Monitor!$A$2:$Q$13</definedName>
    <definedName name="Z_6CB21FF8_9EA9_4875_B6D1_636A1E537C88_.wvu.FilterData" localSheetId="0" hidden="1">Outbound_Monitor!$A$2:$W$3</definedName>
    <definedName name="Z_6CB38647_FB89_47E8_B034_C12F776CE4AF_.wvu.FilterData" localSheetId="0" hidden="1">Outbound_Monitor!$A$2:$W$3</definedName>
    <definedName name="Z_6CD5520C_AFFC_41E9_B180_0ED4858B7D16_.wvu.FilterData" localSheetId="0" hidden="1">Outbound_Monitor!$A$2:$W$3</definedName>
    <definedName name="Z_6CE834DC_C7ED_49FF_B0C7_793C077765C8_.wvu.FilterData" localSheetId="0" hidden="1">Outbound_Monitor!$A$2:$X$16</definedName>
    <definedName name="Z_6CF0CFF5_6BA6_4496_BA75_41F41E9BB32C_.wvu.FilterData" localSheetId="0" hidden="1">Outbound_Monitor!$A$2:$W$3</definedName>
    <definedName name="Z_6D04C912_40A0_42CF_9BE7_06E45F6C6870_.wvu.FilterData" localSheetId="0" hidden="1">Outbound_Monitor!$A$2:$W$3</definedName>
    <definedName name="Z_6D08ACD6_CD39_4005_9A50_F8FEEED3BB5F_.wvu.FilterData" localSheetId="0" hidden="1">Outbound_Monitor!$A$2:$X$16</definedName>
    <definedName name="Z_6D0C770E_79E5_41E1_9E2D_7B00F68DDEFF_.wvu.FilterData" localSheetId="0" hidden="1">Outbound_Monitor!$A$2:$W$3</definedName>
    <definedName name="Z_6D1D7A8E_0AF3_4CA5_9045_EE1F11D37F44_.wvu.FilterData" localSheetId="0" hidden="1">Outbound_Monitor!$A$2:$X$3</definedName>
    <definedName name="Z_6D1D9C90_0463_4913_8CC2_2D4878D99845_.wvu.FilterData" localSheetId="0" hidden="1">Outbound_Monitor!$A$2:$W$3</definedName>
    <definedName name="Z_6D24C8EA_9C29_402C_8547_10FF042DEC02_.wvu.FilterData" localSheetId="0" hidden="1">Outbound_Monitor!$A$2:$W$3</definedName>
    <definedName name="Z_6D29232C_D008_4C78_A4C1_266497DCF319_.wvu.FilterData" localSheetId="1" hidden="1">Inbound_Monitor!$A$2:$Q$2</definedName>
    <definedName name="Z_6D29232C_D008_4C78_A4C1_266497DCF319_.wvu.FilterData" localSheetId="0" hidden="1">Outbound_Monitor!$A$2:$W$2</definedName>
    <definedName name="Z_6D29CF07_A325_4FDB_BC36_27168BC4ED58_.wvu.FilterData" localSheetId="1" hidden="1">Inbound_Monitor!$A$2:$Q$13</definedName>
    <definedName name="Z_6D29CF07_A325_4FDB_BC36_27168BC4ED58_.wvu.FilterData" localSheetId="0" hidden="1">Outbound_Monitor!$A$2:$X$16</definedName>
    <definedName name="Z_6D3ADACE_6213_4F23_904A_2359A8E01058_.wvu.FilterData" localSheetId="1" hidden="1">Inbound_Monitor!$A$2:$Q$3</definedName>
    <definedName name="Z_6D3D6BDA_873E_4F67_B171_78113F980109_.wvu.FilterData" localSheetId="0" hidden="1">Outbound_Monitor!$A$2:$W$3</definedName>
    <definedName name="Z_6D3DF2D1_D498_48A9_B322_5AB28526B9DF_.wvu.FilterData" localSheetId="1" hidden="1">Inbound_Monitor!$A$2:$Q$3</definedName>
    <definedName name="Z_6D3DF2D1_D498_48A9_B322_5AB28526B9DF_.wvu.FilterData" localSheetId="0" hidden="1">Outbound_Monitor!$A$2:$W$3</definedName>
    <definedName name="Z_6D3DF2D1_D498_48A9_B322_5AB28526B9DF_.wvu.FilterData" localSheetId="4" hidden="1">Schichtübergabe_Protokoll!$B$3:$N$3</definedName>
    <definedName name="Z_6D4F60BF_86E7_4977_9C9E_A0C2FE0F51DE_.wvu.FilterData" localSheetId="0" hidden="1">Outbound_Monitor!$A$2:$W$3</definedName>
    <definedName name="Z_6D65F8DA_A0AA_4A75_902B_ADB12B61F4D8_.wvu.FilterData" localSheetId="1" hidden="1">Inbound_Monitor!$A$2:$Q$13</definedName>
    <definedName name="Z_6D7E2B48_0735_449E_953E_83FDB81F111B_.wvu.FilterData" localSheetId="1" hidden="1">Inbound_Monitor!$A$2:$Q$3</definedName>
    <definedName name="Z_6D7E2B48_0735_449E_953E_83FDB81F111B_.wvu.FilterData" localSheetId="0" hidden="1">Outbound_Monitor!$A$2:$W$3</definedName>
    <definedName name="Z_6D86D0FC_9C78_4DF7_AD0A_94E27EF070CE_.wvu.FilterData" localSheetId="1" hidden="1">Inbound_Monitor!$A$2:$Q$2</definedName>
    <definedName name="Z_6D86D0FC_9C78_4DF7_AD0A_94E27EF070CE_.wvu.FilterData" localSheetId="0" hidden="1">Outbound_Monitor!$A$2:$W$2</definedName>
    <definedName name="Z_6D86D12F_1386_4AAB_80D5_CFFE51D90657_.wvu.FilterData" localSheetId="0" hidden="1">Outbound_Monitor!$A$2:$W$3</definedName>
    <definedName name="Z_6D937F77_11AF_43D2_A82F_9BE255337615_.wvu.FilterData" localSheetId="0" hidden="1">Outbound_Monitor!$A$2:$W$3</definedName>
    <definedName name="Z_6D960852_3388_43DF_BFB4_72E87B1353D5_.wvu.FilterData" localSheetId="1" hidden="1">Inbound_Monitor!$A$2:$Q$13</definedName>
    <definedName name="Z_6D960852_3388_43DF_BFB4_72E87B1353D5_.wvu.FilterData" localSheetId="0" hidden="1">Outbound_Monitor!$A$2:$W$3</definedName>
    <definedName name="Z_6DA6EB9A_CB03_403D_A083_BCDF7A0BBE83_.wvu.FilterData" localSheetId="0" hidden="1">Outbound_Monitor!$A$2:$W$3</definedName>
    <definedName name="Z_6DAD05B9_A615_4B23_9555_D67441E52C0F_.wvu.FilterData" localSheetId="0" hidden="1">Outbound_Monitor!$A$2:$X$16</definedName>
    <definedName name="Z_6DB3B163_FC8C_4D45_9DE3_8AC62FA672A2_.wvu.FilterData" localSheetId="1" hidden="1">Inbound_Monitor!$A$2:$Q$2</definedName>
    <definedName name="Z_6DB3B163_FC8C_4D45_9DE3_8AC62FA672A2_.wvu.FilterData" localSheetId="0" hidden="1">Outbound_Monitor!$A$2:$W$2</definedName>
    <definedName name="Z_6DBCC1AA_75E6_4672_B03D_8699F870E55B_.wvu.FilterData" localSheetId="1" hidden="1">Inbound_Monitor!$A$2:$Q$3</definedName>
    <definedName name="Z_6DBCC1AA_75E6_4672_B03D_8699F870E55B_.wvu.FilterData" localSheetId="0" hidden="1">Outbound_Monitor!$A$2:$W$3</definedName>
    <definedName name="Z_6DC60197_501C_4928_964F_F2ACA443F9BB_.wvu.FilterData" localSheetId="0" hidden="1">Outbound_Monitor!$A$2:$X$16</definedName>
    <definedName name="Z_6DDE40BE_2A02_40B4_92C9_5F898F987B3B_.wvu.FilterData" localSheetId="0" hidden="1">Outbound_Monitor!$A$2:$X$16</definedName>
    <definedName name="Z_6DE4BC20_5F0B_4502_8990_79CEB1156198_.wvu.FilterData" localSheetId="1" hidden="1">Inbound_Monitor!$A$2:$Q$2</definedName>
    <definedName name="Z_6DE4BC20_5F0B_4502_8990_79CEB1156198_.wvu.FilterData" localSheetId="0" hidden="1">Outbound_Monitor!$A$2:$W$2</definedName>
    <definedName name="Z_6DEABDB5_A54B_474C_86BA_2D9F2FACF5BA_.wvu.FilterData" localSheetId="0" hidden="1">Outbound_Monitor!$A$2:$W$3</definedName>
    <definedName name="Z_6DF5C3E8_7BEF_40CE_872B_FF60A6C2A20C_.wvu.FilterData" localSheetId="0" hidden="1">Outbound_Monitor!$A$2:$W$3</definedName>
    <definedName name="Z_6E068044_DB75_45F0_A556_568C4E911C75_.wvu.FilterData" localSheetId="1" hidden="1">Inbound_Monitor!$A$2:$Q$13</definedName>
    <definedName name="Z_6E068044_DB75_45F0_A556_568C4E911C75_.wvu.FilterData" localSheetId="0" hidden="1">Outbound_Monitor!$A$2:$X$16</definedName>
    <definedName name="Z_6E12012C_300F_4F5C_951C_09EACDD623B7_.wvu.FilterData" localSheetId="1" hidden="1">Inbound_Monitor!$A$2:$Q$13</definedName>
    <definedName name="Z_6E12012C_300F_4F5C_951C_09EACDD623B7_.wvu.FilterData" localSheetId="0" hidden="1">Outbound_Monitor!$A$2:$W$3</definedName>
    <definedName name="Z_6E142B7C_73A7_4AB3_9893_5F7A6D2ACAB7_.wvu.FilterData" localSheetId="1" hidden="1">Inbound_Monitor!$A$2:$Q$13</definedName>
    <definedName name="Z_6E157BD8_F7D0_467F_A156_086D20F26BB1_.wvu.FilterData" localSheetId="1" hidden="1">Inbound_Monitor!$A$2:$Q$2</definedName>
    <definedName name="Z_6E157BD8_F7D0_467F_A156_086D20F26BB1_.wvu.FilterData" localSheetId="0" hidden="1">Outbound_Monitor!$A$2:$W$2</definedName>
    <definedName name="Z_6E1CC571_AC79_45AC_9989_3A53AC19E303_.wvu.FilterData" localSheetId="0" hidden="1">Outbound_Monitor!$A$2:$X$16</definedName>
    <definedName name="Z_6E1DB3C3_FD80_4F33_93CF_47AFF381EC44_.wvu.FilterData" localSheetId="1" hidden="1">Inbound_Monitor!$A$2:$Q$3</definedName>
    <definedName name="Z_6E1EFA54_BE6F_465A_A0BC_ECA407125435_.wvu.FilterData" localSheetId="1" hidden="1">Inbound_Monitor!$A$2:$Q$13</definedName>
    <definedName name="Z_6E23F66B_314B_4382_9122_C841683AA6EC_.wvu.FilterData" localSheetId="1" hidden="1">Inbound_Monitor!$A$2:$Q$2</definedName>
    <definedName name="Z_6E23F66B_314B_4382_9122_C841683AA6EC_.wvu.FilterData" localSheetId="0" hidden="1">Outbound_Monitor!$A$2:$W$2</definedName>
    <definedName name="Z_6E3834C6_E31A_47C2_9213_858CDDF2A611_.wvu.FilterData" localSheetId="0" hidden="1">Outbound_Monitor!$A$2:$W$3</definedName>
    <definedName name="Z_6E44792E_25E0_4233_893D_BA779DD47D91_.wvu.FilterData" localSheetId="1" hidden="1">Inbound_Monitor!$A$2:$Q$3</definedName>
    <definedName name="Z_6E4807F2_F3F7_4436_92BB_C9E24F2DE654_.wvu.FilterData" localSheetId="4" hidden="1">Schichtübergabe_Protokoll!$B$3:$N$3</definedName>
    <definedName name="Z_6E484DAE_D517_4100_BA5E_16CE2EA73854_.wvu.FilterData" localSheetId="1" hidden="1">Inbound_Monitor!$A$2:$Q$13</definedName>
    <definedName name="Z_6E484DAE_D517_4100_BA5E_16CE2EA73854_.wvu.FilterData" localSheetId="0" hidden="1">Outbound_Monitor!$A$2:$X$16</definedName>
    <definedName name="Z_6E498FB8_11D6_4A60_A827_855C54A087FD_.wvu.FilterData" localSheetId="0" hidden="1">Outbound_Monitor!$A$2:$W$3</definedName>
    <definedName name="Z_6E498FB8_11D6_4A60_A827_855C54A087FD_.wvu.FilterData" localSheetId="4" hidden="1">Schichtübergabe_Protokoll!$B$3:$N$3</definedName>
    <definedName name="Z_6E55DF01_F3DC_49DD_9037_EE39423445B1_.wvu.FilterData" localSheetId="1" hidden="1">Inbound_Monitor!$A$2:$Q$13</definedName>
    <definedName name="Z_6E55DF01_F3DC_49DD_9037_EE39423445B1_.wvu.FilterData" localSheetId="0" hidden="1">Outbound_Monitor!$A$2:$X$16</definedName>
    <definedName name="Z_6E5B815A_7EA3_4469_A260_2E60914E5D26_.wvu.FilterData" localSheetId="0" hidden="1">Outbound_Monitor!$A$2:$W$3</definedName>
    <definedName name="Z_6E65E0DA_055C_4429_BBBC_B0A7BF031873_.wvu.FilterData" localSheetId="1" hidden="1">Inbound_Monitor!$A$2:$Q$2</definedName>
    <definedName name="Z_6E65E0DA_055C_4429_BBBC_B0A7BF031873_.wvu.FilterData" localSheetId="0" hidden="1">Outbound_Monitor!$A$2:$W$2</definedName>
    <definedName name="Z_6E6BF5CF_4B23_4EA2_A101_AFF24BDA46C8_.wvu.FilterData" localSheetId="0" hidden="1">Outbound_Monitor!$A$2:$W$3</definedName>
    <definedName name="Z_6E6E5786_1385_4CF7_B73B_917B886360B6_.wvu.FilterData" localSheetId="1" hidden="1">Inbound_Monitor!$A$2:$Q$2</definedName>
    <definedName name="Z_6E6E5786_1385_4CF7_B73B_917B886360B6_.wvu.FilterData" localSheetId="0" hidden="1">Outbound_Monitor!$A$2:$W$2</definedName>
    <definedName name="Z_6EA76388_2A9B_4578_85D9_DC38E3E3B481_.wvu.FilterData" localSheetId="1" hidden="1">Inbound_Monitor!$A$2:$Q$13</definedName>
    <definedName name="Z_6EA76388_2A9B_4578_85D9_DC38E3E3B481_.wvu.FilterData" localSheetId="0" hidden="1">Outbound_Monitor!$A$2:$X$16</definedName>
    <definedName name="Z_6EACD955_F626_4806_AC62_51E4B437784B_.wvu.FilterData" localSheetId="0" hidden="1">Outbound_Monitor!$A$2:$X$16</definedName>
    <definedName name="Z_6EB262C5_5451_4E37_8474_43959DBD4270_.wvu.FilterData" localSheetId="1" hidden="1">Inbound_Monitor!$A$2:$Q$2</definedName>
    <definedName name="Z_6EB262C5_5451_4E37_8474_43959DBD4270_.wvu.FilterData" localSheetId="0" hidden="1">Outbound_Monitor!$A$2:$W$2</definedName>
    <definedName name="Z_6EB6BCF1_2119_46F5_98FB_5B568B4A34D5_.wvu.FilterData" localSheetId="0" hidden="1">Outbound_Monitor!$A$2:$W$3</definedName>
    <definedName name="Z_6EB73902_3EBC_4610_8CDC_02F6263B97C7_.wvu.FilterData" localSheetId="0" hidden="1">Outbound_Monitor!$A$2:$W$3</definedName>
    <definedName name="Z_6EBC9886_C210_46A8_8A0A_42E4A8A5FEC2_.wvu.FilterData" localSheetId="0" hidden="1">Outbound_Monitor!$A$2:$W$3</definedName>
    <definedName name="Z_6EBE906E_5103_4EAE_BC86_1BF577CDB3EA_.wvu.FilterData" localSheetId="1" hidden="1">Inbound_Monitor!$A$2:$Q$3</definedName>
    <definedName name="Z_6EE63517_F424_4F95_BCF3_99AB0892605A_.wvu.FilterData" localSheetId="0" hidden="1">Outbound_Monitor!$A$2:$W$3</definedName>
    <definedName name="Z_6EE6F528_86B5_497F_BAF9_DF046B91B91D_.wvu.FilterData" localSheetId="1" hidden="1">Inbound_Monitor!$A$2:$Q$3</definedName>
    <definedName name="Z_6EE6F528_86B5_497F_BAF9_DF046B91B91D_.wvu.FilterData" localSheetId="0" hidden="1">Outbound_Monitor!$A$2:$W$3</definedName>
    <definedName name="Z_6EEAEB1B_A22A_4A00_BEEB_C73FCFB1F5ED_.wvu.FilterData" localSheetId="1" hidden="1">Inbound_Monitor!$A$2:$Q$3</definedName>
    <definedName name="Z_6EEAEB1B_A22A_4A00_BEEB_C73FCFB1F5ED_.wvu.FilterData" localSheetId="0" hidden="1">Outbound_Monitor!$A$2:$W$3</definedName>
    <definedName name="Z_6EFB0B69_579C_45DB_A5FB_85F357EEDB48_.wvu.FilterData" localSheetId="0" hidden="1">Outbound_Monitor!$A$2:$X$16</definedName>
    <definedName name="Z_6EFBF91B_541F_431E_9777_77D6892B5669_.wvu.FilterData" localSheetId="0" hidden="1">Outbound_Monitor!$A$2:$W$3</definedName>
    <definedName name="Z_6F110BDB_B466_44A5_8461_2322A68E52B5_.wvu.FilterData" localSheetId="1" hidden="1">Inbound_Monitor!$A$2:$Q$3</definedName>
    <definedName name="Z_6F40044A_8708_4B87_942E_3C166ED847A3_.wvu.FilterData" localSheetId="1" hidden="1">Inbound_Monitor!$A$2:$Q$13</definedName>
    <definedName name="Z_6F40044A_8708_4B87_942E_3C166ED847A3_.wvu.FilterData" localSheetId="0" hidden="1">Outbound_Monitor!$A$2:$X$16</definedName>
    <definedName name="Z_6F594ACF_CBEE_4F24_A919_C30939A7BB01_.wvu.FilterData" localSheetId="4" hidden="1">Schichtübergabe_Protokoll!$B$3:$N$3</definedName>
    <definedName name="Z_6F603ADD_355D_41C6_92CB_9E5091E49638_.wvu.FilterData" localSheetId="0" hidden="1">Outbound_Monitor!$A$2:$X$16</definedName>
    <definedName name="Z_6F66F862_4B19_401C_8B42_34CABE46C806_.wvu.FilterData" localSheetId="0" hidden="1">Outbound_Monitor!$A$2:$W$3</definedName>
    <definedName name="Z_6F70D920_B70E_4586_AE98_3E77CB161A42_.wvu.FilterData" localSheetId="0" hidden="1">Outbound_Monitor!$A$2:$X$16</definedName>
    <definedName name="Z_6F7A4481_5E1F_4903_AEF5_82340C8E8F10_.wvu.FilterData" localSheetId="0" hidden="1">Outbound_Monitor!$A$2:$W$3</definedName>
    <definedName name="Z_6F7A823F_95B3_4AF3_8849_27F168D46EBF_.wvu.FilterData" localSheetId="0" hidden="1">Outbound_Monitor!$A$2:$W$3</definedName>
    <definedName name="Z_6F85ABB1_F2C8_4F1A_A547_DAD90A4E10A8_.wvu.FilterData" localSheetId="1" hidden="1">Inbound_Monitor!$A$2:$Q$3</definedName>
    <definedName name="Z_6F85ABB1_F2C8_4F1A_A547_DAD90A4E10A8_.wvu.FilterData" localSheetId="0" hidden="1">Outbound_Monitor!$A$2:$W$3</definedName>
    <definedName name="Z_6F85ABB1_F2C8_4F1A_A547_DAD90A4E10A8_.wvu.FilterData" localSheetId="4" hidden="1">Schichtübergabe_Protokoll!$B$3:$N$3</definedName>
    <definedName name="Z_6FA6461D_AF38_4087_8BB4_9E140C866404_.wvu.FilterData" localSheetId="1" hidden="1">Inbound_Monitor!$A$2:$Q$2</definedName>
    <definedName name="Z_6FA6461D_AF38_4087_8BB4_9E140C866404_.wvu.FilterData" localSheetId="0" hidden="1">Outbound_Monitor!$A$2:$W$2</definedName>
    <definedName name="Z_6FA67BC9_1D52_4E06_B829_B9DF77143D2C_.wvu.Rows" localSheetId="3" hidden="1">'SDDS_Office (nicht nutzen)'!#REF!,'SDDS_Office (nicht nutzen)'!#REF!</definedName>
    <definedName name="Z_6FAC273A_7072_4E31_9902_4F446EEF3442_.wvu.FilterData" localSheetId="1" hidden="1">Inbound_Monitor!$A$2:$Q$3</definedName>
    <definedName name="Z_6FB738E8_2D3B_475D_B38C_72BC64933102_.wvu.FilterData" localSheetId="0" hidden="1">Outbound_Monitor!$A$2:$W$3</definedName>
    <definedName name="Z_6FBD9141_A18E_406E_BC63_24B4AB26E98B_.wvu.FilterData" localSheetId="0" hidden="1">Outbound_Monitor!$A$2:$W$3</definedName>
    <definedName name="Z_6FC04F36_A111_4478_8A9D_8AAE5E62326F_.wvu.FilterData" localSheetId="1" hidden="1">Inbound_Monitor!$A$2:$Q$3</definedName>
    <definedName name="Z_6FC04F36_A111_4478_8A9D_8AAE5E62326F_.wvu.FilterData" localSheetId="0" hidden="1">Outbound_Monitor!$A$2:$W$3</definedName>
    <definedName name="Z_6FD1CE21_E3C0_40EC_9912_3B29D8076811_.wvu.FilterData" localSheetId="1" hidden="1">Inbound_Monitor!$A$2:$Q$3</definedName>
    <definedName name="Z_6FE8FFB1_2032_44A5_BC0A_FD4D01662A9E_.wvu.FilterData" localSheetId="1" hidden="1">Inbound_Monitor!$A$2:$Q$13</definedName>
    <definedName name="Z_6FE8FFB1_2032_44A5_BC0A_FD4D01662A9E_.wvu.FilterData" localSheetId="0" hidden="1">Outbound_Monitor!$A$2:$W$3</definedName>
    <definedName name="Z_6FF631F8_B377_4BC9_BFCB_6B858FEB0BE8_.wvu.FilterData" localSheetId="0" hidden="1">Outbound_Monitor!$A$2:$W$3</definedName>
    <definedName name="Z_6FFA5789_6D4E_4DF2_B301_55A3594D6270_.wvu.FilterData" localSheetId="1" hidden="1">Inbound_Monitor!$A$2:$Q$3</definedName>
    <definedName name="Z_6FFD1EB1_4F64_4B2A_97BF_F33621712798_.wvu.FilterData" localSheetId="0" hidden="1">Outbound_Monitor!$A$2:$W$3</definedName>
    <definedName name="Z_700D0EBF_83BB_4436_8616_30C6F6C315BC_.wvu.FilterData" localSheetId="0" hidden="1">Outbound_Monitor!$A$2:$W$3</definedName>
    <definedName name="Z_7016819B_F4BC_4ABF_9035_2DA2AC1F2D44_.wvu.FilterData" localSheetId="1" hidden="1">Inbound_Monitor!$A$2:$Q$2</definedName>
    <definedName name="Z_7016819B_F4BC_4ABF_9035_2DA2AC1F2D44_.wvu.FilterData" localSheetId="0" hidden="1">Outbound_Monitor!$A$2:$W$2</definedName>
    <definedName name="Z_701C3A7B_2090_4DE4_97F7_B8C1CF2B3635_.wvu.FilterData" localSheetId="1" hidden="1">Inbound_Monitor!$A$2:$Q$13</definedName>
    <definedName name="Z_701C3A7B_2090_4DE4_97F7_B8C1CF2B3635_.wvu.FilterData" localSheetId="0" hidden="1">Outbound_Monitor!$A$2:$W$3</definedName>
    <definedName name="Z_7034D91F_F845_49BB_A410_C3E8157E614E_.wvu.FilterData" localSheetId="0" hidden="1">Outbound_Monitor!$A$2:$W$3</definedName>
    <definedName name="Z_703D3FF3_12D9_46E9_8E0A_C98DBA6D8BE5_.wvu.FilterData" localSheetId="0" hidden="1">Outbound_Monitor!$A$2:$W$3</definedName>
    <definedName name="Z_70544EF1_CD28_47F3_8FDF_AE5FFBE67346_.wvu.FilterData" localSheetId="1" hidden="1">Inbound_Monitor!$A$2:$Q$13</definedName>
    <definedName name="Z_706459E7_8C85_43F6_8125_D8EEAF6B3A48_.wvu.FilterData" localSheetId="1" hidden="1">Inbound_Monitor!$A$2:$Q$13</definedName>
    <definedName name="Z_706F86D9_C51A_46B6_914C_36295146977C_.wvu.FilterData" localSheetId="0" hidden="1">Outbound_Monitor!$A$2:$X$16</definedName>
    <definedName name="Z_707B5AB9_0CFE_4228_9D20_4385227119C9_.wvu.FilterData" localSheetId="0" hidden="1">Outbound_Monitor!$A$2:$W$3</definedName>
    <definedName name="Z_70894E46_F554_4D3E_A7A4_3B9CFDC1CB23_.wvu.FilterData" localSheetId="0" hidden="1">Outbound_Monitor!$A$2:$W$3</definedName>
    <definedName name="Z_709287C1_544B_44FB_A797_C586A6E7857E_.wvu.FilterData" localSheetId="1" hidden="1">Inbound_Monitor!$A$2:$Q$3</definedName>
    <definedName name="Z_709287C1_544B_44FB_A797_C586A6E7857E_.wvu.FilterData" localSheetId="4" hidden="1">Schichtübergabe_Protokoll!$B$3:$N$3</definedName>
    <definedName name="Z_709739B0_2E4A_4094_9A48_D056E6D8242B_.wvu.FilterData" localSheetId="0" hidden="1">Outbound_Monitor!$A$2:$W$3</definedName>
    <definedName name="Z_709E410C_F349_433B_A0A8_E39CE516AA34_.wvu.FilterData" localSheetId="0" hidden="1">Outbound_Monitor!$A$2:$X$3</definedName>
    <definedName name="Z_709EE901_9064_40D3_BC74_32D52E7A7526_.wvu.FilterData" localSheetId="0" hidden="1">Outbound_Monitor!$A$2:$W$3</definedName>
    <definedName name="Z_70A2CF12_BE2B_405E_85C9_619DA7282909_.wvu.FilterData" localSheetId="1" hidden="1">Inbound_Monitor!$A$2:$Q$13</definedName>
    <definedName name="Z_70AA2365_0C94_4956_9D05_9E770A3AEF7E_.wvu.FilterData" localSheetId="1" hidden="1">Inbound_Monitor!$A$2:$Q$2</definedName>
    <definedName name="Z_70AA2365_0C94_4956_9D05_9E770A3AEF7E_.wvu.FilterData" localSheetId="0" hidden="1">Outbound_Monitor!$A$2:$W$2</definedName>
    <definedName name="Z_70BC8B43_509F_439B_8133_B66148D89CDE_.wvu.FilterData" localSheetId="1" hidden="1">Inbound_Monitor!$A$2:$Q$2</definedName>
    <definedName name="Z_70BC8B43_509F_439B_8133_B66148D89CDE_.wvu.FilterData" localSheetId="0" hidden="1">Outbound_Monitor!$A$2:$W$2</definedName>
    <definedName name="Z_70BF01DF_86CD_490A_B7B9_ACC4D0AAD297_.wvu.FilterData" localSheetId="0" hidden="1">Outbound_Monitor!$A$2:$W$3</definedName>
    <definedName name="Z_70C0C951_90C5_4D69_ACAD_05862BF8FAFE_.wvu.FilterData" localSheetId="0" hidden="1">Outbound_Monitor!$A$2:$W$3</definedName>
    <definedName name="Z_70C6CEA9_8FAD_404B_8C10_72F3C2E06702_.wvu.FilterData" localSheetId="0" hidden="1">Outbound_Monitor!$A$2:$X$16</definedName>
    <definedName name="Z_70C7C012_24E6_418D_B0EA_E0682F689385_.wvu.FilterData" localSheetId="0" hidden="1">Outbound_Monitor!$A$2:$X$16</definedName>
    <definedName name="Z_70C93808_9254_4E7A_B0A7_E1AB2423D550_.wvu.FilterData" localSheetId="1" hidden="1">Inbound_Monitor!$A$2:$Q$2</definedName>
    <definedName name="Z_70C93808_9254_4E7A_B0A7_E1AB2423D550_.wvu.FilterData" localSheetId="0" hidden="1">Outbound_Monitor!$A$2:$W$2</definedName>
    <definedName name="Z_70D4CEC1_92D0_42D2_86B9_08556F84409C_.wvu.FilterData" localSheetId="1" hidden="1">Inbound_Monitor!$A$2:$Q$13</definedName>
    <definedName name="Z_70D60DF7_000D_4860_8B66_0684458367D6_.wvu.FilterData" localSheetId="1" hidden="1">Inbound_Monitor!$A$2:$Q$13</definedName>
    <definedName name="Z_70D60DF7_000D_4860_8B66_0684458367D6_.wvu.FilterData" localSheetId="0" hidden="1">Outbound_Monitor!$A$2:$X$16</definedName>
    <definedName name="Z_70F00160_8E03_4F79_BC90_3594DA83010B_.wvu.FilterData" localSheetId="0" hidden="1">Outbound_Monitor!$A$2:$W$3</definedName>
    <definedName name="Z_70F3C75D_A9A0_4179_AB66_0E1722153E62_.wvu.FilterData" localSheetId="1" hidden="1">Inbound_Monitor!$A$2:$Q$2</definedName>
    <definedName name="Z_70F3C75D_A9A0_4179_AB66_0E1722153E62_.wvu.FilterData" localSheetId="0" hidden="1">Outbound_Monitor!$A$2:$W$2</definedName>
    <definedName name="Z_70F4554A_2196_4597_A1DF_A6044AEE3685_.wvu.FilterData" localSheetId="1" hidden="1">Inbound_Monitor!$A$2:$Q$3</definedName>
    <definedName name="Z_70F656C8_46F9_4096_9CD9_A119A38D79EC_.wvu.FilterData" localSheetId="1" hidden="1">Inbound_Monitor!$A$2:$Q$3</definedName>
    <definedName name="Z_70FDADBD_80F5_46D8_A10F_0AEE8C6D6E02_.wvu.FilterData" localSheetId="1" hidden="1">Inbound_Monitor!$A$2:$Q$3</definedName>
    <definedName name="Z_70FDCA42_585A_4F40_8841_CA5DB6AE9008_.wvu.FilterData" localSheetId="0" hidden="1">Outbound_Monitor!$A$2:$W$3</definedName>
    <definedName name="Z_70FE2B57_6A19_4D66_ACA4_78C3F8BB00A8_.wvu.FilterData" localSheetId="1" hidden="1">Inbound_Monitor!$A$2:$Q$3</definedName>
    <definedName name="Z_71149C96_9E73_4E31_B447_2CD6004F4064_.wvu.FilterData" localSheetId="1" hidden="1">Inbound_Monitor!$A$2:$Q$13</definedName>
    <definedName name="Z_71149C96_9E73_4E31_B447_2CD6004F4064_.wvu.FilterData" localSheetId="0" hidden="1">Outbound_Monitor!$A$2:$X$16</definedName>
    <definedName name="Z_7117C005_44B7_42F5_AB34_0ABC46411840_.wvu.FilterData" localSheetId="1" hidden="1">Inbound_Monitor!$A$2:$Q$3</definedName>
    <definedName name="Z_711A54CD_4D06_4191_AD2B_B8332DD125C4_.wvu.FilterData" localSheetId="1" hidden="1">Inbound_Monitor!$A$2:$Q$13</definedName>
    <definedName name="Z_711A54CD_4D06_4191_AD2B_B8332DD125C4_.wvu.FilterData" localSheetId="0" hidden="1">Outbound_Monitor!$A$2:$X$16</definedName>
    <definedName name="Z_711AAD22_2F8C_42E2_B783_2C56ED26B0E3_.wvu.FilterData" localSheetId="0" hidden="1">Outbound_Monitor!$A$2:$W$3</definedName>
    <definedName name="Z_7123BA94_6A75_424E_804D_FBBCC2B33638_.wvu.FilterData" localSheetId="0" hidden="1">Outbound_Monitor!$A$2:$W$3</definedName>
    <definedName name="Z_712B46CA_A0E5_41CE_B4F8_6B25AECC45C3_.wvu.FilterData" localSheetId="1" hidden="1">Inbound_Monitor!$A$2:$Q$3</definedName>
    <definedName name="Z_712B46CA_A0E5_41CE_B4F8_6B25AECC45C3_.wvu.FilterData" localSheetId="0" hidden="1">Outbound_Monitor!$A$2:$W$3</definedName>
    <definedName name="Z_712F590E_DA28_44A2_A285_6DCB1A0DA359_.wvu.FilterData" localSheetId="1" hidden="1">Inbound_Monitor!$A$2:$Q$2</definedName>
    <definedName name="Z_712F590E_DA28_44A2_A285_6DCB1A0DA359_.wvu.FilterData" localSheetId="0" hidden="1">Outbound_Monitor!$A$2:$W$2</definedName>
    <definedName name="Z_7137047F_A3C0_40DD_8699_3E003C53214D_.wvu.FilterData" localSheetId="0" hidden="1">Outbound_Monitor!$A$2:$W$3</definedName>
    <definedName name="Z_713F5A34_F0D7_4D1C_B459_67E31FD40258_.wvu.FilterData" localSheetId="1" hidden="1">Inbound_Monitor!$A$2:$Q$3</definedName>
    <definedName name="Z_71580972_750D_43BC_A54E_766288B3D853_.wvu.FilterData" localSheetId="0" hidden="1">Outbound_Monitor!$A$2:$X$16</definedName>
    <definedName name="Z_715B472F_3FA5_447D_93B6_995E9A240F25_.wvu.FilterData" localSheetId="1" hidden="1">Inbound_Monitor!$A$2:$Q$3</definedName>
    <definedName name="Z_715B472F_3FA5_447D_93B6_995E9A240F25_.wvu.FilterData" localSheetId="0" hidden="1">Outbound_Monitor!$A$2:$W$3</definedName>
    <definedName name="Z_7163F076_F923_4FE1_91A0_D0A09DC6944A_.wvu.FilterData" localSheetId="0" hidden="1">Outbound_Monitor!$A$2:$W$3</definedName>
    <definedName name="Z_7171BE22_0F3A_41B9_B297_111F2EB107A3_.wvu.FilterData" localSheetId="0" hidden="1">Outbound_Monitor!$A$2:$W$3</definedName>
    <definedName name="Z_71758379_47CA_4825_88A4_F4DC00F5627D_.wvu.FilterData" localSheetId="0" hidden="1">Outbound_Monitor!$A$2:$W$3</definedName>
    <definedName name="Z_718ACEA8_E11A_48AA_A277_ACCDA99D0BB5_.wvu.FilterData" localSheetId="0" hidden="1">Outbound_Monitor!$A$2:$W$3</definedName>
    <definedName name="Z_718E978A_6CA9_46EA_91C5_81178B891EC1_.wvu.FilterData" localSheetId="1" hidden="1">Inbound_Monitor!$A$2:$Q$3</definedName>
    <definedName name="Z_718F6D75_557D_473A_939F_78A9F43A999C_.wvu.FilterData" localSheetId="0" hidden="1">Outbound_Monitor!$A$2:$W$3</definedName>
    <definedName name="Z_71968569_DCA4_469D_8F8C_1954B20D6214_.wvu.FilterData" localSheetId="0" hidden="1">Outbound_Monitor!$A$2:$W$3</definedName>
    <definedName name="Z_71968569_DCA4_469D_8F8C_1954B20D6214_.wvu.FilterData" localSheetId="4" hidden="1">Schichtübergabe_Protokoll!$B$3:$N$3</definedName>
    <definedName name="Z_719A7B34_6C85_4090_94CC_B16ADD4CDCB4_.wvu.FilterData" localSheetId="0" hidden="1">Outbound_Monitor!$A$2:$W$3</definedName>
    <definedName name="Z_719D6E74_290D_456D_B3F0_31389817B680_.wvu.FilterData" localSheetId="1" hidden="1">Inbound_Monitor!$A$2:$Q$3</definedName>
    <definedName name="Z_719E5E30_907F_4E27_B1BF_E0C97DF4F100_.wvu.FilterData" localSheetId="1" hidden="1">Inbound_Monitor!$A$2:$Q$2</definedName>
    <definedName name="Z_719E5E30_907F_4E27_B1BF_E0C97DF4F100_.wvu.FilterData" localSheetId="0" hidden="1">Outbound_Monitor!$A$2:$W$2</definedName>
    <definedName name="Z_71AD841D_18D4_4BF1_B8AF_4F6FE36C4348_.wvu.FilterData" localSheetId="1" hidden="1">Inbound_Monitor!$A$2:$Q$3</definedName>
    <definedName name="Z_71B346A0_280B_4BE2_AD68_0F914B10AA66_.wvu.FilterData" localSheetId="0" hidden="1">Outbound_Monitor!$A$2:$X$16</definedName>
    <definedName name="Z_71BDD68E_666E_47C0_8597_99A819F6ECBD_.wvu.FilterData" localSheetId="0" hidden="1">Outbound_Monitor!$A$2:$W$3</definedName>
    <definedName name="Z_71C2B688_E489_4471_9BB4_5E37A615C5BE_.wvu.FilterData" localSheetId="1" hidden="1">Inbound_Monitor!$A$2:$Q$13</definedName>
    <definedName name="Z_71C73FFD_5D02_4660_9AFC_5606E93614EA_.wvu.FilterData" localSheetId="0" hidden="1">Outbound_Monitor!$A$2:$W$3</definedName>
    <definedName name="Z_71CD696B_08DA_4800_9F5D_E2CDAAC9DA04_.wvu.FilterData" localSheetId="0" hidden="1">Outbound_Monitor!$A$2:$X$16</definedName>
    <definedName name="Z_71DB7FBB_3FAC_4BB6_8CB8_7FDAB0BA1725_.wvu.FilterData" localSheetId="1" hidden="1">Inbound_Monitor!$A$2:$Q$13</definedName>
    <definedName name="Z_71E2E836_2739_43FD_9661_A9C514441CF7_.wvu.FilterData" localSheetId="1" hidden="1">Inbound_Monitor!$A$2:$Q$3</definedName>
    <definedName name="Z_71E3CBAD_76FC_40BE_8485_84151A874F9F_.wvu.FilterData" localSheetId="1" hidden="1">Inbound_Monitor!$A$2:$Q$2</definedName>
    <definedName name="Z_71E3CBAD_76FC_40BE_8485_84151A874F9F_.wvu.FilterData" localSheetId="0" hidden="1">Outbound_Monitor!$A$2:$W$2</definedName>
    <definedName name="Z_71E5F704_3CEC_49BD_BA57_B4D3FAF63772_.wvu.FilterData" localSheetId="0" hidden="1">Outbound_Monitor!$A$2:$W$3</definedName>
    <definedName name="Z_71E99EBA_1743_4940_80A3_1E24584056FE_.wvu.FilterData" localSheetId="0" hidden="1">Outbound_Monitor!$A$2:$X$16</definedName>
    <definedName name="Z_71EA4F79_69E7_4CFF_A2BC_B71BFD9CD1DB_.wvu.FilterData" localSheetId="4" hidden="1">Schichtübergabe_Protokoll!$B$3:$N$3</definedName>
    <definedName name="Z_71F017F2_B929_4513_855C_EA3BD1918257_.wvu.FilterData" localSheetId="0" hidden="1">Outbound_Monitor!$A$2:$X$16</definedName>
    <definedName name="Z_71F40CDE_4E5E_4A5A_A1A2_05FCF2039E5D_.wvu.FilterData" localSheetId="1" hidden="1">Inbound_Monitor!$A$2:$Q$13</definedName>
    <definedName name="Z_71FEA358_5E1B_4D63_AACD_839842192282_.wvu.FilterData" localSheetId="0" hidden="1">Outbound_Monitor!$A$2:$W$3</definedName>
    <definedName name="Z_72071C6A_DCB0_4342_B933_9EECF03C144E_.wvu.FilterData" localSheetId="0" hidden="1">Outbound_Monitor!$A$2:$W$3</definedName>
    <definedName name="Z_721371C9_9B48_4454_8662_4B00F03E2684_.wvu.FilterData" localSheetId="1" hidden="1">Inbound_Monitor!$A$2:$Q$13</definedName>
    <definedName name="Z_721371C9_9B48_4454_8662_4B00F03E2684_.wvu.FilterData" localSheetId="0" hidden="1">Outbound_Monitor!$A$2:$W$3</definedName>
    <definedName name="Z_7213DDBF_535B_429A_9981_EDF4DF0880F2_.wvu.FilterData" localSheetId="0" hidden="1">Outbound_Monitor!$A$2:$W$3</definedName>
    <definedName name="Z_72173D8E_A77F_4162_95D9_97ED091CFC3C_.wvu.FilterData" localSheetId="0" hidden="1">Outbound_Monitor!$A$3:$X$16</definedName>
    <definedName name="Z_72218D1C_5366_4CEB_8045_53D22F35B196_.wvu.FilterData" localSheetId="1" hidden="1">Inbound_Monitor!$A$2:$Q$2</definedName>
    <definedName name="Z_72218D1C_5366_4CEB_8045_53D22F35B196_.wvu.FilterData" localSheetId="0" hidden="1">Outbound_Monitor!$A$2:$W$2</definedName>
    <definedName name="Z_72251F46_9BAE_4E0F_AFA6_B85C77C9BC3A_.wvu.FilterData" localSheetId="0" hidden="1">Outbound_Monitor!$A$2:$W$3</definedName>
    <definedName name="Z_7230A7D9_1FB5_4DD5_A146_EF5E7A2B033B_.wvu.FilterData" localSheetId="1" hidden="1">Inbound_Monitor!$A$2:$Q$13</definedName>
    <definedName name="Z_7233B7E5_ED9D_45F1_828C_3FFC63F38FE7_.wvu.FilterData" localSheetId="1" hidden="1">Inbound_Monitor!$A$2:$Q$13</definedName>
    <definedName name="Z_7233B7E5_ED9D_45F1_828C_3FFC63F38FE7_.wvu.FilterData" localSheetId="0" hidden="1">Outbound_Monitor!$A$2:$W$3</definedName>
    <definedName name="Z_7236B983_0F89_4684_BA16_E36FE615835B_.wvu.FilterData" localSheetId="1" hidden="1">Inbound_Monitor!$A$2:$Q$3</definedName>
    <definedName name="Z_72375240_2B18_4747_A0E3_18A05AE100BE_.wvu.FilterData" localSheetId="1" hidden="1">Inbound_Monitor!$A$2:$Q$3</definedName>
    <definedName name="Z_724CB92B_F670_4A3A_BBE8_E2507E3C6C68_.wvu.Cols" localSheetId="3" hidden="1">'SDDS_Office (nicht nutzen)'!#REF!</definedName>
    <definedName name="Z_724CB92B_F670_4A3A_BBE8_E2507E3C6C68_.wvu.Rows" localSheetId="3" hidden="1">'SDDS_Office (nicht nutzen)'!#REF!</definedName>
    <definedName name="Z_7250092A_BD56_4211_94BA_4D5E37B4F50D_.wvu.FilterData" localSheetId="1" hidden="1">Inbound_Monitor!$A$2:$Q$3</definedName>
    <definedName name="Z_725D0F50_355A_4C7F_83B7_AE4AE93AE6C7_.wvu.FilterData" localSheetId="0" hidden="1">Outbound_Monitor!$A$2:$W$3</definedName>
    <definedName name="Z_7260B40C_563D_4AD9_84AF_521BC8F447DF_.wvu.FilterData" localSheetId="1" hidden="1">Inbound_Monitor!$A$2:$Q$3</definedName>
    <definedName name="Z_72613E19_8DAA_4E4C_A982_97BEC6AAD0C0_.wvu.FilterData" localSheetId="0" hidden="1">Outbound_Monitor!$A$2:$W$3</definedName>
    <definedName name="Z_727F96C4_463D_412D_B9BF_1769696F2EDD_.wvu.FilterData" localSheetId="1" hidden="1">Inbound_Monitor!$A$2:$Q$3</definedName>
    <definedName name="Z_727F96C4_463D_412D_B9BF_1769696F2EDD_.wvu.FilterData" localSheetId="0" hidden="1">Outbound_Monitor!$A$2:$W$3</definedName>
    <definedName name="Z_7282F643_4246_4371_942C_A3B65D1E17AB_.wvu.FilterData" localSheetId="1" hidden="1">Inbound_Monitor!$A$2:$Q$2</definedName>
    <definedName name="Z_7282F643_4246_4371_942C_A3B65D1E17AB_.wvu.FilterData" localSheetId="0" hidden="1">Outbound_Monitor!$A$2:$W$2</definedName>
    <definedName name="Z_7295D8A1_3990_4D06_A965_6B40D456B611_.wvu.FilterData" localSheetId="1" hidden="1">Inbound_Monitor!$A$2:$Q$13</definedName>
    <definedName name="Z_7295D8A1_3990_4D06_A965_6B40D456B611_.wvu.FilterData" localSheetId="0" hidden="1">Outbound_Monitor!$A$2:$X$16</definedName>
    <definedName name="Z_729B9E3D_8FCE_4401_9A47_AD48EB2E9DCD_.wvu.FilterData" localSheetId="1" hidden="1">Inbound_Monitor!$A$2:$Q$3</definedName>
    <definedName name="Z_729D5F45_803D_42AD_B39E_6F2F86E22A21_.wvu.FilterData" localSheetId="1" hidden="1">Inbound_Monitor!$A$2:$Q$2</definedName>
    <definedName name="Z_729D5F45_803D_42AD_B39E_6F2F86E22A21_.wvu.FilterData" localSheetId="0" hidden="1">Outbound_Monitor!$A$2:$W$2</definedName>
    <definedName name="Z_72A036D4_B3B3_469B_9B17_3E051778DABF_.wvu.FilterData" localSheetId="0" hidden="1">Outbound_Monitor!$A$2:$W$3</definedName>
    <definedName name="Z_72AA8B77_1CA6_4136_9F5B_9B86C78B08A4_.wvu.FilterData" localSheetId="0" hidden="1">Outbound_Monitor!$A$2:$W$3</definedName>
    <definedName name="Z_72B0E4E0_3D85_4216_B5DE_757FCBC31B83_.wvu.FilterData" localSheetId="0" hidden="1">Outbound_Monitor!$A$2:$W$3</definedName>
    <definedName name="Z_72B9F5A4_748B_4484_AB3E_B0E91CAFA837_.wvu.FilterData" localSheetId="0" hidden="1">Outbound_Monitor!$A$2:$W$3</definedName>
    <definedName name="Z_72BB72BA_744E_42FC_8620_B6797CCF5616_.wvu.FilterData" localSheetId="1" hidden="1">Inbound_Monitor!$A$2:$Q$13</definedName>
    <definedName name="Z_72CD303F_3800_4723_B0C4_87051A296C50_.wvu.FilterData" localSheetId="0" hidden="1">Outbound_Monitor!$A$2:$W$3</definedName>
    <definedName name="Z_72D62FC8_4C02_49CA_8EA1_3938833748F9_.wvu.FilterData" localSheetId="1" hidden="1">Inbound_Monitor!$A$2:$Q$3</definedName>
    <definedName name="Z_72DB35D1_AAC9_4EB1_ADBD_396C8B8BFAF6_.wvu.FilterData" localSheetId="1" hidden="1">Inbound_Monitor!$A$2:$Q$2</definedName>
    <definedName name="Z_72DB35D1_AAC9_4EB1_ADBD_396C8B8BFAF6_.wvu.FilterData" localSheetId="0" hidden="1">Outbound_Monitor!$A$2:$W$2</definedName>
    <definedName name="Z_72DDA39B_AA6F_4676_981E_77E2F2FFE380_.wvu.FilterData" localSheetId="0" hidden="1">Outbound_Monitor!$A$2:$W$3</definedName>
    <definedName name="Z_72EAB1E4_7C62_4211_ABE7_B977CCCA6D57_.wvu.FilterData" localSheetId="1" hidden="1">Inbound_Monitor!$A$2:$Q$3</definedName>
    <definedName name="Z_72FB00AB_BB58_49BB_B739_1641BAD52EF8_.wvu.FilterData" localSheetId="0" hidden="1">Outbound_Monitor!$A$2:$W$3</definedName>
    <definedName name="Z_72FEFCB5_9A6A_4B52_9641_13BC6173E64D_.wvu.FilterData" localSheetId="1" hidden="1">Inbound_Monitor!$A$2:$Q$3</definedName>
    <definedName name="Z_7304D543_28DD_4EC9_B366_8B22DE04E3B5_.wvu.FilterData" localSheetId="0" hidden="1">Outbound_Monitor!$A$2:$W$3</definedName>
    <definedName name="Z_73069D90_FFCD_4711_B9A7_9CB710FB96FC_.wvu.FilterData" localSheetId="0" hidden="1">Outbound_Monitor!$A$2:$X$16</definedName>
    <definedName name="Z_730ADFC0_084E_45C1_BFE7_C6F6AB8E56A2_.wvu.FilterData" localSheetId="0" hidden="1">Outbound_Monitor!$A$2:$W$3</definedName>
    <definedName name="Z_731E7CCE_BB55_489D_BC49_852ABB4BF699_.wvu.FilterData" localSheetId="4" hidden="1">Schichtübergabe_Protokoll!$B$3:$N$3</definedName>
    <definedName name="Z_7321577E_93DE_4E12_8835_E0B5717BC8D7_.wvu.FilterData" localSheetId="0" hidden="1">Outbound_Monitor!$A$2:$W$3</definedName>
    <definedName name="Z_733A976A_12D5_472D_BBD1_9108F3E32901_.wvu.FilterData" localSheetId="0" hidden="1">Outbound_Monitor!$A$2:$X$16</definedName>
    <definedName name="Z_7348AA4D_EA7F_44E6_A927_416C658701BE_.wvu.FilterData" localSheetId="1" hidden="1">Inbound_Monitor!$A$2:$Q$3</definedName>
    <definedName name="Z_7348AA4D_EA7F_44E6_A927_416C658701BE_.wvu.FilterData" localSheetId="0" hidden="1">Outbound_Monitor!$A$2:$W$3</definedName>
    <definedName name="Z_734BBC01_4F6D_478D_AA12_0D1BF13DEBBA_.wvu.FilterData" localSheetId="1" hidden="1">Inbound_Monitor!$A$2:$Q$13</definedName>
    <definedName name="Z_73528BCF_9378_4F3D_B091_82A20900424F_.wvu.FilterData" localSheetId="0" hidden="1">Outbound_Monitor!$A$2:$W$3</definedName>
    <definedName name="Z_73557D59_0782_4467_8DBF_4AD1B536DC9A_.wvu.FilterData" localSheetId="0" hidden="1">Outbound_Monitor!$A$2:$W$3</definedName>
    <definedName name="Z_7357C78F_F0EA_4372_8ED2_7EC9976CD828_.wvu.FilterData" localSheetId="1" hidden="1">Inbound_Monitor!$A$2:$Q$13</definedName>
    <definedName name="Z_7357C78F_F0EA_4372_8ED2_7EC9976CD828_.wvu.FilterData" localSheetId="0" hidden="1">Outbound_Monitor!$A$2:$X$16</definedName>
    <definedName name="Z_735B781D_19B6_4B20_AEE8_85275B6E7499_.wvu.FilterData" localSheetId="1" hidden="1">Inbound_Monitor!$A$2:$Q$2</definedName>
    <definedName name="Z_735B781D_19B6_4B20_AEE8_85275B6E7499_.wvu.FilterData" localSheetId="0" hidden="1">Outbound_Monitor!$A$2:$W$2</definedName>
    <definedName name="Z_735EF5A7_988E_40CC_BC0F_72E702CA7519_.wvu.FilterData" localSheetId="0" hidden="1">Outbound_Monitor!$A$2:$W$3</definedName>
    <definedName name="Z_7367906A_566C_4F83_9D14_BA30FF8F8CDC_.wvu.FilterData" localSheetId="1" hidden="1">Inbound_Monitor!$A$2:$Q$2</definedName>
    <definedName name="Z_7367906A_566C_4F83_9D14_BA30FF8F8CDC_.wvu.FilterData" localSheetId="0" hidden="1">Outbound_Monitor!$A$2:$W$2</definedName>
    <definedName name="Z_7373D1A6_FDF6_4D16_81AD_C1D4A1D3A6CB_.wvu.FilterData" localSheetId="1" hidden="1">Inbound_Monitor!$A$2:$Q$3</definedName>
    <definedName name="Z_73856205_F6B5_4A5C_B9B0_597CBEC726A6_.wvu.FilterData" localSheetId="0" hidden="1">Outbound_Monitor!$A$2:$W$3</definedName>
    <definedName name="Z_738A7558_3AD0_4D80_A29B_860C8F3FE8C7_.wvu.FilterData" localSheetId="1" hidden="1">Inbound_Monitor!$A$2:$Q$3</definedName>
    <definedName name="Z_738CF8B4_758C_4640_815F_36AC4C9D5D41_.wvu.FilterData" localSheetId="1" hidden="1">Inbound_Monitor!$A$2:$Q$13</definedName>
    <definedName name="Z_738F01A3_3D01_43C5_B7B2_205328C39F82_.wvu.FilterData" localSheetId="1" hidden="1">Inbound_Monitor!$A$2:$Q$3</definedName>
    <definedName name="Z_73937C74_0A9C_465D_9DAF_996863CEC276_.wvu.FilterData" localSheetId="1" hidden="1">Inbound_Monitor!$A$2:$Q$13</definedName>
    <definedName name="Z_73937C74_0A9C_465D_9DAF_996863CEC276_.wvu.FilterData" localSheetId="0" hidden="1">Outbound_Monitor!$A$2:$X$16</definedName>
    <definedName name="Z_739A4395_3588_492E_98CC_3D6EE48B545C_.wvu.FilterData" localSheetId="0" hidden="1">Outbound_Monitor!$A$2:$W$3</definedName>
    <definedName name="Z_739AD4BA_C00B_4EC2_B1E7_ADFB0A874555_.wvu.FilterData" localSheetId="1" hidden="1">Inbound_Monitor!$A$2:$Q$2</definedName>
    <definedName name="Z_739AD4BA_C00B_4EC2_B1E7_ADFB0A874555_.wvu.FilterData" localSheetId="0" hidden="1">Outbound_Monitor!$A$2:$W$2</definedName>
    <definedName name="Z_73A86B9D_1AB5_4CF3_AD9B_E2977F8DEAE4_.wvu.FilterData" localSheetId="0" hidden="1">Outbound_Monitor!$A$2:$W$3</definedName>
    <definedName name="Z_73B393D2_A9F4_4238_A864_83975CDD3FB1_.wvu.FilterData" localSheetId="0" hidden="1">Outbound_Monitor!$A$2:$W$3</definedName>
    <definedName name="Z_73C4BBC9_D48F_4A06_BF95_1E3484E70988_.wvu.FilterData" localSheetId="1" hidden="1">Inbound_Monitor!$A$2:$Q$13</definedName>
    <definedName name="Z_73C64244_E220_4805_9A26_BDD8EA4C17DF_.wvu.FilterData" localSheetId="0" hidden="1">Outbound_Monitor!$A$2:$W$3</definedName>
    <definedName name="Z_73D1FDB1_33B8_449D_B32B_88CD4E85EB9F_.wvu.FilterData" localSheetId="0" hidden="1">Outbound_Monitor!$A$2:$W$3</definedName>
    <definedName name="Z_73D682D9_C46B_40C7_99C7_485D965EA992_.wvu.FilterData" localSheetId="1" hidden="1">Inbound_Monitor!$A$2:$Q$13</definedName>
    <definedName name="Z_73D682D9_C46B_40C7_99C7_485D965EA992_.wvu.FilterData" localSheetId="0" hidden="1">Outbound_Monitor!$A$2:$W$3</definedName>
    <definedName name="Z_73D722DD_1B29_42AB_9340_CB43FC0EA9E5_.wvu.FilterData" localSheetId="0" hidden="1">Outbound_Monitor!$A$2:$X$16</definedName>
    <definedName name="Z_73D95DAA_44CB_4FDD_84E1_6A665D38FFB2_.wvu.FilterData" localSheetId="0" hidden="1">Outbound_Monitor!$A$2:$W$3</definedName>
    <definedName name="Z_73DC7494_E3AE_4D51_B224_858E0DDAED52_.wvu.FilterData" localSheetId="1" hidden="1">Inbound_Monitor!$A$2:$Q$3</definedName>
    <definedName name="Z_73E9DC36_76D4_4128_9884_D85C067B6B14_.wvu.FilterData" localSheetId="1" hidden="1">Inbound_Monitor!$A$2:$Q$13</definedName>
    <definedName name="Z_73F78506_2CBD_4DD9_B7CC_0A1F7A27B960_.wvu.FilterData" localSheetId="0" hidden="1">Outbound_Monitor!$A$2:$W$3</definedName>
    <definedName name="Z_740DA36A_6F56_4B31_9E55_29979409285B_.wvu.FilterData" localSheetId="1" hidden="1">Inbound_Monitor!$A$2:$Q$13</definedName>
    <definedName name="Z_740F07ED_CDDD_42D6_AF68_002F8E574479_.wvu.FilterData" localSheetId="1" hidden="1">Inbound_Monitor!$A$2:$Q$13</definedName>
    <definedName name="Z_740F07ED_CDDD_42D6_AF68_002F8E574479_.wvu.FilterData" localSheetId="0" hidden="1">Outbound_Monitor!$A$2:$W$3</definedName>
    <definedName name="Z_740FDD64_798F_4DCE_969F_2D079380D406_.wvu.FilterData" localSheetId="1" hidden="1">Inbound_Monitor!$A$2:$Q$2</definedName>
    <definedName name="Z_740FDD64_798F_4DCE_969F_2D079380D406_.wvu.FilterData" localSheetId="0" hidden="1">Outbound_Monitor!$A$2:$W$2</definedName>
    <definedName name="Z_741A67C2_5422_4BBF_B9B8_959FB460D8DC_.wvu.FilterData" localSheetId="1" hidden="1">Inbound_Monitor!$A$2:$Q$3</definedName>
    <definedName name="Z_741BC6B4_30CF_41AB_B2FB_C8720D7A182A_.wvu.FilterData" localSheetId="1" hidden="1">Inbound_Monitor!$A$2:$Q$3</definedName>
    <definedName name="Z_741BC6B4_30CF_41AB_B2FB_C8720D7A182A_.wvu.FilterData" localSheetId="0" hidden="1">Outbound_Monitor!$A$2:$W$3</definedName>
    <definedName name="Z_74227FFE_AB54_49FD_BEF8_D91DE8164343_.wvu.FilterData" localSheetId="0" hidden="1">Outbound_Monitor!$A$2:$W$3</definedName>
    <definedName name="Z_74398EEA_B3F6_498E_9910_8BF6BC71E829_.wvu.FilterData" localSheetId="1" hidden="1">Inbound_Monitor!$A$2:$Q$3</definedName>
    <definedName name="Z_74398EEA_B3F6_498E_9910_8BF6BC71E829_.wvu.FilterData" localSheetId="0" hidden="1">Outbound_Monitor!$A$2:$W$3</definedName>
    <definedName name="Z_743D4CF1_DB07_4A0C_8F0B_AE0AA407F0EF_.wvu.FilterData" localSheetId="0" hidden="1">Outbound_Monitor!$A$2:$W$3</definedName>
    <definedName name="Z_743DBBFD_6FF0_44A5_B6F9_249F51B3CBAF_.wvu.FilterData" localSheetId="1" hidden="1">Inbound_Monitor!$A$2:$Q$2</definedName>
    <definedName name="Z_743DBBFD_6FF0_44A5_B6F9_249F51B3CBAF_.wvu.FilterData" localSheetId="0" hidden="1">Outbound_Monitor!$A$2:$W$2</definedName>
    <definedName name="Z_745DAE6F_7F4D_4127_BF52_F153C8ADC312_.wvu.FilterData" localSheetId="0" hidden="1">Outbound_Monitor!$A$2:$W$3</definedName>
    <definedName name="Z_7465E82A_83A0_4832_B4F9_9D27A7F31F68_.wvu.FilterData" localSheetId="1" hidden="1">Inbound_Monitor!$A$2:$Q$13</definedName>
    <definedName name="Z_746866BC_2347_42C8_8427_0C7F0B1FFA3F_.wvu.FilterData" localSheetId="1" hidden="1">Inbound_Monitor!$A$2:$Q$13</definedName>
    <definedName name="Z_746D32BD_91F9_4178_88ED_961E45FC089D_.wvu.FilterData" localSheetId="1" hidden="1">Inbound_Monitor!$A$2:$Q$3</definedName>
    <definedName name="Z_746DFEDF_A7DB_4A43_8B61_AA537B2E8E62_.wvu.FilterData" localSheetId="1" hidden="1">Inbound_Monitor!$A$2:$Q$3</definedName>
    <definedName name="Z_746E69FA_2B7A_4CA9_93CA_9D652238072D_.wvu.FilterData" localSheetId="1" hidden="1">Inbound_Monitor!$A$2:$Q$3</definedName>
    <definedName name="Z_74721268_6C7D_4495_BE2E_A7AE0C39C542_.wvu.FilterData" localSheetId="1" hidden="1">Inbound_Monitor!$A$2:$Q$3</definedName>
    <definedName name="Z_74721268_6C7D_4495_BE2E_A7AE0C39C542_.wvu.FilterData" localSheetId="0" hidden="1">Outbound_Monitor!$A$2:$W$3</definedName>
    <definedName name="Z_747CEE7C_E1AE_492B_ACDE_A186F4EA113B_.wvu.FilterData" localSheetId="0" hidden="1">Outbound_Monitor!$A$2:$W$3</definedName>
    <definedName name="Z_7487A74A_A919_4950_A93A_D10420C9E12D_.wvu.FilterData" localSheetId="1" hidden="1">Inbound_Monitor!$A$2:$Q$13</definedName>
    <definedName name="Z_748DC3B5_1DF5_45F2_853D_46C603A895A2_.wvu.FilterData" localSheetId="0" hidden="1">Outbound_Monitor!$A$2:$W$3</definedName>
    <definedName name="Z_749E554B_8A51_4F92_84AA_10DB784A320C_.wvu.FilterData" localSheetId="0" hidden="1">Outbound_Monitor!$A$2:$W$3</definedName>
    <definedName name="Z_74A11440_63AC_47D9_8016_9C404B6CC457_.wvu.FilterData" localSheetId="0" hidden="1">Outbound_Monitor!$A$2:$W$3</definedName>
    <definedName name="Z_74A3C59E_817E_4449_B72A_BEBD3ED5A5B3_.wvu.FilterData" localSheetId="1" hidden="1">Inbound_Monitor!$A$2:$Q$3</definedName>
    <definedName name="Z_74A3C59E_817E_4449_B72A_BEBD3ED5A5B3_.wvu.FilterData" localSheetId="0" hidden="1">Outbound_Monitor!$A$2:$W$3</definedName>
    <definedName name="Z_74A3C59E_817E_4449_B72A_BEBD3ED5A5B3_.wvu.FilterData" localSheetId="4" hidden="1">Schichtübergabe_Protokoll!$B$3:$N$3</definedName>
    <definedName name="Z_74A687BF_6C72_465F_B6EE_0B13E6B48095_.wvu.FilterData" localSheetId="1" hidden="1">Inbound_Monitor!$A$2:$Q$13</definedName>
    <definedName name="Z_74A7D053_AA9C_4DF5_9D62_3A48AF42E168_.wvu.FilterData" localSheetId="0" hidden="1">Outbound_Monitor!$A$2:$W$3</definedName>
    <definedName name="Z_74AC53DD_C5F3_40DA_813C_F7E0C3C9595D_.wvu.FilterData" localSheetId="1" hidden="1">Inbound_Monitor!$A$2:$Q$3</definedName>
    <definedName name="Z_74AC53DD_C5F3_40DA_813C_F7E0C3C9595D_.wvu.FilterData" localSheetId="0" hidden="1">Outbound_Monitor!$A$2:$W$3</definedName>
    <definedName name="Z_74AD6801_D44C_4C82_AB49_6311D82F6C9D_.wvu.FilterData" localSheetId="1" hidden="1">Inbound_Monitor!$A$2:$Q$3</definedName>
    <definedName name="Z_74AD7257_53AC_4F10_8013_3DC4E4631846_.wvu.FilterData" localSheetId="0" hidden="1">Outbound_Monitor!$A$2:$W$3</definedName>
    <definedName name="Z_74B1C90F_0568_48E2_94E1_7E408ADC8AFF_.wvu.FilterData" localSheetId="0" hidden="1">Outbound_Monitor!$A$2:$W$3</definedName>
    <definedName name="Z_74B3F96C_693E_4A7B_A6D2_1DE64C2F6BC6_.wvu.FilterData" localSheetId="0" hidden="1">Outbound_Monitor!$A$2:$W$3</definedName>
    <definedName name="Z_74BE39AF_674B_48EF_8C39_DA66C1665535_.wvu.FilterData" localSheetId="1" hidden="1">Inbound_Monitor!$A$2:$Q$3</definedName>
    <definedName name="Z_74BE39AF_674B_48EF_8C39_DA66C1665535_.wvu.FilterData" localSheetId="0" hidden="1">Outbound_Monitor!$A$2:$W$3</definedName>
    <definedName name="Z_74D53D44_F574_4514_A4A9_AE0AAA53CBF5_.wvu.FilterData" localSheetId="1" hidden="1">Inbound_Monitor!$A$2:$Q$3</definedName>
    <definedName name="Z_74D53D44_F574_4514_A4A9_AE0AAA53CBF5_.wvu.FilterData" localSheetId="0" hidden="1">Outbound_Monitor!$A$2:$W$3</definedName>
    <definedName name="Z_74DB2F56_86C9_40F0_882C_5B84FCCF504E_.wvu.FilterData" localSheetId="0" hidden="1">Outbound_Monitor!$A$2:$W$3</definedName>
    <definedName name="Z_74DE49AE_4E7A_4ACF_B5DE_AA75E72EFAAF_.wvu.FilterData" localSheetId="1" hidden="1">Inbound_Monitor!$A$2:$Q$13</definedName>
    <definedName name="Z_74F7E680_5D75_4955_9CA4_AF89316C8BCB_.wvu.FilterData" localSheetId="1" hidden="1">Inbound_Monitor!$A$2:$Q$3</definedName>
    <definedName name="Z_74F7F282_BA5F_4956_A943_84BB67C53903_.wvu.FilterData" localSheetId="1" hidden="1">Inbound_Monitor!$A$2:$Q$3</definedName>
    <definedName name="Z_74F862BA_199D_46F1_9E2F_2DD1B111A045_.wvu.FilterData" localSheetId="0" hidden="1">Outbound_Monitor!$A$2:$W$3</definedName>
    <definedName name="Z_75000568_F267_4928_B979_6834ADEB46A6_.wvu.FilterData" localSheetId="0" hidden="1">Outbound_Monitor!$A$2:$W$3</definedName>
    <definedName name="Z_75004600_CDE5_41AA_9153_2FDB78B2951B_.wvu.FilterData" localSheetId="1" hidden="1">Inbound_Monitor!$A$2:$Q$13</definedName>
    <definedName name="Z_7509408A_DFA1_4A3A_86C9_74AF61423478_.wvu.FilterData" localSheetId="1" hidden="1">Inbound_Monitor!$A$2:$Q$2</definedName>
    <definedName name="Z_7509408A_DFA1_4A3A_86C9_74AF61423478_.wvu.FilterData" localSheetId="0" hidden="1">Outbound_Monitor!$A$2:$W$2</definedName>
    <definedName name="Z_750B43A2_921C_45A6_8780_AC0070C1A99A_.wvu.FilterData" localSheetId="1" hidden="1">Inbound_Monitor!$A$2:$Q$3</definedName>
    <definedName name="Z_750BEDCD_2423_4DAD_B549_FB03343F1D5E_.wvu.FilterData" localSheetId="1" hidden="1">Inbound_Monitor!$A$2:$Q$13</definedName>
    <definedName name="Z_750FB73E_24CC_440B_B8C2_A583A86C93BD_.wvu.FilterData" localSheetId="0" hidden="1">Outbound_Monitor!$A$2:$W$3</definedName>
    <definedName name="Z_75123AED_77CF_4B0F_83D9_AA116B7F6A15_.wvu.FilterData" localSheetId="0" hidden="1">Outbound_Monitor!$A$2:$X$16</definedName>
    <definedName name="Z_7514EBB4_B3D3_4D53_B39C_E0A7BA23A1CD_.wvu.FilterData" localSheetId="1" hidden="1">Inbound_Monitor!$A$2:$Q$13</definedName>
    <definedName name="Z_7514EBB4_B3D3_4D53_B39C_E0A7BA23A1CD_.wvu.FilterData" localSheetId="0" hidden="1">Outbound_Monitor!$A$2:$X$16</definedName>
    <definedName name="Z_75150FE4_6DA8_4972_8FD2_4FBCBCC07341_.wvu.FilterData" localSheetId="1" hidden="1">Inbound_Monitor!$A$2:$Q$13</definedName>
    <definedName name="Z_75150FE4_6DA8_4972_8FD2_4FBCBCC07341_.wvu.FilterData" localSheetId="0" hidden="1">Outbound_Monitor!$A$2:$X$16</definedName>
    <definedName name="Z_7527D846_80AE_43F5_86F7_439DC7F1B5BE_.wvu.FilterData" localSheetId="1" hidden="1">Inbound_Monitor!$A$2:$Q$3</definedName>
    <definedName name="Z_7527D846_80AE_43F5_86F7_439DC7F1B5BE_.wvu.FilterData" localSheetId="0" hidden="1">Outbound_Monitor!$A$2:$W$3</definedName>
    <definedName name="Z_754524A4_742D_4D68_8A57_CB3E8E779695_.wvu.FilterData" localSheetId="1" hidden="1">Inbound_Monitor!$A$2:$Q$3</definedName>
    <definedName name="Z_754524A4_742D_4D68_8A57_CB3E8E779695_.wvu.FilterData" localSheetId="0" hidden="1">Outbound_Monitor!$A$2:$W$3</definedName>
    <definedName name="Z_754524A4_742D_4D68_8A57_CB3E8E779695_.wvu.FilterData" localSheetId="4" hidden="1">Schichtübergabe_Protokoll!$B$3:$N$3</definedName>
    <definedName name="Z_754D0E8E_033F_4C4B_8B82_65E8EE6B11A1_.wvu.FilterData" localSheetId="1" hidden="1">Inbound_Monitor!$A$2:$Q$3</definedName>
    <definedName name="Z_754E7B8B_0FBC_42C8_80BB_CE25205BFA1C_.wvu.FilterData" localSheetId="0" hidden="1">Outbound_Monitor!$A$2:$X$16</definedName>
    <definedName name="Z_7559EE3C_C5AF_4470_9EF9_06A7A2A41024_.wvu.FilterData" localSheetId="0" hidden="1">Outbound_Monitor!$A$2:$W$3</definedName>
    <definedName name="Z_756498D7_CA21_42F0_A226_70AC907B87A8_.wvu.FilterData" localSheetId="1" hidden="1">Inbound_Monitor!$A$2:$Q$3</definedName>
    <definedName name="Z_75700FB0_DE1C_4D32_AFDC_AD8C3A2FD86F_.wvu.FilterData" localSheetId="1" hidden="1">Inbound_Monitor!$A$2:$Q$3</definedName>
    <definedName name="Z_757755C0_184E_47F5_828F_3F12C7F407F0_.wvu.FilterData" localSheetId="0" hidden="1">Outbound_Monitor!$A$2:$W$3</definedName>
    <definedName name="Z_758228CC_982A_439D_B7AA_A11E48CD91A1_.wvu.FilterData" localSheetId="0" hidden="1">Outbound_Monitor!$A$2:$W$3</definedName>
    <definedName name="Z_7584C1A7_F0E3_4AC6_A36B_3E1935FBD67C_.wvu.FilterData" localSheetId="0" hidden="1">Outbound_Monitor!$A$2:$W$3</definedName>
    <definedName name="Z_7594D533_34E0_415B_ADE9_B8E5E3750954_.wvu.FilterData" localSheetId="1" hidden="1">Inbound_Monitor!$A$2:$Q$3</definedName>
    <definedName name="Z_759C5891_CA3A_451F_B80B_810915B2B684_.wvu.FilterData" localSheetId="1" hidden="1">Inbound_Monitor!$A$2:$Q$13</definedName>
    <definedName name="Z_759C5891_CA3A_451F_B80B_810915B2B684_.wvu.FilterData" localSheetId="0" hidden="1">Outbound_Monitor!$A$2:$W$3</definedName>
    <definedName name="Z_759D1909_792F_4202_AC23_FAADCF72E948_.wvu.FilterData" localSheetId="1" hidden="1">Inbound_Monitor!$A$2:$Q$13</definedName>
    <definedName name="Z_759D1909_792F_4202_AC23_FAADCF72E948_.wvu.FilterData" localSheetId="0" hidden="1">Outbound_Monitor!$A$2:$W$3</definedName>
    <definedName name="Z_75A15AF7_9018_496D_9881_9BA4300B8CF2_.wvu.FilterData" localSheetId="4" hidden="1">Schichtübergabe_Protokoll!$B$3:$N$3</definedName>
    <definedName name="Z_75A2C0FC_6426_4D7A_8591_203F1F0AC030_.wvu.FilterData" localSheetId="1" hidden="1">Inbound_Monitor!$A$2:$Q$2</definedName>
    <definedName name="Z_75A2C0FC_6426_4D7A_8591_203F1F0AC030_.wvu.FilterData" localSheetId="0" hidden="1">Outbound_Monitor!$A$2:$W$2</definedName>
    <definedName name="Z_75A42519_0A15_4183_A6BA_0633BCE55D51_.wvu.FilterData" localSheetId="1" hidden="1">Inbound_Monitor!$A$2:$Q$3</definedName>
    <definedName name="Z_75A42519_0A15_4183_A6BA_0633BCE55D51_.wvu.FilterData" localSheetId="0" hidden="1">Outbound_Monitor!$A$2:$W$3</definedName>
    <definedName name="Z_75B60A7C_8FAB_4066_8D38_A230D900A441_.wvu.FilterData" localSheetId="1" hidden="1">Inbound_Monitor!$A$2:$Q$13</definedName>
    <definedName name="Z_75B9E111_10E1_4F2D_8D9C_265E1526C512_.wvu.FilterData" localSheetId="0" hidden="1">Outbound_Monitor!$A$2:$W$3</definedName>
    <definedName name="Z_75DDF829_9098_4425_AC93_EDBD09BE28B8_.wvu.FilterData" localSheetId="1" hidden="1">Inbound_Monitor!$A$2:$Q$3</definedName>
    <definedName name="Z_75DDF829_9098_4425_AC93_EDBD09BE28B8_.wvu.FilterData" localSheetId="0" hidden="1">Outbound_Monitor!$A$2:$W$3</definedName>
    <definedName name="Z_75DE9AEF_BEFF_4F94_8622_A5BFEDBE36A4_.wvu.FilterData" localSheetId="0" hidden="1">Outbound_Monitor!$A$2:$W$3</definedName>
    <definedName name="Z_75E5BA0E_7A40_4513_869C_7D876E3ADCD7_.wvu.FilterData" localSheetId="0" hidden="1">Outbound_Monitor!$A$2:$W$3</definedName>
    <definedName name="Z_75F0BD14_644F_4636_B1EC_33F5A4DF5B96_.wvu.FilterData" localSheetId="0" hidden="1">Outbound_Monitor!$A$2:$W$3</definedName>
    <definedName name="Z_75F5624C_1C0D_46E3_80B1_5B02D31A8B8D_.wvu.FilterData" localSheetId="1" hidden="1">Inbound_Monitor!$A$2:$Q$13</definedName>
    <definedName name="Z_75F7C39F_7A2C_4952_AB5B_470CE5CEF872_.wvu.FilterData" localSheetId="1" hidden="1">Inbound_Monitor!$A$2:$Q$3</definedName>
    <definedName name="Z_7611F6FE_E3D2_4694_A25A_24158D0E8CE0_.wvu.FilterData" localSheetId="1" hidden="1">Inbound_Monitor!$A$2:$Q$3</definedName>
    <definedName name="Z_7639BF4B_B7D8_417E_B0AA_0C9250DCB4ED_.wvu.FilterData" localSheetId="1" hidden="1">Inbound_Monitor!$A$2:$Q$3</definedName>
    <definedName name="Z_76469CB5_EC87_42EE_8426_EB33337C3AF0_.wvu.FilterData" localSheetId="1" hidden="1">Inbound_Monitor!$A$2:$Q$3</definedName>
    <definedName name="Z_76505B42_93AD_44AE_AAE9_B358172D2782_.wvu.FilterData" localSheetId="0" hidden="1">Outbound_Monitor!$A$2:$W$3</definedName>
    <definedName name="Z_765797F6_6AD9_479B_A417_781117F17911_.wvu.FilterData" localSheetId="0" hidden="1">Outbound_Monitor!$A$2:$X$16</definedName>
    <definedName name="Z_767A1234_403C_4453_99D9_DCBBEAE1A5CC_.wvu.FilterData" localSheetId="0" hidden="1">Outbound_Monitor!$A$2:$W$3</definedName>
    <definedName name="Z_768599C9_B0C4_4CC2_AB0E_0DEF621C45A0_.wvu.FilterData" localSheetId="0" hidden="1">Outbound_Monitor!$A$2:$W$3</definedName>
    <definedName name="Z_7686D909_F7A3_4063_B0A7_F9BE9AC535C9_.wvu.FilterData" localSheetId="1" hidden="1">Inbound_Monitor!$A$2:$Q$13</definedName>
    <definedName name="Z_7686D909_F7A3_4063_B0A7_F9BE9AC535C9_.wvu.FilterData" localSheetId="0" hidden="1">Outbound_Monitor!$A$2:$X$16</definedName>
    <definedName name="Z_76889530_FA0B_47A5_95AF_4F34D2ED2C8C_.wvu.FilterData" localSheetId="0" hidden="1">Outbound_Monitor!$A$2:$W$3</definedName>
    <definedName name="Z_76977EEE_D433_49F6_AE45_49F0BB21812C_.wvu.FilterData" localSheetId="0" hidden="1">Outbound_Monitor!$A$2:$W$3</definedName>
    <definedName name="Z_76A7D4B2_9595_4E7C_92BC_8322472CA91F_.wvu.FilterData" localSheetId="0" hidden="1">Outbound_Monitor!$A$2:$W$3</definedName>
    <definedName name="Z_76B52E9D_6637_4D13_B059_430335AD13DF_.wvu.FilterData" localSheetId="0" hidden="1">Outbound_Monitor!$A$2:$W$3</definedName>
    <definedName name="Z_76C471B0_3D20_46CE_A5DE_0FD04C617BAF_.wvu.FilterData" localSheetId="1" hidden="1">Inbound_Monitor!$A$2:$Q$2</definedName>
    <definedName name="Z_76C471B0_3D20_46CE_A5DE_0FD04C617BAF_.wvu.FilterData" localSheetId="0" hidden="1">Outbound_Monitor!$A$2:$W$2</definedName>
    <definedName name="Z_76D1727B_4E88_49A6_B23B_D9860FE9C880_.wvu.FilterData" localSheetId="1" hidden="1">Inbound_Monitor!$A$2:$Q$13</definedName>
    <definedName name="Z_76DC8747_1B3A_4DAE_8E25_353E984C935C_.wvu.FilterData" localSheetId="0" hidden="1">Outbound_Monitor!$A$2:$W$3</definedName>
    <definedName name="Z_76E4783F_AC8A_4B83_84ED_0DAFC58E017A_.wvu.FilterData" localSheetId="1" hidden="1">Inbound_Monitor!$A$2:$Q$13</definedName>
    <definedName name="Z_76E4783F_AC8A_4B83_84ED_0DAFC58E017A_.wvu.FilterData" localSheetId="0" hidden="1">Outbound_Monitor!$A$2:$W$3</definedName>
    <definedName name="Z_76EF0661_6433_443A_A98F_14ECF02EA025_.wvu.Cols" localSheetId="3" hidden="1">'SDDS_Office (nicht nutzen)'!#REF!</definedName>
    <definedName name="Z_76EF0661_6433_443A_A98F_14ECF02EA025_.wvu.Rows" localSheetId="3" hidden="1">'SDDS_Office (nicht nutzen)'!#REF!</definedName>
    <definedName name="Z_770332BC_54CF_4F90_8647_AEDBD5DFFFEE_.wvu.FilterData" localSheetId="0" hidden="1">Outbound_Monitor!$A$2:$W$3</definedName>
    <definedName name="Z_77080A91_D0FA_45FE_8221_87827C90C1A6_.wvu.FilterData" localSheetId="0" hidden="1">Outbound_Monitor!$A$2:$W$3</definedName>
    <definedName name="Z_77112020_D979_4EFE_A863_0A943DB7D9DD_.wvu.FilterData" localSheetId="1" hidden="1">Inbound_Monitor!$A$2:$Q$3</definedName>
    <definedName name="Z_7711AC20_A544_4C4E_95B2_D732D490BD9A_.wvu.FilterData" localSheetId="1" hidden="1">Inbound_Monitor!$A$2:$Q$13</definedName>
    <definedName name="Z_7711E814_F685_4F1A_916C_75F3CEF80AE9_.wvu.FilterData" localSheetId="1" hidden="1">Inbound_Monitor!$A$2:$Q$2</definedName>
    <definedName name="Z_7711E814_F685_4F1A_916C_75F3CEF80AE9_.wvu.FilterData" localSheetId="0" hidden="1">Outbound_Monitor!$A$2:$W$2</definedName>
    <definedName name="Z_771BE467_D80B_43EA_9220_4534B7E2BE90_.wvu.FilterData" localSheetId="0" hidden="1">Outbound_Monitor!$A$2:$X$16</definedName>
    <definedName name="Z_7723CA14_8E43_4B70_B64C_896130E54583_.wvu.FilterData" localSheetId="0" hidden="1">Outbound_Monitor!$A$2:$X$16</definedName>
    <definedName name="Z_77273193_3138_42B3_A57F_72828359CC19_.wvu.FilterData" localSheetId="0" hidden="1">Outbound_Monitor!$A$2:$W$3</definedName>
    <definedName name="Z_7729EE07_B8D6_4093_A7CA_2BFED52D3F38_.wvu.FilterData" localSheetId="1" hidden="1">Inbound_Monitor!$A$2:$Q$3</definedName>
    <definedName name="Z_7729EE07_B8D6_4093_A7CA_2BFED52D3F38_.wvu.FilterData" localSheetId="0" hidden="1">Outbound_Monitor!$A$2:$W$3</definedName>
    <definedName name="Z_774422B1_F973_4930_BDC5_A2E605186D7C_.wvu.FilterData" localSheetId="1" hidden="1">Inbound_Monitor!$A$2:$Q$13</definedName>
    <definedName name="Z_774422B1_F973_4930_BDC5_A2E605186D7C_.wvu.FilterData" localSheetId="0" hidden="1">Outbound_Monitor!$A$2:$X$16</definedName>
    <definedName name="Z_774521A4_4D5D_40BF_96A3_18E951E17D00_.wvu.FilterData" localSheetId="0" hidden="1">Outbound_Monitor!$A$2:$X$16</definedName>
    <definedName name="Z_774AB7B4_91C2_4A91_AE7F_F647AA7C85EE_.wvu.FilterData" localSheetId="1" hidden="1">Inbound_Monitor!$A$2:$Q$13</definedName>
    <definedName name="Z_775CC26A_FD3B_4150_A5D8_6D7D99BD5B6F_.wvu.FilterData" localSheetId="0" hidden="1">Outbound_Monitor!$A$2:$X$16</definedName>
    <definedName name="Z_776AAE7F_DEF8_4B41_A8AD_C9DEBB83003D_.wvu.FilterData" localSheetId="0" hidden="1">Outbound_Monitor!$A$2:$W$3</definedName>
    <definedName name="Z_7797DAB3_B0E1_4C73_A964_B682D19B2A89_.wvu.FilterData" localSheetId="1" hidden="1">Inbound_Monitor!$A$2:$Q$2</definedName>
    <definedName name="Z_7797DAB3_B0E1_4C73_A964_B682D19B2A89_.wvu.FilterData" localSheetId="0" hidden="1">Outbound_Monitor!$A$2:$W$2</definedName>
    <definedName name="Z_779834C3_4C3D_447A_A1C7_C821F46DCD1C_.wvu.FilterData" localSheetId="1" hidden="1">Inbound_Monitor!$A$2:$Q$3</definedName>
    <definedName name="Z_779B4AC5_14D4_4282_A1D3_9ABA9EA4DEF2_.wvu.FilterData" localSheetId="0" hidden="1">Outbound_Monitor!$A$2:$W$3</definedName>
    <definedName name="Z_77A6606E_F075_4EF4_A2C2_98A94F9C9DD7_.wvu.FilterData" localSheetId="1" hidden="1">Inbound_Monitor!$A$2:$Q$13</definedName>
    <definedName name="Z_77A6606E_F075_4EF4_A2C2_98A94F9C9DD7_.wvu.FilterData" localSheetId="0" hidden="1">Outbound_Monitor!$A$2:$W$3</definedName>
    <definedName name="Z_77C94CDA_3FD5_4418_A2E6_4F134425373A_.wvu.FilterData" localSheetId="1" hidden="1">Inbound_Monitor!$A$2:$Q$3</definedName>
    <definedName name="Z_77C9B236_9BEC_4B92_8825_FF0A0D64E46B_.wvu.FilterData" localSheetId="1" hidden="1">Inbound_Monitor!$A$2:$Q$3</definedName>
    <definedName name="Z_77CAA692_535D_4C11_8477_183FFF7434F8_.wvu.FilterData" localSheetId="4" hidden="1">Schichtübergabe_Protokoll!$B$3:$N$3</definedName>
    <definedName name="Z_77DC93E5_E34F_4D77_97D3_25916902DE19_.wvu.FilterData" localSheetId="1" hidden="1">Inbound_Monitor!$A$2:$Q$13</definedName>
    <definedName name="Z_77DC93E5_E34F_4D77_97D3_25916902DE19_.wvu.FilterData" localSheetId="0" hidden="1">Outbound_Monitor!$A$2:$W$3</definedName>
    <definedName name="Z_77F37907_3E5A_461F_A7D7_5E6593F89D26_.wvu.FilterData" localSheetId="1" hidden="1">Inbound_Monitor!$A$2:$Q$3</definedName>
    <definedName name="Z_7801A90F_58E8_44EA_A2AC_BDA0DB400EB3_.wvu.FilterData" localSheetId="1" hidden="1">Inbound_Monitor!$A$2:$Q$3</definedName>
    <definedName name="Z_78109207_1B47_4B49_9E73_99198DE6BBAF_.wvu.FilterData" localSheetId="1" hidden="1">Inbound_Monitor!$A$2:$Q$2</definedName>
    <definedName name="Z_78109207_1B47_4B49_9E73_99198DE6BBAF_.wvu.FilterData" localSheetId="0" hidden="1">Outbound_Monitor!$A$2:$W$2</definedName>
    <definedName name="Z_782300A1_E473_451C_9970_2BBE9B7B3A8D_.wvu.FilterData" localSheetId="1" hidden="1">Inbound_Monitor!$A$2:$Q$13</definedName>
    <definedName name="Z_782300A1_E473_451C_9970_2BBE9B7B3A8D_.wvu.FilterData" localSheetId="0" hidden="1">Outbound_Monitor!$A$2:$X$16</definedName>
    <definedName name="Z_784AAAE9_D4AE_4BC7_AF10_DE4BF647F9DC_.wvu.FilterData" localSheetId="0" hidden="1">Outbound_Monitor!$A$2:$W$3</definedName>
    <definedName name="Z_785177BB_4E1D_4FA3_9E94_A012CCD45CBB_.wvu.FilterData" localSheetId="0" hidden="1">Outbound_Monitor!$A$2:$W$3</definedName>
    <definedName name="Z_7857EE94_174B_4AA8_9063_B8600C574157_.wvu.FilterData" localSheetId="0" hidden="1">Outbound_Monitor!$A$2:$W$3</definedName>
    <definedName name="Z_785C14A5_A8FB_4F3D_B7E4_D17DCE18F206_.wvu.FilterData" localSheetId="0" hidden="1">Outbound_Monitor!$A$2:$W$3</definedName>
    <definedName name="Z_786FB0DE_068F_4C09_B18D_93D7A0CC7CE2_.wvu.FilterData" localSheetId="1" hidden="1">Inbound_Monitor!$A$2:$Q$3</definedName>
    <definedName name="Z_789095D2_E03B_4513_B81E_DAD7F4549842_.wvu.FilterData" localSheetId="0" hidden="1">Outbound_Monitor!$A$2:$W$3</definedName>
    <definedName name="Z_7891072A_1600_432A_BD6C_4870B6391165_.wvu.FilterData" localSheetId="1" hidden="1">Inbound_Monitor!$A$2:$Q$2</definedName>
    <definedName name="Z_7891072A_1600_432A_BD6C_4870B6391165_.wvu.FilterData" localSheetId="0" hidden="1">Outbound_Monitor!$A$2:$W$2</definedName>
    <definedName name="Z_789C3F9E_CF1A_4419_9EC3_E879C124D44B_.wvu.FilterData" localSheetId="1" hidden="1">Inbound_Monitor!$A$2:$Q$2</definedName>
    <definedName name="Z_789C3F9E_CF1A_4419_9EC3_E879C124D44B_.wvu.FilterData" localSheetId="0" hidden="1">Outbound_Monitor!$A$2:$W$2</definedName>
    <definedName name="Z_78A884B5_9CA4_4C60_8569_985AE43F0DA4_.wvu.FilterData" localSheetId="1" hidden="1">Inbound_Monitor!$A$2:$Q$13</definedName>
    <definedName name="Z_78A884B5_9CA4_4C60_8569_985AE43F0DA4_.wvu.FilterData" localSheetId="0" hidden="1">Outbound_Monitor!$A$2:$W$3</definedName>
    <definedName name="Z_78B2C21D_A3A3_4404_8AD9_BFE4619BCB40_.wvu.FilterData" localSheetId="1" hidden="1">Inbound_Monitor!$A$2:$Q$13</definedName>
    <definedName name="Z_78B2C21D_A3A3_4404_8AD9_BFE4619BCB40_.wvu.FilterData" localSheetId="0" hidden="1">Outbound_Monitor!$A$2:$W$3</definedName>
    <definedName name="Z_78BB4643_1B5E_4993_86C6_5A7ADBD0F36F_.wvu.FilterData" localSheetId="1" hidden="1">Inbound_Monitor!$A$2:$Q$2</definedName>
    <definedName name="Z_78BB4643_1B5E_4993_86C6_5A7ADBD0F36F_.wvu.FilterData" localSheetId="0" hidden="1">Outbound_Monitor!$A$2:$W$2</definedName>
    <definedName name="Z_78BF4A7A_44BF_4AC7_A6BE_8B14855D3A14_.wvu.FilterData" localSheetId="0" hidden="1">Outbound_Monitor!$A$2:$X$16</definedName>
    <definedName name="Z_78C93FA4_8E18_4514_A41B_DB8EB8273709_.wvu.FilterData" localSheetId="0" hidden="1">Outbound_Monitor!$A$2:$W$3</definedName>
    <definedName name="Z_78CF3C7C_9FAF_427F_8C54_0D6A74419EB2_.wvu.FilterData" localSheetId="0" hidden="1">Outbound_Monitor!$A$2:$X$16</definedName>
    <definedName name="Z_78D89D51_0B1B_4F6D_8149_C016AF2C6CB7_.wvu.FilterData" localSheetId="0" hidden="1">Outbound_Monitor!$A$2:$X$16</definedName>
    <definedName name="Z_78EC0878_CDB6_4006_9135_24C39D4537A9_.wvu.FilterData" localSheetId="1" hidden="1">Inbound_Monitor!$A$2:$Q$3</definedName>
    <definedName name="Z_790254F0_6BC6_42E0_B03C_55A4B8FF129F_.wvu.FilterData" localSheetId="0" hidden="1">Outbound_Monitor!$A$2:$W$3</definedName>
    <definedName name="Z_790352DE_213B_4FBA_A3FC_64065B4C02D8_.wvu.FilterData" localSheetId="0" hidden="1">Outbound_Monitor!$A$2:$W$3</definedName>
    <definedName name="Z_79096D5F_9214_4B08_9B53_545E4B063CD4_.wvu.FilterData" localSheetId="0" hidden="1">Outbound_Monitor!$A$2:$W$3</definedName>
    <definedName name="Z_7916DB55_DC02_4940_9A01_DE65F03CA3D2_.wvu.FilterData" localSheetId="1" hidden="1">Inbound_Monitor!$A$2:$Q$3</definedName>
    <definedName name="Z_791FE9C1_1760_4E66_A9FD_10DDFD7458E3_.wvu.FilterData" localSheetId="1" hidden="1">Inbound_Monitor!$A$2:$Q$13</definedName>
    <definedName name="Z_79212BD3_0B19_4512_B1B4_9DBF716896E3_.wvu.FilterData" localSheetId="1" hidden="1">Inbound_Monitor!$A$2:$Q$2</definedName>
    <definedName name="Z_79212BD3_0B19_4512_B1B4_9DBF716896E3_.wvu.FilterData" localSheetId="0" hidden="1">Outbound_Monitor!$A$2:$W$2</definedName>
    <definedName name="Z_7926F2AD_DF82_4710_ADFA_83C077BCF997_.wvu.FilterData" localSheetId="1" hidden="1">Inbound_Monitor!$A$2:$Q$13</definedName>
    <definedName name="Z_793E4478_B34B_422B_8884_99796E934F0D_.wvu.FilterData" localSheetId="1" hidden="1">Inbound_Monitor!$A$2:$Q$2</definedName>
    <definedName name="Z_793E4478_B34B_422B_8884_99796E934F0D_.wvu.FilterData" localSheetId="0" hidden="1">Outbound_Monitor!$A$2:$W$2</definedName>
    <definedName name="Z_7940137A_A98D_4023_AC67_FE1D5D1AA7A7_.wvu.FilterData" localSheetId="0" hidden="1">Outbound_Monitor!$A$2:$W$3</definedName>
    <definedName name="Z_79453DF9_A93A_451D_9AFC_484F370F93C7_.wvu.FilterData" localSheetId="0" hidden="1">Outbound_Monitor!$A$2:$W$3</definedName>
    <definedName name="Z_7948B49D_B359_42FB_BD66_09442B176EFE_.wvu.FilterData" localSheetId="0" hidden="1">Outbound_Monitor!$A$2:$W$3</definedName>
    <definedName name="Z_794C8CCA_7DBC_4778_9616_3F51331B392A_.wvu.FilterData" localSheetId="0" hidden="1">Outbound_Monitor!$A$2:$W$3</definedName>
    <definedName name="Z_794ECE72_5AAE_4ED7_B1CE_F9CCA69CFBDF_.wvu.FilterData" localSheetId="1" hidden="1">Inbound_Monitor!$A$2:$Q$3</definedName>
    <definedName name="Z_794ECE72_5AAE_4ED7_B1CE_F9CCA69CFBDF_.wvu.FilterData" localSheetId="0" hidden="1">Outbound_Monitor!$A$2:$W$3</definedName>
    <definedName name="Z_7951BFCE_5B6D_4280_AA86_CCE42810C811_.wvu.FilterData" localSheetId="0" hidden="1">Outbound_Monitor!$A$2:$W$3</definedName>
    <definedName name="Z_79563A20_BAA0_4816_8EF4_B4762A443328_.wvu.FilterData" localSheetId="0" hidden="1">Outbound_Monitor!$A$2:$X$16</definedName>
    <definedName name="Z_7959D5C4_C48D_41FE_BF11_BDC0CFBB138D_.wvu.FilterData" localSheetId="0" hidden="1">Outbound_Monitor!$A$2:$X$16</definedName>
    <definedName name="Z_79627D00_5792_4E52_B73C_FE43AD0CD6AA_.wvu.FilterData" localSheetId="1" hidden="1">Inbound_Monitor!$A$2:$Q$2</definedName>
    <definedName name="Z_79627D00_5792_4E52_B73C_FE43AD0CD6AA_.wvu.FilterData" localSheetId="0" hidden="1">Outbound_Monitor!$A$2:$W$2</definedName>
    <definedName name="Z_796CABA6_D77C_4FBA_8105_BA2B81CD6B2A_.wvu.FilterData" localSheetId="4" hidden="1">Schichtübergabe_Protokoll!$B$3:$N$3</definedName>
    <definedName name="Z_797657FE_901B_4C35_A339_C83DAFE727B3_.wvu.FilterData" localSheetId="0" hidden="1">Outbound_Monitor!$A$2:$W$3</definedName>
    <definedName name="Z_797A356B_9844_480F_9B78_76C80E692EAB_.wvu.FilterData" localSheetId="1" hidden="1">Inbound_Monitor!$A$2:$Q$13</definedName>
    <definedName name="Z_797A356B_9844_480F_9B78_76C80E692EAB_.wvu.FilterData" localSheetId="0" hidden="1">Outbound_Monitor!$A$2:$X$16</definedName>
    <definedName name="Z_797A356B_9844_480F_9B78_76C80E692EAB_.wvu.FilterData" localSheetId="4" hidden="1">Schichtübergabe_Protokoll!$B$3:$N$3</definedName>
    <definedName name="Z_798F8E7A_CF2B_4AB2_B3E9_6BEA6A48700F_.wvu.FilterData" localSheetId="1" hidden="1">Inbound_Monitor!$A$2:$Q$3</definedName>
    <definedName name="Z_79A1B92F_99E1_452B_96A1_075D58F50A74_.wvu.FilterData" localSheetId="1" hidden="1">Inbound_Monitor!$A$2:$Q$13</definedName>
    <definedName name="Z_79A7D741_749C_4A3A_9871_E7249B2FCA1E_.wvu.FilterData" localSheetId="1" hidden="1">Inbound_Monitor!$A$2:$Q$3</definedName>
    <definedName name="Z_79A7F402_2203_46FE_809A_68ACB5F7E42D_.wvu.FilterData" localSheetId="0" hidden="1">Outbound_Monitor!$A$2:$W$3</definedName>
    <definedName name="Z_79D3F764_B8DD_47D4_BCB0_01CC11BD751C_.wvu.FilterData" localSheetId="1" hidden="1">Inbound_Monitor!$A$2:$Q$3</definedName>
    <definedName name="Z_79DF250F_3480_4F4E_9010_0E376063FD87_.wvu.FilterData" localSheetId="1" hidden="1">Inbound_Monitor!$A$2:$Q$3</definedName>
    <definedName name="Z_79DF5327_5EC7_4A20_AE03_9ECA087B97C4_.wvu.Rows" localSheetId="3" hidden="1">'SDDS_Office (nicht nutzen)'!#REF!,'SDDS_Office (nicht nutzen)'!#REF!,'SDDS_Office (nicht nutzen)'!#REF!</definedName>
    <definedName name="Z_79E24A4B_C57E_4D8C_BF11_6F66D675AF62_.wvu.FilterData" localSheetId="1" hidden="1">Inbound_Monitor!$A$2:$Q$3</definedName>
    <definedName name="Z_79E24A4B_C57E_4D8C_BF11_6F66D675AF62_.wvu.FilterData" localSheetId="0" hidden="1">Outbound_Monitor!$A$2:$W$3</definedName>
    <definedName name="Z_79EB4570_4B8F_459B_9DCC_2F121E399BCF_.wvu.FilterData" localSheetId="1" hidden="1">Inbound_Monitor!$A$2:$Q$3</definedName>
    <definedName name="Z_79EB4570_4B8F_459B_9DCC_2F121E399BCF_.wvu.FilterData" localSheetId="0" hidden="1">Outbound_Monitor!$A$2:$W$3</definedName>
    <definedName name="Z_7A2DC509_C5E9_4420_A057_87225CF43DA4_.wvu.FilterData" localSheetId="1" hidden="1">Inbound_Monitor!$A$2:$Q$13</definedName>
    <definedName name="Z_7A39AEC5_1F65_43DE_9ABD_13299884C8B6_.wvu.FilterData" localSheetId="1" hidden="1">Inbound_Monitor!$A$2:$Q$13</definedName>
    <definedName name="Z_7A3BDEDE_47AD_476C_916D_529689061AB4_.wvu.FilterData" localSheetId="1" hidden="1">Inbound_Monitor!$A$2:$Q$3</definedName>
    <definedName name="Z_7A4AA008_5FB1_4335_9FC7_FD2810F3E4D1_.wvu.FilterData" localSheetId="1" hidden="1">Inbound_Monitor!$A$2:$Q$13</definedName>
    <definedName name="Z_7A4AA008_5FB1_4335_9FC7_FD2810F3E4D1_.wvu.FilterData" localSheetId="0" hidden="1">Outbound_Monitor!$A$2:$X$16</definedName>
    <definedName name="Z_7A534AC6_2DE3_41DB_9267_EE0A35E35585_.wvu.FilterData" localSheetId="0" hidden="1">Outbound_Monitor!$A$2:$W$3</definedName>
    <definedName name="Z_7A602D93_BB70_4418_9DA6_BC4FB6BB548F_.wvu.FilterData" localSheetId="0" hidden="1">Outbound_Monitor!$A$2:$W$3</definedName>
    <definedName name="Z_7A62A0E2_4B52_4DDD_82EA_673F1152D364_.wvu.FilterData" localSheetId="0" hidden="1">Outbound_Monitor!$A$2:$W$3</definedName>
    <definedName name="Z_7A6706AC_A0CA_4D2B_928A_3205D0E641B3_.wvu.FilterData" localSheetId="1" hidden="1">Inbound_Monitor!$A$2:$Q$2</definedName>
    <definedName name="Z_7A6706AC_A0CA_4D2B_928A_3205D0E641B3_.wvu.FilterData" localSheetId="0" hidden="1">Outbound_Monitor!$A$2:$W$2</definedName>
    <definedName name="Z_7A6B5DFF_0FAD_48B6_8DF2_E99E61852479_.wvu.FilterData" localSheetId="0" hidden="1">Outbound_Monitor!$A$2:$W$3</definedName>
    <definedName name="Z_7A6D9FE0_C560_415F_8AFE_6D0753D64BEA_.wvu.FilterData" localSheetId="0" hidden="1">Outbound_Monitor!$A$2:$X$16</definedName>
    <definedName name="Z_7A87FE37_0700_4F89_BFEC_C521E6483525_.wvu.FilterData" localSheetId="1" hidden="1">Inbound_Monitor!$A$2:$Q$13</definedName>
    <definedName name="Z_7A87FE37_0700_4F89_BFEC_C521E6483525_.wvu.FilterData" localSheetId="0" hidden="1">Outbound_Monitor!$A$2:$W$3</definedName>
    <definedName name="Z_7A99A323_DBBE_4137_85B8_3D7B635853A7_.wvu.FilterData" localSheetId="1" hidden="1">Inbound_Monitor!$A$2:$Q$2</definedName>
    <definedName name="Z_7A99A323_DBBE_4137_85B8_3D7B635853A7_.wvu.FilterData" localSheetId="0" hidden="1">Outbound_Monitor!$A$2:$W$2</definedName>
    <definedName name="Z_7AA9E6C5_92C8_495E_ADC5_D721E00B3A04_.wvu.FilterData" localSheetId="0" hidden="1">Outbound_Monitor!$A$2:$W$3</definedName>
    <definedName name="Z_7AB60085_68DF_415D_9FBF_977FFA58EDB6_.wvu.FilterData" localSheetId="0" hidden="1">Outbound_Monitor!$A$2:$X$16</definedName>
    <definedName name="Z_7AB6454A_99AA_42F3_B3DB_BEC03B8B5AEC_.wvu.FilterData" localSheetId="1" hidden="1">Inbound_Monitor!$A$2:$Q$3</definedName>
    <definedName name="Z_7AC397F1_B47D_4991_B09B_DE0DF1D86A1F_.wvu.FilterData" localSheetId="0" hidden="1">Outbound_Monitor!$A$2:$W$3</definedName>
    <definedName name="Z_7AC73A7D_5815_4FE1_BF26_FA69C160FFE8_.wvu.FilterData" localSheetId="0" hidden="1">Outbound_Monitor!$A$2:$W$3</definedName>
    <definedName name="Z_7AC8138C_C5DB_4053_976A_87A3DC1B0803_.wvu.FilterData" localSheetId="0" hidden="1">Outbound_Monitor!$A$2:$W$3</definedName>
    <definedName name="Z_7ACC2066_289E_49C4_8C8B_E0CD867F169D_.wvu.FilterData" localSheetId="1" hidden="1">Inbound_Monitor!$A$2:$Q$13</definedName>
    <definedName name="Z_7ACC2066_289E_49C4_8C8B_E0CD867F169D_.wvu.FilterData" localSheetId="0" hidden="1">Outbound_Monitor!$A$2:$X$16</definedName>
    <definedName name="Z_7AD04E99_7C4E_49DF_9B92_E39DACB85DCB_.wvu.FilterData" localSheetId="1" hidden="1">Inbound_Monitor!$A$2:$Q$13</definedName>
    <definedName name="Z_7AD04E99_7C4E_49DF_9B92_E39DACB85DCB_.wvu.FilterData" localSheetId="0" hidden="1">Outbound_Monitor!$A$2:$W$3</definedName>
    <definedName name="Z_7AD7CBF6_97EB_4D36_AC26_5F251674B993_.wvu.FilterData" localSheetId="0" hidden="1">Outbound_Monitor!$A$2:$W$3</definedName>
    <definedName name="Z_7AD7CBF6_97EB_4D36_AC26_5F251674B993_.wvu.FilterData" localSheetId="4" hidden="1">Schichtübergabe_Protokoll!$B$3:$N$3</definedName>
    <definedName name="Z_7AD9BB16_DD3F_47A0_90FD_D9CFAA7E9F89_.wvu.FilterData" localSheetId="1" hidden="1">Inbound_Monitor!$A$2:$Q$13</definedName>
    <definedName name="Z_7AD9BB16_DD3F_47A0_90FD_D9CFAA7E9F89_.wvu.FilterData" localSheetId="0" hidden="1">Outbound_Monitor!$A$2:$X$16</definedName>
    <definedName name="Z_7ADCD3F4_3A10_4716_A5A1_442DD9213FCF_.wvu.FilterData" localSheetId="4" hidden="1">Schichtübergabe_Protokoll!$B$3:$N$3</definedName>
    <definedName name="Z_7AE2D08E_FAC4_487E_9A37_E922388F6296_.wvu.FilterData" localSheetId="0" hidden="1">Outbound_Monitor!$A$2:$W$3</definedName>
    <definedName name="Z_7AF33342_080B_4C16_9523_A221F61670BB_.wvu.FilterData" localSheetId="0" hidden="1">Outbound_Monitor!$A$2:$W$3</definedName>
    <definedName name="Z_7AF88752_5CDA_40E5_AAFC_AEECA3740C2E_.wvu.FilterData" localSheetId="0" hidden="1">Outbound_Monitor!$A$2:$X$16</definedName>
    <definedName name="Z_7B001211_18DC_40B5_AA13_F707ED1885B8_.wvu.FilterData" localSheetId="1" hidden="1">Inbound_Monitor!$A$2:$Q$2</definedName>
    <definedName name="Z_7B001211_18DC_40B5_AA13_F707ED1885B8_.wvu.FilterData" localSheetId="0" hidden="1">Outbound_Monitor!$A$2:$W$2</definedName>
    <definedName name="Z_7B0C89B5_3049_4181_AC76_D7D8F4A1A86F_.wvu.FilterData" localSheetId="1" hidden="1">Inbound_Monitor!$A$2:$Q$2</definedName>
    <definedName name="Z_7B0C89B5_3049_4181_AC76_D7D8F4A1A86F_.wvu.FilterData" localSheetId="0" hidden="1">Outbound_Monitor!$A$2:$W$2</definedName>
    <definedName name="Z_7B17B56C_E518_4959_86FF_9DBB767B41BB_.wvu.FilterData" localSheetId="1" hidden="1">Inbound_Monitor!$A$2:$Q$13</definedName>
    <definedName name="Z_7B17B56C_E518_4959_86FF_9DBB767B41BB_.wvu.FilterData" localSheetId="0" hidden="1">Outbound_Monitor!$A$2:$W$3</definedName>
    <definedName name="Z_7B1915FF_1F84_498F_B8AD_E57F3CDC5F28_.wvu.FilterData" localSheetId="1" hidden="1">Inbound_Monitor!$A$2:$Q$13</definedName>
    <definedName name="Z_7B1915FF_1F84_498F_B8AD_E57F3CDC5F28_.wvu.FilterData" localSheetId="0" hidden="1">Outbound_Monitor!$A$2:$X$16</definedName>
    <definedName name="Z_7B255342_577D_479A_ABD3_D237424C6E51_.wvu.FilterData" localSheetId="0" hidden="1">Outbound_Monitor!#REF!</definedName>
    <definedName name="Z_7B25931F_0CE6_4D97_AE25_64ED6BBA4AA3_.wvu.FilterData" localSheetId="0" hidden="1">Outbound_Monitor!$A$2:$W$3</definedName>
    <definedName name="Z_7B25E64F_1984_43DB_A94E_05716CE2E6D2_.wvu.FilterData" localSheetId="1" hidden="1">Inbound_Monitor!$A$2:$Q$3</definedName>
    <definedName name="Z_7B25E64F_1984_43DB_A94E_05716CE2E6D2_.wvu.FilterData" localSheetId="0" hidden="1">Outbound_Monitor!$A$2:$W$3</definedName>
    <definedName name="Z_7B2EC869_CD8D_42F1_9990_7BB482814D1C_.wvu.FilterData" localSheetId="0" hidden="1">Outbound_Monitor!$A$2:$W$3</definedName>
    <definedName name="Z_7B2FB912_986A_4809_95CB_76683AC6773A_.wvu.FilterData" localSheetId="0" hidden="1">Outbound_Monitor!$A$2:$X$16</definedName>
    <definedName name="Z_7B3E50F9_DC15_47F5_9E9E_F08F2DB8380C_.wvu.FilterData" localSheetId="1" hidden="1">Inbound_Monitor!$A$2:$Q$3</definedName>
    <definedName name="Z_7B3E50F9_DC15_47F5_9E9E_F08F2DB8380C_.wvu.FilterData" localSheetId="0" hidden="1">Outbound_Monitor!$A$2:$W$3</definedName>
    <definedName name="Z_7B41E28B_3AC4_4F15_8633_502EF79ECBE1_.wvu.FilterData" localSheetId="1" hidden="1">Inbound_Monitor!$A$2:$Q$3</definedName>
    <definedName name="Z_7B4B9C1F_3893_4CB6_83C9_F9477557127E_.wvu.FilterData" localSheetId="0" hidden="1">Outbound_Monitor!$A$2:$W$3</definedName>
    <definedName name="Z_7B50EA41_3D92_4CF5_AA33_55865734573A_.wvu.FilterData" localSheetId="0" hidden="1">Outbound_Monitor!$A$2:$W$3</definedName>
    <definedName name="Z_7B57C087_986F_48A4_A052_7B370AA696B5_.wvu.FilterData" localSheetId="0" hidden="1">Outbound_Monitor!$A$2:$W$3</definedName>
    <definedName name="Z_7B583AFA_7204_4EB0_B4D0_9C8BA0DE40D8_.wvu.FilterData" localSheetId="1" hidden="1">Inbound_Monitor!$A$2:$Q$13</definedName>
    <definedName name="Z_7B75C199_3AC9_4AD0_B5B3_8A6DCA34335E_.wvu.FilterData" localSheetId="0" hidden="1">Outbound_Monitor!$A$2:$W$3</definedName>
    <definedName name="Z_7B79F3B1_AA5E_4DCD_8F6B_097FDDEC06E2_.wvu.FilterData" localSheetId="0" hidden="1">Outbound_Monitor!$A$2:$W$3</definedName>
    <definedName name="Z_7B84F51D_B7C3_4040_A566_88E865D615E2_.wvu.FilterData" localSheetId="0" hidden="1">Outbound_Monitor!$A$2:$W$3</definedName>
    <definedName name="Z_7B865B9F_42F0_407B_AA62_B3E37D03FF3A_.wvu.FilterData" localSheetId="1" hidden="1">Inbound_Monitor!$A$2:$Q$3</definedName>
    <definedName name="Z_7B9CA54E_B0AB_444A_A8AB_C8D93A20AB6D_.wvu.FilterData" localSheetId="1" hidden="1">Inbound_Monitor!$A$2:$Q$13</definedName>
    <definedName name="Z_7B9CA54E_B0AB_444A_A8AB_C8D93A20AB6D_.wvu.FilterData" localSheetId="0" hidden="1">Outbound_Monitor!$A$2:$W$3</definedName>
    <definedName name="Z_7BBAC4E4_935E_4B59_A741_71DE774581AE_.wvu.FilterData" localSheetId="0" hidden="1">Outbound_Monitor!$A$2:$W$3</definedName>
    <definedName name="Z_7BC07A01_FAF2_4304_84DD_C8CB55EF5379_.wvu.FilterData" localSheetId="0" hidden="1">Outbound_Monitor!$A$2:$W$3</definedName>
    <definedName name="Z_7BC6DD99_D971_495F_878B_1E76D2DE52D7_.wvu.FilterData" localSheetId="1" hidden="1">Inbound_Monitor!$A$2:$Q$3</definedName>
    <definedName name="Z_7BC6DD99_D971_495F_878B_1E76D2DE52D7_.wvu.FilterData" localSheetId="0" hidden="1">Outbound_Monitor!$A$2:$W$3</definedName>
    <definedName name="Z_7BCA1158_BAE2_4A30_8860_DB3C2D69968B_.wvu.FilterData" localSheetId="0" hidden="1">Outbound_Monitor!$A$2:$X$16</definedName>
    <definedName name="Z_7BCE71B8_6FA0_4E31_83EC_CF22FCFE46B5_.wvu.FilterData" localSheetId="1" hidden="1">Inbound_Monitor!$A$2:$Q$13</definedName>
    <definedName name="Z_7BCF1E9B_944C_46D7_BE7A_9AAECC8EDA9B_.wvu.FilterData" localSheetId="1" hidden="1">Inbound_Monitor!$A$2:$Q$13</definedName>
    <definedName name="Z_7BCF1E9B_944C_46D7_BE7A_9AAECC8EDA9B_.wvu.FilterData" localSheetId="0" hidden="1">Outbound_Monitor!$A$2:$W$3</definedName>
    <definedName name="Z_7BD04FD4_060A_4431_AA62_85989D5F34D5_.wvu.FilterData" localSheetId="0" hidden="1">Outbound_Monitor!$A$2:$W$3</definedName>
    <definedName name="Z_7BDB882B_7114_4A4E_8D17_2213D7878863_.wvu.FilterData" localSheetId="1" hidden="1">Inbound_Monitor!$A$2:$Q$2</definedName>
    <definedName name="Z_7BDB882B_7114_4A4E_8D17_2213D7878863_.wvu.FilterData" localSheetId="0" hidden="1">Outbound_Monitor!$A$2:$W$2</definedName>
    <definedName name="Z_7BE639FB_1A50_42D1_A3AB_A0FF50EB1F20_.wvu.FilterData" localSheetId="1" hidden="1">Inbound_Monitor!$A$2:$Q$3</definedName>
    <definedName name="Z_7BE639FB_1A50_42D1_A3AB_A0FF50EB1F20_.wvu.FilterData" localSheetId="0" hidden="1">Outbound_Monitor!$A$2:$W$3</definedName>
    <definedName name="Z_7BE64CD3_9277_487B_A859_D24D79E1C348_.wvu.FilterData" localSheetId="1" hidden="1">Inbound_Monitor!$A$2:$Q$2</definedName>
    <definedName name="Z_7BE64CD3_9277_487B_A859_D24D79E1C348_.wvu.FilterData" localSheetId="0" hidden="1">Outbound_Monitor!$A$2:$W$2</definedName>
    <definedName name="Z_7BE66A06_9377_424D_93D4_8BFF54AF7318_.wvu.FilterData" localSheetId="1" hidden="1">Inbound_Monitor!$A$2:$Q$2</definedName>
    <definedName name="Z_7BE66A06_9377_424D_93D4_8BFF54AF7318_.wvu.FilterData" localSheetId="0" hidden="1">Outbound_Monitor!$A$2:$W$2</definedName>
    <definedName name="Z_7BF9F601_CB75_41BE_BC14_5E09E78E51F1_.wvu.FilterData" localSheetId="0" hidden="1">Outbound_Monitor!$A$2:$W$3</definedName>
    <definedName name="Z_7BFAC444_35D6_4F11_9C25_8067E146BBE0_.wvu.FilterData" localSheetId="0" hidden="1">Outbound_Monitor!$A$2:$W$3</definedName>
    <definedName name="Z_7BFB684F_1C8B_41A8_B2FF_C44E52241A9E_.wvu.FilterData" localSheetId="1" hidden="1">Inbound_Monitor!$A$2:$Q$13</definedName>
    <definedName name="Z_7BFB684F_1C8B_41A8_B2FF_C44E52241A9E_.wvu.FilterData" localSheetId="0" hidden="1">Outbound_Monitor!$A$2:$X$16</definedName>
    <definedName name="Z_7BFB684F_1C8B_41A8_B2FF_C44E52241A9E_.wvu.FilterData" localSheetId="4" hidden="1">Schichtübergabe_Protokoll!$B$3:$N$3</definedName>
    <definedName name="Z_7BFB97C4_6EB5_440E_8944_FBC4A54D5F47_.wvu.FilterData" localSheetId="0" hidden="1">Outbound_Monitor!$A$2:$W$3</definedName>
    <definedName name="Z_7C1995E5_97C7_49B0_949F_0CB7A37365C9_.wvu.FilterData" localSheetId="0" hidden="1">Outbound_Monitor!$A$2:$W$3</definedName>
    <definedName name="Z_7C2202FA_B94D_4D76_ACA9_51DE33879DC8_.wvu.FilterData" localSheetId="0" hidden="1">Outbound_Monitor!$A$2:$W$3</definedName>
    <definedName name="Z_7C26C1EC_F571_48F6_BAD4_6CB431B8F540_.wvu.FilterData" localSheetId="1" hidden="1">Inbound_Monitor!$A$2:$Q$13</definedName>
    <definedName name="Z_7C26C1EC_F571_48F6_BAD4_6CB431B8F540_.wvu.FilterData" localSheetId="0" hidden="1">Outbound_Monitor!$A$2:$X$16</definedName>
    <definedName name="Z_7C28D502_0A46_44C3_954E_CBBF91C6127B_.wvu.FilterData" localSheetId="0" hidden="1">Outbound_Monitor!$A$2:$W$3</definedName>
    <definedName name="Z_7C2A683B_DE65_40F7_8228_F5B961590178_.wvu.FilterData" localSheetId="0" hidden="1">Outbound_Monitor!$A$2:$W$3</definedName>
    <definedName name="Z_7C2A7CA9_F17A_45BF_941E_9BD26EBC2B5C_.wvu.FilterData" localSheetId="1" hidden="1">Inbound_Monitor!$A$2:$Q$3</definedName>
    <definedName name="Z_7C2F1D4C_01F7_4D3F_87C5_B75CC576072A_.wvu.FilterData" localSheetId="1" hidden="1">Inbound_Monitor!$A$2:$Q$13</definedName>
    <definedName name="Z_7C2F1D4C_01F7_4D3F_87C5_B75CC576072A_.wvu.FilterData" localSheetId="0" hidden="1">Outbound_Monitor!$A$2:$W$3</definedName>
    <definedName name="Z_7C2F280B_761F_4513_9403_4A4672120414_.wvu.FilterData" localSheetId="1" hidden="1">Inbound_Monitor!$A$2:$Q$2</definedName>
    <definedName name="Z_7C2F280B_761F_4513_9403_4A4672120414_.wvu.FilterData" localSheetId="0" hidden="1">Outbound_Monitor!$A$2:$W$2</definedName>
    <definedName name="Z_7C2FA6ED_6F34_43B4_A97E_65878746632D_.wvu.Rows" localSheetId="3" hidden="1">'SDDS_Office (nicht nutzen)'!#REF!,'SDDS_Office (nicht nutzen)'!#REF!,'SDDS_Office (nicht nutzen)'!#REF!,'SDDS_Office (nicht nutzen)'!#REF!</definedName>
    <definedName name="Z_7C3199D7_733E_43BF_AF18_E3E5B584DB29_.wvu.FilterData" localSheetId="0" hidden="1">Outbound_Monitor!$A$2:$W$3</definedName>
    <definedName name="Z_7C332AE8_D999_484F_82E4_C17B57BF0D75_.wvu.FilterData" localSheetId="0" hidden="1">Outbound_Monitor!$A$2:$X$16</definedName>
    <definedName name="Z_7C4145FB_B4CC_41BE_AC59_3EC0BB3CE91C_.wvu.FilterData" localSheetId="1" hidden="1">Inbound_Monitor!$A$2:$Q$3</definedName>
    <definedName name="Z_7C415B61_1F4D_45C7_9C72_89E5E8381326_.wvu.FilterData" localSheetId="0" hidden="1">Outbound_Monitor!$A$2:$X$16</definedName>
    <definedName name="Z_7C77A8DA_6ABC_4A95_B568_9144C12B28CA_.wvu.FilterData" localSheetId="1" hidden="1">Inbound_Monitor!$A$2:$Q$13</definedName>
    <definedName name="Z_7C77A8DA_6ABC_4A95_B568_9144C12B28CA_.wvu.FilterData" localSheetId="0" hidden="1">Outbound_Monitor!$A$2:$W$3</definedName>
    <definedName name="Z_7C78D279_B859_4C7D_873B_A641827C8EBC_.wvu.FilterData" localSheetId="0" hidden="1">Outbound_Monitor!$A$2:$X$16</definedName>
    <definedName name="Z_7C8A52C1_E660_4F1F_BFD7_56CD3F8D4161_.wvu.FilterData" localSheetId="1" hidden="1">Inbound_Monitor!$A$2:$Q$13</definedName>
    <definedName name="Z_7C8A52C1_E660_4F1F_BFD7_56CD3F8D4161_.wvu.FilterData" localSheetId="0" hidden="1">Outbound_Monitor!$A$2:$W$3</definedName>
    <definedName name="Z_7C8A924B_E412_4937_B3C3_1773D14F76C4_.wvu.Cols" localSheetId="3" hidden="1">'SDDS_Office (nicht nutzen)'!#REF!</definedName>
    <definedName name="Z_7C8A924B_E412_4937_B3C3_1773D14F76C4_.wvu.Rows" localSheetId="3" hidden="1">'SDDS_Office (nicht nutzen)'!#REF!</definedName>
    <definedName name="Z_7C998A98_8051_414E_8FEE_5AFA914AA57B_.wvu.FilterData" localSheetId="0" hidden="1">Outbound_Monitor!$A$2:$W$3</definedName>
    <definedName name="Z_7CA1F873_52EC_4AB0_8CE7_6EE007C3A83C_.wvu.FilterData" localSheetId="1" hidden="1">Inbound_Monitor!$A$2:$Q$13</definedName>
    <definedName name="Z_7CBC29E3_D592_4E46_A0D7_48EFD6B9A677_.wvu.FilterData" localSheetId="0" hidden="1">Outbound_Monitor!$A$2:$W$3</definedName>
    <definedName name="Z_7CBE670C_478D_416B_BC6F_CF6A87293082_.wvu.FilterData" localSheetId="0" hidden="1">Outbound_Monitor!$A$2:$W$3</definedName>
    <definedName name="Z_7CD0D60E_4FA1_43B3_B4C1_D6A96731F0C4_.wvu.FilterData" localSheetId="0" hidden="1">Outbound_Monitor!$A$2:$W$3</definedName>
    <definedName name="Z_7CD8FCC8_FA75_4E77_BDFA_330F7A8CCFAE_.wvu.FilterData" localSheetId="1" hidden="1">Inbound_Monitor!$A$2:$Q$3</definedName>
    <definedName name="Z_7CDC9607_FD9D_4203_ADF4_E018702DFBA0_.wvu.FilterData" localSheetId="1" hidden="1">Inbound_Monitor!$A$2:$Q$13</definedName>
    <definedName name="Z_7CDC9607_FD9D_4203_ADF4_E018702DFBA0_.wvu.FilterData" localSheetId="0" hidden="1">Outbound_Monitor!$A$2:$W$3</definedName>
    <definedName name="Z_7CE628C9_12BE_4945_B28B_79153B35B358_.wvu.FilterData" localSheetId="1" hidden="1">Inbound_Monitor!$A$2:$Q$3</definedName>
    <definedName name="Z_7CF0C2A9_89B1_4E79_B338_4F84DF9DB034_.wvu.FilterData" localSheetId="1" hidden="1">Inbound_Monitor!$A$2:$Q$2</definedName>
    <definedName name="Z_7CF0C2A9_89B1_4E79_B338_4F84DF9DB034_.wvu.FilterData" localSheetId="0" hidden="1">Outbound_Monitor!$A$2:$W$2</definedName>
    <definedName name="Z_7D048F67_A635_4790_980D_ED3D5B78CB1E_.wvu.FilterData" localSheetId="0" hidden="1">Outbound_Monitor!$A$2:$W$3</definedName>
    <definedName name="Z_7D088F9F_374C_49C4_9305_C367D4005062_.wvu.FilterData" localSheetId="0" hidden="1">Outbound_Monitor!$A$2:$W$3</definedName>
    <definedName name="Z_7D0A145A_809D_4C29_9E26_628A26C61587_.wvu.FilterData" localSheetId="0" hidden="1">Outbound_Monitor!$A$2:$W$3</definedName>
    <definedName name="Z_7D0B70D2_A949_402F_A1EA_F59A95B2D3CB_.wvu.FilterData" localSheetId="1" hidden="1">Inbound_Monitor!$A$2:$Q$2</definedName>
    <definedName name="Z_7D0B70D2_A949_402F_A1EA_F59A95B2D3CB_.wvu.FilterData" localSheetId="0" hidden="1">Outbound_Monitor!$A$2:$W$2</definedName>
    <definedName name="Z_7D0D317D_7D5B_4B64_B88A_C65AFCC06C5A_.wvu.FilterData" localSheetId="0" hidden="1">Outbound_Monitor!$A$2:$W$3</definedName>
    <definedName name="Z_7D19DD70_94C2_4084_BE14_AF34408DADDD_.wvu.FilterData" localSheetId="0" hidden="1">Outbound_Monitor!$A$2:$W$3</definedName>
    <definedName name="Z_7D2F1305_700D_4DE4_BA73_2D935BB89435_.wvu.FilterData" localSheetId="0" hidden="1">Outbound_Monitor!$A$2:$X$16</definedName>
    <definedName name="Z_7D302F76_7FF2_46BE_BC79_C2BF01E43103_.wvu.FilterData" localSheetId="0" hidden="1">Outbound_Monitor!$A$2:$X$16</definedName>
    <definedName name="Z_7D34D5CF_F4D3_4EC3_8568_03156D770969_.wvu.FilterData" localSheetId="1" hidden="1">Inbound_Monitor!$A$2:$Q$3</definedName>
    <definedName name="Z_7D36607B_7255_494E_AC68_348543DDB427_.wvu.FilterData" localSheetId="0" hidden="1">Outbound_Monitor!$A$2:$X$16</definedName>
    <definedName name="Z_7D4FE7DB_59A4_4369_B97C_26279B883B3A_.wvu.FilterData" localSheetId="1" hidden="1">Inbound_Monitor!$A$2:$Q$13</definedName>
    <definedName name="Z_7D4FE7DB_59A4_4369_B97C_26279B883B3A_.wvu.FilterData" localSheetId="0" hidden="1">Outbound_Monitor!$A$2:$X$16</definedName>
    <definedName name="Z_7D644425_0441_4482_9B07_7EBCCF1B5E76_.wvu.FilterData" localSheetId="0" hidden="1">Outbound_Monitor!$A$2:$W$3</definedName>
    <definedName name="Z_7D689D88_AC1E_412E_8D7A_A674C36E323F_.wvu.FilterData" localSheetId="0" hidden="1">Outbound_Monitor!$A$2:$W$3</definedName>
    <definedName name="Z_7D9E71E4_895A_40E7_9697_5C6364628AAE_.wvu.FilterData" localSheetId="1" hidden="1">Inbound_Monitor!$A$2:$Q$2</definedName>
    <definedName name="Z_7D9E71E4_895A_40E7_9697_5C6364628AAE_.wvu.FilterData" localSheetId="0" hidden="1">Outbound_Monitor!$A$2:$W$2</definedName>
    <definedName name="Z_7D9EBD31_32EC_453E_8213_DCEC04698ED2_.wvu.FilterData" localSheetId="1" hidden="1">Inbound_Monitor!$A$2:$Q$2</definedName>
    <definedName name="Z_7D9EBD31_32EC_453E_8213_DCEC04698ED2_.wvu.FilterData" localSheetId="0" hidden="1">Outbound_Monitor!$A$2:$W$2</definedName>
    <definedName name="Z_7DAEB8C8_27B2_4F42_BC40_F8B4B740E0FD_.wvu.FilterData" localSheetId="1" hidden="1">Inbound_Monitor!$A$2:$Q$3</definedName>
    <definedName name="Z_7DAEB8C8_27B2_4F42_BC40_F8B4B740E0FD_.wvu.FilterData" localSheetId="0" hidden="1">Outbound_Monitor!$A$2:$W$3</definedName>
    <definedName name="Z_7DB18D17_C8F1_4B98_A4C3_9F7E1B168C08_.wvu.FilterData" localSheetId="0" hidden="1">Outbound_Monitor!$A$2:$W$3</definedName>
    <definedName name="Z_7DB266B6_C7D5_46C5_8DB6_C9745E505ACD_.wvu.FilterData" localSheetId="0" hidden="1">Outbound_Monitor!$A$2:$W$3</definedName>
    <definedName name="Z_7DB36ECA_56DD_4CA3_92D4_51A8BDAF58D3_.wvu.FilterData" localSheetId="0" hidden="1">Outbound_Monitor!$A$2:$W$3</definedName>
    <definedName name="Z_7DB453F3_7563_4BCF_BF25_F0715FD7C685_.wvu.FilterData" localSheetId="1" hidden="1">Inbound_Monitor!$A$2:$Q$3</definedName>
    <definedName name="Z_7DB453F3_7563_4BCF_BF25_F0715FD7C685_.wvu.FilterData" localSheetId="0" hidden="1">Outbound_Monitor!$A$2:$W$3</definedName>
    <definedName name="Z_7DDAA541_E4FF_42A4_8384_CD5EA6D52EE2_.wvu.FilterData" localSheetId="0" hidden="1">Outbound_Monitor!$A$2:$W$3</definedName>
    <definedName name="Z_7DECE1E2_98DC_4765_9722_2063F97CF751_.wvu.FilterData" localSheetId="0" hidden="1">Outbound_Monitor!$A$2:$W$3</definedName>
    <definedName name="Z_7E03519F_AB10_4AC2_ACD9_7A5C24D768E7_.wvu.FilterData" localSheetId="0" hidden="1">Outbound_Monitor!$A$2:$W$3</definedName>
    <definedName name="Z_7E0B8B67_D16A_49E2_BE6B_7FC688BF967D_.wvu.FilterData" localSheetId="0" hidden="1">Outbound_Monitor!$A$2:$W$3</definedName>
    <definedName name="Z_7E10E5C8_A7A5_41E0_83A0_F26942A0C0AD_.wvu.FilterData" localSheetId="1" hidden="1">Inbound_Monitor!$A$2:$Q$3</definedName>
    <definedName name="Z_7E1E5F54_4930_4037_A8A5_1C44727C104D_.wvu.FilterData" localSheetId="0" hidden="1">Outbound_Monitor!$A$2:$W$3</definedName>
    <definedName name="Z_7E22CBB3_AC7F_446B_AD59_0D3A95DB4486_.wvu.FilterData" localSheetId="1" hidden="1">Inbound_Monitor!$A$2:$Q$13</definedName>
    <definedName name="Z_7E4A1DCF_DE8E_4AB9_9754_A4E71FF2FFBC_.wvu.FilterData" localSheetId="1" hidden="1">Inbound_Monitor!$A$2:$Q$2</definedName>
    <definedName name="Z_7E4A1DCF_DE8E_4AB9_9754_A4E71FF2FFBC_.wvu.FilterData" localSheetId="0" hidden="1">Outbound_Monitor!$A$2:$W$2</definedName>
    <definedName name="Z_7E4E5A12_C39F_4D44_8283_E690FA27E3E4_.wvu.FilterData" localSheetId="1" hidden="1">Inbound_Monitor!$A$2:$Q$13</definedName>
    <definedName name="Z_7E69D6D9_7A5F_4DA2_8400_18BDFD0547CD_.wvu.FilterData" localSheetId="1" hidden="1">Inbound_Monitor!$A$2:$Q$13</definedName>
    <definedName name="Z_7E69D6D9_7A5F_4DA2_8400_18BDFD0547CD_.wvu.FilterData" localSheetId="0" hidden="1">Outbound_Monitor!$A$2:$W$3</definedName>
    <definedName name="Z_7E6F3F51_E0AB_4FAB_9F76_2C68C938518C_.wvu.FilterData" localSheetId="1" hidden="1">Inbound_Monitor!$A$2:$Q$13</definedName>
    <definedName name="Z_7E6F3F51_E0AB_4FAB_9F76_2C68C938518C_.wvu.FilterData" localSheetId="0" hidden="1">Outbound_Monitor!$A$2:$W$3</definedName>
    <definedName name="Z_7E72B76E_B3C0_4DBC_8BE0_EFA28BB80D3B_.wvu.FilterData" localSheetId="0" hidden="1">Outbound_Monitor!$A$2:$W$3</definedName>
    <definedName name="Z_7E7BCF87_5CF4_454B_881A_0247C57974CC_.wvu.FilterData" localSheetId="1" hidden="1">Inbound_Monitor!$A$2:$Q$2</definedName>
    <definedName name="Z_7E7BCF87_5CF4_454B_881A_0247C57974CC_.wvu.FilterData" localSheetId="0" hidden="1">Outbound_Monitor!$A$2:$W$2</definedName>
    <definedName name="Z_7E7E520B_6C7C_4CD7_AD3E_C61AAD17A9B4_.wvu.FilterData" localSheetId="0" hidden="1">Outbound_Monitor!$A$2:$W$3</definedName>
    <definedName name="Z_7E8718FE_65ED_4EE7_BFDB_381EB6EA388E_.wvu.FilterData" localSheetId="0" hidden="1">Outbound_Monitor!$A$2:$W$3</definedName>
    <definedName name="Z_7EA98245_A5CF_41FE_BF03_B0107DE1F0D8_.wvu.FilterData" localSheetId="1" hidden="1">Inbound_Monitor!$A$2:$Q$13</definedName>
    <definedName name="Z_7EA98245_A5CF_41FE_BF03_B0107DE1F0D8_.wvu.FilterData" localSheetId="0" hidden="1">Outbound_Monitor!$A$2:$W$3</definedName>
    <definedName name="Z_7EB51124_EF3D_4488_8990_E327A2055956_.wvu.FilterData" localSheetId="0" hidden="1">Outbound_Monitor!$A$2:$W$3</definedName>
    <definedName name="Z_7EB7EC96_C4C9_419A_B8AE_3B547F3924AD_.wvu.FilterData" localSheetId="0" hidden="1">Outbound_Monitor!$A$2:$W$3</definedName>
    <definedName name="Z_7EBC40D0_6DA8_4E6D_A418_99F64A3BC79C_.wvu.FilterData" localSheetId="1" hidden="1">Inbound_Monitor!$A$2:$Q$3</definedName>
    <definedName name="Z_7EBC40D0_6DA8_4E6D_A418_99F64A3BC79C_.wvu.FilterData" localSheetId="0" hidden="1">Outbound_Monitor!$A$2:$W$3</definedName>
    <definedName name="Z_7EC163DC_FE22_451D_999C_493CD88BB687_.wvu.FilterData" localSheetId="1" hidden="1">Inbound_Monitor!$A$2:$Q$3</definedName>
    <definedName name="Z_7ECEA844_F927_45F2_9B9F_0607419B7E8A_.wvu.FilterData" localSheetId="1" hidden="1">Inbound_Monitor!$A$2:$Q$13</definedName>
    <definedName name="Z_7ECEA844_F927_45F2_9B9F_0607419B7E8A_.wvu.FilterData" localSheetId="0" hidden="1">Outbound_Monitor!$A$2:$X$16</definedName>
    <definedName name="Z_7ED33D1B_D5ED_443F_AF6A_B1847AF9B3F5_.wvu.FilterData" localSheetId="1" hidden="1">Inbound_Monitor!$A$2:$Q$13</definedName>
    <definedName name="Z_7EDA2FDB_04B3_48FA_9661_F1944CE39E67_.wvu.FilterData" localSheetId="1" hidden="1">Inbound_Monitor!$A$2:$Q$2</definedName>
    <definedName name="Z_7EDA2FDB_04B3_48FA_9661_F1944CE39E67_.wvu.FilterData" localSheetId="0" hidden="1">Outbound_Monitor!$A$2:$W$2</definedName>
    <definedName name="Z_7EDBFE7B_E4BE_45B8_8AE3_7840EDDBC1B7_.wvu.FilterData" localSheetId="1" hidden="1">Inbound_Monitor!$A$2:$Q$2</definedName>
    <definedName name="Z_7EDBFE7B_E4BE_45B8_8AE3_7840EDDBC1B7_.wvu.FilterData" localSheetId="0" hidden="1">Outbound_Monitor!$A$2:$W$2</definedName>
    <definedName name="Z_7EEA5B75_6816_40AF_A369_560548849CD4_.wvu.FilterData" localSheetId="0" hidden="1">Outbound_Monitor!$A$2:$W$3</definedName>
    <definedName name="Z_7EFB44FC_DAF3_4552_8523_B6A2379613CE_.wvu.FilterData" localSheetId="0" hidden="1">Outbound_Monitor!$A$2:$W$3</definedName>
    <definedName name="Z_7EFDFE5E_5C16_4103_AC14_6D8995DE3665_.wvu.FilterData" localSheetId="1" hidden="1">Inbound_Monitor!$A$2:$Q$13</definedName>
    <definedName name="Z_7EFDFE5E_5C16_4103_AC14_6D8995DE3665_.wvu.FilterData" localSheetId="0" hidden="1">Outbound_Monitor!$A$2:$W$3</definedName>
    <definedName name="Z_7F002DF9_096C_450D_980B_B9D0F5F47283_.wvu.FilterData" localSheetId="0" hidden="1">Outbound_Monitor!$A$2:$W$3</definedName>
    <definedName name="Z_7F00C409_1D17_41DE_8EE0_D95DA234F4FE_.wvu.FilterData" localSheetId="1" hidden="1">Inbound_Monitor!$A$2:$Q$2</definedName>
    <definedName name="Z_7F00C409_1D17_41DE_8EE0_D95DA234F4FE_.wvu.FilterData" localSheetId="0" hidden="1">Outbound_Monitor!$A$2:$W$2</definedName>
    <definedName name="Z_7F05A01F_55F4_4AC4_8029_1DBE2B865BDA_.wvu.FilterData" localSheetId="1" hidden="1">Inbound_Monitor!$A$2:$Q$2</definedName>
    <definedName name="Z_7F05A01F_55F4_4AC4_8029_1DBE2B865BDA_.wvu.FilterData" localSheetId="0" hidden="1">Outbound_Monitor!$A$2:$W$2</definedName>
    <definedName name="Z_7F0F08F0_D456_4020_B599_F95DBB6106C1_.wvu.FilterData" localSheetId="1" hidden="1">Inbound_Monitor!$A$2:$Q$13</definedName>
    <definedName name="Z_7F0F08F0_D456_4020_B599_F95DBB6106C1_.wvu.FilterData" localSheetId="0" hidden="1">Outbound_Monitor!$A$2:$W$3</definedName>
    <definedName name="Z_7F161E37_2B58_4A86_834B_4DDD3D4B28DC_.wvu.FilterData" localSheetId="1" hidden="1">Inbound_Monitor!$A$2:$Q$13</definedName>
    <definedName name="Z_7F2F8E16_83C1_4A37_8F98_856FAEAC6679_.wvu.FilterData" localSheetId="0" hidden="1">Outbound_Monitor!$A$2:$W$3</definedName>
    <definedName name="Z_7F30DBE0_176D_4227_9844_7709C5438F07_.wvu.FilterData" localSheetId="0" hidden="1">Outbound_Monitor!$A$2:$X$16</definedName>
    <definedName name="Z_7F48C472_C97E_4CE2_BCC8_6B97C5058888_.wvu.FilterData" localSheetId="0" hidden="1">Outbound_Monitor!$A$2:$W$3</definedName>
    <definedName name="Z_7F4ACB5A_8A64_4485_B98C_6DB1AA4B30E2_.wvu.FilterData" localSheetId="0" hidden="1">Outbound_Monitor!$A$2:$X$16</definedName>
    <definedName name="Z_7F5E2E01_3C49_4C12_B8A6_EB7E8672982F_.wvu.FilterData" localSheetId="1" hidden="1">Inbound_Monitor!$A$2:$Q$3</definedName>
    <definedName name="Z_7F630A09_75D4_4DDF_9F46_8345E8146744_.wvu.FilterData" localSheetId="0" hidden="1">Outbound_Monitor!$A$2:$W$3</definedName>
    <definedName name="Z_7F6E383E_7372_4CEB_9B5E_E8C625B0E013_.wvu.FilterData" localSheetId="0" hidden="1">Outbound_Monitor!$A$2:$W$3</definedName>
    <definedName name="Z_7F73C6F6_61CA_49CC_A2E4_24C5AD8E12A7_.wvu.FilterData" localSheetId="1" hidden="1">Inbound_Monitor!$A$2:$Q$3</definedName>
    <definedName name="Z_7F904558_7323_4BD1_A6BE_4AE7572A800C_.wvu.FilterData" localSheetId="1" hidden="1">Inbound_Monitor!$A$2:$Q$13</definedName>
    <definedName name="Z_7F98D1D3_59EA_4F69_B31F_4ACE2712451A_.wvu.FilterData" localSheetId="1" hidden="1">Inbound_Monitor!$A$2:$Q$13</definedName>
    <definedName name="Z_7FAFDF12_446A_48AB_8B78_8F5198B6062E_.wvu.FilterData" localSheetId="0" hidden="1">Outbound_Monitor!$A$2:$W$3</definedName>
    <definedName name="Z_7FD6D8EC_843F_4CA4_926C_6A9F733E17B2_.wvu.FilterData" localSheetId="0" hidden="1">Outbound_Monitor!$A$2:$W$3</definedName>
    <definedName name="Z_7FD7DCB7_0D02_4BF0_A2A6_F04AB46E52D7_.wvu.FilterData" localSheetId="1" hidden="1">Inbound_Monitor!$A$2:$Q$13</definedName>
    <definedName name="Z_7FE7C48F_B39F_4733_9715_DF5AFEA0B26F_.wvu.FilterData" localSheetId="0" hidden="1">Outbound_Monitor!$A$2:$W$3</definedName>
    <definedName name="Z_7FF90DB8_DC6B_4A19_9AEA_A67D4F954EF7_.wvu.FilterData" localSheetId="0" hidden="1">Outbound_Monitor!$A$2:$W$3</definedName>
    <definedName name="Z_7FFAF187_724E_4207_B981_552F56E99B84_.wvu.FilterData" localSheetId="0" hidden="1">Outbound_Monitor!$A$2:$W$3</definedName>
    <definedName name="Z_7FFD6484_6A0F_4523_99A5_31AB925BF0BC_.wvu.FilterData" localSheetId="1" hidden="1">Inbound_Monitor!$A$2:$Q$3</definedName>
    <definedName name="Z_80067A31_447F_4DB2_A458_2CF87546A3D2_.wvu.FilterData" localSheetId="1" hidden="1">Inbound_Monitor!$A$2:$Q$3</definedName>
    <definedName name="Z_800C3C51_BEA4_497E_AA4F_935412B6DFDB_.wvu.FilterData" localSheetId="1" hidden="1">Inbound_Monitor!$A$2:$Q$3</definedName>
    <definedName name="Z_80145823_59F1_44B8_AA2C_220CD1E3C2FF_.wvu.FilterData" localSheetId="1" hidden="1">Inbound_Monitor!$A$2:$Q$3</definedName>
    <definedName name="Z_8026CF7B_55C7_412F_ABD4_9EF9AEEBD67E_.wvu.FilterData" localSheetId="0" hidden="1">Outbound_Monitor!$A$2:$W$3</definedName>
    <definedName name="Z_8035AE51_4322_4B7D_A127_F4D4006F224F_.wvu.FilterData" localSheetId="1" hidden="1">Inbound_Monitor!$A$2:$Q$13</definedName>
    <definedName name="Z_803B17F9_E824_4235_956B_A3401179E04D_.wvu.FilterData" localSheetId="0" hidden="1">Outbound_Monitor!$A$2:$X$16</definedName>
    <definedName name="Z_803C2020_B12C_4DA8_A022_A4169D9BBB24_.wvu.FilterData" localSheetId="1" hidden="1">Inbound_Monitor!$A$2:$Q$3</definedName>
    <definedName name="Z_803C2020_B12C_4DA8_A022_A4169D9BBB24_.wvu.FilterData" localSheetId="0" hidden="1">Outbound_Monitor!$A$2:$W$3</definedName>
    <definedName name="Z_80403E85_87E1_4F06_91E6_38111D12C90E_.wvu.FilterData" localSheetId="0" hidden="1">Outbound_Monitor!$A$2:$W$3</definedName>
    <definedName name="Z_8041628B_BB76_45A1_98F4_732EBFFE85D6_.wvu.FilterData" localSheetId="0" hidden="1">Outbound_Monitor!$A$2:$X$16</definedName>
    <definedName name="Z_8047D1B2_5D68_432C_8ADB_11D18DDF8869_.wvu.FilterData" localSheetId="1" hidden="1">Inbound_Monitor!$A$2:$Q$3</definedName>
    <definedName name="Z_804B841E_774F_42B2_B32B_98537E88687E_.wvu.FilterData" localSheetId="1" hidden="1">Inbound_Monitor!$A$2:$Q$13</definedName>
    <definedName name="Z_804B841E_774F_42B2_B32B_98537E88687E_.wvu.FilterData" localSheetId="0" hidden="1">Outbound_Monitor!$A$2:$W$3</definedName>
    <definedName name="Z_804EAB1C_941F_4C3E_9F43_FE180F7FF307_.wvu.FilterData" localSheetId="1" hidden="1">Inbound_Monitor!$A$2:$Q$2</definedName>
    <definedName name="Z_804EAB1C_941F_4C3E_9F43_FE180F7FF307_.wvu.FilterData" localSheetId="0" hidden="1">Outbound_Monitor!$A$2:$W$2</definedName>
    <definedName name="Z_805D7447_ED19_4A16_A0AD_3D3C91525E9B_.wvu.FilterData" localSheetId="0" hidden="1">Outbound_Monitor!$A$2:$W$3</definedName>
    <definedName name="Z_806B9BEA_8749_4C70_A432_37762781FDB6_.wvu.FilterData" localSheetId="1" hidden="1">Inbound_Monitor!$A$2:$Q$3</definedName>
    <definedName name="Z_806B9BEA_8749_4C70_A432_37762781FDB6_.wvu.FilterData" localSheetId="4" hidden="1">Schichtübergabe_Protokoll!$B$3:$N$3</definedName>
    <definedName name="Z_806DB86F_B3D6_41BA_9326_23B8A7AE4C86_.wvu.FilterData" localSheetId="1" hidden="1">Inbound_Monitor!$A$2:$Q$13</definedName>
    <definedName name="Z_8076CAA7_5C13_44EC_A264_8F10239C732E_.wvu.FilterData" localSheetId="1" hidden="1">Inbound_Monitor!$A$2:$Q$13</definedName>
    <definedName name="Z_8076CAA7_5C13_44EC_A264_8F10239C732E_.wvu.FilterData" localSheetId="0" hidden="1">Outbound_Monitor!$A$2:$W$3</definedName>
    <definedName name="Z_8077A786_20A9_411D_BBB4_C13F7204529A_.wvu.FilterData" localSheetId="0" hidden="1">Outbound_Monitor!$A$2:$W$3</definedName>
    <definedName name="Z_8086C1C1_5F74_4590_9AEE_F98397499856_.wvu.FilterData" localSheetId="1" hidden="1">Inbound_Monitor!$A$2:$Q$3</definedName>
    <definedName name="Z_8086C1C1_5F74_4590_9AEE_F98397499856_.wvu.FilterData" localSheetId="0" hidden="1">Outbound_Monitor!$A$2:$W$3</definedName>
    <definedName name="Z_809787E2_A942_49A6_9185_EEE959BC527F_.wvu.FilterData" localSheetId="1" hidden="1">Inbound_Monitor!$A$2:$Q$3</definedName>
    <definedName name="Z_809E40C8_4BB7_4F22_9520_9D715F990883_.wvu.FilterData" localSheetId="1" hidden="1">Inbound_Monitor!$A$2:$Q$2</definedName>
    <definedName name="Z_809E40C8_4BB7_4F22_9520_9D715F990883_.wvu.FilterData" localSheetId="0" hidden="1">Outbound_Monitor!$A$2:$W$2</definedName>
    <definedName name="Z_80A899DB_CB1D_4BB7_9921_2CEBE247353D_.wvu.FilterData" localSheetId="4" hidden="1">Schichtübergabe_Protokoll!$B$3:$N$3</definedName>
    <definedName name="Z_80A90680_F51C_4E3D_B5B9_91F3DD238262_.wvu.FilterData" localSheetId="1" hidden="1">Inbound_Monitor!$A$2:$Q$3</definedName>
    <definedName name="Z_80AEE467_B9B8_495E_9D91_8EE254EF61CA_.wvu.FilterData" localSheetId="0" hidden="1">Outbound_Monitor!$A$2:$X$16</definedName>
    <definedName name="Z_80B8955E_A949_4E14_9C86_91CA4B8DFCA2_.wvu.FilterData" localSheetId="0" hidden="1">Outbound_Monitor!$A$2:$W$3</definedName>
    <definedName name="Z_80BE19B8_E122_4C63_A199_617D0F785ED5_.wvu.FilterData" localSheetId="1" hidden="1">Inbound_Monitor!$A$2:$Q$13</definedName>
    <definedName name="Z_80BE19B8_E122_4C63_A199_617D0F785ED5_.wvu.FilterData" localSheetId="0" hidden="1">Outbound_Monitor!$A$2:$X$16</definedName>
    <definedName name="Z_80BE72DC_8C74_41FC_9C1E_4A5DA1A5D5C7_.wvu.FilterData" localSheetId="0" hidden="1">Outbound_Monitor!$A$2:$W$3</definedName>
    <definedName name="Z_80EBB951_63A4_4A35_B707_8A0EA1335699_.wvu.FilterData" localSheetId="0" hidden="1">Outbound_Monitor!$A$2:$W$3</definedName>
    <definedName name="Z_8105AB01_C447_4ED5_8D82_9D69ED6A2285_.wvu.FilterData" localSheetId="0" hidden="1">Outbound_Monitor!$A$2:$W$3</definedName>
    <definedName name="Z_8111FF3D_B8BC_450A_82BD_CCB2662860EA_.wvu.FilterData" localSheetId="0" hidden="1">Outbound_Monitor!$A$2:$X$16</definedName>
    <definedName name="Z_8121A809_ADFB_4125_92C3_0DCEC3419892_.wvu.FilterData" localSheetId="0" hidden="1">Outbound_Monitor!$A$2:$W$3</definedName>
    <definedName name="Z_812390B1_A816_4A74_A7CB_F395618FAFA5_.wvu.FilterData" localSheetId="1" hidden="1">Inbound_Monitor!$A$2:$Q$3</definedName>
    <definedName name="Z_8138D694_2B53_42EC_9C32_D815402EE393_.wvu.FilterData" localSheetId="1" hidden="1">Inbound_Monitor!$A$2:$Q$2</definedName>
    <definedName name="Z_8138D694_2B53_42EC_9C32_D815402EE393_.wvu.FilterData" localSheetId="0" hidden="1">Outbound_Monitor!$A$2:$W$2</definedName>
    <definedName name="Z_813D2D9B_7108_4952_B26C_0A240F4C6E74_.wvu.FilterData" localSheetId="1" hidden="1">Inbound_Monitor!$A$2:$Q$3</definedName>
    <definedName name="Z_813D2D9B_7108_4952_B26C_0A240F4C6E74_.wvu.FilterData" localSheetId="0" hidden="1">Outbound_Monitor!$A$2:$W$3</definedName>
    <definedName name="Z_81503B63_BBFC_438B_8E9A_01DC82209BB1_.wvu.FilterData" localSheetId="0" hidden="1">Outbound_Monitor!$A$2:$W$3</definedName>
    <definedName name="Z_815AC345_E8D3_40D9_A3C8_00954370C16B_.wvu.FilterData" localSheetId="0" hidden="1">Outbound_Monitor!$A$2:$W$3</definedName>
    <definedName name="Z_816755ED_8EC5_4E6F_BBBA_9043FCC30401_.wvu.FilterData" localSheetId="0" hidden="1">Outbound_Monitor!$A$2:$W$3</definedName>
    <definedName name="Z_8168F449_AEE1_40C2_B66B_013BB0CACCA2_.wvu.FilterData" localSheetId="0" hidden="1">Outbound_Monitor!$A$2:$W$3</definedName>
    <definedName name="Z_8170854D_232B_40F1_98DB_824738D1A5C9_.wvu.FilterData" localSheetId="0" hidden="1">Outbound_Monitor!$A$2:$W$3</definedName>
    <definedName name="Z_81985902_B9E1_4F93_91B9_8009D5F6F44D_.wvu.FilterData" localSheetId="0" hidden="1">Outbound_Monitor!$A$2:$W$3</definedName>
    <definedName name="Z_81985902_B9E1_4F93_91B9_8009D5F6F44D_.wvu.FilterData" localSheetId="4" hidden="1">Schichtübergabe_Protokoll!$B$3:$N$3</definedName>
    <definedName name="Z_81996C93_882B_4E46_A11B_8DF877CBDFDA_.wvu.FilterData" localSheetId="0" hidden="1">Outbound_Monitor!$A$2:$X$16</definedName>
    <definedName name="Z_81A88E9B_6953_4C1D_8E7D_9888CDC8C720_.wvu.FilterData" localSheetId="1" hidden="1">Inbound_Monitor!$A$2:$Q$13</definedName>
    <definedName name="Z_81A88E9B_6953_4C1D_8E7D_9888CDC8C720_.wvu.FilterData" localSheetId="0" hidden="1">Outbound_Monitor!$A$2:$X$16</definedName>
    <definedName name="Z_81BA1187_955D_46E0_9624_1A870BE9CF8F_.wvu.FilterData" localSheetId="0" hidden="1">Outbound_Monitor!$A$2:$X$16</definedName>
    <definedName name="Z_81BCDB8A_1924_4AA1_84A0_184984B1C9D0_.wvu.FilterData" localSheetId="1" hidden="1">Inbound_Monitor!$A$2:$Q$2</definedName>
    <definedName name="Z_81BCDB8A_1924_4AA1_84A0_184984B1C9D0_.wvu.FilterData" localSheetId="0" hidden="1">Outbound_Monitor!$A$2:$W$2</definedName>
    <definedName name="Z_81CBD878_DD16_488B_9DAC_354262F2D207_.wvu.FilterData" localSheetId="0" hidden="1">Outbound_Monitor!$A$2:$W$3</definedName>
    <definedName name="Z_81F2667D_DE8C_4D66_8A13_0D5936A5E22C_.wvu.FilterData" localSheetId="0" hidden="1">Outbound_Monitor!$A$2:$W$3</definedName>
    <definedName name="Z_81F406F2_9B7A_4FEF_9EAB_54ABC005E17C_.wvu.FilterData" localSheetId="0" hidden="1">Outbound_Monitor!$A$2:$W$3</definedName>
    <definedName name="Z_81F844D9_0A9A_4262_BA70_549D731990CF_.wvu.FilterData" localSheetId="1" hidden="1">Inbound_Monitor!$A$2:$Q$3</definedName>
    <definedName name="Z_81F844D9_0A9A_4262_BA70_549D731990CF_.wvu.FilterData" localSheetId="0" hidden="1">Outbound_Monitor!$A$2:$W$3</definedName>
    <definedName name="Z_8202A0D8_C58E_444A_8F6E_D7DA63C0ECAB_.wvu.FilterData" localSheetId="1" hidden="1">Inbound_Monitor!$A$2:$Q$3</definedName>
    <definedName name="Z_8202A0D8_C58E_444A_8F6E_D7DA63C0ECAB_.wvu.FilterData" localSheetId="0" hidden="1">Outbound_Monitor!$A$2:$W$3</definedName>
    <definedName name="Z_820E9C3E_2CD4_4F80_9D90_98EA8A0772F4_.wvu.FilterData" localSheetId="0" hidden="1">Outbound_Monitor!$A$2:$W$3</definedName>
    <definedName name="Z_8211C768_AB5F_4823_8EE0_620F0FFE990C_.wvu.FilterData" localSheetId="1" hidden="1">Inbound_Monitor!$A$2:$Q$13</definedName>
    <definedName name="Z_8211C768_AB5F_4823_8EE0_620F0FFE990C_.wvu.FilterData" localSheetId="0" hidden="1">Outbound_Monitor!$A$2:$X$16</definedName>
    <definedName name="Z_821B8E6C_02D8_43FE_98DA_3485540BD830_.wvu.FilterData" localSheetId="1" hidden="1">Inbound_Monitor!$A$2:$Q$13</definedName>
    <definedName name="Z_821B8E6C_02D8_43FE_98DA_3485540BD830_.wvu.FilterData" localSheetId="0" hidden="1">Outbound_Monitor!$A$2:$X$16</definedName>
    <definedName name="Z_821BF5AA_5179_48F8_AE9C_F39B24EFE4CF_.wvu.FilterData" localSheetId="0" hidden="1">Outbound_Monitor!$A$2:$W$3</definedName>
    <definedName name="Z_8237750C_07DF_4BA7_B0EF_3CC0D9CF3348_.wvu.FilterData" localSheetId="0" hidden="1">Outbound_Monitor!$A$2:$W$3</definedName>
    <definedName name="Z_8239A91A_0EAE_4EC5_8B8A_110CCD14BAFC_.wvu.FilterData" localSheetId="0" hidden="1">Outbound_Monitor!$A$2:$W$3</definedName>
    <definedName name="Z_8278CE2C_C789_4371_B88B_3EAD67490130_.wvu.FilterData" localSheetId="0" hidden="1">Outbound_Monitor!#REF!</definedName>
    <definedName name="Z_828E4F3F_8D1D_44F7_BCA2_5F261043771F_.wvu.FilterData" localSheetId="1" hidden="1">Inbound_Monitor!$A$2:$Q$13</definedName>
    <definedName name="Z_828E4F3F_8D1D_44F7_BCA2_5F261043771F_.wvu.FilterData" localSheetId="0" hidden="1">Outbound_Monitor!$A$2:$X$16</definedName>
    <definedName name="Z_828FA8C6_103E_4E5A_91CC_4424B85AD4BC_.wvu.FilterData" localSheetId="1" hidden="1">Inbound_Monitor!$A$2:$Q$3</definedName>
    <definedName name="Z_82A0D27A_BC3D_403C_8F47_03BC70810404_.wvu.FilterData" localSheetId="0" hidden="1">Outbound_Monitor!$A$2:$W$3</definedName>
    <definedName name="Z_82A9C533_B666_4BE3_AE7E_D1EEB80A6355_.wvu.FilterData" localSheetId="0" hidden="1">Outbound_Monitor!$A$2:$W$3</definedName>
    <definedName name="Z_82AE5F43_63FD_4EB3_BDD2_EF5D938EC9A8_.wvu.FilterData" localSheetId="1" hidden="1">Inbound_Monitor!$A$2:$Q$13</definedName>
    <definedName name="Z_82AE5F43_63FD_4EB3_BDD2_EF5D938EC9A8_.wvu.FilterData" localSheetId="0" hidden="1">Outbound_Monitor!$A$2:$W$3</definedName>
    <definedName name="Z_82B3D59F_EDDE_417C_BE56_12D753D71C91_.wvu.FilterData" localSheetId="0" hidden="1">Outbound_Monitor!$A$2:$W$3</definedName>
    <definedName name="Z_82B5B159_B125_40D2_9D95_E4F38CBFF107_.wvu.FilterData" localSheetId="1" hidden="1">Inbound_Monitor!$A$2:$Q$2</definedName>
    <definedName name="Z_82B5B159_B125_40D2_9D95_E4F38CBFF107_.wvu.FilterData" localSheetId="0" hidden="1">Outbound_Monitor!$A$2:$W$2</definedName>
    <definedName name="Z_82B8AA8E_DFBF_453A_8A66_A6429EE3B00B_.wvu.FilterData" localSheetId="0" hidden="1">Outbound_Monitor!$A$2:$X$16</definedName>
    <definedName name="Z_82C07F5F_A91C_4C54_977C_C608CBA2A5BB_.wvu.FilterData" localSheetId="1" hidden="1">Inbound_Monitor!$A$2:$Q$2</definedName>
    <definedName name="Z_82C07F5F_A91C_4C54_977C_C608CBA2A5BB_.wvu.FilterData" localSheetId="0" hidden="1">Outbound_Monitor!$A$2:$W$2</definedName>
    <definedName name="Z_82C56438_E8C6_4458_A71C_2072BB240C00_.wvu.FilterData" localSheetId="1" hidden="1">Inbound_Monitor!$A$2:$Q$13</definedName>
    <definedName name="Z_82C56438_E8C6_4458_A71C_2072BB240C00_.wvu.FilterData" localSheetId="0" hidden="1">Outbound_Monitor!$A$2:$W$3</definedName>
    <definedName name="Z_82D1AAB5_DA50_4EAC_8B50_350A7CC5BAC5_.wvu.FilterData" localSheetId="1" hidden="1">Inbound_Monitor!$A$2:$Q$3</definedName>
    <definedName name="Z_82E384FE_FF29_4139_BEA8_7B7794B62BB4_.wvu.FilterData" localSheetId="0" hidden="1">Outbound_Monitor!$A$2:$W$3</definedName>
    <definedName name="Z_82FB1493_F985_4139_873D_3E31F1B18BAB_.wvu.FilterData" localSheetId="0" hidden="1">Outbound_Monitor!$A$2:$X$16</definedName>
    <definedName name="Z_83084E3E_9B06_4E67_A804_D35E58C1BD51_.wvu.FilterData" localSheetId="1" hidden="1">Inbound_Monitor!$A$2:$Q$3</definedName>
    <definedName name="Z_83107FAC_2EAB_435B_9446_1AD1D1A892FB_.wvu.FilterData" localSheetId="0" hidden="1">Outbound_Monitor!$A$2:$W$3</definedName>
    <definedName name="Z_83222508_5858_4B2C_96A7_D0665ABDB8B3_.wvu.FilterData" localSheetId="0" hidden="1">Outbound_Monitor!$A$2:$W$3</definedName>
    <definedName name="Z_8323007D_F4E1_4CC9_800E_E95EDBC54FD1_.wvu.FilterData" localSheetId="1" hidden="1">Inbound_Monitor!$A$2:$Q$13</definedName>
    <definedName name="Z_8323007D_F4E1_4CC9_800E_E95EDBC54FD1_.wvu.FilterData" localSheetId="0" hidden="1">Outbound_Monitor!$A$2:$X$16</definedName>
    <definedName name="Z_832A76CC_3F64_43D8_B118_72CBCC706361_.wvu.FilterData" localSheetId="1" hidden="1">Inbound_Monitor!$A$2:$Q$3</definedName>
    <definedName name="Z_832A76CC_3F64_43D8_B118_72CBCC706361_.wvu.FilterData" localSheetId="0" hidden="1">Outbound_Monitor!$A$2:$W$3</definedName>
    <definedName name="Z_83401AC4_5BF5_494E_AFB9_B24DC1E915B2_.wvu.FilterData" localSheetId="0" hidden="1">Outbound_Monitor!$A$2:$X$16</definedName>
    <definedName name="Z_8343BD1A_93E0_485E_9320_4A9B0F646F7F_.wvu.FilterData" localSheetId="1" hidden="1">Inbound_Monitor!$A$2:$Q$13</definedName>
    <definedName name="Z_834E0932_BBB6_4688_932E_840B0EDCC08C_.wvu.FilterData" localSheetId="0" hidden="1">Outbound_Monitor!$A$2:$W$3</definedName>
    <definedName name="Z_83569BFD_4545_4FE6_A8BA_66E20CEE9C0B_.wvu.FilterData" localSheetId="0" hidden="1">Outbound_Monitor!$A$2:$W$3</definedName>
    <definedName name="Z_83665108_1825_4610_8ECB_5D4FB1256BCF_.wvu.FilterData" localSheetId="0" hidden="1">Outbound_Monitor!$A$2:$W$3</definedName>
    <definedName name="Z_836C10CB_391C_45D6_AF24_039A11F8A15C_.wvu.FilterData" localSheetId="1" hidden="1">Inbound_Monitor!$A$2:$Q$3</definedName>
    <definedName name="Z_83866291_705E_4367_B7F4_136FF4FAFD90_.wvu.FilterData" localSheetId="1" hidden="1">Inbound_Monitor!$A$2:$Q$13</definedName>
    <definedName name="Z_83866291_705E_4367_B7F4_136FF4FAFD90_.wvu.FilterData" localSheetId="0" hidden="1">Outbound_Monitor!$A$2:$W$3</definedName>
    <definedName name="Z_8392B8F3_B1FE_4F57_B6E3_56B735FBB8FD_.wvu.FilterData" localSheetId="1" hidden="1">Inbound_Monitor!$A$2:$Q$13</definedName>
    <definedName name="Z_8392B8F3_B1FE_4F57_B6E3_56B735FBB8FD_.wvu.FilterData" localSheetId="0" hidden="1">Outbound_Monitor!$A$2:$W$3</definedName>
    <definedName name="Z_8396A245_A4CB_4CE8_9C1F_B65A7E9727BF_.wvu.FilterData" localSheetId="1" hidden="1">Inbound_Monitor!$A$2:$Q$13</definedName>
    <definedName name="Z_83ACB612_239F_4CFC_8C22_C9410FBCD8AC_.wvu.FilterData" localSheetId="0" hidden="1">Outbound_Monitor!$A$2:$W$3</definedName>
    <definedName name="Z_83ADA23B_3D14_4811_AA8B_10C42B667F35_.wvu.FilterData" localSheetId="0" hidden="1">Outbound_Monitor!$A$2:$X$16</definedName>
    <definedName name="Z_83B98BDB_D967_46B2_AC09_BC288AF8CAF9_.wvu.FilterData" localSheetId="1" hidden="1">Inbound_Monitor!$A$2:$Q$3</definedName>
    <definedName name="Z_83B98BDB_D967_46B2_AC09_BC288AF8CAF9_.wvu.FilterData" localSheetId="0" hidden="1">Outbound_Monitor!$A$2:$W$3</definedName>
    <definedName name="Z_83CB5984_BF1E_434F_84AB_9124E3E0A2D5_.wvu.FilterData" localSheetId="0" hidden="1">Outbound_Monitor!$A$2:$W$3</definedName>
    <definedName name="Z_83CB5984_BF1E_434F_84AB_9124E3E0A2D5_.wvu.FilterData" localSheetId="4" hidden="1">Schichtübergabe_Protokoll!$B$3:$N$3</definedName>
    <definedName name="Z_83D4EC4C_E41C_4124_8954_EE03BCE548BE_.wvu.FilterData" localSheetId="1" hidden="1">Inbound_Monitor!$A$2:$Q$13</definedName>
    <definedName name="Z_83D4EC4C_E41C_4124_8954_EE03BCE548BE_.wvu.FilterData" localSheetId="0" hidden="1">Outbound_Monitor!$A$2:$W$3</definedName>
    <definedName name="Z_83E0CC01_A38E_40DD_A227_CCFE8014583B_.wvu.FilterData" localSheetId="1" hidden="1">Inbound_Monitor!$A$2:$Q$3</definedName>
    <definedName name="Z_83E0CC01_A38E_40DD_A227_CCFE8014583B_.wvu.FilterData" localSheetId="0" hidden="1">Outbound_Monitor!$A$2:$W$3</definedName>
    <definedName name="Z_83E113F5_D1E4_42BE_93DF_58CB99C42200_.wvu.FilterData" localSheetId="0" hidden="1">Outbound_Monitor!$A$2:$W$3</definedName>
    <definedName name="Z_83E293AD_813C_48D4_836E_466695318D7C_.wvu.FilterData" localSheetId="0" hidden="1">Outbound_Monitor!$A$2:$W$3</definedName>
    <definedName name="Z_83E3BFB5_98EC_4A61_9A54_40DC4B8D13EF_.wvu.FilterData" localSheetId="1" hidden="1">Inbound_Monitor!$A$2:$Q$3</definedName>
    <definedName name="Z_83E3BFB5_98EC_4A61_9A54_40DC4B8D13EF_.wvu.FilterData" localSheetId="0" hidden="1">Outbound_Monitor!$A$2:$W$3</definedName>
    <definedName name="Z_83E3BFB5_98EC_4A61_9A54_40DC4B8D13EF_.wvu.FilterData" localSheetId="4" hidden="1">Schichtübergabe_Protokoll!$B$3:$N$3</definedName>
    <definedName name="Z_83E4ABAF_32B6_4CEE_B560_62BEBE525023_.wvu.FilterData" localSheetId="1" hidden="1">Inbound_Monitor!$A$2:$Q$13</definedName>
    <definedName name="Z_83E4ABAF_32B6_4CEE_B560_62BEBE525023_.wvu.FilterData" localSheetId="0" hidden="1">Outbound_Monitor!$A$2:$W$3</definedName>
    <definedName name="Z_83F528CF_0EB0_448F_A134_FC0A4AE93D61_.wvu.FilterData" localSheetId="1" hidden="1">Inbound_Monitor!$A$2:$Q$13</definedName>
    <definedName name="Z_83F528CF_0EB0_448F_A134_FC0A4AE93D61_.wvu.FilterData" localSheetId="0" hidden="1">Outbound_Monitor!$A$2:$W$3</definedName>
    <definedName name="Z_83F528CF_0EB0_448F_A134_FC0A4AE93D61_.wvu.FilterData" localSheetId="4" hidden="1">Schichtübergabe_Protokoll!$B$3:$N$3</definedName>
    <definedName name="Z_83F8286D_2281_410B_90C9_BBDF7AFC06A5_.wvu.FilterData" localSheetId="0" hidden="1">Outbound_Monitor!$A$2:$W$3</definedName>
    <definedName name="Z_840D66EB_B7DA_4DB4_8214_224C35825C7C_.wvu.FilterData" localSheetId="0" hidden="1">Outbound_Monitor!$A$2:$W$3</definedName>
    <definedName name="Z_84157093_D7CF_4A2F_B671_325556413EF8_.wvu.FilterData" localSheetId="1" hidden="1">Inbound_Monitor!$A$2:$Q$3</definedName>
    <definedName name="Z_8417EE29_4D67_4424_99FB_0D720FC63098_.wvu.FilterData" localSheetId="1" hidden="1">Inbound_Monitor!$A$2:$Q$2</definedName>
    <definedName name="Z_8417EE29_4D67_4424_99FB_0D720FC63098_.wvu.FilterData" localSheetId="0" hidden="1">Outbound_Monitor!$A$2:$W$2</definedName>
    <definedName name="Z_841CB91D_F303_4F12_8842_67CF3D31BAFB_.wvu.FilterData" localSheetId="0" hidden="1">Outbound_Monitor!$A$2:$W$3</definedName>
    <definedName name="Z_841DD5A6_A57C_453F_A55A_75EF84BFD8AD_.wvu.FilterData" localSheetId="1" hidden="1">Inbound_Monitor!$A$2:$Q$3</definedName>
    <definedName name="Z_84245C25_ABE9_453C_92E2_82184CEAC61F_.wvu.FilterData" localSheetId="0" hidden="1">Outbound_Monitor!$A$2:$W$3</definedName>
    <definedName name="Z_842A55F4_E558_4A44_BC58_9127723981E6_.wvu.FilterData" localSheetId="1" hidden="1">Inbound_Monitor!$A$2:$Q$3</definedName>
    <definedName name="Z_842A55F4_E558_4A44_BC58_9127723981E6_.wvu.FilterData" localSheetId="0" hidden="1">Outbound_Monitor!$A$2:$W$3</definedName>
    <definedName name="Z_842CE6C3_A3BA_45F9_A467_7C63F0D70EDB_.wvu.FilterData" localSheetId="4" hidden="1">Schichtübergabe_Protokoll!$B$3:$N$3</definedName>
    <definedName name="Z_8441FC64_D245_4E60_B782_CDAEB01C0BA6_.wvu.FilterData" localSheetId="0" hidden="1">Outbound_Monitor!$A$2:$W$3</definedName>
    <definedName name="Z_844D943B_42F0_423A_ACE2_DF1012B01273_.wvu.FilterData" localSheetId="1" hidden="1">Inbound_Monitor!$A$2:$Q$3</definedName>
    <definedName name="Z_845A9F01_D2A0_482C_9C09_791A014AAEBB_.wvu.FilterData" localSheetId="4" hidden="1">Schichtübergabe_Protokoll!$B$3:$N$3</definedName>
    <definedName name="Z_8475CF64_83BB_42C4_A7FD_C44EC4623F44_.wvu.FilterData" localSheetId="0" hidden="1">Outbound_Monitor!$A$2:$W$3</definedName>
    <definedName name="Z_84823CE7_3DEB_4EDF_8D0A_E8D9C0FB8865_.wvu.FilterData" localSheetId="1" hidden="1">Inbound_Monitor!$A$2:$Q$3</definedName>
    <definedName name="Z_848985E1_FAB5_4F6C_9BD6_453F9D1C5E8B_.wvu.FilterData" localSheetId="1" hidden="1">Inbound_Monitor!$A$2:$Q$13</definedName>
    <definedName name="Z_848985E1_FAB5_4F6C_9BD6_453F9D1C5E8B_.wvu.FilterData" localSheetId="0" hidden="1">Outbound_Monitor!$A$2:$W$3</definedName>
    <definedName name="Z_848C68A8_20EE_4D21_812E_6B1F1315EB65_.wvu.FilterData" localSheetId="1" hidden="1">Inbound_Monitor!$A$2:$Q$2</definedName>
    <definedName name="Z_848C68A8_20EE_4D21_812E_6B1F1315EB65_.wvu.FilterData" localSheetId="0" hidden="1">Outbound_Monitor!$A$2:$W$2</definedName>
    <definedName name="Z_848D1506_F46B_40E8_830D_D7641FD42870_.wvu.FilterData" localSheetId="1" hidden="1">Inbound_Monitor!$A$2:$Q$3</definedName>
    <definedName name="Z_84974278_A230_44BD_9E34_B36E71400839_.wvu.FilterData" localSheetId="0" hidden="1">Outbound_Monitor!$A$2:$W$3</definedName>
    <definedName name="Z_849AF717_4468_4DFC_869A_DFDFF06CD7B8_.wvu.FilterData" localSheetId="1" hidden="1">Inbound_Monitor!$A$2:$Q$2</definedName>
    <definedName name="Z_849AF717_4468_4DFC_869A_DFDFF06CD7B8_.wvu.FilterData" localSheetId="0" hidden="1">Outbound_Monitor!$A$2:$W$2</definedName>
    <definedName name="Z_84A46625_1B25_4373_BC65_788E886074DF_.wvu.FilterData" localSheetId="0" hidden="1">Outbound_Monitor!$A$2:$W$3</definedName>
    <definedName name="Z_84A64544_1688_423B_AEC9_4D7BEA2D1281_.wvu.FilterData" localSheetId="0" hidden="1">Outbound_Monitor!$A$2:$W$3</definedName>
    <definedName name="Z_84B4F451_766C_4F28_BEA1_87547E9267BB_.wvu.FilterData" localSheetId="0" hidden="1">Outbound_Monitor!$A$2:$W$3</definedName>
    <definedName name="Z_84C40D08_0AA2_4969_82B6_7320AA6FC46F_.wvu.FilterData" localSheetId="0" hidden="1">Outbound_Monitor!$A$2:$W$3</definedName>
    <definedName name="Z_84C9CEEF_0CE4_4F78_A49F_6FF4852B02A4_.wvu.FilterData" localSheetId="1" hidden="1">Inbound_Monitor!$A$2:$Q$3</definedName>
    <definedName name="Z_84CD832B_B691_4F28_8597_2F1A3AFA7138_.wvu.FilterData" localSheetId="0" hidden="1">Outbound_Monitor!$A$2:$W$3</definedName>
    <definedName name="Z_84D330AD_E2B0_46CD_BC82_577B9296861D_.wvu.FilterData" localSheetId="0" hidden="1">Outbound_Monitor!$A$2:$W$3</definedName>
    <definedName name="Z_84D82B52_C3E9_4791_8648_F1D708B4A26D_.wvu.FilterData" localSheetId="1" hidden="1">Inbound_Monitor!$A$2:$Q$3</definedName>
    <definedName name="Z_84EDB83B_FF14_4EE0_BB70_E2A1EB3052D4_.wvu.FilterData" localSheetId="0" hidden="1">Outbound_Monitor!$A$2:$W$3</definedName>
    <definedName name="Z_84F0F8D8_CAC5_4505_82CC_332F53248303_.wvu.FilterData" localSheetId="0" hidden="1">Outbound_Monitor!$A$2:$W$3</definedName>
    <definedName name="Z_84F9830F_B9B6_4D5F_9D20_9F37FD8575BA_.wvu.FilterData" localSheetId="0" hidden="1">Outbound_Monitor!$A$2:$W$3</definedName>
    <definedName name="Z_84FA02E2_8B40_4135_8F2C_7715EED66BCC_.wvu.FilterData" localSheetId="1" hidden="1">Inbound_Monitor!$A$2:$Q$13</definedName>
    <definedName name="Z_85038950_AD38_464C_8B22_9EE34112347C_.wvu.FilterData" localSheetId="0" hidden="1">Outbound_Monitor!$A$2:$X$16</definedName>
    <definedName name="Z_8508249F_EB7A_4E94_9E33_366D540BC035_.wvu.FilterData" localSheetId="0" hidden="1">Outbound_Monitor!$A$2:$W$3</definedName>
    <definedName name="Z_851248CE_4876_46CA_A2C0_E0E4D8D1FBEF_.wvu.FilterData" localSheetId="1" hidden="1">Inbound_Monitor!$A$2:$Q$2</definedName>
    <definedName name="Z_851248CE_4876_46CA_A2C0_E0E4D8D1FBEF_.wvu.FilterData" localSheetId="0" hidden="1">Outbound_Monitor!$A$2:$W$2</definedName>
    <definedName name="Z_851AB138_6A56_4A58_BEB7_A178EA2DB876_.wvu.FilterData" localSheetId="1" hidden="1">Inbound_Monitor!$A$2:$Q$3</definedName>
    <definedName name="Z_85304603_99C9_4E7E_9409_E3559F38631C_.wvu.FilterData" localSheetId="0" hidden="1">Outbound_Monitor!$A$2:$W$3</definedName>
    <definedName name="Z_85314048_B9FA_4598_A6A7_05CD44651527_.wvu.FilterData" localSheetId="1" hidden="1">Inbound_Monitor!$A$2:$Q$3</definedName>
    <definedName name="Z_8536AF58_899F_4EB2_B3BF_48F9D4725C94_.wvu.FilterData" localSheetId="1" hidden="1">Inbound_Monitor!$A$2:$Q$3</definedName>
    <definedName name="Z_8536AF58_899F_4EB2_B3BF_48F9D4725C94_.wvu.FilterData" localSheetId="0" hidden="1">Outbound_Monitor!$A$2:$W$3</definedName>
    <definedName name="Z_853E1F95_F310_4CD2_A463_7E76C20447D9_.wvu.FilterData" localSheetId="0" hidden="1">Outbound_Monitor!$A$2:$W$3</definedName>
    <definedName name="Z_8542A38F_2CFA_4B3C_B3BE_1D22A84925DB_.wvu.FilterData" localSheetId="0" hidden="1">Outbound_Monitor!$A$2:$W$3</definedName>
    <definedName name="Z_856BDFF6_36CD_4C2A_8502_2DB8F4752DB0_.wvu.FilterData" localSheetId="0" hidden="1">Outbound_Monitor!$A$2:$W$3</definedName>
    <definedName name="Z_8575574E_2CB8_48D1_B613_102960263BCD_.wvu.FilterData" localSheetId="0" hidden="1">Outbound_Monitor!$A$2:$W$3</definedName>
    <definedName name="Z_857A4667_7F47_4220_A169_23CA47003772_.wvu.FilterData" localSheetId="1" hidden="1">Inbound_Monitor!$A$2:$Q$3</definedName>
    <definedName name="Z_858747C3_F8E5_4540_A35A_875156AB7942_.wvu.FilterData" localSheetId="0" hidden="1">Outbound_Monitor!$A$2:$W$3</definedName>
    <definedName name="Z_859919EA_D489_45C9_A054_A1D120B2FCE6_.wvu.FilterData" localSheetId="0" hidden="1">Outbound_Monitor!$A$2:$X$16</definedName>
    <definedName name="Z_859A76EE_6449_413C_B30A_0094CDDE977F_.wvu.FilterData" localSheetId="1" hidden="1">Inbound_Monitor!$A$2:$Q$13</definedName>
    <definedName name="Z_859A76EE_6449_413C_B30A_0094CDDE977F_.wvu.FilterData" localSheetId="0" hidden="1">Outbound_Monitor!$A$2:$W$3</definedName>
    <definedName name="Z_859A76EE_6449_413C_B30A_0094CDDE977F_.wvu.FilterData" localSheetId="4" hidden="1">Schichtübergabe_Protokoll!$B$3:$N$3</definedName>
    <definedName name="Z_859F5E89_4C78_4CE2_AE8F_293475BEFA44_.wvu.FilterData" localSheetId="1" hidden="1">Inbound_Monitor!$A$2:$Q$2</definedName>
    <definedName name="Z_859F5E89_4C78_4CE2_AE8F_293475BEFA44_.wvu.FilterData" localSheetId="0" hidden="1">Outbound_Monitor!$A$2:$W$2</definedName>
    <definedName name="Z_85AB12F5_39E3_4939_94B0_9A795FF28E9F_.wvu.FilterData" localSheetId="1" hidden="1">Inbound_Monitor!$A$2:$Q$3</definedName>
    <definedName name="Z_85B35791_A075_40BF_8E40_B4F97FB92B07_.wvu.FilterData" localSheetId="0" hidden="1">Outbound_Monitor!$A$2:$X$16</definedName>
    <definedName name="Z_85C9A1E1_BC09_40A7_A17A_95A5147146B7_.wvu.FilterData" localSheetId="0" hidden="1">Outbound_Monitor!$A$2:$X$16</definedName>
    <definedName name="Z_85CB0F87_CC96_498E_9552_E8A464458992_.wvu.FilterData" localSheetId="1" hidden="1">Inbound_Monitor!$A$2:$Q$13</definedName>
    <definedName name="Z_85DDF5D1_04C6_41AB_993B_1FA4A74F8B9E_.wvu.FilterData" localSheetId="1" hidden="1">Inbound_Monitor!$A$2:$Q$3</definedName>
    <definedName name="Z_85DDF5D1_04C6_41AB_993B_1FA4A74F8B9E_.wvu.FilterData" localSheetId="0" hidden="1">Outbound_Monitor!$A$2:$W$3</definedName>
    <definedName name="Z_85DDF5D1_04C6_41AB_993B_1FA4A74F8B9E_.wvu.FilterData" localSheetId="4" hidden="1">Schichtübergabe_Protokoll!$B$3:$N$3</definedName>
    <definedName name="Z_85E6B78E_9814_4042_876B_B343FE91DC87_.wvu.FilterData" localSheetId="0" hidden="1">Outbound_Monitor!$A$2:$W$3</definedName>
    <definedName name="Z_85F00175_4116_45A5_9080_2D756661ACBD_.wvu.FilterData" localSheetId="1" hidden="1">Inbound_Monitor!$A$2:$Q$3</definedName>
    <definedName name="Z_85F0553A_2588_4264_81A8_F817266B09F9_.wvu.FilterData" localSheetId="0" hidden="1">Outbound_Monitor!$A$2:$X$16</definedName>
    <definedName name="Z_85F11C7D_1DA7_478D_9EB9_5BEF79B6F875_.wvu.FilterData" localSheetId="0" hidden="1">Outbound_Monitor!$A$2:$X$16</definedName>
    <definedName name="Z_85FC1241_88A3_4499_8B51_C65D3A109E6E_.wvu.FilterData" localSheetId="1" hidden="1">Inbound_Monitor!$A$2:$Q$3</definedName>
    <definedName name="Z_8601224B_370B_45CB_ADF8_1550A05E9F89_.wvu.FilterData" localSheetId="1" hidden="1">Inbound_Monitor!$A$2:$Q$13</definedName>
    <definedName name="Z_8601224B_370B_45CB_ADF8_1550A05E9F89_.wvu.FilterData" localSheetId="0" hidden="1">Outbound_Monitor!$A$2:$X$16</definedName>
    <definedName name="Z_86044437_072F_4031_A675_A0AFD09D8FD9_.wvu.FilterData" localSheetId="0" hidden="1">Outbound_Monitor!$A$2:$W$3</definedName>
    <definedName name="Z_861EF8B0_4BCE_4179_A268_A360B585E679_.wvu.FilterData" localSheetId="1" hidden="1">Inbound_Monitor!$A$2:$Q$13</definedName>
    <definedName name="Z_861EF8B0_4BCE_4179_A268_A360B585E679_.wvu.FilterData" localSheetId="0" hidden="1">Outbound_Monitor!$A$2:$W$3</definedName>
    <definedName name="Z_8633C816_184A_4CB0_9DA7_117768BCEDEE_.wvu.FilterData" localSheetId="0" hidden="1">Outbound_Monitor!$A$2:$W$3</definedName>
    <definedName name="Z_86354DCB_E50E_494E_BB34_24295B85A5F5_.wvu.FilterData" localSheetId="0" hidden="1">Outbound_Monitor!$A$2:$X$16</definedName>
    <definedName name="Z_86393A8B_5998_4830_921C_970BF82866B9_.wvu.FilterData" localSheetId="0" hidden="1">Outbound_Monitor!$A$2:$W$3</definedName>
    <definedName name="Z_864348D3_3B2B_4FF5_B1F5_9B899645EB5E_.wvu.FilterData" localSheetId="0" hidden="1">Outbound_Monitor!$A$2:$X$16</definedName>
    <definedName name="Z_864BA9E4_D374_4178_B4CE_2C5993C5FC3B_.wvu.FilterData" localSheetId="0" hidden="1">Outbound_Monitor!$A$2:$W$3</definedName>
    <definedName name="Z_86615B69_19B8_4E12_8958_91C3E10724CF_.wvu.FilterData" localSheetId="4" hidden="1">Schichtübergabe_Protokoll!$B$3:$N$3</definedName>
    <definedName name="Z_866C19E2_7C93_4D95_BA51_48BC80FD9CCE_.wvu.FilterData" localSheetId="0" hidden="1">Outbound_Monitor!$A$2:$X$16</definedName>
    <definedName name="Z_866C59C2_144E_4FB5_8F92_38D1646A2AAC_.wvu.FilterData" localSheetId="1" hidden="1">Inbound_Monitor!$A$2:$Q$13</definedName>
    <definedName name="Z_86705009_84EE_4582_8BB9_D122BCBC55A6_.wvu.FilterData" localSheetId="1" hidden="1">Inbound_Monitor!$A$2:$Q$3</definedName>
    <definedName name="Z_8678D424_961C_4F18_8B8A_3E6706CDCB42_.wvu.FilterData" localSheetId="1" hidden="1">Inbound_Monitor!$A$2:$Q$13</definedName>
    <definedName name="Z_8678D424_961C_4F18_8B8A_3E6706CDCB42_.wvu.FilterData" localSheetId="0" hidden="1">Outbound_Monitor!$A$2:$X$16</definedName>
    <definedName name="Z_8678D424_961C_4F18_8B8A_3E6706CDCB42_.wvu.FilterData" localSheetId="4" hidden="1">Schichtübergabe_Protokoll!$B$3:$N$3</definedName>
    <definedName name="Z_8683079C_0A8A_4494_94D2_7C13B10BF79B_.wvu.FilterData" localSheetId="0" hidden="1">Outbound_Monitor!$A$2:$W$3</definedName>
    <definedName name="Z_86848B4E_D3C2_4DCB_BCA3_CF6EE5B2B936_.wvu.FilterData" localSheetId="0" hidden="1">Outbound_Monitor!$A$2:$W$3</definedName>
    <definedName name="Z_86898212_21DB_4A9E_B25A_D16CDF0D3A95_.wvu.FilterData" localSheetId="0" hidden="1">Outbound_Monitor!$A$2:$W$3</definedName>
    <definedName name="Z_86992E07_08A5_4867_88AF_EA74C230F78C_.wvu.FilterData" localSheetId="0" hidden="1">Outbound_Monitor!$A$2:$W$3</definedName>
    <definedName name="Z_869DE18B_68D9_4537_90E2_A0CD2F6C28D4_.wvu.FilterData" localSheetId="1" hidden="1">Inbound_Monitor!$A$2:$Q$3</definedName>
    <definedName name="Z_869DE18B_68D9_4537_90E2_A0CD2F6C28D4_.wvu.FilterData" localSheetId="0" hidden="1">Outbound_Monitor!$A$2:$W$3</definedName>
    <definedName name="Z_86A71DF0_6807_4ACA_88E2_13EC77A32412_.wvu.FilterData" localSheetId="0" hidden="1">Outbound_Monitor!$A$2:$W$3</definedName>
    <definedName name="Z_86B676D6_8B53_4485_BF8E_34B8E6DE9F56_.wvu.FilterData" localSheetId="0" hidden="1">Outbound_Monitor!$A$2:$W$3</definedName>
    <definedName name="Z_86B78C96_6A09_4136_8E76_FCB3CE184E96_.wvu.FilterData" localSheetId="0" hidden="1">Outbound_Monitor!$A$2:$W$3</definedName>
    <definedName name="Z_86CC98F4_1792_4F39_8314_3E4F1F3E1007_.wvu.FilterData" localSheetId="1" hidden="1">Inbound_Monitor!$A$2:$Q$13</definedName>
    <definedName name="Z_86CC98F4_1792_4F39_8314_3E4F1F3E1007_.wvu.FilterData" localSheetId="0" hidden="1">Outbound_Monitor!$A$2:$W$3</definedName>
    <definedName name="Z_86D2D7EC_0151_40D8_A5B1_A02F42693ED2_.wvu.FilterData" localSheetId="0" hidden="1">Outbound_Monitor!$A$2:$W$3</definedName>
    <definedName name="Z_86D90BC1_1DF7_473E_8C4D_B0B44B84EF5A_.wvu.FilterData" localSheetId="1" hidden="1">Inbound_Monitor!$A$2:$Q$2</definedName>
    <definedName name="Z_86D90BC1_1DF7_473E_8C4D_B0B44B84EF5A_.wvu.FilterData" localSheetId="0" hidden="1">Outbound_Monitor!$A$2:$W$2</definedName>
    <definedName name="Z_86E9ED2D_885B_4677_A13F_1C1AED27DF32_.wvu.FilterData" localSheetId="0" hidden="1">Outbound_Monitor!$A$2:$W$3</definedName>
    <definedName name="Z_86EB4DED_8C4F_4791_907C_9A90662DB395_.wvu.FilterData" localSheetId="1" hidden="1">Inbound_Monitor!$A$2:$Q$13</definedName>
    <definedName name="Z_86EB4DED_8C4F_4791_907C_9A90662DB395_.wvu.FilterData" localSheetId="0" hidden="1">Outbound_Monitor!$A$2:$W$3</definedName>
    <definedName name="Z_86F4EE2B_FFB9_427B_911C_1A3B696C0838_.wvu.FilterData" localSheetId="1" hidden="1">Inbound_Monitor!$A$2:$Q$13</definedName>
    <definedName name="Z_86F4EE2B_FFB9_427B_911C_1A3B696C0838_.wvu.FilterData" localSheetId="0" hidden="1">Outbound_Monitor!$A$2:$X$16</definedName>
    <definedName name="Z_86F91ED6_CBFC_4CA4_8986_1B3C201E59A8_.wvu.FilterData" localSheetId="1" hidden="1">Inbound_Monitor!$A$2:$Q$2</definedName>
    <definedName name="Z_86F91ED6_CBFC_4CA4_8986_1B3C201E59A8_.wvu.FilterData" localSheetId="0" hidden="1">Outbound_Monitor!$A$2:$W$2</definedName>
    <definedName name="Z_86FA960E_E8A0_4F3F_BD34_41A6786FE932_.wvu.FilterData" localSheetId="0" hidden="1">Outbound_Monitor!$A$2:$W$3</definedName>
    <definedName name="Z_86FCACC6_F987_46A7_8F90_0538DCF605BB_.wvu.FilterData" localSheetId="0" hidden="1">Outbound_Monitor!$A$2:$W$3</definedName>
    <definedName name="Z_8705BB66_BFA2_4CBD_85ED_81635CCE102C_.wvu.FilterData" localSheetId="0" hidden="1">Outbound_Monitor!$A$2:$W$3</definedName>
    <definedName name="Z_871A68FE_95C5_4B14_A162_B2CECED38A2C_.wvu.FilterData" localSheetId="1" hidden="1">Inbound_Monitor!$A$2:$Q$3</definedName>
    <definedName name="Z_871A9175_AD27_4142_BEA8_9D9E556FC38A_.wvu.FilterData" localSheetId="1" hidden="1">Inbound_Monitor!$A$2:$Q$3</definedName>
    <definedName name="Z_871A9175_AD27_4142_BEA8_9D9E556FC38A_.wvu.FilterData" localSheetId="0" hidden="1">Outbound_Monitor!$A$2:$W$3</definedName>
    <definedName name="Z_871A9175_AD27_4142_BEA8_9D9E556FC38A_.wvu.FilterData" localSheetId="4" hidden="1">Schichtübergabe_Protokoll!$B$3:$N$3</definedName>
    <definedName name="Z_873350FA_4C03_43EB_BEC2_493145B90BFF_.wvu.FilterData" localSheetId="1" hidden="1">Inbound_Monitor!$A$2:$Q$13</definedName>
    <definedName name="Z_873350FA_4C03_43EB_BEC2_493145B90BFF_.wvu.FilterData" localSheetId="0" hidden="1">Outbound_Monitor!$A$2:$X$16</definedName>
    <definedName name="Z_87382A86_23FF_4C57_90D6_4AF751D1F9EF_.wvu.FilterData" localSheetId="1" hidden="1">Inbound_Monitor!$A$2:$Q$2</definedName>
    <definedName name="Z_87382A86_23FF_4C57_90D6_4AF751D1F9EF_.wvu.FilterData" localSheetId="0" hidden="1">Outbound_Monitor!$A$2:$W$2</definedName>
    <definedName name="Z_87392C55_D086_4130_AC48_DF35569ABC26_.wvu.FilterData" localSheetId="1" hidden="1">Inbound_Monitor!$A$2:$Q$3</definedName>
    <definedName name="Z_8745F209_3231_4ACD_AF5F_7D6D6DFF780E_.wvu.FilterData" localSheetId="0" hidden="1">Outbound_Monitor!$A$2:$W$3</definedName>
    <definedName name="Z_874A7985_A5F5_41A1_907C_E84A9D4E7039_.wvu.FilterData" localSheetId="1" hidden="1">Inbound_Monitor!$A$2:$Q$2</definedName>
    <definedName name="Z_874A7985_A5F5_41A1_907C_E84A9D4E7039_.wvu.FilterData" localSheetId="0" hidden="1">Outbound_Monitor!$A$2:$W$2</definedName>
    <definedName name="Z_8765E291_EFDA_4879_B679_6903BF4B8D31_.wvu.FilterData" localSheetId="0" hidden="1">Outbound_Monitor!$A$2:$W$3</definedName>
    <definedName name="Z_87668905_7AA9_489A_84F1_FDCAE0FFD292_.wvu.FilterData" localSheetId="0" hidden="1">Outbound_Monitor!$A$2:$X$16</definedName>
    <definedName name="Z_87670B84_2B26_47F0_BD82_35498F5376A0_.wvu.FilterData" localSheetId="0" hidden="1">Outbound_Monitor!$A$2:$W$3</definedName>
    <definedName name="Z_8783DDEB_3150_4C9F_A9F6_6A91D61398C7_.wvu.FilterData" localSheetId="0" hidden="1">Outbound_Monitor!$A$2:$W$3</definedName>
    <definedName name="Z_8786FCDA_5376_4729_B686_EA8A343AF2ED_.wvu.FilterData" localSheetId="1" hidden="1">Inbound_Monitor!$A$2:$Q$3</definedName>
    <definedName name="Z_878AE41E_A187_4110_BF16_F736AAF388DC_.wvu.FilterData" localSheetId="0" hidden="1">Outbound_Monitor!$A$2:$X$16</definedName>
    <definedName name="Z_878E3C76_E5D2_4838_A7D2_E41012D4CB35_.wvu.FilterData" localSheetId="1" hidden="1">Inbound_Monitor!$A$2:$Q$3</definedName>
    <definedName name="Z_87942795_1D60_4033_8ECE_E8490CDCF0FA_.wvu.FilterData" localSheetId="0" hidden="1">Outbound_Monitor!$A$2:$X$16</definedName>
    <definedName name="Z_8795B3E8_0CC8_487B_AF41_9822E549F376_.wvu.FilterData" localSheetId="1" hidden="1">Inbound_Monitor!$A$2:$Q$13</definedName>
    <definedName name="Z_87979D65_8B19_4BB6_A54D_06CD6BB1C237_.wvu.FilterData" localSheetId="1" hidden="1">Inbound_Monitor!$A$2:$Q$2</definedName>
    <definedName name="Z_87979D65_8B19_4BB6_A54D_06CD6BB1C237_.wvu.FilterData" localSheetId="0" hidden="1">Outbound_Monitor!$A$2:$W$2</definedName>
    <definedName name="Z_879CA28D_170F_4ECA_A9CE_FF6AEEADBF27_.wvu.FilterData" localSheetId="0" hidden="1">Outbound_Monitor!$A$2:$W$3</definedName>
    <definedName name="Z_87A64E73_F6B1_4694_97AA_0B6D82B0F610_.wvu.FilterData" localSheetId="1" hidden="1">Inbound_Monitor!$A$2:$Q$13</definedName>
    <definedName name="Z_87A64E73_F6B1_4694_97AA_0B6D82B0F610_.wvu.FilterData" localSheetId="0" hidden="1">Outbound_Monitor!$A$2:$W$3</definedName>
    <definedName name="Z_87BC3F63_8F3C_4B4D_9E8C_475DED5BCA65_.wvu.FilterData" localSheetId="1" hidden="1">Inbound_Monitor!$A$2:$Q$13</definedName>
    <definedName name="Z_87C44933_0326_47B3_922C_7637B85BA913_.wvu.FilterData" localSheetId="1" hidden="1">Inbound_Monitor!$A$2:$Q$13</definedName>
    <definedName name="Z_87C44933_0326_47B3_922C_7637B85BA913_.wvu.FilterData" localSheetId="0" hidden="1">Outbound_Monitor!$A$2:$W$3</definedName>
    <definedName name="Z_87C44933_0326_47B3_922C_7637B85BA913_.wvu.FilterData" localSheetId="4" hidden="1">Schichtübergabe_Protokoll!$B$3:$N$3</definedName>
    <definedName name="Z_87CCC861_4A3F_44CB_96B1_A663830A4D48_.wvu.FilterData" localSheetId="1" hidden="1">Inbound_Monitor!$A$2:$Q$2</definedName>
    <definedName name="Z_87CCC861_4A3F_44CB_96B1_A663830A4D48_.wvu.FilterData" localSheetId="0" hidden="1">Outbound_Monitor!$A$2:$W$2</definedName>
    <definedName name="Z_87D57B7B_25AD_41B2_AFB4_083532291CEB_.wvu.FilterData" localSheetId="1" hidden="1">Inbound_Monitor!$A$2:$Q$3</definedName>
    <definedName name="Z_87E27026_59C9_40F8_BE87_AFFC4AE1D21B_.wvu.FilterData" localSheetId="0" hidden="1">Outbound_Monitor!$A$2:$W$3</definedName>
    <definedName name="Z_87E2C705_1C91_4C1B_88B7_1170786B3FAE_.wvu.FilterData" localSheetId="1" hidden="1">Inbound_Monitor!$A$2:$Q$13</definedName>
    <definedName name="Z_87E57759_C595_4ECA_99B9_11A60590D153_.wvu.FilterData" localSheetId="1" hidden="1">Inbound_Monitor!$A$2:$Q$2</definedName>
    <definedName name="Z_87E57759_C595_4ECA_99B9_11A60590D153_.wvu.FilterData" localSheetId="0" hidden="1">Outbound_Monitor!$A$2:$W$2</definedName>
    <definedName name="Z_87E7848B_9A11_4AC2_817E_31F33ACB32F1_.wvu.FilterData" localSheetId="1" hidden="1">Inbound_Monitor!$A$2:$Q$13</definedName>
    <definedName name="Z_87E7848B_9A11_4AC2_817E_31F33ACB32F1_.wvu.FilterData" localSheetId="0" hidden="1">Outbound_Monitor!$A$2:$X$16</definedName>
    <definedName name="Z_87E83C34_3AFA_40A5_9390_0C7CB4F98F57_.wvu.FilterData" localSheetId="0" hidden="1">Outbound_Monitor!$A$2:$W$3</definedName>
    <definedName name="Z_8806000A_E31D_4614_BBBE_067231AC20B6_.wvu.FilterData" localSheetId="0" hidden="1">Outbound_Monitor!$A$2:$X$16</definedName>
    <definedName name="Z_881083EC_BC73_42CD_B907_080F6916FB66_.wvu.FilterData" localSheetId="1" hidden="1">Inbound_Monitor!$A$2:$Q$13</definedName>
    <definedName name="Z_881083EC_BC73_42CD_B907_080F6916FB66_.wvu.FilterData" localSheetId="0" hidden="1">Outbound_Monitor!$A$2:$X$16</definedName>
    <definedName name="Z_88165539_9B79_4F2C_BAE1_B85E9F617261_.wvu.FilterData" localSheetId="0" hidden="1">Outbound_Monitor!$A$2:$W$3</definedName>
    <definedName name="Z_88193106_6D22_4EF1_B178_3884D9A0CFBF_.wvu.FilterData" localSheetId="1" hidden="1">Inbound_Monitor!$A$2:$Q$3</definedName>
    <definedName name="Z_882835AA_42B8_40DC_BB8F_D81F25FB9115_.wvu.FilterData" localSheetId="0" hidden="1">Outbound_Monitor!$A$2:$W$3</definedName>
    <definedName name="Z_8828FB39_019D_465E_9806_29493C8DBC18_.wvu.FilterData" localSheetId="0" hidden="1">Outbound_Monitor!$A$2:$W$3</definedName>
    <definedName name="Z_8848E37A_7CB2_4E1A_BE1D_408696E6CE1D_.wvu.FilterData" localSheetId="0" hidden="1">Outbound_Monitor!$A$2:$W$3</definedName>
    <definedName name="Z_8859CE33_4299_4B4A_9C60_78F0D98F9B00_.wvu.FilterData" localSheetId="1" hidden="1">Inbound_Monitor!$A$2:$Q$3</definedName>
    <definedName name="Z_8861E5CD_6F32_4F58_A0C9_DEA50A7AE9D6_.wvu.FilterData" localSheetId="0" hidden="1">Outbound_Monitor!$A$2:$W$3</definedName>
    <definedName name="Z_887642A2_4800_4422_912D_128E34EB84EA_.wvu.FilterData" localSheetId="1" hidden="1">Inbound_Monitor!$A$2:$Q$3</definedName>
    <definedName name="Z_887642A2_4800_4422_912D_128E34EB84EA_.wvu.FilterData" localSheetId="0" hidden="1">Outbound_Monitor!$A$2:$W$3</definedName>
    <definedName name="Z_8877E909_A3D7_47EC_B232_67639545F7B9_.wvu.FilterData" localSheetId="1" hidden="1">Inbound_Monitor!$A$2:$Q$3</definedName>
    <definedName name="Z_8877E909_A3D7_47EC_B232_67639545F7B9_.wvu.FilterData" localSheetId="0" hidden="1">Outbound_Monitor!$A$2:$W$3</definedName>
    <definedName name="Z_8877E909_A3D7_47EC_B232_67639545F7B9_.wvu.FilterData" localSheetId="4" hidden="1">Schichtübergabe_Protokoll!$B$3:$N$3</definedName>
    <definedName name="Z_887E5014_DE89_4783_8FAE_4DF72080E4FA_.wvu.FilterData" localSheetId="1" hidden="1">Inbound_Monitor!$A$2:$Q$13</definedName>
    <definedName name="Z_888A5EA1_6C37_4AB3_8F33_222665198097_.wvu.FilterData" localSheetId="1" hidden="1">Inbound_Monitor!$A$2:$Q$3</definedName>
    <definedName name="Z_888A5EA1_6C37_4AB3_8F33_222665198097_.wvu.FilterData" localSheetId="4" hidden="1">Schichtübergabe_Protokoll!$B$3:$N$3</definedName>
    <definedName name="Z_8890371F_9F51_4530_B980_F8DF7D577746_.wvu.FilterData" localSheetId="1" hidden="1">Inbound_Monitor!$A$2:$Q$13</definedName>
    <definedName name="Z_8890371F_9F51_4530_B980_F8DF7D577746_.wvu.FilterData" localSheetId="0" hidden="1">Outbound_Monitor!$A$2:$W$3</definedName>
    <definedName name="Z_8891ED8F_A95E_40EC_AB61_B5BBC9741F7D_.wvu.FilterData" localSheetId="0" hidden="1">Outbound_Monitor!$A$2:$W$3</definedName>
    <definedName name="Z_8891F9EF_DF1A_4693_B3A4_192A09A4D36E_.wvu.FilterData" localSheetId="1" hidden="1">Inbound_Monitor!$A$2:$Q$2</definedName>
    <definedName name="Z_8891F9EF_DF1A_4693_B3A4_192A09A4D36E_.wvu.FilterData" localSheetId="0" hidden="1">Outbound_Monitor!$A$2:$W$2</definedName>
    <definedName name="Z_8896F9F8_21A5_45D4_9782_69BF3049258F_.wvu.FilterData" localSheetId="0" hidden="1">Outbound_Monitor!$A$2:$W$3</definedName>
    <definedName name="Z_889A9465_41BA_4FE2_809D_87C6FFA64EDF_.wvu.FilterData" localSheetId="1" hidden="1">Inbound_Monitor!$A$2:$Q$13</definedName>
    <definedName name="Z_889CC50A_8ACE_4AEC_BA61_0DA413A9CE69_.wvu.FilterData" localSheetId="0" hidden="1">Outbound_Monitor!$A$2:$X$16</definedName>
    <definedName name="Z_88B1FB0E_E21D_4672_BDD5_51DB4D8989AD_.wvu.FilterData" localSheetId="0" hidden="1">Outbound_Monitor!$A$2:$W$3</definedName>
    <definedName name="Z_88B8B65C_C6B1_46AB_B1C3_E0589EC6E635_.wvu.FilterData" localSheetId="1" hidden="1">Inbound_Monitor!$A$2:$Q$3</definedName>
    <definedName name="Z_88C927BB_A55B_4CE0_AFE2_61D63B111537_.wvu.FilterData" localSheetId="1" hidden="1">Inbound_Monitor!$A$2:$Q$3</definedName>
    <definedName name="Z_88CB80ED_4C90_42A7_B8F8_1660C8D6737A_.wvu.FilterData" localSheetId="0" hidden="1">Outbound_Monitor!$A$2:$W$3</definedName>
    <definedName name="Z_88DD4EC8_CAD6_4340_84D7_136CB93C6449_.wvu.FilterData" localSheetId="0" hidden="1">Outbound_Monitor!$A$2:$W$3</definedName>
    <definedName name="Z_88DED2DA_A550_4BAE_926C_EC74A6B80998_.wvu.FilterData" localSheetId="0" hidden="1">Outbound_Monitor!$A$2:$W$3</definedName>
    <definedName name="Z_88E7BF95_876E_494C_96B5_4EA0F11DE15C_.wvu.FilterData" localSheetId="1" hidden="1">Inbound_Monitor!$A$2:$Q$13</definedName>
    <definedName name="Z_88EC3A0C_1E47_41AA_B43A_C70B035BB27B_.wvu.FilterData" localSheetId="0" hidden="1">Outbound_Monitor!$A$2:$W$3</definedName>
    <definedName name="Z_88EFFF85_FC6F_4A91_956D_C1307CC6BD2A_.wvu.FilterData" localSheetId="1" hidden="1">Inbound_Monitor!$A$2:$Q$3</definedName>
    <definedName name="Z_88F459FA_5835_4A60_B411_9BFD6014603C_.wvu.FilterData" localSheetId="0" hidden="1">Outbound_Monitor!$A$2:$W$3</definedName>
    <definedName name="Z_88F7A073_B8FD_4ED4_9EEA_CADB697D8EC1_.wvu.FilterData" localSheetId="1" hidden="1">Inbound_Monitor!$A$2:$Q$3</definedName>
    <definedName name="Z_8901EDAD_F459_4C10_B358_8CEB29532055_.wvu.FilterData" localSheetId="1" hidden="1">Inbound_Monitor!$A$2:$Q$3</definedName>
    <definedName name="Z_8906B5DA_BABB_4734_9C27_D7AA45DF4B82_.wvu.FilterData" localSheetId="1" hidden="1">Inbound_Monitor!$A$2:$Q$13</definedName>
    <definedName name="Z_8906B5DA_BABB_4734_9C27_D7AA45DF4B82_.wvu.FilterData" localSheetId="0" hidden="1">Outbound_Monitor!$A$2:$X$16</definedName>
    <definedName name="Z_890955F0_9E53_47A5_81EE_540593C5E332_.wvu.FilterData" localSheetId="0" hidden="1">Outbound_Monitor!$A$2:$W$3</definedName>
    <definedName name="Z_890C59C9_20D0_4946_9CDF_FF034A9269D0_.wvu.FilterData" localSheetId="0" hidden="1">Outbound_Monitor!#REF!</definedName>
    <definedName name="Z_891156B2_00F9_4B31_9668_343275D94FCF_.wvu.FilterData" localSheetId="0" hidden="1">Outbound_Monitor!$A$2:$W$3</definedName>
    <definedName name="Z_8913050D_CEF4_425A_B161_BB7EDFBAB56C_.wvu.FilterData" localSheetId="1" hidden="1">Inbound_Monitor!$A$2:$Q$13</definedName>
    <definedName name="Z_8913050D_CEF4_425A_B161_BB7EDFBAB56C_.wvu.FilterData" localSheetId="0" hidden="1">Outbound_Monitor!$A$2:$W$3</definedName>
    <definedName name="Z_891A9DFF_C616_4F7A_9644_FED0827FB033_.wvu.FilterData" localSheetId="0" hidden="1">Outbound_Monitor!$A$2:$W$3</definedName>
    <definedName name="Z_893DA9ED_5803_4E66_815C_D70EADFA48AC_.wvu.FilterData" localSheetId="1" hidden="1">Inbound_Monitor!$A$2:$Q$3</definedName>
    <definedName name="Z_894340F5_F9D5_4827_B3A9_1460C14103D5_.wvu.FilterData" localSheetId="0" hidden="1">Outbound_Monitor!$A$2:$W$3</definedName>
    <definedName name="Z_89494442_D706_4B80_9ABD_71C61B6B2EBA_.wvu.FilterData" localSheetId="0" hidden="1">Outbound_Monitor!$A$2:$W$3</definedName>
    <definedName name="Z_8950CD43_76DA_4BAB_9156_2E44817F0E50_.wvu.FilterData" localSheetId="1" hidden="1">Inbound_Monitor!$A$2:$Q$3</definedName>
    <definedName name="Z_8950CD43_76DA_4BAB_9156_2E44817F0E50_.wvu.FilterData" localSheetId="0" hidden="1">Outbound_Monitor!$A$2:$W$3</definedName>
    <definedName name="Z_8965E663_AE78_4DCA_AA8F_08A9A8B674CB_.wvu.FilterData" localSheetId="0" hidden="1">Outbound_Monitor!$A$2:$W$3</definedName>
    <definedName name="Z_896F4C40_47F8_4D10_9F45_8188C369A03B_.wvu.FilterData" localSheetId="1" hidden="1">Inbound_Monitor!$A$2:$Q$2</definedName>
    <definedName name="Z_896F4C40_47F8_4D10_9F45_8188C369A03B_.wvu.FilterData" localSheetId="0" hidden="1">Outbound_Monitor!$A$2:$W$2</definedName>
    <definedName name="Z_8979205D_EC75_47C2_893E_F7446F76A458_.wvu.FilterData" localSheetId="1" hidden="1">Inbound_Monitor!$A$2:$Q$3</definedName>
    <definedName name="Z_89846B16_0615_441F_B158_CEAB75D90904_.wvu.FilterData" localSheetId="0" hidden="1">Outbound_Monitor!$A$2:$X$16</definedName>
    <definedName name="Z_89874D3A_EAEE_4F62_8EF2_A8BD4F4EE723_.wvu.FilterData" localSheetId="1" hidden="1">Inbound_Monitor!$A$2:$Q$3</definedName>
    <definedName name="Z_898CE436_A956_4F9F_8985_5E8545598AAC_.wvu.FilterData" localSheetId="1" hidden="1">Inbound_Monitor!$A$2:$Q$3</definedName>
    <definedName name="Z_89935EA4_BE61_49E3_A6C2_5A3C17C33295_.wvu.FilterData" localSheetId="0" hidden="1">Outbound_Monitor!$A$2:$X$16</definedName>
    <definedName name="Z_89A7F7FB_2538_4FC6_9D14_618D9871EC6F_.wvu.FilterData" localSheetId="1" hidden="1">Inbound_Monitor!$A$2:$Q$13</definedName>
    <definedName name="Z_89B38905_DB55_4B8B_ACA0_ACB973E65682_.wvu.FilterData" localSheetId="0" hidden="1">Outbound_Monitor!$A$2:$W$3</definedName>
    <definedName name="Z_89C01330_19C0_4A8E_B395_8A5713561E58_.wvu.FilterData" localSheetId="0" hidden="1">Outbound_Monitor!$A$2:$W$3</definedName>
    <definedName name="Z_89C81797_F331_4A48_AC49_F7395D1DEDD3_.wvu.FilterData" localSheetId="0" hidden="1">Outbound_Monitor!$A$2:$W$3</definedName>
    <definedName name="Z_89D3D53D_060B_4878_87E5_1352A97D17BC_.wvu.FilterData" localSheetId="4" hidden="1">Schichtübergabe_Protokoll!$B$3:$N$3</definedName>
    <definedName name="Z_89D6B6D4_D22E_49A6_8999_8F1593197FEC_.wvu.FilterData" localSheetId="1" hidden="1">Inbound_Monitor!$A$2:$Q$2</definedName>
    <definedName name="Z_89D6B6D4_D22E_49A6_8999_8F1593197FEC_.wvu.FilterData" localSheetId="0" hidden="1">Outbound_Monitor!$A$2:$W$2</definedName>
    <definedName name="Z_89F0AA8B_DDD6_4CAD_90B4_EAB627669754_.wvu.FilterData" localSheetId="0" hidden="1">Outbound_Monitor!$A$2:$W$3</definedName>
    <definedName name="Z_89F4FE98_D666_4EA2_AFF0_4D5C9031015E_.wvu.FilterData" localSheetId="1" hidden="1">Inbound_Monitor!$A$2:$Q$13</definedName>
    <definedName name="Z_89F4FE98_D666_4EA2_AFF0_4D5C9031015E_.wvu.FilterData" localSheetId="0" hidden="1">Outbound_Monitor!$A$2:$X$16</definedName>
    <definedName name="Z_89F58790_C488_4303_9895_42B2F92C412C_.wvu.FilterData" localSheetId="0" hidden="1">Outbound_Monitor!$A$2:$W$3</definedName>
    <definedName name="Z_8A0FCF06_15D2_422F_92C4_7649E32E34C7_.wvu.FilterData" localSheetId="1" hidden="1">Inbound_Monitor!$A$2:$Q$13</definedName>
    <definedName name="Z_8A0FCF06_15D2_422F_92C4_7649E32E34C7_.wvu.FilterData" localSheetId="0" hidden="1">Outbound_Monitor!$A$2:$X$16</definedName>
    <definedName name="Z_8A290FFF_0D14_4C7E_8D67_648A020988CD_.wvu.FilterData" localSheetId="1" hidden="1">Inbound_Monitor!$A$2:$Q$3</definedName>
    <definedName name="Z_8A290FFF_0D14_4C7E_8D67_648A020988CD_.wvu.FilterData" localSheetId="0" hidden="1">Outbound_Monitor!$A$2:$W$3</definedName>
    <definedName name="Z_8A2A5520_166E_4A1F_8192_130B81C2F742_.wvu.FilterData" localSheetId="1" hidden="1">Inbound_Monitor!$A$2:$Q$13</definedName>
    <definedName name="Z_8A2A5520_166E_4A1F_8192_130B81C2F742_.wvu.FilterData" localSheetId="0" hidden="1">Outbound_Monitor!$A$2:$X$16</definedName>
    <definedName name="Z_8A2A5520_166E_4A1F_8192_130B81C2F742_.wvu.FilterData" localSheetId="4" hidden="1">Schichtübergabe_Protokoll!$B$3:$N$3</definedName>
    <definedName name="Z_8A2D679A_42A2_4DAE_9248_40B8BB73A060_.wvu.FilterData" localSheetId="1" hidden="1">Inbound_Monitor!$A$2:$Q$13</definedName>
    <definedName name="Z_8A59FFCC_4147_4A7D_9D99_978FD0EB5067_.wvu.FilterData" localSheetId="1" hidden="1">Inbound_Monitor!$A$2:$Q$13</definedName>
    <definedName name="Z_8A69C92A_4AC0_4924_AF72_49D037CBA6D4_.wvu.FilterData" localSheetId="0" hidden="1">Outbound_Monitor!$A$2:$W$3</definedName>
    <definedName name="Z_8A7209E3_A1BE_4E94_818A_81BC5B8F85A1_.wvu.FilterData" localSheetId="0" hidden="1">Outbound_Monitor!$A$2:$W$3</definedName>
    <definedName name="Z_8A740CEC_8104_4F92_A3C4_B2081FE4048A_.wvu.FilterData" localSheetId="0" hidden="1">Outbound_Monitor!$A$2:$X$16</definedName>
    <definedName name="Z_8A7F4A98_7BF7_45F7_B378_11F006D918EA_.wvu.FilterData" localSheetId="1" hidden="1">Inbound_Monitor!$A$2:$Q$2</definedName>
    <definedName name="Z_8A7F4A98_7BF7_45F7_B378_11F006D918EA_.wvu.FilterData" localSheetId="0" hidden="1">Outbound_Monitor!$A$2:$W$2</definedName>
    <definedName name="Z_8A862368_A872_42D3_A7F5_D8017636E53A_.wvu.FilterData" localSheetId="0" hidden="1">Outbound_Monitor!#REF!</definedName>
    <definedName name="Z_8A88469F_6E2F_431E_98F0_2248E37C404F_.wvu.FilterData" localSheetId="0" hidden="1">Outbound_Monitor!$A$2:$W$3</definedName>
    <definedName name="Z_8AA9EF61_05BB_463F_B8FE_675A4682F7DF_.wvu.FilterData" localSheetId="0" hidden="1">Outbound_Monitor!$A$2:$W$3</definedName>
    <definedName name="Z_8AB1F1A1_30C4_46E2_A66D_626EA997B817_.wvu.FilterData" localSheetId="4" hidden="1">Schichtübergabe_Protokoll!$B$3:$N$3</definedName>
    <definedName name="Z_8ADA1798_B30C_40F3_B176_06F5BB1FC9FF_.wvu.FilterData" localSheetId="1" hidden="1">Inbound_Monitor!$A$2:$Q$3</definedName>
    <definedName name="Z_8ADBCAB6_044E_4129_A82F_92BE1CB11FAB_.wvu.FilterData" localSheetId="1" hidden="1">Inbound_Monitor!$A$2:$Q$3</definedName>
    <definedName name="Z_8AE71580_BC5E_492F_B272_E2E4EEE1271B_.wvu.FilterData" localSheetId="1" hidden="1">Inbound_Monitor!$A$2:$Q$13</definedName>
    <definedName name="Z_8AE71580_BC5E_492F_B272_E2E4EEE1271B_.wvu.FilterData" localSheetId="0" hidden="1">Outbound_Monitor!$A$2:$W$3</definedName>
    <definedName name="Z_8AF10116_4388_4AD5_B467_5743DCCACDE9_.wvu.FilterData" localSheetId="0" hidden="1">Outbound_Monitor!$A$2:$X$16</definedName>
    <definedName name="Z_8AFCF8EB_D0C8_4347_820A_6A5AA75454B1_.wvu.FilterData" localSheetId="0" hidden="1">Outbound_Monitor!$A$2:$W$3</definedName>
    <definedName name="Z_8B02983D_CA5C_4D67_A41E_573C735DD1AE_.wvu.FilterData" localSheetId="1" hidden="1">Inbound_Monitor!$A$2:$Q$13</definedName>
    <definedName name="Z_8B2CEACE_87AE_4096_A0AA_D49A3CEF9603_.wvu.FilterData" localSheetId="1" hidden="1">Inbound_Monitor!$A$2:$Q$13</definedName>
    <definedName name="Z_8B2CEACE_87AE_4096_A0AA_D49A3CEF9603_.wvu.FilterData" localSheetId="0" hidden="1">Outbound_Monitor!$A$2:$X$16</definedName>
    <definedName name="Z_8B2E3D91_1E20_492D_9710_560F015257DC_.wvu.FilterData" localSheetId="0" hidden="1">Outbound_Monitor!$A$2:$W$3</definedName>
    <definedName name="Z_8B2EB343_FD92_46EA_BE5A_0CEA4D00B632_.wvu.FilterData" localSheetId="1" hidden="1">Inbound_Monitor!$A$2:$Q$3</definedName>
    <definedName name="Z_8B33BED6_3D90_4605_AD93_DE97ABA3C6D6_.wvu.FilterData" localSheetId="0" hidden="1">Outbound_Monitor!$A$2:$W$3</definedName>
    <definedName name="Z_8B4478D9_8BD3_4597_B791_6AA331B41063_.wvu.FilterData" localSheetId="1" hidden="1">Inbound_Monitor!$A$2:$Q$13</definedName>
    <definedName name="Z_8B4478D9_8BD3_4597_B791_6AA331B41063_.wvu.FilterData" localSheetId="0" hidden="1">Outbound_Monitor!$A$2:$X$16</definedName>
    <definedName name="Z_8B4CB431_3281_449D_B4CB_137ABB7E5D2B_.wvu.FilterData" localSheetId="1" hidden="1">Inbound_Monitor!$A$2:$Q$13</definedName>
    <definedName name="Z_8B5B3F4D_24FD_4A12_A21A_66B431D30F19_.wvu.FilterData" localSheetId="0" hidden="1">Outbound_Monitor!$A$2:$X$16</definedName>
    <definedName name="Z_8B5F7CC5_1D59_474B_9E5D_B3653309A4BC_.wvu.FilterData" localSheetId="0" hidden="1">Outbound_Monitor!$A$2:$W$3</definedName>
    <definedName name="Z_8B637F2F_54BC_4B02_9E85_D8DA2C8E5DDD_.wvu.FilterData" localSheetId="1" hidden="1">Inbound_Monitor!$A$2:$Q$3</definedName>
    <definedName name="Z_8B637F2F_54BC_4B02_9E85_D8DA2C8E5DDD_.wvu.FilterData" localSheetId="0" hidden="1">Outbound_Monitor!$A$2:$W$3</definedName>
    <definedName name="Z_8B70C9A9_5449_493E_8D86_76A40FCA7606_.wvu.FilterData" localSheetId="0" hidden="1">Outbound_Monitor!$A$2:$X$16</definedName>
    <definedName name="Z_8B7573EF_9EDC_4297_A0DD_C1356994D974_.wvu.FilterData" localSheetId="0" hidden="1">Outbound_Monitor!$A$2:$W$3</definedName>
    <definedName name="Z_8B76D3DA_89DC_4D09_B8DE_29376FFC6E90_.wvu.FilterData" localSheetId="0" hidden="1">Outbound_Monitor!$A$2:$W$3</definedName>
    <definedName name="Z_8B7AB173_710E_4DAD_9794_ECD802805550_.wvu.FilterData" localSheetId="1" hidden="1">Inbound_Monitor!$A$2:$Q$13</definedName>
    <definedName name="Z_8B7AB173_710E_4DAD_9794_ECD802805550_.wvu.FilterData" localSheetId="0" hidden="1">Outbound_Monitor!$A$2:$W$3</definedName>
    <definedName name="Z_8B81D3DE_22BB_4C2A_B0FE_FA7FCFDB1589_.wvu.FilterData" localSheetId="0" hidden="1">Outbound_Monitor!$A$2:$W$3</definedName>
    <definedName name="Z_8B831A64_DDDD_4CDB_A498_624D135CDF75_.wvu.FilterData" localSheetId="1" hidden="1">Inbound_Monitor!$A$2:$Q$13</definedName>
    <definedName name="Z_8B831A64_DDDD_4CDB_A498_624D135CDF75_.wvu.FilterData" localSheetId="0" hidden="1">Outbound_Monitor!$A$2:$W$3</definedName>
    <definedName name="Z_8B8A0236_367E_4BB2_B8DA_A61930E23520_.wvu.FilterData" localSheetId="0" hidden="1">Outbound_Monitor!$A$2:$W$3</definedName>
    <definedName name="Z_8B97A7E7_DD27_4560_957A_FA232871D965_.wvu.FilterData" localSheetId="1" hidden="1">Inbound_Monitor!$A$2:$Q$3</definedName>
    <definedName name="Z_8B97A7E7_DD27_4560_957A_FA232871D965_.wvu.FilterData" localSheetId="0" hidden="1">Outbound_Monitor!$A$2:$W$3</definedName>
    <definedName name="Z_8BB5D36D_3EB4_40BB_844F_172B347B2BA4_.wvu.FilterData" localSheetId="0" hidden="1">Outbound_Monitor!$A$2:$W$3</definedName>
    <definedName name="Z_8BB5DDE0_DA9F_4A49_904B_8DB9F7A092AC_.wvu.FilterData" localSheetId="1" hidden="1">Inbound_Monitor!$A$2:$Q$3</definedName>
    <definedName name="Z_8BBC2896_C931_4B9C_A7EB_7781CF4EC78D_.wvu.Rows" localSheetId="3" hidden="1">'SDDS_Office (nicht nutzen)'!#REF!,'SDDS_Office (nicht nutzen)'!#REF!</definedName>
    <definedName name="Z_8BBDF2B5_3CC0_4A06_86CF_3523FA37AF8C_.wvu.FilterData" localSheetId="0" hidden="1">Outbound_Monitor!$A$2:$W$3</definedName>
    <definedName name="Z_8BC99BCA_D007_4FC7_B73E_5FB6A8FFD096_.wvu.FilterData" localSheetId="0" hidden="1">Outbound_Monitor!$A$2:$X$16</definedName>
    <definedName name="Z_8BD659F1_9B4B_403B_A24C_3797C9304E97_.wvu.FilterData" localSheetId="0" hidden="1">Outbound_Monitor!$A$2:$W$3</definedName>
    <definedName name="Z_8BF1D4FF_CFD6_4975_AB67_1B98BAEDD56B_.wvu.FilterData" localSheetId="1" hidden="1">Inbound_Monitor!$A$2:$Q$13</definedName>
    <definedName name="Z_8BF1D4FF_CFD6_4975_AB67_1B98BAEDD56B_.wvu.FilterData" localSheetId="0" hidden="1">Outbound_Monitor!$A$2:$W$3</definedName>
    <definedName name="Z_8BF21476_6C7E_411D_9047_79F81C0DCEA6_.wvu.FilterData" localSheetId="1" hidden="1">Inbound_Monitor!$A$2:$Q$13</definedName>
    <definedName name="Z_8BF21476_6C7E_411D_9047_79F81C0DCEA6_.wvu.FilterData" localSheetId="0" hidden="1">Outbound_Monitor!$A$2:$W$3</definedName>
    <definedName name="Z_8BF7B434_FB82_4C57_90FD_5CD1795B5E32_.wvu.FilterData" localSheetId="0" hidden="1">Outbound_Monitor!$A$2:$W$3</definedName>
    <definedName name="Z_8C03B73E_408B_43BE_97BB_F20A778D3EC8_.wvu.FilterData" localSheetId="0" hidden="1">Outbound_Monitor!$A$2:$W$3</definedName>
    <definedName name="Z_8C11A470_13B6_4079_8865_70F5A9BE33DA_.wvu.FilterData" localSheetId="1" hidden="1">Inbound_Monitor!$A$2:$Q$13</definedName>
    <definedName name="Z_8C11A470_13B6_4079_8865_70F5A9BE33DA_.wvu.FilterData" localSheetId="0" hidden="1">Outbound_Monitor!$A$2:$W$3</definedName>
    <definedName name="Z_8C1A3C22_494E_4484_A803_F3C7C298CC70_.wvu.FilterData" localSheetId="0" hidden="1">Outbound_Monitor!$A$2:$W$3</definedName>
    <definedName name="Z_8C1CA46B_38A5_494B_9028_FF4BE80923AA_.wvu.FilterData" localSheetId="1" hidden="1">Inbound_Monitor!$A$2:$Q$13</definedName>
    <definedName name="Z_8C1D78C2_F099_4037_966E_74FEE3658BF7_.wvu.FilterData" localSheetId="1" hidden="1">Inbound_Monitor!$A$2:$Q$3</definedName>
    <definedName name="Z_8C1D78C2_F099_4037_966E_74FEE3658BF7_.wvu.FilterData" localSheetId="0" hidden="1">Outbound_Monitor!$A$2:$W$3</definedName>
    <definedName name="Z_8C206EC1_7AEB_456E_8A6B_A6B45DF732F9_.wvu.FilterData" localSheetId="0" hidden="1">Outbound_Monitor!$A$2:$W$3</definedName>
    <definedName name="Z_8C21CED9_4E1E_4ED6_B962_B25C3B017CCE_.wvu.FilterData" localSheetId="0" hidden="1">Outbound_Monitor!$A$2:$W$3</definedName>
    <definedName name="Z_8C2E1A57_F9A7_4321_AD64_2806C6F59376_.wvu.FilterData" localSheetId="0" hidden="1">Outbound_Monitor!$A$2:$W$3</definedName>
    <definedName name="Z_8C317B96_E08F_488E_832D_4A3C5CDE2F4F_.wvu.FilterData" localSheetId="0" hidden="1">Outbound_Monitor!$A$2:$W$3</definedName>
    <definedName name="Z_8C5DBB20_2F17_4502_890F_9C5C3B5726D6_.wvu.FilterData" localSheetId="1" hidden="1">Inbound_Monitor!$A$2:$Q$2</definedName>
    <definedName name="Z_8C5DBB20_2F17_4502_890F_9C5C3B5726D6_.wvu.FilterData" localSheetId="0" hidden="1">Outbound_Monitor!$A$2:$W$2</definedName>
    <definedName name="Z_8CA61443_127E_4B32_BE21_03EBE8C71ACE_.wvu.FilterData" localSheetId="0" hidden="1">Outbound_Monitor!$A$2:$X$16</definedName>
    <definedName name="Z_8CB05286_D57B_44AE_AE51_9750642D91C2_.wvu.FilterData" localSheetId="0" hidden="1">Outbound_Monitor!$A$2:$X$16</definedName>
    <definedName name="Z_8CB5DF18_25EB_4612_8FD9_5C83290E5ADB_.wvu.FilterData" localSheetId="1" hidden="1">Inbound_Monitor!$A$2:$Q$13</definedName>
    <definedName name="Z_8CB5DF18_25EB_4612_8FD9_5C83290E5ADB_.wvu.FilterData" localSheetId="0" hidden="1">Outbound_Monitor!$A$2:$X$16</definedName>
    <definedName name="Z_8CB604D7_92D6_4961_9A67_5348702B49C9_.wvu.FilterData" localSheetId="0" hidden="1">Outbound_Monitor!$A$2:$W$3</definedName>
    <definedName name="Z_8CC53FE0_58C1_41A3_82C5_328172C57072_.wvu.FilterData" localSheetId="0" hidden="1">Outbound_Monitor!$A$2:$W$3</definedName>
    <definedName name="Z_8CCAA82F_B98E_4DB3_A7F5_26B6CBA33D4D_.wvu.FilterData" localSheetId="0" hidden="1">Outbound_Monitor!$A$2:$X$16</definedName>
    <definedName name="Z_8CCB5088_660C_49DD_BB00_0BEA0B845DC9_.wvu.FilterData" localSheetId="1" hidden="1">Inbound_Monitor!$A$2:$Q$3</definedName>
    <definedName name="Z_8CCC80DE_38E4_4739_9DF0_9C867A570D37_.wvu.FilterData" localSheetId="0" hidden="1">Outbound_Monitor!$A$2:$X$16</definedName>
    <definedName name="Z_8CD3F72B_1FB9_4B24_80A2_365815D96806_.wvu.FilterData" localSheetId="1" hidden="1">Inbound_Monitor!$A$2:$Q$13</definedName>
    <definedName name="Z_8CE0C1E1_FA4E_4E15_BAE2_48D8968E3A45_.wvu.FilterData" localSheetId="1" hidden="1">Inbound_Monitor!$A$2:$Q$2</definedName>
    <definedName name="Z_8CE0C1E1_FA4E_4E15_BAE2_48D8968E3A45_.wvu.FilterData" localSheetId="0" hidden="1">Outbound_Monitor!$A$2:$W$2</definedName>
    <definedName name="Z_8CE0FC39_4BF8_4E9E_96B2_8CBDB818EDA6_.wvu.FilterData" localSheetId="1" hidden="1">Inbound_Monitor!$A$2:$Q$3</definedName>
    <definedName name="Z_8CE0FC39_4BF8_4E9E_96B2_8CBDB818EDA6_.wvu.FilterData" localSheetId="0" hidden="1">Outbound_Monitor!$A$2:$W$3</definedName>
    <definedName name="Z_8CE31AFB_1681_4F01_9514_C3D85B11F923_.wvu.FilterData" localSheetId="0" hidden="1">Outbound_Monitor!$A$2:$W$3</definedName>
    <definedName name="Z_8CEA95AB_9D63_499E_8A2C_53A7B353AF1C_.wvu.FilterData" localSheetId="0" hidden="1">Outbound_Monitor!$A$2:$X$16</definedName>
    <definedName name="Z_8CEB1EC8_B2EF_4019_9758_C29170F7CE04_.wvu.FilterData" localSheetId="1" hidden="1">Inbound_Monitor!$A$2:$Q$3</definedName>
    <definedName name="Z_8CEB1EC8_B2EF_4019_9758_C29170F7CE04_.wvu.FilterData" localSheetId="0" hidden="1">Outbound_Monitor!$A$2:$X$3</definedName>
    <definedName name="Z_8CEB1EC8_B2EF_4019_9758_C29170F7CE04_.wvu.FilterData" localSheetId="4" hidden="1">Schichtübergabe_Protokoll!$B$3:$N$3</definedName>
    <definedName name="Z_8CEDA63A_BEE9_480A_AF83_647340C6EA98_.wvu.FilterData" localSheetId="1" hidden="1">Inbound_Monitor!$A$2:$Q$2</definedName>
    <definedName name="Z_8CEDA63A_BEE9_480A_AF83_647340C6EA98_.wvu.FilterData" localSheetId="0" hidden="1">Outbound_Monitor!$A$2:$W$2</definedName>
    <definedName name="Z_8CFBCD44_97E7_4675_B9A3_21A609E8E79A_.wvu.FilterData" localSheetId="0" hidden="1">Outbound_Monitor!$A$2:$X$16</definedName>
    <definedName name="Z_8D229BFC_0D16_4616_AD05_1F1383F2A9AD_.wvu.FilterData" localSheetId="0" hidden="1">Outbound_Monitor!$A$2:$W$3</definedName>
    <definedName name="Z_8D2F770C_3B68_46A2_B9BA_396767E8B6BA_.wvu.FilterData" localSheetId="1" hidden="1">Inbound_Monitor!$A$2:$Q$13</definedName>
    <definedName name="Z_8D2F770C_3B68_46A2_B9BA_396767E8B6BA_.wvu.FilterData" localSheetId="0" hidden="1">Outbound_Monitor!$A$2:$W$3</definedName>
    <definedName name="Z_8D3919BC_D2B2_4BC2_ABA7_B2DB80ED5A95_.wvu.FilterData" localSheetId="1" hidden="1">Inbound_Monitor!$A$2:$Q$2</definedName>
    <definedName name="Z_8D3919BC_D2B2_4BC2_ABA7_B2DB80ED5A95_.wvu.FilterData" localSheetId="0" hidden="1">Outbound_Monitor!$A$2:$W$2</definedName>
    <definedName name="Z_8D3AD876_C505_4160_A3D7_ACC6F248FF66_.wvu.FilterData" localSheetId="0" hidden="1">Outbound_Monitor!$A$2:$X$16</definedName>
    <definedName name="Z_8D59B14E_7B81_422B_BD05_7716202949BE_.wvu.FilterData" localSheetId="0" hidden="1">Outbound_Monitor!$A$2:$W$3</definedName>
    <definedName name="Z_8D653C74_89CA_4A23_B764_C1AF830BE263_.wvu.FilterData" localSheetId="1" hidden="1">Inbound_Monitor!$A$2:$Q$3</definedName>
    <definedName name="Z_8D746A16_874A_4F38_B218_527BF9FE179B_.wvu.FilterData" localSheetId="1" hidden="1">Inbound_Monitor!$A$2:$Q$3</definedName>
    <definedName name="Z_8D7FC8E8_A19D_42AE_90DC_948D56B92556_.wvu.FilterData" localSheetId="0" hidden="1">Outbound_Monitor!$A$2:$W$3</definedName>
    <definedName name="Z_8D85E5A7_6225_4792_8BDC_6128EA7A18B7_.wvu.FilterData" localSheetId="0" hidden="1">Outbound_Monitor!$A$2:$W$3</definedName>
    <definedName name="Z_8D8F7968_8D07_4C81_BABF_9A03C1E4F694_.wvu.FilterData" localSheetId="1" hidden="1">Inbound_Monitor!$A$2:$Q$2</definedName>
    <definedName name="Z_8D8F7968_8D07_4C81_BABF_9A03C1E4F694_.wvu.FilterData" localSheetId="0" hidden="1">Outbound_Monitor!$A$2:$W$2</definedName>
    <definedName name="Z_8D90C0C2_14A8_42A3_A7BB_22EBB8970F40_.wvu.FilterData" localSheetId="0" hidden="1">Outbound_Monitor!$A$2:$W$3</definedName>
    <definedName name="Z_8D936697_95CB_4C22_B8F6_80AA001FF5DF_.wvu.FilterData" localSheetId="1" hidden="1">Inbound_Monitor!$A$2:$Q$13</definedName>
    <definedName name="Z_8D936697_95CB_4C22_B8F6_80AA001FF5DF_.wvu.FilterData" localSheetId="0" hidden="1">Outbound_Monitor!$A$2:$X$16</definedName>
    <definedName name="Z_8D9D0AC0_1192_4887_86F1_E086D37D9AA2_.wvu.FilterData" localSheetId="1" hidden="1">Inbound_Monitor!$A$2:$Q$3</definedName>
    <definedName name="Z_8DA68FC6_ECDD_470F_A733_EF2B45E221EB_.wvu.FilterData" localSheetId="0" hidden="1">Outbound_Monitor!$A$2:$W$3</definedName>
    <definedName name="Z_8DA893AF_E556_4AAB_935C_0D282751D2A0_.wvu.FilterData" localSheetId="0" hidden="1">Outbound_Monitor!$A$2:$W$3</definedName>
    <definedName name="Z_8DBBB6AC_3143_47D4_A0E3_DF34A559B41E_.wvu.FilterData" localSheetId="1" hidden="1">Inbound_Monitor!$A$2:$Q$13</definedName>
    <definedName name="Z_8DBBB6AC_3143_47D4_A0E3_DF34A559B41E_.wvu.FilterData" localSheetId="0" hidden="1">Outbound_Monitor!$A$2:$W$3</definedName>
    <definedName name="Z_8DD45794_0BD7_48A4_91EC_A3B61F9EACB0_.wvu.FilterData" localSheetId="1" hidden="1">Inbound_Monitor!$A$2:$Q$13</definedName>
    <definedName name="Z_8E00F311_4677_4529_ABA5_50A2B57241EF_.wvu.FilterData" localSheetId="0" hidden="1">Outbound_Monitor!$A$2:$W$3</definedName>
    <definedName name="Z_8E0C2934_7E90_47DB_9852_A2EA5FFC3AFE_.wvu.FilterData" localSheetId="1" hidden="1">Inbound_Monitor!$A$2:$Q$13</definedName>
    <definedName name="Z_8E0D4AC6_CA6A_466D_901F_8290D5A7340E_.wvu.FilterData" localSheetId="0" hidden="1">Outbound_Monitor!$A$2:$W$3</definedName>
    <definedName name="Z_8E12B68F_1067_4EDE_8EB8_23C5888BFB03_.wvu.FilterData" localSheetId="0" hidden="1">Outbound_Monitor!$A$2:$X$16</definedName>
    <definedName name="Z_8E176B2F_EA0F_4C68_A426_54F5B579D302_.wvu.FilterData" localSheetId="1" hidden="1">Inbound_Monitor!$A$2:$Q$13</definedName>
    <definedName name="Z_8E25B6B6_2F3C_482A_8A0B_EBADE613E258_.wvu.FilterData" localSheetId="0" hidden="1">Outbound_Monitor!$A$2:$W$3</definedName>
    <definedName name="Z_8E3081BC_15BD_457A_9A4F_0AE95584BCC3_.wvu.FilterData" localSheetId="1" hidden="1">Inbound_Monitor!$A$2:$Q$2</definedName>
    <definedName name="Z_8E3081BC_15BD_457A_9A4F_0AE95584BCC3_.wvu.FilterData" localSheetId="0" hidden="1">Outbound_Monitor!$A$2:$W$2</definedName>
    <definedName name="Z_8E51F7DD_D035_498A_A97B_41A4FE7E3E19_.wvu.FilterData" localSheetId="0" hidden="1">Outbound_Monitor!#REF!</definedName>
    <definedName name="Z_8E5EA3A9_7FC7_4836_BD96_771F62A7D4F3_.wvu.FilterData" localSheetId="0" hidden="1">Outbound_Monitor!$A$2:$W$3</definedName>
    <definedName name="Z_8E5FB815_946D_46AC_9CC8_B275BCA4A0A0_.wvu.FilterData" localSheetId="1" hidden="1">Inbound_Monitor!$A$2:$Q$2</definedName>
    <definedName name="Z_8E5FB815_946D_46AC_9CC8_B275BCA4A0A0_.wvu.FilterData" localSheetId="0" hidden="1">Outbound_Monitor!$A$2:$W$2</definedName>
    <definedName name="Z_8E6146EB_2353_4953_992E_DC2C682A2E5E_.wvu.FilterData" localSheetId="0" hidden="1">Outbound_Monitor!$A$2:$W$3</definedName>
    <definedName name="Z_8E708EAE_AC18_4A93_A232_B050F3554959_.wvu.FilterData" localSheetId="0" hidden="1">Outbound_Monitor!$A$2:$X$16</definedName>
    <definedName name="Z_8E70BD6D_061A_456D_87A0_6CD33E5DB1AE_.wvu.FilterData" localSheetId="0" hidden="1">Outbound_Monitor!$A$2:$W$3</definedName>
    <definedName name="Z_8E7C4AF3_4CFE_43EC_90AA_A9D61A07A7EB_.wvu.FilterData" localSheetId="0" hidden="1">Outbound_Monitor!$A$2:$W$3</definedName>
    <definedName name="Z_8E7EC071_EABE_4595_84B8_7D0412C1C721_.wvu.FilterData" localSheetId="1" hidden="1">Inbound_Monitor!$A$2:$Q$2</definedName>
    <definedName name="Z_8E7EC071_EABE_4595_84B8_7D0412C1C721_.wvu.FilterData" localSheetId="0" hidden="1">Outbound_Monitor!$A$2:$W$2</definedName>
    <definedName name="Z_8E7F4D6F_8ECB_48F3_9F36_616E79036FAC_.wvu.FilterData" localSheetId="0" hidden="1">Outbound_Monitor!$A$2:$W$3</definedName>
    <definedName name="Z_8E7F4D6F_8ECB_48F3_9F36_616E79036FAC_.wvu.FilterData" localSheetId="4" hidden="1">Schichtübergabe_Protokoll!$B$3:$N$3</definedName>
    <definedName name="Z_8E91EB01_3DB9_441A_9D8A_83CA390B1EC7_.wvu.FilterData" localSheetId="0" hidden="1">Outbound_Monitor!$A$2:$X$16</definedName>
    <definedName name="Z_8E9E27E7_6B76_4018_897A_799A71910331_.wvu.FilterData" localSheetId="1" hidden="1">Inbound_Monitor!$A$2:$Q$13</definedName>
    <definedName name="Z_8E9E27E7_6B76_4018_897A_799A71910331_.wvu.FilterData" localSheetId="0" hidden="1">Outbound_Monitor!$A$2:$X$16</definedName>
    <definedName name="Z_8ECAB8B9_5F7B_4DCD_930D_FAF61AE41D89_.wvu.FilterData" localSheetId="0" hidden="1">Outbound_Monitor!$A$2:$W$3</definedName>
    <definedName name="Z_8ECF662B_F078_4F2B_9607_767707A338D8_.wvu.FilterData" localSheetId="0" hidden="1">Outbound_Monitor!$A$2:$W$3</definedName>
    <definedName name="Z_8ED62101_A14A_4907_B376_BED844A64072_.wvu.FilterData" localSheetId="0" hidden="1">Outbound_Monitor!$A$2:$W$3</definedName>
    <definedName name="Z_8ED80BE5_AD29_4120_8F32_3914C1154FEA_.wvu.FilterData" localSheetId="1" hidden="1">Inbound_Monitor!$A$2:$Q$3</definedName>
    <definedName name="Z_8EE9B731_351C_447A_9869_B90F2449C17A_.wvu.FilterData" localSheetId="1" hidden="1">Inbound_Monitor!$A$2:$Q$3</definedName>
    <definedName name="Z_8EF2E38E_AD17_4446_BEE2_310BBEA5CCBF_.wvu.FilterData" localSheetId="0" hidden="1">Outbound_Monitor!$A$2:$W$3</definedName>
    <definedName name="Z_8F0122E4_683D_476D_892D_6D4AAA0AA19C_.wvu.FilterData" localSheetId="0" hidden="1">Outbound_Monitor!$A$2:$W$3</definedName>
    <definedName name="Z_8F0122E4_683D_476D_892D_6D4AAA0AA19C_.wvu.FilterData" localSheetId="4" hidden="1">Schichtübergabe_Protokoll!$B$3:$N$3</definedName>
    <definedName name="Z_8F11A57D_09BB_4830_A142_58F987E9B041_.wvu.FilterData" localSheetId="0" hidden="1">Outbound_Monitor!$A$2:$X$16</definedName>
    <definedName name="Z_8F31B415_866B_48BF_AE10_67914D2BA39A_.wvu.FilterData" localSheetId="1" hidden="1">Inbound_Monitor!$A$2:$Q$13</definedName>
    <definedName name="Z_8F398DF4_27BB_4B6D_8D3B_3EC1DBF17205_.wvu.FilterData" localSheetId="0" hidden="1">Outbound_Monitor!$A$2:$W$3</definedName>
    <definedName name="Z_8F3C30E4_C412_4913_AEB2_1EE997C8EB2D_.wvu.FilterData" localSheetId="0" hidden="1">Outbound_Monitor!$A$2:$W$3</definedName>
    <definedName name="Z_8F40E1CC_9F04_489E_AC02_1928264ACF2D_.wvu.FilterData" localSheetId="1" hidden="1">Inbound_Monitor!$A$2:$Q$3</definedName>
    <definedName name="Z_8F4AC42D_9C61_46A0_9427_356B5272953F_.wvu.FilterData" localSheetId="0" hidden="1">Outbound_Monitor!$A$2:$W$3</definedName>
    <definedName name="Z_8F4AC42D_9C61_46A0_9427_356B5272953F_.wvu.FilterData" localSheetId="4" hidden="1">Schichtübergabe_Protokoll!$B$3:$N$3</definedName>
    <definedName name="Z_8F5A492C_F609_4298_86AF_4186996A9708_.wvu.FilterData" localSheetId="0" hidden="1">Outbound_Monitor!$A$2:$W$3</definedName>
    <definedName name="Z_8F782B52_DC92_4B98_921F_A1A92BEEC06B_.wvu.FilterData" localSheetId="1" hidden="1">Inbound_Monitor!$A$2:$Q$3</definedName>
    <definedName name="Z_8F7D8F33_BF53_4105_B260_90DAA598B075_.wvu.FilterData" localSheetId="1" hidden="1">Inbound_Monitor!$A$2:$Q$2</definedName>
    <definedName name="Z_8F7D8F33_BF53_4105_B260_90DAA598B075_.wvu.FilterData" localSheetId="0" hidden="1">Outbound_Monitor!$A$2:$W$2</definedName>
    <definedName name="Z_8F7DFE3D_9CC3_4ED6_AF2B_258ABBA963A7_.wvu.FilterData" localSheetId="0" hidden="1">Outbound_Monitor!$A$2:$W$3</definedName>
    <definedName name="Z_8F8662B2_12E8_438D_B0B5_BCCF10C1700A_.wvu.FilterData" localSheetId="0" hidden="1">Outbound_Monitor!$A$2:$W$3</definedName>
    <definedName name="Z_8F968B2F_F908_45D6_9CF3_94AA9A01198F_.wvu.FilterData" localSheetId="0" hidden="1">Outbound_Monitor!$A$2:$W$3</definedName>
    <definedName name="Z_8F9BE7F7_EAC3_4C77_AF94_FE8DA6A52666_.wvu.FilterData" localSheetId="1" hidden="1">Inbound_Monitor!$A$2:$Q$2</definedName>
    <definedName name="Z_8F9BE7F7_EAC3_4C77_AF94_FE8DA6A52666_.wvu.FilterData" localSheetId="0" hidden="1">Outbound_Monitor!$A$2:$W$2</definedName>
    <definedName name="Z_8F9C7E0D_86B5_4676_B990_9CB146886D9E_.wvu.FilterData" localSheetId="0" hidden="1">Outbound_Monitor!$A$2:$W$3</definedName>
    <definedName name="Z_8FA20C22_B319_47C8_8763_A920FB7D0B71_.wvu.FilterData" localSheetId="0" hidden="1">Outbound_Monitor!$A$2:$W$3</definedName>
    <definedName name="Z_8FA71D54_8873_44D9_A5E1_8D47DF82C9D4_.wvu.FilterData" localSheetId="0" hidden="1">Outbound_Monitor!$A$2:$W$3</definedName>
    <definedName name="Z_8FA7D3EB_A60D_4DC3_9806_433CDA010CDF_.wvu.FilterData" localSheetId="0" hidden="1">Outbound_Monitor!$A$2:$W$3</definedName>
    <definedName name="Z_8FA8E52D_E91C_4684_8F4D_26B1BA797E1C_.wvu.FilterData" localSheetId="1" hidden="1">Inbound_Monitor!$A$2:$Q$13</definedName>
    <definedName name="Z_8FB5DD2B_CB9F_4F33_8D1F_2814D9D4BAC6_.wvu.FilterData" localSheetId="1" hidden="1">Inbound_Monitor!$A$2:$Q$3</definedName>
    <definedName name="Z_8FB5DD2B_CB9F_4F33_8D1F_2814D9D4BAC6_.wvu.FilterData" localSheetId="0" hidden="1">Outbound_Monitor!$A$2:$W$3</definedName>
    <definedName name="Z_8FBD0AAB_E5CD_4257_AA86_BC10D7CB5182_.wvu.FilterData" localSheetId="0" hidden="1">Outbound_Monitor!$A$2:$X$16</definedName>
    <definedName name="Z_8FBD473B_B239_4BA8_8B1F_ED3C364C1EA2_.wvu.FilterData" localSheetId="1" hidden="1">Inbound_Monitor!$A$2:$Q$13</definedName>
    <definedName name="Z_8FBD473B_B239_4BA8_8B1F_ED3C364C1EA2_.wvu.FilterData" localSheetId="0" hidden="1">Outbound_Monitor!$A$2:$W$3</definedName>
    <definedName name="Z_8FD3D5F6_1245_4DB9_8783_8DB642046DB3_.wvu.FilterData" localSheetId="1" hidden="1">Inbound_Monitor!$A$2:$Q$2</definedName>
    <definedName name="Z_8FD3D5F6_1245_4DB9_8783_8DB642046DB3_.wvu.FilterData" localSheetId="0" hidden="1">Outbound_Monitor!$A$2:$W$2</definedName>
    <definedName name="Z_8FD81FDC_E115_47A6_B886_D108C2C28D53_.wvu.FilterData" localSheetId="1" hidden="1">Inbound_Monitor!$A$2:$Q$13</definedName>
    <definedName name="Z_8FD81FDC_E115_47A6_B886_D108C2C28D53_.wvu.FilterData" localSheetId="0" hidden="1">Outbound_Monitor!$A$2:$W$3</definedName>
    <definedName name="Z_8FDED45D_6BC4_46B8_B1AF_A0C7C945EF51_.wvu.FilterData" localSheetId="0" hidden="1">Outbound_Monitor!$A$2:$X$16</definedName>
    <definedName name="Z_8FE2353A_0B44_4A9B_AF2C_39250B5A806C_.wvu.FilterData" localSheetId="1" hidden="1">Inbound_Monitor!$A$2:$Q$13</definedName>
    <definedName name="Z_8FE2353A_0B44_4A9B_AF2C_39250B5A806C_.wvu.FilterData" localSheetId="0" hidden="1">Outbound_Monitor!$A$2:$W$3</definedName>
    <definedName name="Z_8FE7C684_956A_458B_A605_40B2484630F7_.wvu.FilterData" localSheetId="1" hidden="1">Inbound_Monitor!$A$2:$Q$3</definedName>
    <definedName name="Z_8FE7DEB4_E792_450E_97BE_6B399D637538_.wvu.FilterData" localSheetId="1" hidden="1">Inbound_Monitor!$A$2:$Q$3</definedName>
    <definedName name="Z_8FE90ED5_651B_425A_905B_B96196CB5EFE_.wvu.FilterData" localSheetId="1" hidden="1">Inbound_Monitor!$A$2:$Q$3</definedName>
    <definedName name="Z_8FF8C546_93B8_4F6D_AF7C_6E705C344283_.wvu.FilterData" localSheetId="1" hidden="1">Inbound_Monitor!$A$2:$Q$3</definedName>
    <definedName name="Z_9000D3FD_A74A_4C66_B436_B7A4632918D6_.wvu.FilterData" localSheetId="0" hidden="1">Outbound_Monitor!$A$2:$W$3</definedName>
    <definedName name="Z_900DBCB5_8241_4AE8_BDE9_1327F56133EA_.wvu.FilterData" localSheetId="1" hidden="1">Inbound_Monitor!$A$2:$Q$3</definedName>
    <definedName name="Z_9010F239_B1F8_48F7_B334_0654805368AC_.wvu.FilterData" localSheetId="1" hidden="1">Inbound_Monitor!$A$2:$Q$3</definedName>
    <definedName name="Z_9010F239_B1F8_48F7_B334_0654805368AC_.wvu.FilterData" localSheetId="0" hidden="1">Outbound_Monitor!$A$2:$W$3</definedName>
    <definedName name="Z_90150396_9225_4E50_90F0_E3BB57A797FF_.wvu.FilterData" localSheetId="0" hidden="1">Outbound_Monitor!$A$2:$W$3</definedName>
    <definedName name="Z_90239E43_8CD8_46EF_8DF1_02C8E68B9C8F_.wvu.FilterData" localSheetId="1" hidden="1">Inbound_Monitor!$A$2:$Q$3</definedName>
    <definedName name="Z_90239E43_8CD8_46EF_8DF1_02C8E68B9C8F_.wvu.FilterData" localSheetId="0" hidden="1">Outbound_Monitor!$A$2:$W$3</definedName>
    <definedName name="Z_90261002_7353_4081_8E55_656A70F61007_.wvu.FilterData" localSheetId="1" hidden="1">Inbound_Monitor!$A$2:$Q$13</definedName>
    <definedName name="Z_90372DE3_4D35_46F5_9112_5645112B73AF_.wvu.FilterData" localSheetId="0" hidden="1">Outbound_Monitor!$A$2:$X$16</definedName>
    <definedName name="Z_904ACFFA_D795_4C49_8222_BD3B200C455F_.wvu.FilterData" localSheetId="0" hidden="1">Outbound_Monitor!#REF!</definedName>
    <definedName name="Z_904B9894_6C4B_4A8D_BDBA_AA15192B7C77_.wvu.FilterData" localSheetId="0" hidden="1">Outbound_Monitor!$A$2:$W$3</definedName>
    <definedName name="Z_9056BB27_5A55_4930_9480_C58BF44B9C4E_.wvu.FilterData" localSheetId="1" hidden="1">Inbound_Monitor!$A$2:$Q$13</definedName>
    <definedName name="Z_905DF838_7655_4093_899F_1211F3C1EE1A_.wvu.FilterData" localSheetId="0" hidden="1">Outbound_Monitor!$A$2:$W$3</definedName>
    <definedName name="Z_906012CA_02F8_4C94_8C52_7CCE967ABACA_.wvu.FilterData" localSheetId="0" hidden="1">Outbound_Monitor!$A$2:$X$16</definedName>
    <definedName name="Z_9066D6A5_F9C9_4F66_87EC_2D3C5938F5A9_.wvu.FilterData" localSheetId="0" hidden="1">Outbound_Monitor!$A$2:$W$3</definedName>
    <definedName name="Z_906762E0_4FFC_4301_AE91_A50F1578FF4B_.wvu.FilterData" localSheetId="1" hidden="1">Inbound_Monitor!$A$2:$Q$3</definedName>
    <definedName name="Z_9088BC4E_4F7A_4371_990C_4E11B18326C7_.wvu.FilterData" localSheetId="4" hidden="1">Schichtübergabe_Protokoll!$B$3:$N$3</definedName>
    <definedName name="Z_908B2D0C_E01D_4FD5_B9F6_A1F9CC6522BA_.wvu.FilterData" localSheetId="0" hidden="1">Outbound_Monitor!$A$2:$W$3</definedName>
    <definedName name="Z_90A65F12_5721_4845_A82D_7AABB20129BA_.wvu.FilterData" localSheetId="0" hidden="1">Outbound_Monitor!$A$2:$W$3</definedName>
    <definedName name="Z_90AD9E8C_175A_4E4C_9316_87AE52AA5C57_.wvu.FilterData" localSheetId="1" hidden="1">Inbound_Monitor!$A$2:$Q$3</definedName>
    <definedName name="Z_90AD9E8C_175A_4E4C_9316_87AE52AA5C57_.wvu.FilterData" localSheetId="0" hidden="1">Outbound_Monitor!$A$2:$W$3</definedName>
    <definedName name="Z_90AD9E8C_175A_4E4C_9316_87AE52AA5C57_.wvu.FilterData" localSheetId="4" hidden="1">Schichtübergabe_Protokoll!$B$3:$N$3</definedName>
    <definedName name="Z_90B427A7_F6F7_4E83_B814_5AC5F9A2D5AF_.wvu.FilterData" localSheetId="1" hidden="1">Inbound_Monitor!$A$2:$Q$3</definedName>
    <definedName name="Z_90B427A7_F6F7_4E83_B814_5AC5F9A2D5AF_.wvu.FilterData" localSheetId="4" hidden="1">Schichtübergabe_Protokoll!$B$3:$N$3</definedName>
    <definedName name="Z_90BD73FD_CC45_4809_954F_C4222B371AAA_.wvu.FilterData" localSheetId="0" hidden="1">Outbound_Monitor!$A$2:$W$3</definedName>
    <definedName name="Z_90C1EDED_32DF_4477_A20B_4ADBCA3D9E8C_.wvu.FilterData" localSheetId="4" hidden="1">Schichtübergabe_Protokoll!$B$3:$N$3</definedName>
    <definedName name="Z_90D74313_F667_4AB3_8570_5272690EA390_.wvu.FilterData" localSheetId="4" hidden="1">Schichtübergabe_Protokoll!$B$3:$N$3</definedName>
    <definedName name="Z_90D84809_9BCA_4980_9074_D41449E7CD37_.wvu.FilterData" localSheetId="1" hidden="1">Inbound_Monitor!$A$2:$Q$3</definedName>
    <definedName name="Z_90E83399_1E90_4EDD_91DE_72CAE3794431_.wvu.FilterData" localSheetId="1" hidden="1">Inbound_Monitor!$A$2:$Q$3</definedName>
    <definedName name="Z_90E83399_1E90_4EDD_91DE_72CAE3794431_.wvu.FilterData" localSheetId="0" hidden="1">Outbound_Monitor!$A$2:$W$3</definedName>
    <definedName name="Z_90E88CDE_0D63_489F_9010_CD639C50DABA_.wvu.FilterData" localSheetId="1" hidden="1">Inbound_Monitor!$A$2:$Q$13</definedName>
    <definedName name="Z_90E88CDE_0D63_489F_9010_CD639C50DABA_.wvu.FilterData" localSheetId="0" hidden="1">Outbound_Monitor!$A$2:$W$3</definedName>
    <definedName name="Z_90F11FB9_9680_4A33_9035_92EA199EE71D_.wvu.FilterData" localSheetId="1" hidden="1">Inbound_Monitor!$A$2:$Q$3</definedName>
    <definedName name="Z_910EA7BB_1B68_4AB3_B994_0FBB548D4D63_.wvu.FilterData" localSheetId="1" hidden="1">Inbound_Monitor!$A$2:$Q$13</definedName>
    <definedName name="Z_910EA7BB_1B68_4AB3_B994_0FBB548D4D63_.wvu.FilterData" localSheetId="0" hidden="1">Outbound_Monitor!$A$2:$W$3</definedName>
    <definedName name="Z_9114EEBF_D956_403C_8A4F_9094C3F5B03E_.wvu.FilterData" localSheetId="1" hidden="1">Inbound_Monitor!$A$2:$Q$3</definedName>
    <definedName name="Z_9128E4C9_D71A_495E_BF9F_629330770047_.wvu.FilterData" localSheetId="0" hidden="1">Outbound_Monitor!$A$2:$W$3</definedName>
    <definedName name="Z_912D4665_AF34_4B37_9DB8_CDE0E4526E54_.wvu.FilterData" localSheetId="0" hidden="1">Outbound_Monitor!$A$2:$X$16</definedName>
    <definedName name="Z_9134C344_C8E1_44A6_884C_E6B4D12BD32E_.wvu.FilterData" localSheetId="1" hidden="1">Inbound_Monitor!$A$2:$Q$2</definedName>
    <definedName name="Z_9134C344_C8E1_44A6_884C_E6B4D12BD32E_.wvu.FilterData" localSheetId="0" hidden="1">Outbound_Monitor!$A$2:$W$2</definedName>
    <definedName name="Z_91684996_B4CF_4460_9017_EF9C7CFD6F22_.wvu.FilterData" localSheetId="0" hidden="1">Outbound_Monitor!$A$2:$W$3</definedName>
    <definedName name="Z_916947DA_CF8E_4F75_A781_AF305F529DC2_.wvu.FilterData" localSheetId="1" hidden="1">Inbound_Monitor!$A$2:$Q$3</definedName>
    <definedName name="Z_916BAAE7_E7EF_4229_BACA_9FC3E2C0FA57_.wvu.FilterData" localSheetId="0" hidden="1">Outbound_Monitor!$A$2:$W$3</definedName>
    <definedName name="Z_9174B17E_79DE_49A4_989F_2BB2EA851E4E_.wvu.FilterData" localSheetId="0" hidden="1">Outbound_Monitor!$A$2:$W$3</definedName>
    <definedName name="Z_9179683D_6A16_45AD_85FF_B79E2A8D94BC_.wvu.FilterData" localSheetId="0" hidden="1">Outbound_Monitor!$A$2:$X$16</definedName>
    <definedName name="Z_919A175B_CADE_4331_9233_89A14735FA43_.wvu.FilterData" localSheetId="1" hidden="1">Inbound_Monitor!$A$2:$Q$2</definedName>
    <definedName name="Z_919A175B_CADE_4331_9233_89A14735FA43_.wvu.FilterData" localSheetId="0" hidden="1">Outbound_Monitor!$A$2:$W$2</definedName>
    <definedName name="Z_919C5018_177A_4262_BA92_1B6F5149B0A5_.wvu.FilterData" localSheetId="1" hidden="1">Inbound_Monitor!$A$2:$Q$2</definedName>
    <definedName name="Z_919C5018_177A_4262_BA92_1B6F5149B0A5_.wvu.FilterData" localSheetId="0" hidden="1">Outbound_Monitor!$A$2:$W$2</definedName>
    <definedName name="Z_91A79819_028F_4FC2_9A3A_F90AA8D4388C_.wvu.FilterData" localSheetId="0" hidden="1">Outbound_Monitor!$A$2:$W$3</definedName>
    <definedName name="Z_91BB65F0_26AE_4BC9_AFD5_71B85560C3D4_.wvu.FilterData" localSheetId="0" hidden="1">Outbound_Monitor!$A$2:$X$16</definedName>
    <definedName name="Z_91C2CC50_33CB_4358_B44C_915D87132BDA_.wvu.FilterData" localSheetId="1" hidden="1">Inbound_Monitor!$A$2:$Q$3</definedName>
    <definedName name="Z_91CD0A2F_C286_4FEC_BA26_387850157077_.wvu.FilterData" localSheetId="0" hidden="1">Outbound_Monitor!$A$2:$W$3</definedName>
    <definedName name="Z_91D4D2DD_3D16_4263_8235_7285413FBBC0_.wvu.FilterData" localSheetId="0" hidden="1">Outbound_Monitor!$A$2:$W$3</definedName>
    <definedName name="Z_91D53609_84AE_4719_9939_CA198D2CD585_.wvu.FilterData" localSheetId="1" hidden="1">Inbound_Monitor!$A$2:$Q$3</definedName>
    <definedName name="Z_91F59E58_DBB1_4BB5_9471_C9B703148DDE_.wvu.FilterData" localSheetId="1" hidden="1">Inbound_Monitor!$A$2:$Q$3</definedName>
    <definedName name="Z_91F59E58_DBB1_4BB5_9471_C9B703148DDE_.wvu.FilterData" localSheetId="0" hidden="1">Outbound_Monitor!$A$2:$W$3</definedName>
    <definedName name="Z_91FC1235_EFCB_41DE_AD81_E1B260678EC2_.wvu.FilterData" localSheetId="1" hidden="1">Inbound_Monitor!$A$2:$Q$13</definedName>
    <definedName name="Z_91FC1235_EFCB_41DE_AD81_E1B260678EC2_.wvu.FilterData" localSheetId="0" hidden="1">Outbound_Monitor!$A$2:$W$3</definedName>
    <definedName name="Z_91FFE23E_7E64_4445_9714_D5DF1C2DC2D2_.wvu.FilterData" localSheetId="0" hidden="1">Outbound_Monitor!$A$2:$X$16</definedName>
    <definedName name="Z_92061E9A_D42C_44B0_BAA7_C8E55B1696ED_.wvu.FilterData" localSheetId="1" hidden="1">Inbound_Monitor!$A$2:$Q$3</definedName>
    <definedName name="Z_920743AD_D804_4B85_8140_86E595DE70A5_.wvu.FilterData" localSheetId="1" hidden="1">Inbound_Monitor!$A$2:$Q$3</definedName>
    <definedName name="Z_920743AD_D804_4B85_8140_86E595DE70A5_.wvu.FilterData" localSheetId="0" hidden="1">Outbound_Monitor!$A$2:$W$3</definedName>
    <definedName name="Z_920D1469_DD8A_45B8_AE1A_2D720E2C9F30_.wvu.FilterData" localSheetId="1" hidden="1">Inbound_Monitor!$A$2:$Q$3</definedName>
    <definedName name="Z_920D1469_DD8A_45B8_AE1A_2D720E2C9F30_.wvu.FilterData" localSheetId="0" hidden="1">Outbound_Monitor!$A$2:$W$3</definedName>
    <definedName name="Z_92153D7A_B5BB_4835_B686_F9A89E2FFA83_.wvu.FilterData" localSheetId="1" hidden="1">Inbound_Monitor!$A$2:$Q$3</definedName>
    <definedName name="Z_92168F17_B47A_4B39_9704_FA6EE3B25C87_.wvu.FilterData" localSheetId="0" hidden="1">Outbound_Monitor!$A$2:$X$16</definedName>
    <definedName name="Z_92194748_5450_430B_A061_9CE45B18ACC3_.wvu.FilterData" localSheetId="0" hidden="1">Outbound_Monitor!$A$2:$W$3</definedName>
    <definedName name="Z_9230B67F_5EAD_4556_9C5A_132F1A9D6A5C_.wvu.FilterData" localSheetId="0" hidden="1">Outbound_Monitor!$A$2:$W$3</definedName>
    <definedName name="Z_92356A94_FCF7_4AB1_B19D_9621538B7125_.wvu.FilterData" localSheetId="1" hidden="1">Inbound_Monitor!$A$2:$Q$3</definedName>
    <definedName name="Z_92356A94_FCF7_4AB1_B19D_9621538B7125_.wvu.FilterData" localSheetId="0" hidden="1">Outbound_Monitor!$A$2:$W$3</definedName>
    <definedName name="Z_9236C668_775D_4113_8DE4_B0574B4E67CA_.wvu.FilterData" localSheetId="0" hidden="1">Outbound_Monitor!$A$2:$W$3</definedName>
    <definedName name="Z_923C6DA9_D5CE_461E_82D4_15E992908041_.wvu.FilterData" localSheetId="1" hidden="1">Inbound_Monitor!$A$2:$Q$13</definedName>
    <definedName name="Z_923C6DA9_D5CE_461E_82D4_15E992908041_.wvu.FilterData" localSheetId="0" hidden="1">Outbound_Monitor!$A$2:$W$3</definedName>
    <definedName name="Z_923EDE14_AE39_43A1_B575_BCEFA2BD5EE6_.wvu.FilterData" localSheetId="0" hidden="1">Outbound_Monitor!$A$2:$X$16</definedName>
    <definedName name="Z_924B127F_A94E_4522_A7FB_1617832255A3_.wvu.FilterData" localSheetId="0" hidden="1">Outbound_Monitor!$A$2:$W$3</definedName>
    <definedName name="Z_924C8B54_8636_41EC_AC81_2E3500023B5B_.wvu.FilterData" localSheetId="1" hidden="1">Inbound_Monitor!$A$2:$Q$2</definedName>
    <definedName name="Z_924C8B54_8636_41EC_AC81_2E3500023B5B_.wvu.FilterData" localSheetId="0" hidden="1">Outbound_Monitor!$A$2:$W$2</definedName>
    <definedName name="Z_92521DD6_F11B_4CB7_A8C3_359C2DB3364E_.wvu.FilterData" localSheetId="1" hidden="1">Inbound_Monitor!$A$2:$Q$2</definedName>
    <definedName name="Z_92521DD6_F11B_4CB7_A8C3_359C2DB3364E_.wvu.FilterData" localSheetId="0" hidden="1">Outbound_Monitor!$A$2:$W$2</definedName>
    <definedName name="Z_92578673_797B_4007_816C_B6595382AA72_.wvu.FilterData" localSheetId="1" hidden="1">Inbound_Monitor!$A$2:$Q$3</definedName>
    <definedName name="Z_9258985C_D219_4638_8D73_8D4797F777A3_.wvu.FilterData" localSheetId="1" hidden="1">Inbound_Monitor!$A$2:$Q$3</definedName>
    <definedName name="Z_92594BC4_0EE3_4649_8DBE_EFAFBA034D1F_.wvu.FilterData" localSheetId="0" hidden="1">Outbound_Monitor!$A$2:$W$3</definedName>
    <definedName name="Z_925B3B84_8196_432C_A585_3CF82FF44B19_.wvu.FilterData" localSheetId="0" hidden="1">Outbound_Monitor!$A$2:$W$3</definedName>
    <definedName name="Z_9269B53F_3569_4DD5_A65A_0D28F1F08FCF_.wvu.FilterData" localSheetId="1" hidden="1">Inbound_Monitor!$A$2:$Q$2</definedName>
    <definedName name="Z_9269B53F_3569_4DD5_A65A_0D28F1F08FCF_.wvu.FilterData" localSheetId="0" hidden="1">Outbound_Monitor!$A$2:$W$2</definedName>
    <definedName name="Z_927B7807_11AF_4A6C_9ADB_A65478E806F5_.wvu.FilterData" localSheetId="1" hidden="1">Inbound_Monitor!$A$2:$Q$3</definedName>
    <definedName name="Z_927B7807_11AF_4A6C_9ADB_A65478E806F5_.wvu.FilterData" localSheetId="0" hidden="1">Outbound_Monitor!$A$2:$W$3</definedName>
    <definedName name="Z_928664B4_EEEF_4B6D_828F_5ED2EAC055A3_.wvu.FilterData" localSheetId="1" hidden="1">Inbound_Monitor!$A$2:$Q$3</definedName>
    <definedName name="Z_929DCCBD_463D_49FC_BE57_E43B3C3054C7_.wvu.FilterData" localSheetId="1" hidden="1">Inbound_Monitor!$A$2:$Q$13</definedName>
    <definedName name="Z_929DCCBD_463D_49FC_BE57_E43B3C3054C7_.wvu.FilterData" localSheetId="0" hidden="1">Outbound_Monitor!$A$2:$X$16</definedName>
    <definedName name="Z_92BA3093_1B08_4E36_974B_58D8A529315F_.wvu.FilterData" localSheetId="1" hidden="1">Inbound_Monitor!$A$2:$Q$3</definedName>
    <definedName name="Z_92CBEF4F_4602_430F_9F21_6BD606A36AF6_.wvu.FilterData" localSheetId="1" hidden="1">Inbound_Monitor!$A$2:$Q$13</definedName>
    <definedName name="Z_92CBEF4F_4602_430F_9F21_6BD606A36AF6_.wvu.FilterData" localSheetId="0" hidden="1">Outbound_Monitor!$A$2:$X$16</definedName>
    <definedName name="Z_92CDE763_A0EE_4506_B2C6_ACE9B06B9F34_.wvu.FilterData" localSheetId="0" hidden="1">Outbound_Monitor!$A$2:$W$3</definedName>
    <definedName name="Z_92D1EAD5_7AE7_4A16_AB28_057DD13F094F_.wvu.FilterData" localSheetId="1" hidden="1">Inbound_Monitor!$A$2:$Q$3</definedName>
    <definedName name="Z_9319CFDE_60D3_4FD5_AC50_2D6731FC19DF_.wvu.FilterData" localSheetId="0" hidden="1">Outbound_Monitor!$A$2:$X$16</definedName>
    <definedName name="Z_9337EBDB_663D_4631_B976_30A216D332F8_.wvu.FilterData" localSheetId="0" hidden="1">Outbound_Monitor!$A$2:$W$3</definedName>
    <definedName name="Z_934D0B54_9E47_4968_A180_BE38006B921F_.wvu.FilterData" localSheetId="0" hidden="1">Outbound_Monitor!$A$2:$W$3</definedName>
    <definedName name="Z_93522C86_D8C9_426D_8DC5_0A1E04D5C92F_.wvu.FilterData" localSheetId="0" hidden="1">Outbound_Monitor!$A$2:$X$16</definedName>
    <definedName name="Z_93559049_7BE9_4058_A0EC_9A12C167589A_.wvu.FilterData" localSheetId="1" hidden="1">Inbound_Monitor!$A$2:$Q$13</definedName>
    <definedName name="Z_93559049_7BE9_4058_A0EC_9A12C167589A_.wvu.FilterData" localSheetId="0" hidden="1">Outbound_Monitor!$A$2:$X$16</definedName>
    <definedName name="Z_93607FA2_03A9_4D55_B20D_3E3549F9AAA3_.wvu.FilterData" localSheetId="0" hidden="1">Outbound_Monitor!$A$2:$W$3</definedName>
    <definedName name="Z_938C0888_A3F7_477E_87C1_A4DF790C0F8A_.wvu.FilterData" localSheetId="1" hidden="1">Inbound_Monitor!$A$2:$Q$13</definedName>
    <definedName name="Z_938C0888_A3F7_477E_87C1_A4DF790C0F8A_.wvu.FilterData" localSheetId="0" hidden="1">Outbound_Monitor!$A$2:$W$3</definedName>
    <definedName name="Z_93974CB8_7A39_4334_96B8_CD1053A5CA0D_.wvu.FilterData" localSheetId="0" hidden="1">Outbound_Monitor!$A$2:$W$3</definedName>
    <definedName name="Z_93A68847_9FB2_4504_A8FF_2EB5C5DFFAFB_.wvu.FilterData" localSheetId="1" hidden="1">Inbound_Monitor!$A$2:$Q$3</definedName>
    <definedName name="Z_93A98C3A_5BA7_42B8_B463_21D078FC5EF7_.wvu.FilterData" localSheetId="0" hidden="1">Outbound_Monitor!$A$2:$W$3</definedName>
    <definedName name="Z_93B0270F_5248_4A76_9C21_0DD04DED3716_.wvu.FilterData" localSheetId="1" hidden="1">Inbound_Monitor!$A$2:$Q$3</definedName>
    <definedName name="Z_93B0270F_5248_4A76_9C21_0DD04DED3716_.wvu.FilterData" localSheetId="0" hidden="1">Outbound_Monitor!$A$2:$W$3</definedName>
    <definedName name="Z_93B9F5C8_75C9_4AB4_B588_7A2FA23CCC0E_.wvu.FilterData" localSheetId="1" hidden="1">Inbound_Monitor!$A$2:$Q$13</definedName>
    <definedName name="Z_93B9F5C8_75C9_4AB4_B588_7A2FA23CCC0E_.wvu.FilterData" localSheetId="0" hidden="1">Outbound_Monitor!$A$2:$W$3</definedName>
    <definedName name="Z_93BCD660_EAD0_43C1_9D5C_AFC66CFBE163_.wvu.FilterData" localSheetId="1" hidden="1">Inbound_Monitor!$A$2:$Q$3</definedName>
    <definedName name="Z_93BFFDA8_B78C_4189_9AFF_73B16FC8466C_.wvu.FilterData" localSheetId="0" hidden="1">Outbound_Monitor!$A$2:$W$3</definedName>
    <definedName name="Z_93C5E934_C153_4030_8760_1EA1FF9C72F8_.wvu.FilterData" localSheetId="0" hidden="1">Outbound_Monitor!$A$2:$X$16</definedName>
    <definedName name="Z_93CEA5C1_03EE_4599_BFD1_C91F05EBCD29_.wvu.FilterData" localSheetId="0" hidden="1">Outbound_Monitor!$A$2:$W$3</definedName>
    <definedName name="Z_93D8C98A_2EA1_4E2F_A0D6_238C2B0F848A_.wvu.FilterData" localSheetId="1" hidden="1">Inbound_Monitor!$A$2:$Q$13</definedName>
    <definedName name="Z_93DBEA8C_1F7A_4356_BEE9_27448F75D9DF_.wvu.FilterData" localSheetId="0" hidden="1">Outbound_Monitor!$A$2:$W$3</definedName>
    <definedName name="Z_93EA0FD5_9AE3_43E1_90C1_E101D8ED094B_.wvu.FilterData" localSheetId="1" hidden="1">Inbound_Monitor!$A$2:$Q$13</definedName>
    <definedName name="Z_93FE5EAD_E12B_41B7_8C30_30BA6A3DFAC2_.wvu.FilterData" localSheetId="1" hidden="1">Inbound_Monitor!$A$2:$Q$2</definedName>
    <definedName name="Z_93FE5EAD_E12B_41B7_8C30_30BA6A3DFAC2_.wvu.FilterData" localSheetId="0" hidden="1">Outbound_Monitor!$A$2:$W$2</definedName>
    <definedName name="Z_93FFE3C7_06AE_4CB8_97C0_8547553A6CEE_.wvu.FilterData" localSheetId="1" hidden="1">Inbound_Monitor!$A$2:$Q$3</definedName>
    <definedName name="Z_93FFE3C7_06AE_4CB8_97C0_8547553A6CEE_.wvu.FilterData" localSheetId="0" hidden="1">Outbound_Monitor!$A$2:$W$3</definedName>
    <definedName name="Z_94017F11_8977_4B82_AA5F_C396131C8F9D_.wvu.FilterData" localSheetId="0" hidden="1">Outbound_Monitor!$A$2:$X$16</definedName>
    <definedName name="Z_940C5B15_CE5F_4063_9E97_EEFF9F16C81D_.wvu.FilterData" localSheetId="1" hidden="1">Inbound_Monitor!$A$2:$Q$13</definedName>
    <definedName name="Z_941223AE_69AB_4905_BF84_78179CB99DD4_.wvu.FilterData" localSheetId="1" hidden="1">Inbound_Monitor!$A$2:$Q$3</definedName>
    <definedName name="Z_9412843F_B17B_4761_BDB1_B1DE52E46EE1_.wvu.FilterData" localSheetId="0" hidden="1">Outbound_Monitor!$A$2:$W$3</definedName>
    <definedName name="Z_941BCD6F_D416_4667_A911_A915F46FF0CA_.wvu.FilterData" localSheetId="0" hidden="1">Outbound_Monitor!$A$2:$W$3</definedName>
    <definedName name="Z_944240D6_3EDD_4F07_B805_3317C2D721B2_.wvu.FilterData" localSheetId="1" hidden="1">Inbound_Monitor!$A$2:$Q$3</definedName>
    <definedName name="Z_9474F53B_5FF3_4ADD_99E3_3487598998D6_.wvu.FilterData" localSheetId="0" hidden="1">Outbound_Monitor!$A$2:$W$3</definedName>
    <definedName name="Z_9480D3C8_6102_4F96_B36B_034710443F6A_.wvu.FilterData" localSheetId="0" hidden="1">Outbound_Monitor!$A$2:$W$3</definedName>
    <definedName name="Z_9488BEA1_B88C_4677_B800_27047DED4C24_.wvu.FilterData" localSheetId="0" hidden="1">Outbound_Monitor!$A$2:$W$3</definedName>
    <definedName name="Z_949809E5_51E2_433E_8A2F_7BC3798D97D0_.wvu.FilterData" localSheetId="1" hidden="1">Inbound_Monitor!$A$2:$Q$2</definedName>
    <definedName name="Z_949809E5_51E2_433E_8A2F_7BC3798D97D0_.wvu.FilterData" localSheetId="0" hidden="1">Outbound_Monitor!$A$2:$W$2</definedName>
    <definedName name="Z_94985DEB_BFB4_44D4_A167_C3906921F178_.wvu.FilterData" localSheetId="1" hidden="1">Inbound_Monitor!$A$2:$Q$13</definedName>
    <definedName name="Z_94999FC6_76A9_4E2F_BC52_4ADAA33706DC_.wvu.FilterData" localSheetId="1" hidden="1">Inbound_Monitor!$A$2:$Q$3</definedName>
    <definedName name="Z_94999FC6_76A9_4E2F_BC52_4ADAA33706DC_.wvu.FilterData" localSheetId="0" hidden="1">Outbound_Monitor!$A$2:$W$3</definedName>
    <definedName name="Z_94A9ABF1_D891_43C2_8DDB_FC725989D5F1_.wvu.FilterData" localSheetId="0" hidden="1">Outbound_Monitor!$A$2:$W$3</definedName>
    <definedName name="Z_94AADF63_8B26_4186_B83A_FC87844B72A9_.wvu.FilterData" localSheetId="1" hidden="1">Inbound_Monitor!$A$2:$Q$3</definedName>
    <definedName name="Z_94AADF63_8B26_4186_B83A_FC87844B72A9_.wvu.FilterData" localSheetId="0" hidden="1">Outbound_Monitor!$A$2:$W$3</definedName>
    <definedName name="Z_94D2E6D4_A2D4_4B85_9753_6CAADEDF8C55_.wvu.FilterData" localSheetId="0" hidden="1">Outbound_Monitor!$A$2:$W$3</definedName>
    <definedName name="Z_94D5CE09_EBD7_4CC3_9D2F_2AA6163BF7D0_.wvu.FilterData" localSheetId="0" hidden="1">Outbound_Monitor!$A$2:$W$3</definedName>
    <definedName name="Z_94DFB8A0_3E79_4B01_B8B6_F51FD0983592_.wvu.FilterData" localSheetId="0" hidden="1">Outbound_Monitor!$A$2:$W$3</definedName>
    <definedName name="Z_94FA4033_4749_405D_ABF4_F6CE2311740B_.wvu.FilterData" localSheetId="0" hidden="1">Outbound_Monitor!$A$2:$W$3</definedName>
    <definedName name="Z_95038080_6B9F_484F_8620_44E1DD832AC2_.wvu.FilterData" localSheetId="1" hidden="1">Inbound_Monitor!$A$2:$Q$3</definedName>
    <definedName name="Z_95050E97_F3C8_49F0_A37C_68AC5C50A24F_.wvu.FilterData" localSheetId="1" hidden="1">Inbound_Monitor!$A$2:$Q$3</definedName>
    <definedName name="Z_950F3EB0_ABF8_48A8_9F84_FA9ADD7C064D_.wvu.FilterData" localSheetId="0" hidden="1">Outbound_Monitor!$A$2:$W$3</definedName>
    <definedName name="Z_9511C175_EB58_475D_8EDA_5A838A2B4FF7_.wvu.FilterData" localSheetId="0" hidden="1">Outbound_Monitor!$A$2:$W$3</definedName>
    <definedName name="Z_9522992F_E39D_498D_88F2_B08099E928CD_.wvu.FilterData" localSheetId="0" hidden="1">Outbound_Monitor!$A$2:$W$3</definedName>
    <definedName name="Z_952875C7_3BBD_4945_A8BE_5955EC8C5794_.wvu.FilterData" localSheetId="0" hidden="1">Outbound_Monitor!$A$2:$W$3</definedName>
    <definedName name="Z_9528AED5_D86F_4F57_B48E_D8DBE4B34DF2_.wvu.FilterData" localSheetId="0" hidden="1">Outbound_Monitor!$A$2:$X$16</definedName>
    <definedName name="Z_952F859A_C110_4F8B_88FD_0005686811E6_.wvu.FilterData" localSheetId="1" hidden="1">Inbound_Monitor!$A$2:$Q$13</definedName>
    <definedName name="Z_952F859A_C110_4F8B_88FD_0005686811E6_.wvu.FilterData" localSheetId="0" hidden="1">Outbound_Monitor!$A$2:$W$3</definedName>
    <definedName name="Z_9533BD12_12CE_4FB2_BE28_5C497CF913DB_.wvu.FilterData" localSheetId="0" hidden="1">Outbound_Monitor!$A$2:$W$3</definedName>
    <definedName name="Z_953434EA_463F_48D9_BBAF_99460DC501F6_.wvu.FilterData" localSheetId="1" hidden="1">Inbound_Monitor!$A$2:$Q$2</definedName>
    <definedName name="Z_953434EA_463F_48D9_BBAF_99460DC501F6_.wvu.FilterData" localSheetId="0" hidden="1">Outbound_Monitor!$A$2:$W$2</definedName>
    <definedName name="Z_954CF866_9D11_459A_B853_7AD48A4F562F_.wvu.FilterData" localSheetId="1" hidden="1">Inbound_Monitor!$A$2:$Q$13</definedName>
    <definedName name="Z_9553CD7F_540E_48F8_8FC6_52F39D25E418_.wvu.FilterData" localSheetId="1" hidden="1">Inbound_Monitor!$A$2:$Q$3</definedName>
    <definedName name="Z_9574A2F1_802D_401A_B2B8_117BD4326896_.wvu.FilterData" localSheetId="1" hidden="1">Inbound_Monitor!$A$2:$Q$3</definedName>
    <definedName name="Z_9599F7C7_59E7_4F1B_9D7C_B8D5304FEB97_.wvu.FilterData" localSheetId="0" hidden="1">Outbound_Monitor!$A$2:$W$3</definedName>
    <definedName name="Z_959A63C2_3D71_457A_B70A_D0EBBCDDC1E6_.wvu.FilterData" localSheetId="0" hidden="1">Outbound_Monitor!$A$2:$W$3</definedName>
    <definedName name="Z_959BA4B7_72A7_4EB3_8D7D_65FDC5B290F6_.wvu.FilterData" localSheetId="1" hidden="1">Inbound_Monitor!$A$2:$Q$2</definedName>
    <definedName name="Z_959BA4B7_72A7_4EB3_8D7D_65FDC5B290F6_.wvu.FilterData" localSheetId="0" hidden="1">Outbound_Monitor!$A$2:$W$2</definedName>
    <definedName name="Z_959F17DF_2729_4C46_8338_7003A0937636_.wvu.FilterData" localSheetId="1" hidden="1">Inbound_Monitor!$A$2:$Q$13</definedName>
    <definedName name="Z_95ADBCC4_3B0B_496F_80E6_5D0DDE009799_.wvu.FilterData" localSheetId="1" hidden="1">Inbound_Monitor!$A$2:$Q$13</definedName>
    <definedName name="Z_95B88908_4E2D_4FC9_801C_FFD99CBC1E0F_.wvu.FilterData" localSheetId="0" hidden="1">Outbound_Monitor!$A$2:$W$3</definedName>
    <definedName name="Z_95CE11F5_CDEF_4809_AFCB_CF335660DB01_.wvu.FilterData" localSheetId="1" hidden="1">Inbound_Monitor!$A$2:$Q$2</definedName>
    <definedName name="Z_95CE11F5_CDEF_4809_AFCB_CF335660DB01_.wvu.FilterData" localSheetId="0" hidden="1">Outbound_Monitor!$A$2:$W$2</definedName>
    <definedName name="Z_95D254C8_9D84_4E34_BF70_0225AB07B1B6_.wvu.FilterData" localSheetId="0" hidden="1">Outbound_Monitor!$A$2:$W$3</definedName>
    <definedName name="Z_95F7CDB6_4411_4D3C_83AA_1B82258CAB39_.wvu.FilterData" localSheetId="1" hidden="1">Inbound_Monitor!$A$2:$Q$3</definedName>
    <definedName name="Z_9607AF41_AFF4_4FAD_BA8A_E1EB6939E99C_.wvu.FilterData" localSheetId="1" hidden="1">Inbound_Monitor!$A$2:$Q$2</definedName>
    <definedName name="Z_9607AF41_AFF4_4FAD_BA8A_E1EB6939E99C_.wvu.FilterData" localSheetId="0" hidden="1">Outbound_Monitor!$A$2:$W$2</definedName>
    <definedName name="Z_960FE978_87BE_474E_8DF9_942AB452ACCA_.wvu.FilterData" localSheetId="1" hidden="1">Inbound_Monitor!$A$2:$Q$2</definedName>
    <definedName name="Z_960FE978_87BE_474E_8DF9_942AB452ACCA_.wvu.FilterData" localSheetId="0" hidden="1">Outbound_Monitor!$A$2:$W$2</definedName>
    <definedName name="Z_9612C85C_F112_4751_8D88_3FD53FA740E7_.wvu.FilterData" localSheetId="1" hidden="1">Inbound_Monitor!$A$2:$Q$13</definedName>
    <definedName name="Z_9612C85C_F112_4751_8D88_3FD53FA740E7_.wvu.FilterData" localSheetId="0" hidden="1">Outbound_Monitor!$A$2:$W$3</definedName>
    <definedName name="Z_9617337C_9D3A_4BD6_B2C7_35ADE5973847_.wvu.FilterData" localSheetId="0" hidden="1">Outbound_Monitor!$A$2:$W$3</definedName>
    <definedName name="Z_961CAB20_42DC_4B7E_A09B_BF356586C140_.wvu.FilterData" localSheetId="0" hidden="1">Outbound_Monitor!$A$2:$W$3</definedName>
    <definedName name="Z_9644A6AD_E843_43B5_8595_812238521B09_.wvu.FilterData" localSheetId="1" hidden="1">Inbound_Monitor!$A$2:$Q$13</definedName>
    <definedName name="Z_96459BD1_E310_4E34_B904_7B16789F6088_.wvu.FilterData" localSheetId="0" hidden="1">Outbound_Monitor!$A$2:$W$3</definedName>
    <definedName name="Z_9663DF94_94ED_4245_8240_E147CC3B430F_.wvu.FilterData" localSheetId="0" hidden="1">Outbound_Monitor!$A$2:$W$3</definedName>
    <definedName name="Z_966FF317_D1C1_4C54_B199_9FE53B634AF4_.wvu.FilterData" localSheetId="1" hidden="1">Inbound_Monitor!$A$2:$Q$3</definedName>
    <definedName name="Z_96705799_8725_4745_9DAD_F87103A0DFA5_.wvu.FilterData" localSheetId="0" hidden="1">Outbound_Monitor!$A$2:$W$3</definedName>
    <definedName name="Z_9678BF73_088B_4DF7_921F_24FE8D7735E7_.wvu.FilterData" localSheetId="1" hidden="1">Inbound_Monitor!$A$2:$Q$13</definedName>
    <definedName name="Z_9678BF73_088B_4DF7_921F_24FE8D7735E7_.wvu.FilterData" localSheetId="0" hidden="1">Outbound_Monitor!$A$2:$W$3</definedName>
    <definedName name="Z_967B8C9A_6C18_40C2_91BB_354FEF5E005C_.wvu.FilterData" localSheetId="1" hidden="1">Inbound_Monitor!$A$2:$Q$3</definedName>
    <definedName name="Z_967B8C9A_6C18_40C2_91BB_354FEF5E005C_.wvu.FilterData" localSheetId="0" hidden="1">Outbound_Monitor!$A$2:$W$3</definedName>
    <definedName name="Z_96852007_065F_4607_BD04_CDC12DD7B610_.wvu.FilterData" localSheetId="0" hidden="1">Outbound_Monitor!$A$2:$W$3</definedName>
    <definedName name="Z_969433A4_6E3F_45FD_93D1_5EA9D09F93C0_.wvu.FilterData" localSheetId="1" hidden="1">Inbound_Monitor!$A$2:$Q$13</definedName>
    <definedName name="Z_969433A4_6E3F_45FD_93D1_5EA9D09F93C0_.wvu.FilterData" localSheetId="0" hidden="1">Outbound_Monitor!$A$2:$W$3</definedName>
    <definedName name="Z_969EF783_8798_481B_802A_295AF6B0501B_.wvu.FilterData" localSheetId="0" hidden="1">Outbound_Monitor!$A$2:$W$3</definedName>
    <definedName name="Z_96BF010E_710E_4338_AF2F_AB45869BBFB7_.wvu.FilterData" localSheetId="0" hidden="1">Outbound_Monitor!$A$2:$W$3</definedName>
    <definedName name="Z_96C0AE10_7BE5_4099_913D_624BADE89B5B_.wvu.FilterData" localSheetId="1" hidden="1">Inbound_Monitor!$A$2:$Q$13</definedName>
    <definedName name="Z_96C0AE10_7BE5_4099_913D_624BADE89B5B_.wvu.FilterData" localSheetId="0" hidden="1">Outbound_Monitor!$A$2:$X$16</definedName>
    <definedName name="Z_96C2562C_D0F2_4BE5_963D_4A577A8A088D_.wvu.FilterData" localSheetId="1" hidden="1">Inbound_Monitor!$A$2:$Q$13</definedName>
    <definedName name="Z_96CFFBA0_7733_4107_96CC_E9A596AB06C6_.wvu.FilterData" localSheetId="0" hidden="1">Outbound_Monitor!$A$2:$W$3</definedName>
    <definedName name="Z_96D511C5_2F33_42E5_90A5_435B48E62789_.wvu.FilterData" localSheetId="0" hidden="1">Outbound_Monitor!$A$2:$W$3</definedName>
    <definedName name="Z_96D59535_08A9_4D5F_9154_99457768D8EF_.wvu.FilterData" localSheetId="0" hidden="1">Outbound_Monitor!$A$2:$W$3</definedName>
    <definedName name="Z_96DE240F_9875_497C_A9CA_B0AE2A94433D_.wvu.FilterData" localSheetId="1" hidden="1">Inbound_Monitor!$A$2:$Q$3</definedName>
    <definedName name="Z_96DE240F_9875_497C_A9CA_B0AE2A94433D_.wvu.FilterData" localSheetId="0" hidden="1">Outbound_Monitor!$A$2:$W$3</definedName>
    <definedName name="Z_96EF1348_E09A_4076_8AAA_79CDF986250C_.wvu.FilterData" localSheetId="0" hidden="1">Outbound_Monitor!$A$2:$W$3</definedName>
    <definedName name="Z_96EF1348_E09A_4076_8AAA_79CDF986250C_.wvu.FilterData" localSheetId="4" hidden="1">Schichtübergabe_Protokoll!$B$3:$N$3</definedName>
    <definedName name="Z_96FAEC78_263E_460E_8169_154C3155FD02_.wvu.FilterData" localSheetId="0" hidden="1">Outbound_Monitor!$A$2:$W$3</definedName>
    <definedName name="Z_97165930_A838_4472_A33F_5D2B854DDB04_.wvu.FilterData" localSheetId="0" hidden="1">Outbound_Monitor!$A$2:$W$3</definedName>
    <definedName name="Z_972E7A31_879D_4646_87AC_ECD6AC482C9E_.wvu.FilterData" localSheetId="1" hidden="1">Inbound_Monitor!$A$2:$Q$3</definedName>
    <definedName name="Z_973AB68B_F13F_4C8D_B692_91C155009D1D_.wvu.FilterData" localSheetId="4" hidden="1">Schichtübergabe_Protokoll!$B$3:$N$3</definedName>
    <definedName name="Z_973D2EE4_8C77_444B_9F37_B2877CB84673_.wvu.FilterData" localSheetId="0" hidden="1">Outbound_Monitor!$A$2:$W$3</definedName>
    <definedName name="Z_97505FC3_A5EE_4370_A636_B417620B59F6_.wvu.FilterData" localSheetId="0" hidden="1">Outbound_Monitor!$A$2:$W$3</definedName>
    <definedName name="Z_9765C9EB_B9D8_482C_9D6C_E94C1A6FE478_.wvu.FilterData" localSheetId="0" hidden="1">Outbound_Monitor!$A$2:$W$3</definedName>
    <definedName name="Z_97755080_3713_46F5_9115_7DA38181D631_.wvu.FilterData" localSheetId="0" hidden="1">Outbound_Monitor!$A$2:$W$3</definedName>
    <definedName name="Z_97819BDE_AC97_4498_A01C_903E33852630_.wvu.FilterData" localSheetId="0" hidden="1">Outbound_Monitor!#REF!</definedName>
    <definedName name="Z_97837B8F_8F4C_4C91_A076_FF3D964F1E9C_.wvu.FilterData" localSheetId="0" hidden="1">Outbound_Monitor!$A$2:$W$3</definedName>
    <definedName name="Z_979371D9_42D8_4286_9FB3_498F3AC4F1D1_.wvu.FilterData" localSheetId="1" hidden="1">Inbound_Monitor!$A$2:$Q$2</definedName>
    <definedName name="Z_979371D9_42D8_4286_9FB3_498F3AC4F1D1_.wvu.FilterData" localSheetId="0" hidden="1">Outbound_Monitor!$A$2:$W$2</definedName>
    <definedName name="Z_97A5A48C_C644_424F_BABC_23399B13E72D_.wvu.FilterData" localSheetId="1" hidden="1">Inbound_Monitor!$A$2:$Q$13</definedName>
    <definedName name="Z_97A72FE4_35D7_4FFC_8EE6_9211368D94AA_.wvu.FilterData" localSheetId="0" hidden="1">Outbound_Monitor!$A$2:$W$3</definedName>
    <definedName name="Z_97BA56DC_3FB5_4924_A336_55865C9CD8D8_.wvu.FilterData" localSheetId="1" hidden="1">Inbound_Monitor!$A$2:$Q$3</definedName>
    <definedName name="Z_97BA56DC_3FB5_4924_A336_55865C9CD8D8_.wvu.FilterData" localSheetId="0" hidden="1">Outbound_Monitor!$A$2:$W$3</definedName>
    <definedName name="Z_97BA56DC_3FB5_4924_A336_55865C9CD8D8_.wvu.FilterData" localSheetId="4" hidden="1">Schichtübergabe_Protokoll!$B$3:$N$3</definedName>
    <definedName name="Z_97BAB234_60BD_4A26_80D0_A0C889229C74_.wvu.FilterData" localSheetId="1" hidden="1">Inbound_Monitor!$A$2:$Q$2</definedName>
    <definedName name="Z_97BAB234_60BD_4A26_80D0_A0C889229C74_.wvu.FilterData" localSheetId="0" hidden="1">Outbound_Monitor!$A$2:$W$2</definedName>
    <definedName name="Z_97C3D065_7622_4C1A_9903_70687C6F8431_.wvu.FilterData" localSheetId="0" hidden="1">Outbound_Monitor!$A$2:$W$3</definedName>
    <definedName name="Z_97C66A42_2AE6_40D3_8930_C79E40675B33_.wvu.FilterData" localSheetId="1" hidden="1">Inbound_Monitor!$A$2:$Q$13</definedName>
    <definedName name="Z_97DDA410_D93A_4A32_98CF_983F0984713C_.wvu.FilterData" localSheetId="0" hidden="1">Outbound_Monitor!$A$2:$W$3</definedName>
    <definedName name="Z_97E63096_C047_4D05_81E4_F62C425A33B7_.wvu.FilterData" localSheetId="1" hidden="1">Inbound_Monitor!$A$2:$Q$13</definedName>
    <definedName name="Z_97EB70BC_0043_4FF6_A6FF_47DF805BA634_.wvu.FilterData" localSheetId="0" hidden="1">Outbound_Monitor!$A$2:$W$3</definedName>
    <definedName name="Z_97EB70BC_0043_4FF6_A6FF_47DF805BA634_.wvu.FilterData" localSheetId="4" hidden="1">Schichtübergabe_Protokoll!$B$3:$N$3</definedName>
    <definedName name="Z_97F71CF1_E649_4471_9EB5_FBD13DC57297_.wvu.FilterData" localSheetId="1" hidden="1">Inbound_Monitor!$A$2:$Q$3</definedName>
    <definedName name="Z_97FA5367_19C2_4679_A634_8A63DA7B1C77_.wvu.FilterData" localSheetId="0" hidden="1">Outbound_Monitor!$A$2:$W$3</definedName>
    <definedName name="Z_98060F1C_FDCE_4E2C_88C5_7CEAED8F3D85_.wvu.FilterData" localSheetId="0" hidden="1">Outbound_Monitor!$A$2:$W$3</definedName>
    <definedName name="Z_98129C76_C27C_42E1_BD17_79B0FEAE28EE_.wvu.FilterData" localSheetId="0" hidden="1">Outbound_Monitor!$A$2:$W$3</definedName>
    <definedName name="Z_9813A94A_8DA4_47A0_A00F_1D00F15CD1E1_.wvu.FilterData" localSheetId="0" hidden="1">Outbound_Monitor!$A$2:$W$3</definedName>
    <definedName name="Z_981526C9_7723_466D_B614_64F4E349A300_.wvu.FilterData" localSheetId="1" hidden="1">Inbound_Monitor!$A$2:$Q$13</definedName>
    <definedName name="Z_981D08FB_FE5F_4EB1_B72A_32073312B05B_.wvu.FilterData" localSheetId="1" hidden="1">Inbound_Monitor!$A$2:$Q$13</definedName>
    <definedName name="Z_981D08FB_FE5F_4EB1_B72A_32073312B05B_.wvu.FilterData" localSheetId="0" hidden="1">Outbound_Monitor!$A$2:$X$16</definedName>
    <definedName name="Z_982C0C8A_006C_419F_888C_DF0F0751ED3F_.wvu.FilterData" localSheetId="0" hidden="1">Outbound_Monitor!$A$2:$W$3</definedName>
    <definedName name="Z_98304343_D614_4C41_BAE3_DBFC120B555C_.wvu.FilterData" localSheetId="0" hidden="1">Outbound_Monitor!$A$2:$W$3</definedName>
    <definedName name="Z_983B24B5_50A9_46BB_BC5B_1E59660C529E_.wvu.FilterData" localSheetId="0" hidden="1">Outbound_Monitor!$A$2:$W$3</definedName>
    <definedName name="Z_984CA128_305F_4BF4_8D80_1EEA0E64647A_.wvu.FilterData" localSheetId="1" hidden="1">Inbound_Monitor!$A$2:$Q$3</definedName>
    <definedName name="Z_984CA128_305F_4BF4_8D80_1EEA0E64647A_.wvu.FilterData" localSheetId="0" hidden="1">Outbound_Monitor!$A$2:$W$3</definedName>
    <definedName name="Z_984D80DC_6211_420C_BD42_988039F18BD6_.wvu.FilterData" localSheetId="1" hidden="1">Inbound_Monitor!$A$2:$Q$3</definedName>
    <definedName name="Z_984D825D_760D_42A6_9346_A3D6F16D8B36_.wvu.FilterData" localSheetId="1" hidden="1">Inbound_Monitor!$A$2:$Q$3</definedName>
    <definedName name="Z_985FF576_C263_47C6_91CA_AA362340614E_.wvu.FilterData" localSheetId="1" hidden="1">Inbound_Monitor!$A$2:$Q$13</definedName>
    <definedName name="Z_9863CDDB_FFF0_4F42_B670_3C54CFCDB4DF_.wvu.FilterData" localSheetId="0" hidden="1">Outbound_Monitor!$A$2:$W$3</definedName>
    <definedName name="Z_9875E5E4_FE9F_4850_BC99_F4C249BDDF73_.wvu.FilterData" localSheetId="1" hidden="1">Inbound_Monitor!$A$2:$Q$3</definedName>
    <definedName name="Z_9875E5E4_FE9F_4850_BC99_F4C249BDDF73_.wvu.FilterData" localSheetId="0" hidden="1">Outbound_Monitor!$A$2:$W$3</definedName>
    <definedName name="Z_9880B42E_7B89_45DB_B7A4_FE56EE0033E8_.wvu.FilterData" localSheetId="0" hidden="1">Outbound_Monitor!$A$2:$W$3</definedName>
    <definedName name="Z_9884342A_20E7_4847_BEB6_BB2973FD07EF_.wvu.FilterData" localSheetId="1" hidden="1">Inbound_Monitor!$A$2:$Q$13</definedName>
    <definedName name="Z_98845C18_FD9F_44C1_93E0_0F8FACCBBC84_.wvu.FilterData" localSheetId="1" hidden="1">Inbound_Monitor!$A$2:$Q$3</definedName>
    <definedName name="Z_98848ABC_BC07_48FF_B723_9EFB917B1193_.wvu.FilterData" localSheetId="0" hidden="1">Outbound_Monitor!$A$2:$W$3</definedName>
    <definedName name="Z_98853277_3FDF_46C0_AC29_E92A7ECDFBF0_.wvu.FilterData" localSheetId="0" hidden="1">Outbound_Monitor!$A$2:$W$3</definedName>
    <definedName name="Z_98911E5C_5623_4B08_BC1F_7E0D59ED8111_.wvu.FilterData" localSheetId="0" hidden="1">Outbound_Monitor!$A$2:$W$3</definedName>
    <definedName name="Z_98B014F5_6CA8_4EFF_A5F4_12492C0A0EFF_.wvu.FilterData" localSheetId="0" hidden="1">Outbound_Monitor!$A$2:$W$3</definedName>
    <definedName name="Z_98C39DB9_2635_435C_B0B9_C5FE27081427_.wvu.FilterData" localSheetId="0" hidden="1">Outbound_Monitor!$A$2:$W$3</definedName>
    <definedName name="Z_98D743CF_0BD9_4A1F_BBF4_FE5DF7596D01_.wvu.FilterData" localSheetId="0" hidden="1">Outbound_Monitor!$A$2:$X$16</definedName>
    <definedName name="Z_98D8DB8C_32A7_48E9_92DB_100BB2117FC6_.wvu.FilterData" localSheetId="0" hidden="1">Outbound_Monitor!$A$2:$W$3</definedName>
    <definedName name="Z_98F2D9B6_231C_4A8B_8998_F114F1D61D70_.wvu.FilterData" localSheetId="0" hidden="1">Outbound_Monitor!$A$2:$X$16</definedName>
    <definedName name="Z_9905581A_311F_4C22_9991_DEFC6ED536FF_.wvu.FilterData" localSheetId="0" hidden="1">Outbound_Monitor!$A$2:$W$3</definedName>
    <definedName name="Z_9909C8A5_E96C_4200_8804_F70CDE663309_.wvu.FilterData" localSheetId="1" hidden="1">Inbound_Monitor!$A$2:$Q$2</definedName>
    <definedName name="Z_9909C8A5_E96C_4200_8804_F70CDE663309_.wvu.FilterData" localSheetId="0" hidden="1">Outbound_Monitor!$A$2:$W$2</definedName>
    <definedName name="Z_990ADB68_4E63_484E_A847_1C8F9B41AFCC_.wvu.FilterData" localSheetId="0" hidden="1">Outbound_Monitor!$A$2:$X$16</definedName>
    <definedName name="Z_991098D8_F2F9_4674_B29A_1A8DCB6CF290_.wvu.FilterData" localSheetId="0" hidden="1">Outbound_Monitor!$A$2:$W$3</definedName>
    <definedName name="Z_99148E86_28B5_4CA7_AB94_7955D6EA8E88_.wvu.FilterData" localSheetId="0" hidden="1">Outbound_Monitor!$A$2:$X$16</definedName>
    <definedName name="Z_992488B1_2581_4FF3_9948_3935C6E2F68D_.wvu.FilterData" localSheetId="1" hidden="1">Inbound_Monitor!$A$2:$Q$3</definedName>
    <definedName name="Z_992488B1_2581_4FF3_9948_3935C6E2F68D_.wvu.FilterData" localSheetId="0" hidden="1">Outbound_Monitor!$A$2:$W$3</definedName>
    <definedName name="Z_992B5757_620C_4D7D_BFEB_4A6F1A11F72D_.wvu.FilterData" localSheetId="1" hidden="1">Inbound_Monitor!$A$2:$Q$3</definedName>
    <definedName name="Z_99306E53_AD59_44F7_A111_3051568C9FB4_.wvu.FilterData" localSheetId="0" hidden="1">Outbound_Monitor!$A$2:$W$3</definedName>
    <definedName name="Z_993662CB_8325_45E7_B41B_87BC347468D6_.wvu.FilterData" localSheetId="0" hidden="1">Outbound_Monitor!$A$2:$W$3</definedName>
    <definedName name="Z_993FA968_CED7_4CCE_A347_6619E924B375_.wvu.FilterData" localSheetId="1" hidden="1">Inbound_Monitor!$A$2:$Q$3</definedName>
    <definedName name="Z_994A85C7_A110_4959_9828_AE36F1F2D428_.wvu.FilterData" localSheetId="1" hidden="1">Inbound_Monitor!$A$2:$Q$2</definedName>
    <definedName name="Z_994A85C7_A110_4959_9828_AE36F1F2D428_.wvu.FilterData" localSheetId="0" hidden="1">Outbound_Monitor!$A$2:$W$2</definedName>
    <definedName name="Z_995FB3CA_5131_4C35_BC3C_1DC9FED9C584_.wvu.FilterData" localSheetId="0" hidden="1">Outbound_Monitor!$A$2:$X$16</definedName>
    <definedName name="Z_99704669_B765_4D5D_A7D0_4FB70235A926_.wvu.FilterData" localSheetId="1" hidden="1">Inbound_Monitor!$A$2:$Q$13</definedName>
    <definedName name="Z_99704669_B765_4D5D_A7D0_4FB70235A926_.wvu.FilterData" localSheetId="0" hidden="1">Outbound_Monitor!$A$2:$W$3</definedName>
    <definedName name="Z_99706CF6_9A71_4148_948D_D61F321B14D8_.wvu.FilterData" localSheetId="0" hidden="1">Outbound_Monitor!$A$2:$X$16</definedName>
    <definedName name="Z_997A4280_91B4_4BC4_9FC7_54977C3DE16F_.wvu.FilterData" localSheetId="1" hidden="1">Inbound_Monitor!$A$2:$Q$2</definedName>
    <definedName name="Z_997A4280_91B4_4BC4_9FC7_54977C3DE16F_.wvu.FilterData" localSheetId="0" hidden="1">Outbound_Monitor!$A$2:$W$2</definedName>
    <definedName name="Z_998F90CC_ED5A_49EA_990F_3C2F938F0534_.wvu.FilterData" localSheetId="1" hidden="1">Inbound_Monitor!$A$2:$Q$3</definedName>
    <definedName name="Z_9990949B_610F_40A5_831A_A07A808CB23C_.wvu.FilterData" localSheetId="1" hidden="1">Inbound_Monitor!$A$2:$Q$2</definedName>
    <definedName name="Z_9990949B_610F_40A5_831A_A07A808CB23C_.wvu.FilterData" localSheetId="0" hidden="1">Outbound_Monitor!$A$2:$W$2</definedName>
    <definedName name="Z_9995D721_58DF_4D81_A123_BDDFDD29609E_.wvu.FilterData" localSheetId="1" hidden="1">Inbound_Monitor!$A$2:$Q$2</definedName>
    <definedName name="Z_9995D721_58DF_4D81_A123_BDDFDD29609E_.wvu.FilterData" localSheetId="0" hidden="1">Outbound_Monitor!$A$2:$W$2</definedName>
    <definedName name="Z_999C2989_A4D5_464C_AE51_1086DCBDD94A_.wvu.FilterData" localSheetId="1" hidden="1">Inbound_Monitor!$A$2:$Q$2</definedName>
    <definedName name="Z_999C2989_A4D5_464C_AE51_1086DCBDD94A_.wvu.FilterData" localSheetId="0" hidden="1">Outbound_Monitor!$A$2:$W$2</definedName>
    <definedName name="Z_999DC25A_1D40_4C8C_BC09_DB707FACDCD3_.wvu.FilterData" localSheetId="1" hidden="1">Inbound_Monitor!$A$2:$Q$13</definedName>
    <definedName name="Z_999DC25A_1D40_4C8C_BC09_DB707FACDCD3_.wvu.FilterData" localSheetId="0" hidden="1">Outbound_Monitor!$A$2:$X$16</definedName>
    <definedName name="Z_99A122FF_5C0E_4DA6_AF91_DCD5D48F258C_.wvu.FilterData" localSheetId="0" hidden="1">Outbound_Monitor!$A$2:$X$16</definedName>
    <definedName name="Z_99A23BEA_B593_48E0_8C16_B63CB1A82FBA_.wvu.FilterData" localSheetId="1" hidden="1">Inbound_Monitor!$A$2:$Q$13</definedName>
    <definedName name="Z_99A23BEA_B593_48E0_8C16_B63CB1A82FBA_.wvu.FilterData" localSheetId="0" hidden="1">Outbound_Monitor!$A$2:$W$3</definedName>
    <definedName name="Z_99ADA6B6_6DA5_47B8_AD29_90AFE6102E4C_.wvu.FilterData" localSheetId="0" hidden="1">Outbound_Monitor!$A$2:$W$3</definedName>
    <definedName name="Z_99ADD2C0_2DA9_4EDA_AA4E_291B86B1462C_.wvu.FilterData" localSheetId="1" hidden="1">Inbound_Monitor!$A$2:$Q$3</definedName>
    <definedName name="Z_99B28AB4_7AF9_4347_8EF0_317A1E9E22C0_.wvu.FilterData" localSheetId="0" hidden="1">Outbound_Monitor!$A$2:$W$3</definedName>
    <definedName name="Z_99BC80F4_E2B9_423C_8F47_14D538BD571D_.wvu.FilterData" localSheetId="1" hidden="1">Inbound_Monitor!$A$2:$Q$13</definedName>
    <definedName name="Z_99BC80F4_E2B9_423C_8F47_14D538BD571D_.wvu.FilterData" localSheetId="0" hidden="1">Outbound_Monitor!$A$3:$X$16</definedName>
    <definedName name="Z_99C0A33D_8F2A_41D4_8EA7_8EE0B62FEE59_.wvu.FilterData" localSheetId="1" hidden="1">Inbound_Monitor!$A$2:$Q$13</definedName>
    <definedName name="Z_99C1F600_3221_4159_9738_C8FA339A6F16_.wvu.FilterData" localSheetId="1" hidden="1">Inbound_Monitor!$A$2:$Q$13</definedName>
    <definedName name="Z_99C1F600_3221_4159_9738_C8FA339A6F16_.wvu.FilterData" localSheetId="0" hidden="1">Outbound_Monitor!$A$2:$W$3</definedName>
    <definedName name="Z_99C1F600_3221_4159_9738_C8FA339A6F16_.wvu.FilterData" localSheetId="4" hidden="1">Schichtübergabe_Protokoll!$B$3:$N$3</definedName>
    <definedName name="Z_99E21CCB_E6F7_4A5F_BBA8_E72F7213EC22_.wvu.FilterData" localSheetId="1" hidden="1">Inbound_Monitor!$A$2:$Q$3</definedName>
    <definedName name="Z_99E21CCB_E6F7_4A5F_BBA8_E72F7213EC22_.wvu.FilterData" localSheetId="0" hidden="1">Outbound_Monitor!$A$2:$W$3</definedName>
    <definedName name="Z_99F4AB30_81C0_4AC4_BE34_6617FC981EA3_.wvu.FilterData" localSheetId="0" hidden="1">Outbound_Monitor!$A$2:$X$16</definedName>
    <definedName name="Z_99F9B26D_424F_42A1_ACCE_F78A4D8EE4AD_.wvu.FilterData" localSheetId="1" hidden="1">Inbound_Monitor!$A$2:$Q$2</definedName>
    <definedName name="Z_99F9B26D_424F_42A1_ACCE_F78A4D8EE4AD_.wvu.FilterData" localSheetId="0" hidden="1">Outbound_Monitor!$A$2:$W$2</definedName>
    <definedName name="Z_9A0DF5A5_82CD_4898_B59B_CC082E2A9793_.wvu.FilterData" localSheetId="1" hidden="1">Inbound_Monitor!$A$2:$Q$3</definedName>
    <definedName name="Z_9A0DF5A5_82CD_4898_B59B_CC082E2A9793_.wvu.FilterData" localSheetId="0" hidden="1">Outbound_Monitor!$A$2:$W$3</definedName>
    <definedName name="Z_9A0DF5A5_82CD_4898_B59B_CC082E2A9793_.wvu.FilterData" localSheetId="4" hidden="1">Schichtübergabe_Protokoll!$B$3:$N$3</definedName>
    <definedName name="Z_9A104EA8_2995_4DE9_9B37_A8EF51674B54_.wvu.FilterData" localSheetId="0" hidden="1">Outbound_Monitor!$A$2:$X$16</definedName>
    <definedName name="Z_9A249D28_1311_48EB_878F_9B8CB46A8D58_.wvu.FilterData" localSheetId="1" hidden="1">Inbound_Monitor!$A$2:$Q$2</definedName>
    <definedName name="Z_9A249D28_1311_48EB_878F_9B8CB46A8D58_.wvu.FilterData" localSheetId="0" hidden="1">Outbound_Monitor!$A$2:$W$2</definedName>
    <definedName name="Z_9A3F99DE_55FA_4220_B61F_3358039635A3_.wvu.FilterData" localSheetId="1" hidden="1">Inbound_Monitor!$A$2:$Q$2</definedName>
    <definedName name="Z_9A3F99DE_55FA_4220_B61F_3358039635A3_.wvu.FilterData" localSheetId="0" hidden="1">Outbound_Monitor!$A$2:$W$2</definedName>
    <definedName name="Z_9A46F600_6690_40F2_BDEC_A6F349717707_.wvu.FilterData" localSheetId="1" hidden="1">Inbound_Monitor!$A$2:$Q$3</definedName>
    <definedName name="Z_9A46F600_6690_40F2_BDEC_A6F349717707_.wvu.FilterData" localSheetId="0" hidden="1">Outbound_Monitor!$A$2:$W$3</definedName>
    <definedName name="Z_9A58576F_1E18_468A_807C_3E89F29F4089_.wvu.FilterData" localSheetId="1" hidden="1">Inbound_Monitor!$A$2:$Q$13</definedName>
    <definedName name="Z_9A58576F_1E18_468A_807C_3E89F29F4089_.wvu.FilterData" localSheetId="0" hidden="1">Outbound_Monitor!$A$2:$W$3</definedName>
    <definedName name="Z_9A61D6CD_6367_42E4_83E0_7CAFD85893D3_.wvu.FilterData" localSheetId="0" hidden="1">Outbound_Monitor!$A$2:$W$3</definedName>
    <definedName name="Z_9A686935_E468_4A05_9AB5_AB0B489446DE_.wvu.FilterData" localSheetId="1" hidden="1">Inbound_Monitor!$A$2:$Q$3</definedName>
    <definedName name="Z_9A700FDC_1E39_48E4_B8BD_AA2A3B5E35F8_.wvu.FilterData" localSheetId="0" hidden="1">Outbound_Monitor!$A$2:$W$3</definedName>
    <definedName name="Z_9A78F9B4_B292_4D7D_B673_65989395F860_.wvu.FilterData" localSheetId="0" hidden="1">Outbound_Monitor!$A$2:$X$16</definedName>
    <definedName name="Z_9A84B65B_789C_4750_BA74_A6FF9D131A10_.wvu.FilterData" localSheetId="1" hidden="1">Inbound_Monitor!$A$2:$Q$13</definedName>
    <definedName name="Z_9A901D93_A656_4EE2_8DEC_482C2A69F3E4_.wvu.FilterData" localSheetId="0" hidden="1">Outbound_Monitor!$A$2:$W$3</definedName>
    <definedName name="Z_9A99FA30_41AA_4C6F_9F16_BB6ACD8F4093_.wvu.FilterData" localSheetId="1" hidden="1">Inbound_Monitor!$A$2:$Q$13</definedName>
    <definedName name="Z_9A99FA30_41AA_4C6F_9F16_BB6ACD8F4093_.wvu.FilterData" localSheetId="0" hidden="1">Outbound_Monitor!$A$2:$W$3</definedName>
    <definedName name="Z_9AA0E5E4_D5DA_4839_85B9_D5861EF8A83E_.wvu.FilterData" localSheetId="0" hidden="1">Outbound_Monitor!$A$2:$W$3</definedName>
    <definedName name="Z_9AA4D620_F1A0_4868_9A90_843A33E63DA6_.wvu.FilterData" localSheetId="1" hidden="1">Inbound_Monitor!$A$2:$Q$13</definedName>
    <definedName name="Z_9AA8733F_3078_4438_A766_A56273D214F4_.wvu.FilterData" localSheetId="1" hidden="1">Inbound_Monitor!$A$2:$Q$2</definedName>
    <definedName name="Z_9AA8733F_3078_4438_A766_A56273D214F4_.wvu.FilterData" localSheetId="0" hidden="1">Outbound_Monitor!$A$2:$W$2</definedName>
    <definedName name="Z_9AB124B5_C551_4543_A54F_93CD249496DE_.wvu.FilterData" localSheetId="1" hidden="1">Inbound_Monitor!$A$2:$Q$2</definedName>
    <definedName name="Z_9AB124B5_C551_4543_A54F_93CD249496DE_.wvu.FilterData" localSheetId="0" hidden="1">Outbound_Monitor!$A$2:$W$2</definedName>
    <definedName name="Z_9AB4A2B1_29BC_4736_92E1_E32C191B7059_.wvu.FilterData" localSheetId="0" hidden="1">Outbound_Monitor!$A$2:$W$3</definedName>
    <definedName name="Z_9ACE25AC_DF58_401F_854B_D2CFE34D9BC7_.wvu.FilterData" localSheetId="0" hidden="1">Outbound_Monitor!$A$2:$X$16</definedName>
    <definedName name="Z_9ACF8D6D_6BF6_45C0_BE85_CB8C51EC63E7_.wvu.FilterData" localSheetId="0" hidden="1">Outbound_Monitor!$A$2:$W$3</definedName>
    <definedName name="Z_9AD36A2D_0347_40BB_AF33_0462E80046AE_.wvu.FilterData" localSheetId="0" hidden="1">Outbound_Monitor!$A$2:$W$3</definedName>
    <definedName name="Z_9AFE2C14_023B_414C_A7A4_07A685A271CA_.wvu.FilterData" localSheetId="1" hidden="1">Inbound_Monitor!$A$2:$Q$13</definedName>
    <definedName name="Z_9AFE2C14_023B_414C_A7A4_07A685A271CA_.wvu.FilterData" localSheetId="0" hidden="1">Outbound_Monitor!$A$2:$W$3</definedName>
    <definedName name="Z_9B10FD03_8BED_451C_8222_BD4F36377596_.wvu.FilterData" localSheetId="0" hidden="1">Outbound_Monitor!$A$2:$W$3</definedName>
    <definedName name="Z_9B2E0C47_19E6_45A9_AA27_1570B63FB355_.wvu.FilterData" localSheetId="1" hidden="1">Inbound_Monitor!$A$2:$Q$13</definedName>
    <definedName name="Z_9B2E0C47_19E6_45A9_AA27_1570B63FB355_.wvu.FilterData" localSheetId="0" hidden="1">Outbound_Monitor!$A$2:$X$16</definedName>
    <definedName name="Z_9B3DE4AE_DE5D_4C55_BEFE_402CED5994C4_.wvu.FilterData" localSheetId="0" hidden="1">Outbound_Monitor!$A$2:$X$16</definedName>
    <definedName name="Z_9B42FFF9_E6CC_43D3_BC9E_A82EFF94B1FC_.wvu.FilterData" localSheetId="1" hidden="1">Inbound_Monitor!$A$2:$Q$3</definedName>
    <definedName name="Z_9B42FFF9_E6CC_43D3_BC9E_A82EFF94B1FC_.wvu.FilterData" localSheetId="0" hidden="1">Outbound_Monitor!$A$2:$W$3</definedName>
    <definedName name="Z_9B520C06_360E_4D84_8B8A_ABEB25814927_.wvu.FilterData" localSheetId="0" hidden="1">Outbound_Monitor!$A$2:$W$3</definedName>
    <definedName name="Z_9B56B582_A2F0_4AC0_829D_3A74ED6E970B_.wvu.FilterData" localSheetId="0" hidden="1">Outbound_Monitor!$A$3:$X$16</definedName>
    <definedName name="Z_9B57705E_4B2E_4668_93E3_94AE97CBF0DD_.wvu.FilterData" localSheetId="1" hidden="1">Inbound_Monitor!$A$2:$Q$3</definedName>
    <definedName name="Z_9B6342BD_0A97_426E_A556_F7033D0ADE53_.wvu.FilterData" localSheetId="1" hidden="1">Inbound_Monitor!$A$2:$Q$13</definedName>
    <definedName name="Z_9B6A5455_AA07_4B83_B83F_CA85E5B1A950_.wvu.FilterData" localSheetId="0" hidden="1">Outbound_Monitor!$A$2:$W$3</definedName>
    <definedName name="Z_9B76A4A3_C0B5_48A1_B30D_AB11BF58F76F_.wvu.FilterData" localSheetId="0" hidden="1">Outbound_Monitor!$A$2:$W$3</definedName>
    <definedName name="Z_9B79A9B3_64B1_4619_BF0E_6CAF8065AB7A_.wvu.FilterData" localSheetId="0" hidden="1">Outbound_Monitor!$A$2:$W$3</definedName>
    <definedName name="Z_9B854B44_A94B_4B2D_8B14_730EA3FEBE6A_.wvu.FilterData" localSheetId="1" hidden="1">Inbound_Monitor!$A$2:$Q$13</definedName>
    <definedName name="Z_9B9B1CB0_9A60_4FE3_BEAB_7EAD7E6F9061_.wvu.FilterData" localSheetId="0" hidden="1">Outbound_Monitor!$A$2:$W$3</definedName>
    <definedName name="Z_9B9B50BE_386A_4016_A9B9_20637A20F431_.wvu.FilterData" localSheetId="1" hidden="1">Inbound_Monitor!$A$2:$Q$3</definedName>
    <definedName name="Z_9B9B50BE_386A_4016_A9B9_20637A20F431_.wvu.FilterData" localSheetId="0" hidden="1">Outbound_Monitor!$A$2:$W$3</definedName>
    <definedName name="Z_9BB07058_8912_442D_9207_7CE6F5128412_.wvu.FilterData" localSheetId="1" hidden="1">Inbound_Monitor!$A$2:$Q$3</definedName>
    <definedName name="Z_9BB7EE3C_1A25_4063_89D9_A7D04801F58C_.wvu.FilterData" localSheetId="1" hidden="1">Inbound_Monitor!$A$2:$Q$2</definedName>
    <definedName name="Z_9BB7EE3C_1A25_4063_89D9_A7D04801F58C_.wvu.FilterData" localSheetId="0" hidden="1">Outbound_Monitor!$A$2:$W$2</definedName>
    <definedName name="Z_9BC28172_6F02_4E04_92F1_7A8B8FE550B2_.wvu.FilterData" localSheetId="1" hidden="1">Inbound_Monitor!$A$2:$Q$2</definedName>
    <definedName name="Z_9BC28172_6F02_4E04_92F1_7A8B8FE550B2_.wvu.FilterData" localSheetId="0" hidden="1">Outbound_Monitor!$A$2:$W$2</definedName>
    <definedName name="Z_9BC47F4F_09B3_45DD_B042_9DC0AF5DE913_.wvu.FilterData" localSheetId="0" hidden="1">Outbound_Monitor!$A$2:$W$3</definedName>
    <definedName name="Z_9BD0C46B_E1EE_4B04_AD7D_A559BCAD4C73_.wvu.FilterData" localSheetId="0" hidden="1">Outbound_Monitor!$A$2:$W$3</definedName>
    <definedName name="Z_9BE4B91E_A7A4_4ED9_9465_74228A73796F_.wvu.FilterData" localSheetId="0" hidden="1">Outbound_Monitor!$A$2:$X$16</definedName>
    <definedName name="Z_9BE4F751_AC6C_4294_B5FA_E70F9BDD3CCE_.wvu.FilterData" localSheetId="1" hidden="1">Inbound_Monitor!$A$2:$Q$13</definedName>
    <definedName name="Z_9BE4F751_AC6C_4294_B5FA_E70F9BDD3CCE_.wvu.FilterData" localSheetId="0" hidden="1">Outbound_Monitor!$A$2:$W$3</definedName>
    <definedName name="Z_9BF18E75_2F04_4FEE_BB9B_D9AE256B8D75_.wvu.FilterData" localSheetId="1" hidden="1">Inbound_Monitor!$A$2:$Q$3</definedName>
    <definedName name="Z_9BF18E75_2F04_4FEE_BB9B_D9AE256B8D75_.wvu.FilterData" localSheetId="0" hidden="1">Outbound_Monitor!$A$2:$W$3</definedName>
    <definedName name="Z_9C0440D3_E9BE_459D_BD67_06758C65E576_.wvu.FilterData" localSheetId="1" hidden="1">Inbound_Monitor!$A$2:$Q$13</definedName>
    <definedName name="Z_9C0440D3_E9BE_459D_BD67_06758C65E576_.wvu.FilterData" localSheetId="0" hidden="1">Outbound_Monitor!$A$2:$W$3</definedName>
    <definedName name="Z_9C0BE1A5_D64C_4124_B7C9_D2AA87AB4962_.wvu.FilterData" localSheetId="1" hidden="1">Inbound_Monitor!$A$2:$Q$3</definedName>
    <definedName name="Z_9C1B8571_8452_4638_AB99_E84755681346_.wvu.FilterData" localSheetId="0" hidden="1">Outbound_Monitor!$A$2:$W$3</definedName>
    <definedName name="Z_9C250078_A1C5_4868_BF97_E6156126700F_.wvu.FilterData" localSheetId="1" hidden="1">Inbound_Monitor!$A$2:$Q$2</definedName>
    <definedName name="Z_9C250078_A1C5_4868_BF97_E6156126700F_.wvu.FilterData" localSheetId="0" hidden="1">Outbound_Monitor!$A$2:$W$2</definedName>
    <definedName name="Z_9C33FEE1_F8E9_4593_9C0A_3169B4603A00_.wvu.FilterData" localSheetId="1" hidden="1">Inbound_Monitor!$A$2:$Q$2</definedName>
    <definedName name="Z_9C33FEE1_F8E9_4593_9C0A_3169B4603A00_.wvu.FilterData" localSheetId="0" hidden="1">Outbound_Monitor!$A$2:$W$2</definedName>
    <definedName name="Z_9C4461AF_9A86_45F4_BF47_2CDD9313F4F5_.wvu.FilterData" localSheetId="0" hidden="1">Outbound_Monitor!$A$2:$W$3</definedName>
    <definedName name="Z_9C509AD3_1C6B_497E_AA1B_32B327859CDA_.wvu.FilterData" localSheetId="1" hidden="1">Inbound_Monitor!$A$2:$Q$13</definedName>
    <definedName name="Z_9C55C296_C4C3_49AD_A2F2_3C58A4BE0FBB_.wvu.FilterData" localSheetId="1" hidden="1">Inbound_Monitor!$A$2:$Q$3</definedName>
    <definedName name="Z_9C60BFEE_38C1_4511_B3F1_EA122BB7A621_.wvu.FilterData" localSheetId="1" hidden="1">Inbound_Monitor!$A$2:$Q$13</definedName>
    <definedName name="Z_9C8251A0_91A9_47D7_8531_F3B6036F623B_.wvu.FilterData" localSheetId="1" hidden="1">Inbound_Monitor!$A$2:$Q$3</definedName>
    <definedName name="Z_9C86B0F6_4145_47E0_95D8_EDEACC74C257_.wvu.FilterData" localSheetId="0" hidden="1">Outbound_Monitor!$A$2:$W$3</definedName>
    <definedName name="Z_9C8C7BF9_C24A_4F62_A20F_53AF7AD7B6E1_.wvu.FilterData" localSheetId="0" hidden="1">Outbound_Monitor!$A$2:$W$3</definedName>
    <definedName name="Z_9C8C7CB0_6731_4B7C_BB4D_8A282AC60E3D_.wvu.FilterData" localSheetId="0" hidden="1">Outbound_Monitor!$A$2:$W$3</definedName>
    <definedName name="Z_9C96C90A_0FC7_4163_BC1D_37D9343F061E_.wvu.FilterData" localSheetId="4" hidden="1">Schichtübergabe_Protokoll!$B$3:$N$3</definedName>
    <definedName name="Z_9C9A9B5F_04A6_4B89_86AB_D8D281DB35FC_.wvu.FilterData" localSheetId="1" hidden="1">Inbound_Monitor!$A$2:$Q$13</definedName>
    <definedName name="Z_9C9A9B5F_04A6_4B89_86AB_D8D281DB35FC_.wvu.FilterData" localSheetId="0" hidden="1">Outbound_Monitor!$A$2:$W$3</definedName>
    <definedName name="Z_9C9D763D_224A_4506_BD16_BB45F9821AC8_.wvu.FilterData" localSheetId="0" hidden="1">Outbound_Monitor!$A$2:$W$3</definedName>
    <definedName name="Z_9C9F3D4D_9667_49B1_88C0_0C3A14D2B76A_.wvu.FilterData" localSheetId="0" hidden="1">Outbound_Monitor!$A$2:$W$3</definedName>
    <definedName name="Z_9CBB4355_1074_46C5_A251_9C257820A6A8_.wvu.FilterData" localSheetId="1" hidden="1">Inbound_Monitor!$A$2:$Q$13</definedName>
    <definedName name="Z_9CBB4355_1074_46C5_A251_9C257820A6A8_.wvu.FilterData" localSheetId="0" hidden="1">Outbound_Monitor!$A$2:$W$3</definedName>
    <definedName name="Z_9CC20E2C_3F84_4D6D_A0B2_EEE68EA10270_.wvu.FilterData" localSheetId="1" hidden="1">Inbound_Monitor!$A$2:$Q$13</definedName>
    <definedName name="Z_9CCA1218_E52F_4AD5_8035_B80043853993_.wvu.FilterData" localSheetId="0" hidden="1">Outbound_Monitor!$A$2:$W$3</definedName>
    <definedName name="Z_9CD9DFC1_BEEB_468F_B2DB_3B36CF515522_.wvu.FilterData" localSheetId="0" hidden="1">Outbound_Monitor!$A$2:$W$3</definedName>
    <definedName name="Z_9CE08FBB_EEF6_4856_8DA5_990DEDDD77CC_.wvu.FilterData" localSheetId="1" hidden="1">Inbound_Monitor!$A$2:$Q$3</definedName>
    <definedName name="Z_9CE08FBB_EEF6_4856_8DA5_990DEDDD77CC_.wvu.FilterData" localSheetId="0" hidden="1">Outbound_Monitor!$A$2:$W$3</definedName>
    <definedName name="Z_9CFB0264_B8C1_4BF8_B87E_B2FE3061FEFA_.wvu.FilterData" localSheetId="0" hidden="1">Outbound_Monitor!$A$2:$W$3</definedName>
    <definedName name="Z_9D0739F7_56C4_4B6B_BE90_96557BEF08EA_.wvu.FilterData" localSheetId="4" hidden="1">Schichtübergabe_Protokoll!$B$3:$N$3</definedName>
    <definedName name="Z_9D1B36C3_D5BE_4E5C_A327_4E4E9D7681F4_.wvu.FilterData" localSheetId="1" hidden="1">Inbound_Monitor!$A$2:$Q$2</definedName>
    <definedName name="Z_9D1B36C3_D5BE_4E5C_A327_4E4E9D7681F4_.wvu.FilterData" localSheetId="0" hidden="1">Outbound_Monitor!$A$2:$W$2</definedName>
    <definedName name="Z_9D1D2249_7C2E_40D6_A8C9_AD04A4C0DA5E_.wvu.FilterData" localSheetId="1" hidden="1">Inbound_Monitor!$A$2:$Q$3</definedName>
    <definedName name="Z_9D1E51E5_63C8_409F_9BF0_C03DD4938D21_.wvu.FilterData" localSheetId="0" hidden="1">Outbound_Monitor!$A$2:$X$16</definedName>
    <definedName name="Z_9D34F472_FD1C_4C47_99B9_3A86F76C5BD3_.wvu.FilterData" localSheetId="0" hidden="1">Outbound_Monitor!$A$2:$X$16</definedName>
    <definedName name="Z_9D4A761C_D871_47FD_8D7D_1B9E53F66FEE_.wvu.FilterData" localSheetId="1" hidden="1">Inbound_Monitor!$A$2:$Q$2</definedName>
    <definedName name="Z_9D4A761C_D871_47FD_8D7D_1B9E53F66FEE_.wvu.FilterData" localSheetId="0" hidden="1">Outbound_Monitor!$A$2:$W$2</definedName>
    <definedName name="Z_9D517F0D_BE74_45A8_9F82_F064AC44DED5_.wvu.FilterData" localSheetId="0" hidden="1">Outbound_Monitor!$A$2:$W$3</definedName>
    <definedName name="Z_9D584AA8_FA81_4227_88F2_8D901E17F4DB_.wvu.FilterData" localSheetId="4" hidden="1">Schichtübergabe_Protokoll!$B$3:$N$3</definedName>
    <definedName name="Z_9D6D3E6E_1F8D_4586_B6C8_1ADB98A2BE1F_.wvu.FilterData" localSheetId="1" hidden="1">Inbound_Monitor!$A$2:$Q$2</definedName>
    <definedName name="Z_9D6D3E6E_1F8D_4586_B6C8_1ADB98A2BE1F_.wvu.FilterData" localSheetId="0" hidden="1">Outbound_Monitor!$A$2:$W$2</definedName>
    <definedName name="Z_9D839915_1211_44FC_BC28_D99062B206E4_.wvu.FilterData" localSheetId="0" hidden="1">Outbound_Monitor!$A$2:$X$16</definedName>
    <definedName name="Z_9D85F424_6361_4F70_91DA_98B4E006F053_.wvu.FilterData" localSheetId="1" hidden="1">Inbound_Monitor!$A$2:$Q$3</definedName>
    <definedName name="Z_9D8E1DDF_C889_4D25_911A_BA27A83D6D0F_.wvu.FilterData" localSheetId="0" hidden="1">Outbound_Monitor!$A$2:$W$3</definedName>
    <definedName name="Z_9DA353B2_79C6_4898_9964_B6EF12C85970_.wvu.FilterData" localSheetId="1" hidden="1">Inbound_Monitor!$A$2:$Q$13</definedName>
    <definedName name="Z_9DA353B2_79C6_4898_9964_B6EF12C85970_.wvu.FilterData" localSheetId="0" hidden="1">Outbound_Monitor!$A$2:$W$3</definedName>
    <definedName name="Z_9DAADECB_7FA6_4A06_9A3C_42091957FF5E_.wvu.FilterData" localSheetId="0" hidden="1">Outbound_Monitor!$A$2:$W$3</definedName>
    <definedName name="Z_9DB8CC21_E5BB_4007_B206_4E11E6D72733_.wvu.FilterData" localSheetId="1" hidden="1">Inbound_Monitor!$A$2:$Q$13</definedName>
    <definedName name="Z_9DBBA50D_9D01_4EAB_852C_355B19CFBDCA_.wvu.FilterData" localSheetId="1" hidden="1">Inbound_Monitor!$A$2:$Q$3</definedName>
    <definedName name="Z_9DC1BCBC_BA69_402C_81BB_9A338A513615_.wvu.FilterData" localSheetId="0" hidden="1">Outbound_Monitor!$A$2:$W$3</definedName>
    <definedName name="Z_9DC1CADA_8BB1_4FA5_82F7_BFE4B8ED3472_.wvu.FilterData" localSheetId="0" hidden="1">Outbound_Monitor!$A$2:$X$16</definedName>
    <definedName name="Z_9DC60BF0_5C96_4C03_9722_934EE1E28345_.wvu.FilterData" localSheetId="0" hidden="1">Outbound_Monitor!$A$2:$W$3</definedName>
    <definedName name="Z_9DCBFC3E_16D5_42B5_A414_C3F1C1084935_.wvu.FilterData" localSheetId="1" hidden="1">Inbound_Monitor!$A$2:$Q$2</definedName>
    <definedName name="Z_9DCBFC3E_16D5_42B5_A414_C3F1C1084935_.wvu.FilterData" localSheetId="0" hidden="1">Outbound_Monitor!$A$2:$W$2</definedName>
    <definedName name="Z_9DCFBEC2_3F8E_4759_95D0_9BAAFB587716_.wvu.FilterData" localSheetId="0" hidden="1">Outbound_Monitor!$A$2:$X$16</definedName>
    <definedName name="Z_9DD682C2_2B65_48C6_821E_CEE80207AE52_.wvu.FilterData" localSheetId="0" hidden="1">Outbound_Monitor!$A$2:$X$16</definedName>
    <definedName name="Z_9DE8AAA1_F67F_47F7_8BD8_A6FDC1DB37F7_.wvu.FilterData" localSheetId="0" hidden="1">Outbound_Monitor!$A$2:$W$3</definedName>
    <definedName name="Z_9DF50CDD_A7E0_46E5_9094_2668065D7B38_.wvu.FilterData" localSheetId="1" hidden="1">Inbound_Monitor!$A$2:$Q$3</definedName>
    <definedName name="Z_9DF80E54_EC0E_4E1D_97EF_EBDCB253BBE8_.wvu.FilterData" localSheetId="0" hidden="1">Outbound_Monitor!$A$2:$W$3</definedName>
    <definedName name="Z_9E0C5A2D_5A1D_4530_98D8_9D14EE9A5BB6_.wvu.FilterData" localSheetId="0" hidden="1">Outbound_Monitor!$A$2:$X$16</definedName>
    <definedName name="Z_9E15CCC3_1F67_4711_99EA_A308DA25D12A_.wvu.FilterData" localSheetId="1" hidden="1">Inbound_Monitor!$A$2:$Q$13</definedName>
    <definedName name="Z_9E15CCC3_1F67_4711_99EA_A308DA25D12A_.wvu.FilterData" localSheetId="0" hidden="1">Outbound_Monitor!$A$2:$W$3</definedName>
    <definedName name="Z_9E2581A5_8E8A_4411_8885_B4D7A6010A73_.wvu.FilterData" localSheetId="0" hidden="1">Outbound_Monitor!$A$2:$W$3</definedName>
    <definedName name="Z_9E32AD42_A3C4_4C72_9FEF_9BE7DE9F12A4_.wvu.FilterData" localSheetId="0" hidden="1">Outbound_Monitor!$A$2:$W$3</definedName>
    <definedName name="Z_9E37331D_91B7_4BF8_AA04_8EE5DC1A9CF6_.wvu.FilterData" localSheetId="1" hidden="1">Inbound_Monitor!$A$2:$Q$3</definedName>
    <definedName name="Z_9E37331D_91B7_4BF8_AA04_8EE5DC1A9CF6_.wvu.FilterData" localSheetId="0" hidden="1">Outbound_Monitor!$A$2:$W$3</definedName>
    <definedName name="Z_9E39481F_9C4E_4CAA_BC53_7C74B018404F_.wvu.FilterData" localSheetId="0" hidden="1">Outbound_Monitor!$A$2:$W$3</definedName>
    <definedName name="Z_9E3D7E2C_0737_4A08_A227_6CFE844928D1_.wvu.FilterData" localSheetId="1" hidden="1">Inbound_Monitor!$A$2:$Q$2</definedName>
    <definedName name="Z_9E3D7E2C_0737_4A08_A227_6CFE844928D1_.wvu.FilterData" localSheetId="0" hidden="1">Outbound_Monitor!$A$2:$W$2</definedName>
    <definedName name="Z_9E4336DC_A288_4C8E_9E12_394E9F5E705A_.wvu.FilterData" localSheetId="0" hidden="1">Outbound_Monitor!$A$2:$W$3</definedName>
    <definedName name="Z_9E472786_6014_428E_9D42_8CCD8AF667A1_.wvu.FilterData" localSheetId="1" hidden="1">Inbound_Monitor!$A$2:$Q$3</definedName>
    <definedName name="Z_9E4ACDBD_FEAA_4C25_8D0A_09B5965B600F_.wvu.FilterData" localSheetId="1" hidden="1">Inbound_Monitor!$A$2:$Q$13</definedName>
    <definedName name="Z_9E4B6284_B26C_49FC_A9A2_6A034EF23BA8_.wvu.FilterData" localSheetId="0" hidden="1">Outbound_Monitor!$A$2:$W$3</definedName>
    <definedName name="Z_9E4FA967_3867_4F49_A2F0_D3E887875F42_.wvu.FilterData" localSheetId="0" hidden="1">Outbound_Monitor!$A$2:$W$3</definedName>
    <definedName name="Z_9E529540_7BEB_4491_9738_5252150AB6AA_.wvu.FilterData" localSheetId="1" hidden="1">Inbound_Monitor!$A$2:$Q$3</definedName>
    <definedName name="Z_9E529540_7BEB_4491_9738_5252150AB6AA_.wvu.FilterData" localSheetId="0" hidden="1">Outbound_Monitor!$A$2:$W$3</definedName>
    <definedName name="Z_9E5491CB_74BD_458A_AA60_B63FAFF8ED8E_.wvu.FilterData" localSheetId="0" hidden="1">Outbound_Monitor!$A$2:$W$3</definedName>
    <definedName name="Z_9E55DE06_F41C_4237_97E9_0F6A24673101_.wvu.FilterData" localSheetId="1" hidden="1">Inbound_Monitor!$A$2:$Q$13</definedName>
    <definedName name="Z_9E6CEF62_5234_43FC_9BDE_95183AE41A88_.wvu.FilterData" localSheetId="0" hidden="1">Outbound_Monitor!$A$2:$W$3</definedName>
    <definedName name="Z_9E7BDA64_8B7C_4EA2_BCE6_DBCE86A6CBFB_.wvu.FilterData" localSheetId="0" hidden="1">Outbound_Monitor!$A$2:$X$16</definedName>
    <definedName name="Z_9E7C78EE_65E6_4BE8_8D0D_871A1EB6B9C2_.wvu.FilterData" localSheetId="1" hidden="1">Inbound_Monitor!$A$2:$Q$13</definedName>
    <definedName name="Z_9E7C78EE_65E6_4BE8_8D0D_871A1EB6B9C2_.wvu.FilterData" localSheetId="0" hidden="1">Outbound_Monitor!$A$2:$W$3</definedName>
    <definedName name="Z_9E7DDC9E_750F_4D7D_A39D_B7CF83BFC4F1_.wvu.FilterData" localSheetId="0" hidden="1">Outbound_Monitor!$A$2:$W$3</definedName>
    <definedName name="Z_9E8E8672_D003_436F_814A_756F87C84DFE_.wvu.FilterData" localSheetId="0" hidden="1">Outbound_Monitor!$A$2:$W$3</definedName>
    <definedName name="Z_9E8F0AEC_E283_45BA_B151_9BDBBB8A4317_.wvu.FilterData" localSheetId="0" hidden="1">Outbound_Monitor!$A$2:$W$3</definedName>
    <definedName name="Z_9E8FF884_0A22_4EE5_AB1F_25203D16EB06_.wvu.FilterData" localSheetId="1" hidden="1">Inbound_Monitor!$A$2:$Q$3</definedName>
    <definedName name="Z_9E99D931_66B2_4479_902A_C546C7691928_.wvu.FilterData" localSheetId="0" hidden="1">Outbound_Monitor!$A$2:$W$3</definedName>
    <definedName name="Z_9EAB67D6_9AD4_404C_9506_B6BFA5826ED6_.wvu.FilterData" localSheetId="1" hidden="1">Inbound_Monitor!$A$2:$Q$13</definedName>
    <definedName name="Z_9EAB67D6_9AD4_404C_9506_B6BFA5826ED6_.wvu.FilterData" localSheetId="0" hidden="1">Outbound_Monitor!$A$2:$W$3</definedName>
    <definedName name="Z_9EAEEF08_D314_4A53_B70A_7CC91F230F79_.wvu.FilterData" localSheetId="1" hidden="1">Inbound_Monitor!$A$2:$Q$3</definedName>
    <definedName name="Z_9EAF1F0B_8106_4496_976C_54818275161A_.wvu.FilterData" localSheetId="0" hidden="1">Outbound_Monitor!$A$2:$W$3</definedName>
    <definedName name="Z_9EC74D90_EE5F_40CA_89DE_E6F17567F93C_.wvu.FilterData" localSheetId="0" hidden="1">Outbound_Monitor!$A$2:$W$3</definedName>
    <definedName name="Z_9EC7A16F_B6E0_4C6D_A985_2D00E36F706D_.wvu.FilterData" localSheetId="0" hidden="1">Outbound_Monitor!$A$2:$X$16</definedName>
    <definedName name="Z_9EDA2CCB_EB65_4156_A456_A120A93753D5_.wvu.FilterData" localSheetId="0" hidden="1">Outbound_Monitor!$A$2:$W$3</definedName>
    <definedName name="Z_9EDFFB5F_89D6_4E10_8C6B_42FF685A06DF_.wvu.FilterData" localSheetId="4" hidden="1">Schichtübergabe_Protokoll!$B$3:$N$3</definedName>
    <definedName name="Z_9EE1CF82_EA8F_46AC_8D9B_FFB3D90CEF1F_.wvu.FilterData" localSheetId="0" hidden="1">Outbound_Monitor!$A$2:$W$3</definedName>
    <definedName name="Z_9EE50B78_D782_448E_A5BE_27E0CCC70B14_.wvu.FilterData" localSheetId="1" hidden="1">Inbound_Monitor!$A$2:$Q$3</definedName>
    <definedName name="Z_9F03C10E_6A37_45B7_8B81_3641F8588088_.wvu.FilterData" localSheetId="1" hidden="1">Inbound_Monitor!$A$2:$Q$3</definedName>
    <definedName name="Z_9F0B7C0A_025D_4FCF_8317_3F20D0D7F2D8_.wvu.FilterData" localSheetId="1" hidden="1">Inbound_Monitor!$A$2:$Q$13</definedName>
    <definedName name="Z_9F1230C9_2BBC_47AD_9675_6F2A4E1DC311_.wvu.FilterData" localSheetId="1" hidden="1">Inbound_Monitor!$A$2:$Q$13</definedName>
    <definedName name="Z_9F1230C9_2BBC_47AD_9675_6F2A4E1DC311_.wvu.FilterData" localSheetId="0" hidden="1">Outbound_Monitor!$A$2:$W$3</definedName>
    <definedName name="Z_9F1320DF_3D78_4636_817A_E14660EFE542_.wvu.FilterData" localSheetId="0" hidden="1">Outbound_Monitor!$A$2:$W$3</definedName>
    <definedName name="Z_9F2220AB_DD36_4A52_B1C5_B326791BF560_.wvu.FilterData" localSheetId="0" hidden="1">Outbound_Monitor!$A$2:$W$3</definedName>
    <definedName name="Z_9F2A6126_AD8B_4545_8597_9F3698ADEACA_.wvu.FilterData" localSheetId="4" hidden="1">Schichtübergabe_Protokoll!$B$3:$N$3</definedName>
    <definedName name="Z_9F4580DB_C15E_45DE_ADF0_1D8720FE43B1_.wvu.FilterData" localSheetId="1" hidden="1">Inbound_Monitor!$A$2:$Q$13</definedName>
    <definedName name="Z_9F4BE89E_6AE2_4087_A350_5365DC69121B_.wvu.FilterData" localSheetId="0" hidden="1">Outbound_Monitor!$A$2:$W$3</definedName>
    <definedName name="Z_9F5091AE_9B7E_4B9F_A8E4_F8E21E3BA8CE_.wvu.FilterData" localSheetId="0" hidden="1">Outbound_Monitor!$A$2:$W$3</definedName>
    <definedName name="Z_9F54AE2C_B46C_4289_966B_1F11CD582D2E_.wvu.FilterData" localSheetId="0" hidden="1">Outbound_Monitor!$A$2:$W$3</definedName>
    <definedName name="Z_9F5F9A61_2EFE_47E5_995F_5ABADED224ED_.wvu.FilterData" localSheetId="0" hidden="1">Outbound_Monitor!$A$2:$W$3</definedName>
    <definedName name="Z_9F62AEFE_D4A4_459A_B07D_4C00985EFE24_.wvu.FilterData" localSheetId="1" hidden="1">Inbound_Monitor!$A$2:$Q$3</definedName>
    <definedName name="Z_9F6D49F3_2E09_49F1_9437_EE561AF3EA6E_.wvu.FilterData" localSheetId="1" hidden="1">Inbound_Monitor!$A$2:$Q$3</definedName>
    <definedName name="Z_9F770C5D_2C94_4424_AFBD_274C9E149984_.wvu.FilterData" localSheetId="0" hidden="1">Outbound_Monitor!$A$2:$X$16</definedName>
    <definedName name="Z_9F7FD4B7_C310_4A00_81B7_051E7028ADD7_.wvu.FilterData" localSheetId="0" hidden="1">Outbound_Monitor!$A$2:$W$3</definedName>
    <definedName name="Z_9F84BFCF_02E4_4613_90B9_3C0CCDD025E9_.wvu.FilterData" localSheetId="0" hidden="1">Outbound_Monitor!$A$2:$X$16</definedName>
    <definedName name="Z_9F936B85_4835_4066_B014_D401D62E52F4_.wvu.FilterData" localSheetId="1" hidden="1">Inbound_Monitor!$A$2:$Q$2</definedName>
    <definedName name="Z_9F936B85_4835_4066_B014_D401D62E52F4_.wvu.FilterData" localSheetId="0" hidden="1">Outbound_Monitor!$A$2:$W$2</definedName>
    <definedName name="Z_9F9D6043_B805_4575_89E8_11CC1F132FD7_.wvu.Cols" localSheetId="3" hidden="1">'SDDS_Office (nicht nutzen)'!#REF!</definedName>
    <definedName name="Z_9F9D6043_B805_4575_89E8_11CC1F132FD7_.wvu.Rows" localSheetId="3" hidden="1">'SDDS_Office (nicht nutzen)'!#REF!</definedName>
    <definedName name="Z_9FA81DDE_0D79_408B_ACD3_07D39D807079_.wvu.FilterData" localSheetId="0" hidden="1">Outbound_Monitor!$A$2:$W$3</definedName>
    <definedName name="Z_9FA9C3DA_0A78_4A39_B6A8_D72671B2D02A_.wvu.FilterData" localSheetId="0" hidden="1">Outbound_Monitor!$A$2:$X$16</definedName>
    <definedName name="Z_9FAD2AB5_60EA_4AA0_A27F_86503849884D_.wvu.FilterData" localSheetId="1" hidden="1">Inbound_Monitor!$A$2:$Q$13</definedName>
    <definedName name="Z_9FC830B9_B3FE_437D_9EA5_6C39B5C94AB4_.wvu.FilterData" localSheetId="1" hidden="1">Inbound_Monitor!$A$2:$Q$13</definedName>
    <definedName name="Z_9FC830B9_B3FE_437D_9EA5_6C39B5C94AB4_.wvu.FilterData" localSheetId="0" hidden="1">Outbound_Monitor!$A$2:$W$3</definedName>
    <definedName name="Z_9FD04BC3_046A_46BC_A3F9_BB4D189E76C3_.wvu.FilterData" localSheetId="0" hidden="1">Outbound_Monitor!$A$2:$W$3</definedName>
    <definedName name="Z_9FD5A25E_EF9F_4B39_AB37_D00A7B34B6DB_.wvu.FilterData" localSheetId="1" hidden="1">Inbound_Monitor!$A$2:$Q$2</definedName>
    <definedName name="Z_9FD5A25E_EF9F_4B39_AB37_D00A7B34B6DB_.wvu.FilterData" localSheetId="0" hidden="1">Outbound_Monitor!$A$2:$W$2</definedName>
    <definedName name="Z_9FE46941_6855_4173_9E91_81CBD81D6762_.wvu.FilterData" localSheetId="1" hidden="1">Inbound_Monitor!$A$2:$Q$3</definedName>
    <definedName name="Z_9FEC3E6B_A14A_45F8_84B5_E29C9F280246_.wvu.FilterData" localSheetId="0" hidden="1">Outbound_Monitor!$A$2:$W$3</definedName>
    <definedName name="Z_9FEFCF4D_DCE4_422C_9F50_18172DF4D32A_.wvu.FilterData" localSheetId="0" hidden="1">Outbound_Monitor!$A$2:$W$3</definedName>
    <definedName name="Z_9FFEA4A6_B52E_49E0_B2BF_535F8EC99260_.wvu.FilterData" localSheetId="0" hidden="1">Outbound_Monitor!$A$2:$W$3</definedName>
    <definedName name="Z_A000614C_F6FE_4F2A_92CE_04922D07ED1E_.wvu.FilterData" localSheetId="0" hidden="1">Outbound_Monitor!$A$2:$W$3</definedName>
    <definedName name="Z_A002FD30_7CAF_45FA_886A_1FB0ECC905BB_.wvu.FilterData" localSheetId="1" hidden="1">Inbound_Monitor!$A$2:$Q$2</definedName>
    <definedName name="Z_A002FD30_7CAF_45FA_886A_1FB0ECC905BB_.wvu.FilterData" localSheetId="0" hidden="1">Outbound_Monitor!$A$2:$W$2</definedName>
    <definedName name="Z_A01879B6_B43F_4976_B315_8AE3AD9DC217_.wvu.FilterData" localSheetId="1" hidden="1">Inbound_Monitor!$A$2:$Q$3</definedName>
    <definedName name="Z_A028973F_AF8F_417B_A47D_A8C9C5144837_.wvu.FilterData" localSheetId="1" hidden="1">Inbound_Monitor!$A$2:$Q$3</definedName>
    <definedName name="Z_A028973F_AF8F_417B_A47D_A8C9C5144837_.wvu.FilterData" localSheetId="0" hidden="1">Outbound_Monitor!$A$2:$W$3</definedName>
    <definedName name="Z_A02BD191_DBA3_4E47_89E0_4BC85C738CD7_.wvu.FilterData" localSheetId="0" hidden="1">Outbound_Monitor!$A$2:$W$3</definedName>
    <definedName name="Z_A02C1206_FF36_41C1_9687_696F8EE65B7D_.wvu.FilterData" localSheetId="0" hidden="1">Outbound_Monitor!$A$2:$W$3</definedName>
    <definedName name="Z_A0346278_60E1_4FEA_8C84_69133015084A_.wvu.FilterData" localSheetId="0" hidden="1">Outbound_Monitor!$A$2:$W$3</definedName>
    <definedName name="Z_A041F3F1_55F9_4B8B_A793_3FBCF99B5D67_.wvu.FilterData" localSheetId="0" hidden="1">Outbound_Monitor!$A$2:$W$3</definedName>
    <definedName name="Z_A0460792_A8BB_4CF7_9C19_6849F59FA43C_.wvu.FilterData" localSheetId="1" hidden="1">Inbound_Monitor!$A$2:$Q$3</definedName>
    <definedName name="Z_A05EDC0A_71AC_434A_9234_D2A21EC43434_.wvu.FilterData" localSheetId="1" hidden="1">Inbound_Monitor!$A$2:$Q$13</definedName>
    <definedName name="Z_A0670F75_D25D_43BE_A3B2_12DE45FEDD84_.wvu.FilterData" localSheetId="1" hidden="1">Inbound_Monitor!$A$2:$Q$13</definedName>
    <definedName name="Z_A0670F75_D25D_43BE_A3B2_12DE45FEDD84_.wvu.FilterData" localSheetId="0" hidden="1">Outbound_Monitor!$A$2:$X$16</definedName>
    <definedName name="Z_A06799B9_E1DE_4AFF_9404_1E5EF15F75EB_.wvu.FilterData" localSheetId="0" hidden="1">Outbound_Monitor!$A$2:$W$3</definedName>
    <definedName name="Z_A06A168E_B8B7_4532_9A6B_FA3179872D88_.wvu.FilterData" localSheetId="1" hidden="1">Inbound_Monitor!$A$2:$Q$13</definedName>
    <definedName name="Z_A06FA868_B527_464B_A277_372CF62B784D_.wvu.FilterData" localSheetId="0" hidden="1">Outbound_Monitor!$A$2:$W$3</definedName>
    <definedName name="Z_A07455B1_3D07_419E_BCCF_F49DA7C7A528_.wvu.FilterData" localSheetId="0" hidden="1">Outbound_Monitor!$A$2:$W$3</definedName>
    <definedName name="Z_A07D14C7_5A71_420D_AFA2_EF7C6CA4B933_.wvu.FilterData" localSheetId="1" hidden="1">Inbound_Monitor!$A$2:$Q$3</definedName>
    <definedName name="Z_A07E57A6_3689_4622_B139_1E6549472E5E_.wvu.FilterData" localSheetId="1" hidden="1">Inbound_Monitor!$A$2:$Q$3</definedName>
    <definedName name="Z_A07F8C89_12AD_4E5F_863A_709EC38A4B89_.wvu.FilterData" localSheetId="0" hidden="1">Outbound_Monitor!$A$2:$W$3</definedName>
    <definedName name="Z_A09A4D7A_F8BD_4884_9306_7A2B2B4CC304_.wvu.FilterData" localSheetId="0" hidden="1">Outbound_Monitor!$A$2:$X$16</definedName>
    <definedName name="Z_A0A197DC_DF42_42BF_89C7_0506C3E42644_.wvu.FilterData" localSheetId="1" hidden="1">Inbound_Monitor!$A$2:$Q$3</definedName>
    <definedName name="Z_A0A197DC_DF42_42BF_89C7_0506C3E42644_.wvu.FilterData" localSheetId="4" hidden="1">Schichtübergabe_Protokoll!$B$3:$N$3</definedName>
    <definedName name="Z_A0AAD036_C8C1_4E25_9A49_1580790C9569_.wvu.FilterData" localSheetId="1" hidden="1">Inbound_Monitor!$A$2:$Q$3</definedName>
    <definedName name="Z_A0AAD036_C8C1_4E25_9A49_1580790C9569_.wvu.FilterData" localSheetId="0" hidden="1">Outbound_Monitor!$A$2:$W$3</definedName>
    <definedName name="Z_A0AC3D15_FAC9_4671_9DDF_F3614C85AB7C_.wvu.FilterData" localSheetId="1" hidden="1">Inbound_Monitor!$A$2:$Q$13</definedName>
    <definedName name="Z_A0BBD0D0_B172_4F57_AF3A_6654639E1AFF_.wvu.FilterData" localSheetId="1" hidden="1">Inbound_Monitor!$A$2:$Q$3</definedName>
    <definedName name="Z_A0D106B0_CE3B_4B79_87E3_1F16E5586E1A_.wvu.FilterData" localSheetId="1" hidden="1">Inbound_Monitor!$A$2:$Q$13</definedName>
    <definedName name="Z_A0D106B0_CE3B_4B79_87E3_1F16E5586E1A_.wvu.FilterData" localSheetId="0" hidden="1">Outbound_Monitor!$A$2:$W$3</definedName>
    <definedName name="Z_A0FC2A4E_C969_4C25_B70C_636B60922768_.wvu.FilterData" localSheetId="0" hidden="1">Outbound_Monitor!$A$2:$X$16</definedName>
    <definedName name="Z_A11334F5_F938_4325_A749_92C97585D267_.wvu.FilterData" localSheetId="1" hidden="1">Inbound_Monitor!$A$2:$Q$13</definedName>
    <definedName name="Z_A11334F5_F938_4325_A749_92C97585D267_.wvu.FilterData" localSheetId="0" hidden="1">Outbound_Monitor!$A$2:$W$3</definedName>
    <definedName name="Z_A124D4E0_425F_44AB_8B49_831EBA1A29DF_.wvu.FilterData" localSheetId="0" hidden="1">Outbound_Monitor!$A$2:$W$3</definedName>
    <definedName name="Z_A129530E_1EF5_449A_97D7_07F472CD3FC7_.wvu.FilterData" localSheetId="1" hidden="1">Inbound_Monitor!$A$2:$Q$3</definedName>
    <definedName name="Z_A12B2E92_DD85_477B_B711_6ECA9D2C8538_.wvu.FilterData" localSheetId="0" hidden="1">Outbound_Monitor!$A$2:$W$3</definedName>
    <definedName name="Z_A1326831_DD79_46E9_9852_F2E3368F8409_.wvu.FilterData" localSheetId="0" hidden="1">Outbound_Monitor!$A$2:$W$3</definedName>
    <definedName name="Z_A14CD580_487D_44E3_BA4B_41811B8B811C_.wvu.FilterData" localSheetId="1" hidden="1">Inbound_Monitor!$A$2:$Q$13</definedName>
    <definedName name="Z_A14CD580_487D_44E3_BA4B_41811B8B811C_.wvu.FilterData" localSheetId="0" hidden="1">Outbound_Monitor!$A$2:$W$3</definedName>
    <definedName name="Z_A15BABE8_B79B_4AD1_8530_22D5DA931CCC_.wvu.FilterData" localSheetId="0" hidden="1">Outbound_Monitor!$A$2:$W$3</definedName>
    <definedName name="Z_A15E03EE_0806_4BF5_BEEB_F9933CD1B5A1_.wvu.FilterData" localSheetId="1" hidden="1">Inbound_Monitor!$A$2:$Q$3</definedName>
    <definedName name="Z_A165899C_98A9_4C67_B38D_93A8C2C3FD04_.wvu.FilterData" localSheetId="0" hidden="1">Outbound_Monitor!$A$2:$X$16</definedName>
    <definedName name="Z_A167B427_782F_43AB_9D99_8C22A557D901_.wvu.FilterData" localSheetId="0" hidden="1">Outbound_Monitor!$A$2:$W$3</definedName>
    <definedName name="Z_A171CD57_4AE2_48A0_8D1E_67D7E75245C2_.wvu.FilterData" localSheetId="1" hidden="1">Inbound_Monitor!$A$2:$Q$3</definedName>
    <definedName name="Z_A172AAB0_43E4_4F78_981F_690228910B96_.wvu.FilterData" localSheetId="0" hidden="1">Outbound_Monitor!$A$2:$W$3</definedName>
    <definedName name="Z_A17E4F1D_2F3F_4A71_BFF8_0C1ED30F1FEE_.wvu.FilterData" localSheetId="0" hidden="1">Outbound_Monitor!$A$2:$W$3</definedName>
    <definedName name="Z_A17EE0BC_8B8D_428A_8A1B_102B11BCADA6_.wvu.FilterData" localSheetId="1" hidden="1">Inbound_Monitor!$A$2:$Q$3</definedName>
    <definedName name="Z_A1945F72_F968_4DD7_8B76_4394CC100B51_.wvu.FilterData" localSheetId="0" hidden="1">Outbound_Monitor!$A$2:$W$3</definedName>
    <definedName name="Z_A1A87668_261B_400F_B303_8F2FD1AFB2E7_.wvu.FilterData" localSheetId="1" hidden="1">Inbound_Monitor!$A$2:$Q$13</definedName>
    <definedName name="Z_A1ABD881_E036_4A69_9EB9_31486C22C9FF_.wvu.FilterData" localSheetId="1" hidden="1">Inbound_Monitor!$A$2:$Q$3</definedName>
    <definedName name="Z_A1D896A6_54D9_4363_B18F_C803D7ADDA1E_.wvu.FilterData" localSheetId="0" hidden="1">Outbound_Monitor!$A$2:$W$3</definedName>
    <definedName name="Z_A1DA25BE_A45B_4EA7_9DBB_F2159E74C6F4_.wvu.FilterData" localSheetId="1" hidden="1">Inbound_Monitor!$A$2:$Q$3</definedName>
    <definedName name="Z_A1F0463A_1714_4ECB_9CF1_9C32F490AC79_.wvu.FilterData" localSheetId="1" hidden="1">Inbound_Monitor!$A$2:$Q$13</definedName>
    <definedName name="Z_A1F0463A_1714_4ECB_9CF1_9C32F490AC79_.wvu.FilterData" localSheetId="0" hidden="1">Outbound_Monitor!$A$2:$X$16</definedName>
    <definedName name="Z_A1F592D9_A02B_4F90_8BB3_43F60569E6E5_.wvu.FilterData" localSheetId="0" hidden="1">Outbound_Monitor!$A$2:$W$3</definedName>
    <definedName name="Z_A205D8B8_5B94_4CCC_A7DE_F0FEC39AAAB9_.wvu.FilterData" localSheetId="1" hidden="1">Inbound_Monitor!$A$2:$Q$13</definedName>
    <definedName name="Z_A205D8B8_5B94_4CCC_A7DE_F0FEC39AAAB9_.wvu.FilterData" localSheetId="0" hidden="1">Outbound_Monitor!$A$2:$W$3</definedName>
    <definedName name="Z_A20ED8EA_DC17_4E0F_BEC0_DF86D2702A40_.wvu.FilterData" localSheetId="4" hidden="1">Schichtübergabe_Protokoll!$B$3:$N$3</definedName>
    <definedName name="Z_A21EF706_EEDD_4486_980A_A0E77A06345F_.wvu.FilterData" localSheetId="1" hidden="1">Inbound_Monitor!$A$2:$Q$13</definedName>
    <definedName name="Z_A21EF706_EEDD_4486_980A_A0E77A06345F_.wvu.FilterData" localSheetId="0" hidden="1">Outbound_Monitor!$A$2:$W$3</definedName>
    <definedName name="Z_A228EF8F_3EE7_449B_B09B_94C2AB13CBEC_.wvu.FilterData" localSheetId="0" hidden="1">Outbound_Monitor!$A$2:$W$3</definedName>
    <definedName name="Z_A23275D5_F9C7_4E48_8022_0AF85C43E2CB_.wvu.FilterData" localSheetId="1" hidden="1">Inbound_Monitor!$A$2:$Q$13</definedName>
    <definedName name="Z_A23275D5_F9C7_4E48_8022_0AF85C43E2CB_.wvu.FilterData" localSheetId="0" hidden="1">Outbound_Monitor!$A$2:$W$3</definedName>
    <definedName name="Z_A23A041C_4715_425E_A99A_A1BAB13D1BFF_.wvu.FilterData" localSheetId="1" hidden="1">Inbound_Monitor!$A$2:$Q$2</definedName>
    <definedName name="Z_A23A041C_4715_425E_A99A_A1BAB13D1BFF_.wvu.FilterData" localSheetId="0" hidden="1">Outbound_Monitor!$A$2:$W$2</definedName>
    <definedName name="Z_A240FE9F_0A41_4567_9BAF_D322C96C3F25_.wvu.FilterData" localSheetId="1" hidden="1">Inbound_Monitor!$A$2:$Q$13</definedName>
    <definedName name="Z_A240FE9F_0A41_4567_9BAF_D322C96C3F25_.wvu.FilterData" localSheetId="0" hidden="1">Outbound_Monitor!$A$2:$X$16</definedName>
    <definedName name="Z_A2555E19_3031_4299_B96B_862FBF399040_.wvu.FilterData" localSheetId="0" hidden="1">Outbound_Monitor!$A$2:$W$3</definedName>
    <definedName name="Z_A255F3FD_D689_489E_9C15_591DA7CD5466_.wvu.FilterData" localSheetId="1" hidden="1">Inbound_Monitor!$A$2:$Q$3</definedName>
    <definedName name="Z_A255F3FD_D689_489E_9C15_591DA7CD5466_.wvu.FilterData" localSheetId="4" hidden="1">Schichtübergabe_Protokoll!$B$3:$N$3</definedName>
    <definedName name="Z_A26564AB_D1B3_4212_B39D_662E350C3E51_.wvu.FilterData" localSheetId="0" hidden="1">Outbound_Monitor!$A$2:$W$3</definedName>
    <definedName name="Z_A266743C_41D0_42F8_9A56_E9A6D2FDEE7B_.wvu.FilterData" localSheetId="0" hidden="1">Outbound_Monitor!$A$2:$W$3</definedName>
    <definedName name="Z_A26B390C_0C1E_494E_B438_A841F2C271E6_.wvu.FilterData" localSheetId="1" hidden="1">Inbound_Monitor!$A$2:$Q$2</definedName>
    <definedName name="Z_A26B390C_0C1E_494E_B438_A841F2C271E6_.wvu.FilterData" localSheetId="0" hidden="1">Outbound_Monitor!$A$2:$W$2</definedName>
    <definedName name="Z_A26D8BC1_F5AF_4886_84BA_763837A155F7_.wvu.FilterData" localSheetId="0" hidden="1">Outbound_Monitor!$A$2:$W$3</definedName>
    <definedName name="Z_A271AA7F_6AC7_4887_A1A3_980EB3E8C3DD_.wvu.FilterData" localSheetId="1" hidden="1">Inbound_Monitor!$A$2:$Q$3</definedName>
    <definedName name="Z_A271FF6D_9DA3_4707_909E_7830A8C830BE_.wvu.FilterData" localSheetId="0" hidden="1">Outbound_Monitor!$A$2:$W$3</definedName>
    <definedName name="Z_A274241E_439F_4870_A6FB_A1BC9FE4C9D0_.wvu.FilterData" localSheetId="0" hidden="1">Outbound_Monitor!$A$2:$W$3</definedName>
    <definedName name="Z_A27FFBDB_6849_4A68_A003_B4FA43490D20_.wvu.FilterData" localSheetId="1" hidden="1">Inbound_Monitor!$A$2:$Q$13</definedName>
    <definedName name="Z_A291F43E_9699_4781_B0F9_B6CA387FAD5B_.wvu.FilterData" localSheetId="1" hidden="1">Inbound_Monitor!$A$2:$Q$13</definedName>
    <definedName name="Z_A291F43E_9699_4781_B0F9_B6CA387FAD5B_.wvu.FilterData" localSheetId="0" hidden="1">Outbound_Monitor!$A$2:$W$3</definedName>
    <definedName name="Z_A292BADB_5C53_4362_8824_189916F0B654_.wvu.FilterData" localSheetId="1" hidden="1">Inbound_Monitor!$A$2:$Q$3</definedName>
    <definedName name="Z_A292BADB_5C53_4362_8824_189916F0B654_.wvu.FilterData" localSheetId="0" hidden="1">Outbound_Monitor!$A$2:$W$3</definedName>
    <definedName name="Z_A2940D94_C9B7_4277_9D30_90A626B93A57_.wvu.FilterData" localSheetId="0" hidden="1">Outbound_Monitor!$A$2:$X$16</definedName>
    <definedName name="Z_A29A9A80_D2F7_4B1B_849A_AA4E05548BE4_.wvu.FilterData" localSheetId="0" hidden="1">Outbound_Monitor!$A$2:$W$3</definedName>
    <definedName name="Z_A2AD8F6C_B020_4CC4_937D_F01C529EDD3D_.wvu.FilterData" localSheetId="1" hidden="1">Inbound_Monitor!$A$2:$Q$3</definedName>
    <definedName name="Z_A2AD8F6C_B020_4CC4_937D_F01C529EDD3D_.wvu.FilterData" localSheetId="0" hidden="1">Outbound_Monitor!$A$2:$W$3</definedName>
    <definedName name="Z_A2CE78BB_FA49_4DD4_95B7_CD8543413E2E_.wvu.FilterData" localSheetId="1" hidden="1">Inbound_Monitor!$A$2:$Q$3</definedName>
    <definedName name="Z_A2D35223_B04A_414D_B0AC_32E5DCEF3F65_.wvu.FilterData" localSheetId="1" hidden="1">Inbound_Monitor!$A$2:$Q$3</definedName>
    <definedName name="Z_A2D3EA1B_E0B2_4F97_B2FD_134C10AD10A7_.wvu.FilterData" localSheetId="1" hidden="1">Inbound_Monitor!$A$2:$Q$3</definedName>
    <definedName name="Z_A2D5D27C_18EA_472A_964F_C33943285FD7_.wvu.FilterData" localSheetId="1" hidden="1">Inbound_Monitor!$A$2:$Q$3</definedName>
    <definedName name="Z_A2D5D27C_18EA_472A_964F_C33943285FD7_.wvu.FilterData" localSheetId="0" hidden="1">Outbound_Monitor!$A$2:$W$3</definedName>
    <definedName name="Z_A2D9FD61_1670_486C_A476_9750D40B7AF8_.wvu.FilterData" localSheetId="1" hidden="1">Inbound_Monitor!$A$2:$Q$3</definedName>
    <definedName name="Z_A2E3864E_8349_4639_8BF2_10F493EE2CCB_.wvu.FilterData" localSheetId="0" hidden="1">Outbound_Monitor!$A$2:$W$3</definedName>
    <definedName name="Z_A2EB4C02_696D_4A7B_BBFD_5EF8EA4EF8B3_.wvu.FilterData" localSheetId="1" hidden="1">Inbound_Monitor!$A$2:$Q$3</definedName>
    <definedName name="Z_A2EB4C02_696D_4A7B_BBFD_5EF8EA4EF8B3_.wvu.FilterData" localSheetId="0" hidden="1">Outbound_Monitor!$A$2:$W$3</definedName>
    <definedName name="Z_A2EF822F_4213_4B27_BA34_6C801A98FDF5_.wvu.FilterData" localSheetId="1" hidden="1">Inbound_Monitor!$A$2:$Q$3</definedName>
    <definedName name="Z_A2EF822F_4213_4B27_BA34_6C801A98FDF5_.wvu.FilterData" localSheetId="0" hidden="1">Outbound_Monitor!#REF!</definedName>
    <definedName name="Z_A2F6A3D4_2412_43F6_A372_4322B9E7550B_.wvu.FilterData" localSheetId="1" hidden="1">Inbound_Monitor!$A$2:$Q$13</definedName>
    <definedName name="Z_A2F6A3D4_2412_43F6_A372_4322B9E7550B_.wvu.FilterData" localSheetId="0" hidden="1">Outbound_Monitor!$A$2:$W$3</definedName>
    <definedName name="Z_A2FA1C83_307D_4604_91C2_C2257F96DF06_.wvu.FilterData" localSheetId="0" hidden="1">Outbound_Monitor!$A$2:$W$3</definedName>
    <definedName name="Z_A3020EA5_F7C6_4121_8038_73A694A8C5C7_.wvu.FilterData" localSheetId="1" hidden="1">Inbound_Monitor!$A$2:$Q$3</definedName>
    <definedName name="Z_A307016B_69B0_4C89_A6D1_F687D664B78C_.wvu.FilterData" localSheetId="0" hidden="1">Outbound_Monitor!$A$2:$W$3</definedName>
    <definedName name="Z_A3143F11_918F_442D_A5F2_CC2B1D074ABB_.wvu.FilterData" localSheetId="1" hidden="1">Inbound_Monitor!$A$2:$Q$3</definedName>
    <definedName name="Z_A3191DA5_F268_4408_BF07_F7982F4CEA99_.wvu.FilterData" localSheetId="1" hidden="1">Inbound_Monitor!$A$2:$Q$3</definedName>
    <definedName name="Z_A3191DA5_F268_4408_BF07_F7982F4CEA99_.wvu.FilterData" localSheetId="4" hidden="1">Schichtübergabe_Protokoll!$B$3:$N$3</definedName>
    <definedName name="Z_A3241AB6_B853_4EA5_A1D6_0919BB9BAD61_.wvu.FilterData" localSheetId="1" hidden="1">Inbound_Monitor!$A$2:$Q$13</definedName>
    <definedName name="Z_A3241AB6_B853_4EA5_A1D6_0919BB9BAD61_.wvu.FilterData" localSheetId="0" hidden="1">Outbound_Monitor!$A$2:$W$3</definedName>
    <definedName name="Z_A330B0F7_375F_478C_BF08_0F5B3006373F_.wvu.FilterData" localSheetId="0" hidden="1">Outbound_Monitor!$A$2:$W$3</definedName>
    <definedName name="Z_A3420820_ED88_4165_AC05_E6156DFEA5DD_.wvu.FilterData" localSheetId="0" hidden="1">Outbound_Monitor!$A$2:$W$3</definedName>
    <definedName name="Z_A36700F3_A67A_4A48_AAFA_F17FDA2D5D91_.wvu.FilterData" localSheetId="0" hidden="1">Outbound_Monitor!$A$2:$W$3</definedName>
    <definedName name="Z_A36700F3_A67A_4A48_AAFA_F17FDA2D5D91_.wvu.FilterData" localSheetId="4" hidden="1">Schichtübergabe_Protokoll!$B$3:$N$3</definedName>
    <definedName name="Z_A36E49D9_3EC1_4764_98DC_E754F73DEF34_.wvu.FilterData" localSheetId="0" hidden="1">Outbound_Monitor!$A$2:$W$3</definedName>
    <definedName name="Z_A36EB76A_C194_44DE_9852_DB9EEA641DA8_.wvu.FilterData" localSheetId="0" hidden="1">Outbound_Monitor!$A$2:$W$3</definedName>
    <definedName name="Z_A377FF2D_C0C4_4928_9169_2A305C66CE8C_.wvu.FilterData" localSheetId="0" hidden="1">Outbound_Monitor!$A$2:$W$3</definedName>
    <definedName name="Z_A38365F2_EC34_4516_873F_F71C7F60CC97_.wvu.FilterData" localSheetId="1" hidden="1">Inbound_Monitor!$A$2:$Q$3</definedName>
    <definedName name="Z_A385E8A0_5F2F_478D_8BD1_ED8395391FF6_.wvu.FilterData" localSheetId="0" hidden="1">Outbound_Monitor!$A$2:$X$16</definedName>
    <definedName name="Z_A38D8A8B_56BF_4221_9D58_04C7D0B26819_.wvu.FilterData" localSheetId="1" hidden="1">Inbound_Monitor!$A$2:$Q$13</definedName>
    <definedName name="Z_A38D8A8B_56BF_4221_9D58_04C7D0B26819_.wvu.FilterData" localSheetId="0" hidden="1">Outbound_Monitor!$A$2:$W$3</definedName>
    <definedName name="Z_A3A83B2C_2412_4C5F_B417_AFA3FA91ED9A_.wvu.FilterData" localSheetId="0" hidden="1">Outbound_Monitor!$A$2:$W$3</definedName>
    <definedName name="Z_A3A83B2C_2412_4C5F_B417_AFA3FA91ED9A_.wvu.FilterData" localSheetId="4" hidden="1">Schichtübergabe_Protokoll!$B$3:$N$3</definedName>
    <definedName name="Z_A3A9680E_55C3_4A1D_9FB3_88406310FD9A_.wvu.FilterData" localSheetId="1" hidden="1">Inbound_Monitor!$A$2:$Q$3</definedName>
    <definedName name="Z_A3AEA9E8_4AEE_4C0C_9879_9B6831396CDA_.wvu.FilterData" localSheetId="1" hidden="1">Inbound_Monitor!$A$2:$Q$13</definedName>
    <definedName name="Z_A3AEA9E8_4AEE_4C0C_9879_9B6831396CDA_.wvu.FilterData" localSheetId="0" hidden="1">Outbound_Monitor!$A$2:$W$3</definedName>
    <definedName name="Z_A3D5A8B3_97C8_4170_80D6_7845F0B70A26_.wvu.FilterData" localSheetId="1" hidden="1">Inbound_Monitor!$A$2:$Q$13</definedName>
    <definedName name="Z_A3D5A8B3_97C8_4170_80D6_7845F0B70A26_.wvu.FilterData" localSheetId="0" hidden="1">Outbound_Monitor!$A$2:$W$3</definedName>
    <definedName name="Z_A3DB244D_EDBB_4DEF_9812_ED8E3B093FC2_.wvu.FilterData" localSheetId="0" hidden="1">Outbound_Monitor!$A$2:$W$3</definedName>
    <definedName name="Z_A3DCAC5F_D96D_4A88_BB7D_4326042FC120_.wvu.FilterData" localSheetId="1" hidden="1">Inbound_Monitor!$A$2:$Q$13</definedName>
    <definedName name="Z_A3DCAC5F_D96D_4A88_BB7D_4326042FC120_.wvu.FilterData" localSheetId="0" hidden="1">Outbound_Monitor!$A$2:$X$16</definedName>
    <definedName name="Z_A3DF4A35_63F1_42DC_B9FB_1FBA3285CE3A_.wvu.FilterData" localSheetId="0" hidden="1">Outbound_Monitor!$A$2:$W$3</definedName>
    <definedName name="Z_A3E1CC39_F939_4583_AB57_CCFD36537064_.wvu.FilterData" localSheetId="0" hidden="1">Outbound_Monitor!$A$2:$W$3</definedName>
    <definedName name="Z_A3EE7E9E_F851_4B2A_9316_4EEB1820FA52_.wvu.FilterData" localSheetId="1" hidden="1">Inbound_Monitor!$A$2:$Q$3</definedName>
    <definedName name="Z_A3EE7E9E_F851_4B2A_9316_4EEB1820FA52_.wvu.FilterData" localSheetId="0" hidden="1">Outbound_Monitor!$A$2:$W$3</definedName>
    <definedName name="Z_A40606B4_82EB_44B2_8FDE_350528F48D85_.wvu.FilterData" localSheetId="1" hidden="1">Inbound_Monitor!$A$2:$Q$13</definedName>
    <definedName name="Z_A40C966E_DA6A_4685_A1BF_B5EBCDA85461_.wvu.FilterData" localSheetId="1" hidden="1">Inbound_Monitor!$A$2:$Q$3</definedName>
    <definedName name="Z_A4197546_E179_41A3_93A4_7C0CFC8466E6_.wvu.FilterData" localSheetId="0" hidden="1">Outbound_Monitor!$A$2:$X$16</definedName>
    <definedName name="Z_A42E3463_C15C_422D_A757_1768AA438125_.wvu.FilterData" localSheetId="1" hidden="1">Inbound_Monitor!$A$2:$Q$3</definedName>
    <definedName name="Z_A42E3463_C15C_422D_A757_1768AA438125_.wvu.FilterData" localSheetId="0" hidden="1">Outbound_Monitor!$A$2:$W$3</definedName>
    <definedName name="Z_A441210C_4E11_4587_9DB6_CEF0D799BBF0_.wvu.FilterData" localSheetId="0" hidden="1">Outbound_Monitor!$A$2:$W$3</definedName>
    <definedName name="Z_A441210C_4E11_4587_9DB6_CEF0D799BBF0_.wvu.FilterData" localSheetId="4" hidden="1">Schichtübergabe_Protokoll!$B$3:$N$3</definedName>
    <definedName name="Z_A4429EC3_565D_4239_99E7_F94F3AB53C85_.wvu.FilterData" localSheetId="0" hidden="1">Outbound_Monitor!$A$2:$W$3</definedName>
    <definedName name="Z_A443D64D_8A41_42D7_A8D1_773B42E10713_.wvu.FilterData" localSheetId="1" hidden="1">Inbound_Monitor!$A$2:$Q$13</definedName>
    <definedName name="Z_A443D64D_8A41_42D7_A8D1_773B42E10713_.wvu.FilterData" localSheetId="0" hidden="1">Outbound_Monitor!$A$2:$X$16</definedName>
    <definedName name="Z_A46A99C0_FA31_4FF5_91C8_237AC33795F4_.wvu.FilterData" localSheetId="1" hidden="1">Inbound_Monitor!$A$2:$Q$3</definedName>
    <definedName name="Z_A476D941_B366_427C_AA51_8D683CAA8994_.wvu.FilterData" localSheetId="0" hidden="1">Outbound_Monitor!$A$2:$W$3</definedName>
    <definedName name="Z_A477C6AD_531B_4DC9_8F7C_A0EE4984CB5D_.wvu.FilterData" localSheetId="0" hidden="1">Outbound_Monitor!$A$2:$X$3</definedName>
    <definedName name="Z_A47AFCA8_A577_4F2A_A2E1_FB15AEE0E6EF_.wvu.FilterData" localSheetId="0" hidden="1">Outbound_Monitor!$A$2:$W$3</definedName>
    <definedName name="Z_A4852786_EDDB_4EAB_8A2C_4EC0840392E1_.wvu.FilterData" localSheetId="0" hidden="1">Outbound_Monitor!$A$2:$W$3</definedName>
    <definedName name="Z_A487E1C5_9896_4E2C_ADD3_C685BC58AD79_.wvu.FilterData" localSheetId="1" hidden="1">Inbound_Monitor!$A$2:$Q$13</definedName>
    <definedName name="Z_A49DCC48_6A85_4436_A867_78E1C978AD3F_.wvu.FilterData" localSheetId="1" hidden="1">Inbound_Monitor!$A$2:$Q$3</definedName>
    <definedName name="Z_A49DCC48_6A85_4436_A867_78E1C978AD3F_.wvu.FilterData" localSheetId="0" hidden="1">Outbound_Monitor!$A$2:$W$3</definedName>
    <definedName name="Z_A49F6083_6548_4D98_BA1D_4E325CBBC0E5_.wvu.FilterData" localSheetId="1" hidden="1">Inbound_Monitor!$A$2:$Q$3</definedName>
    <definedName name="Z_A4A6C06E_7037_4E61_9BA1_13A65411A182_.wvu.FilterData" localSheetId="1" hidden="1">Inbound_Monitor!$A$2:$Q$3</definedName>
    <definedName name="Z_A4A6C06E_7037_4E61_9BA1_13A65411A182_.wvu.FilterData" localSheetId="0" hidden="1">Outbound_Monitor!$A$2:$W$3</definedName>
    <definedName name="Z_A4B07D6F_F43D_487F_907E_487ECFEE7F6F_.wvu.FilterData" localSheetId="0" hidden="1">Outbound_Monitor!$A$2:$W$3</definedName>
    <definedName name="Z_A4B67914_5D96_4281_9279_9C5AE3E6F8B7_.wvu.FilterData" localSheetId="0" hidden="1">Outbound_Monitor!$A$2:$W$3</definedName>
    <definedName name="Z_A4B88192_A4D9_49A3_AAC0_A37B5F460ADB_.wvu.FilterData" localSheetId="0" hidden="1">Outbound_Monitor!$A$2:$X$16</definedName>
    <definedName name="Z_A4BA2296_E849_438F_B5B8_933B2B8A460E_.wvu.FilterData" localSheetId="1" hidden="1">Inbound_Monitor!$A$2:$Q$13</definedName>
    <definedName name="Z_A4C18726_2941_4F8B_B3B8_3B435D60383F_.wvu.FilterData" localSheetId="1" hidden="1">Inbound_Monitor!$A$2:$Q$2</definedName>
    <definedName name="Z_A4C18726_2941_4F8B_B3B8_3B435D60383F_.wvu.FilterData" localSheetId="0" hidden="1">Outbound_Monitor!$A$2:$W$2</definedName>
    <definedName name="Z_A4C5BB2B_EF14_4777_B8D3_0A223A116078_.wvu.FilterData" localSheetId="1" hidden="1">Inbound_Monitor!$A$2:$Q$13</definedName>
    <definedName name="Z_A4C5BB2B_EF14_4777_B8D3_0A223A116078_.wvu.FilterData" localSheetId="0" hidden="1">Outbound_Monitor!$A$2:$X$16</definedName>
    <definedName name="Z_A4D8055C_A69D_4541_ABA3_4C11E8B8DC38_.wvu.FilterData" localSheetId="1" hidden="1">Inbound_Monitor!$A$2:$Q$13</definedName>
    <definedName name="Z_A4DD2B7B_18A0_4DB7_9367_DF060B15BEF0_.wvu.FilterData" localSheetId="1" hidden="1">Inbound_Monitor!$A$2:$Q$2</definedName>
    <definedName name="Z_A4DD2B7B_18A0_4DB7_9367_DF060B15BEF0_.wvu.FilterData" localSheetId="0" hidden="1">Outbound_Monitor!$A$2:$W$2</definedName>
    <definedName name="Z_A4E577D3_5144_40FA_9C67_12886C272A53_.wvu.FilterData" localSheetId="1" hidden="1">Inbound_Monitor!$A$2:$Q$3</definedName>
    <definedName name="Z_A50048CE_88BD_4CD8_A9D0_B66BB847AC9D_.wvu.FilterData" localSheetId="0" hidden="1">Outbound_Monitor!$A$2:$X$16</definedName>
    <definedName name="Z_A5088542_CA55_4033_8320_BEEBFA417A90_.wvu.FilterData" localSheetId="0" hidden="1">Outbound_Monitor!$A$2:$W$3</definedName>
    <definedName name="Z_A5149EE6_F905_4B96_8532_61915EDA04C8_.wvu.FilterData" localSheetId="0" hidden="1">Outbound_Monitor!$A$2:$W$3</definedName>
    <definedName name="Z_A5186858_9A24_4B02_AAB5_8B709BCB9403_.wvu.FilterData" localSheetId="0" hidden="1">Outbound_Monitor!$A$2:$W$3</definedName>
    <definedName name="Z_A518E4D6_1324_435E_A36E_63E8A7511DE3_.wvu.FilterData" localSheetId="1" hidden="1">Inbound_Monitor!$A$2:$Q$13</definedName>
    <definedName name="Z_A518E4D6_1324_435E_A36E_63E8A7511DE3_.wvu.FilterData" localSheetId="0" hidden="1">Outbound_Monitor!$A$2:$W$3</definedName>
    <definedName name="Z_A5204A40_0F12_44CE_A904_D145FA34DA3B_.wvu.FilterData" localSheetId="0" hidden="1">Outbound_Monitor!$A$2:$W$3</definedName>
    <definedName name="Z_A5302419_A83E_4A02_8BDB_F5B354DF6ED1_.wvu.FilterData" localSheetId="0" hidden="1">Outbound_Monitor!$A$2:$X$16</definedName>
    <definedName name="Z_A53548A6_BE80_45E2_9C58_3CE390A789A0_.wvu.FilterData" localSheetId="0" hidden="1">Outbound_Monitor!$A$2:$W$3</definedName>
    <definedName name="Z_A53F5483_9627_4FAA_AD0A_A1ABAA05A0CC_.wvu.FilterData" localSheetId="0" hidden="1">Outbound_Monitor!$A$2:$X$16</definedName>
    <definedName name="Z_A5400011_43D6_4A53_A555_E390B7478DBA_.wvu.FilterData" localSheetId="0" hidden="1">Outbound_Monitor!$A$2:$X$16</definedName>
    <definedName name="Z_A542EC35_37B4_4E98_A412_310D3EFE62C7_.wvu.FilterData" localSheetId="1" hidden="1">Inbound_Monitor!$A$2:$Q$13</definedName>
    <definedName name="Z_A54B4EC0_B895_46D2_81D6_82AFDFE1F373_.wvu.FilterData" localSheetId="1" hidden="1">Inbound_Monitor!$A$2:$Q$3</definedName>
    <definedName name="Z_A54B4EC0_B895_46D2_81D6_82AFDFE1F373_.wvu.FilterData" localSheetId="0" hidden="1">Outbound_Monitor!$A$2:$W$3</definedName>
    <definedName name="Z_A550B0A2_42C2_4D32_9AA3_BCD949D2E0D0_.wvu.FilterData" localSheetId="1" hidden="1">Inbound_Monitor!$A$2:$Q$3</definedName>
    <definedName name="Z_A555CC79_1CDE_4957_B6EE_BB096C139BAD_.wvu.FilterData" localSheetId="1" hidden="1">Inbound_Monitor!$A$2:$Q$3</definedName>
    <definedName name="Z_A555CC79_1CDE_4957_B6EE_BB096C139BAD_.wvu.FilterData" localSheetId="0" hidden="1">Outbound_Monitor!$A$2:$W$3</definedName>
    <definedName name="Z_A55FC1B7_E0FA_4EEC_BF1A_C4DF27CA75C5_.wvu.FilterData" localSheetId="1" hidden="1">Inbound_Monitor!$A$2:$Q$3</definedName>
    <definedName name="Z_A569235B_BC9F_42BA_B62B_8158EA8F3130_.wvu.Cols" localSheetId="1" hidden="1">Inbound_Monitor!#REF!</definedName>
    <definedName name="Z_A569235B_BC9F_42BA_B62B_8158EA8F3130_.wvu.Cols" localSheetId="0" hidden="1">Outbound_Monitor!#REF!</definedName>
    <definedName name="Z_A569235B_BC9F_42BA_B62B_8158EA8F3130_.wvu.FilterData" localSheetId="1" hidden="1">Inbound_Monitor!$A$2:$Q$3</definedName>
    <definedName name="Z_A569235B_BC9F_42BA_B62B_8158EA8F3130_.wvu.FilterData" localSheetId="0" hidden="1">Outbound_Monitor!$A$2:$W$3</definedName>
    <definedName name="Z_A569235B_BC9F_42BA_B62B_8158EA8F3130_.wvu.FilterData" localSheetId="4" hidden="1">Schichtübergabe_Protokoll!$B$3:$N$3</definedName>
    <definedName name="Z_A56F5885_CF04_4347_86AC_F331F889EC77_.wvu.FilterData" localSheetId="0" hidden="1">Outbound_Monitor!$A$2:$W$3</definedName>
    <definedName name="Z_A5845C1A_E4ED_4CE0_83D6_AD38FDA2EAB7_.wvu.FilterData" localSheetId="0" hidden="1">Outbound_Monitor!$A$2:$W$3</definedName>
    <definedName name="Z_A584EBCD_B1FB_483B_A22D_FAF352F09E99_.wvu.FilterData" localSheetId="0" hidden="1">Outbound_Monitor!$A$2:$W$3</definedName>
    <definedName name="Z_A585743E_4A42_4009_89B3_891B5C260E23_.wvu.FilterData" localSheetId="0" hidden="1">Outbound_Monitor!$A$2:$W$3</definedName>
    <definedName name="Z_A5917C7C_DDC2_4EF6_98BE_0201FC90164E_.wvu.FilterData" localSheetId="1" hidden="1">Inbound_Monitor!$A$2:$Q$3</definedName>
    <definedName name="Z_A5A72C01_0991_4B44_BDB7_7DF6BE5A91AE_.wvu.FilterData" localSheetId="0" hidden="1">Outbound_Monitor!$A$2:$W$3</definedName>
    <definedName name="Z_A5B0132A_4B39_4CB2_BAF2_B6E5A9A0355F_.wvu.FilterData" localSheetId="0" hidden="1">Outbound_Monitor!$A$2:$W$3</definedName>
    <definedName name="Z_A5C851A1_DD51_4680_A7BB_61E0F25E7D2E_.wvu.FilterData" localSheetId="1" hidden="1">Inbound_Monitor!$A$2:$Q$2</definedName>
    <definedName name="Z_A5C851A1_DD51_4680_A7BB_61E0F25E7D2E_.wvu.FilterData" localSheetId="0" hidden="1">Outbound_Monitor!$A$2:$W$2</definedName>
    <definedName name="Z_A5CBF1BB_D85F_48DB_91F1_A390F606A428_.wvu.FilterData" localSheetId="0" hidden="1">Outbound_Monitor!$A$2:$X$16</definedName>
    <definedName name="Z_A5D2327C_F161_4DAE_A6D2_45DF972323B8_.wvu.FilterData" localSheetId="4" hidden="1">Schichtübergabe_Protokoll!$B$3:$N$3</definedName>
    <definedName name="Z_A5E2CD79_BA9A_48A3_BB56_22C523F2C0FA_.wvu.FilterData" localSheetId="0" hidden="1">Outbound_Monitor!$A$2:$W$3</definedName>
    <definedName name="Z_A5E66ABD_DAB3_40BC_85F5_5A4596A6F4ED_.wvu.FilterData" localSheetId="1" hidden="1">Inbound_Monitor!$A$2:$Q$2</definedName>
    <definedName name="Z_A5E66ABD_DAB3_40BC_85F5_5A4596A6F4ED_.wvu.FilterData" localSheetId="0" hidden="1">Outbound_Monitor!$A$2:$W$2</definedName>
    <definedName name="Z_A5ECA144_B74B_4CBB_A3E3_BF5FDC64460F_.wvu.FilterData" localSheetId="0" hidden="1">Outbound_Monitor!$A$2:$W$3</definedName>
    <definedName name="Z_A5EFE2BD_9BEE_4E0E_A2BA_27DB38EDBFA8_.wvu.FilterData" localSheetId="0" hidden="1">Outbound_Monitor!$A$2:$W$3</definedName>
    <definedName name="Z_A5F83390_45FB_402E_BB67_04225BF89B26_.wvu.FilterData" localSheetId="0" hidden="1">Outbound_Monitor!$A$2:$W$3</definedName>
    <definedName name="Z_A6028B1F_86C3_4A60_9B8D_BE1FEDDBC2C7_.wvu.FilterData" localSheetId="0" hidden="1">Outbound_Monitor!$A$2:$W$3</definedName>
    <definedName name="Z_A60B9984_7808_4728_9FF8_5AFB99E53FFB_.wvu.FilterData" localSheetId="0" hidden="1">Outbound_Monitor!$A$2:$X$16</definedName>
    <definedName name="Z_A60DFF26_AF3B_4555_B3D9_2261973536D1_.wvu.FilterData" localSheetId="0" hidden="1">Outbound_Monitor!$A$2:$X$16</definedName>
    <definedName name="Z_A6105983_6D2E_46BD_BCA5_D97CC144AB89_.wvu.FilterData" localSheetId="1" hidden="1">Inbound_Monitor!$A$2:$Q$3</definedName>
    <definedName name="Z_A62A60AE_30F2_4A1B_877B_68B03CAF5371_.wvu.FilterData" localSheetId="0" hidden="1">Outbound_Monitor!$A$2:$X$16</definedName>
    <definedName name="Z_A62B1187_9C05_425D_A9F0_9D7113A9A9AA_.wvu.FilterData" localSheetId="0" hidden="1">Outbound_Monitor!$A$2:$X$16</definedName>
    <definedName name="Z_A63742C5_BBC5_436A_BC38_0E291D3CE211_.wvu.FilterData" localSheetId="0" hidden="1">Outbound_Monitor!$A$2:$W$3</definedName>
    <definedName name="Z_A639208C_2BD0_4749_BC2B_16EA6037A580_.wvu.FilterData" localSheetId="1" hidden="1">Inbound_Monitor!$A$2:$Q$13</definedName>
    <definedName name="Z_A639208C_2BD0_4749_BC2B_16EA6037A580_.wvu.FilterData" localSheetId="0" hidden="1">Outbound_Monitor!$A$2:$W$3</definedName>
    <definedName name="Z_A63AF9B0_5FE3_4474_B807_6E11BC4EEEB7_.wvu.FilterData" localSheetId="0" hidden="1">Outbound_Monitor!$A$2:$W$3</definedName>
    <definedName name="Z_A652A5C6_46D2_4E69_8173_798053F9B206_.wvu.FilterData" localSheetId="0" hidden="1">Outbound_Monitor!$A$2:$X$16</definedName>
    <definedName name="Z_A659A751_8B02_4843_9414_8F8395A2E658_.wvu.FilterData" localSheetId="0" hidden="1">Outbound_Monitor!$A$2:$W$3</definedName>
    <definedName name="Z_A65F54CE_56A6_48A4_8915_290410023801_.wvu.FilterData" localSheetId="1" hidden="1">Inbound_Monitor!$A$2:$Q$3</definedName>
    <definedName name="Z_A667E5A5_9814_469C_9263_81EF9CDBD38E_.wvu.FilterData" localSheetId="1" hidden="1">Inbound_Monitor!$A$2:$Q$13</definedName>
    <definedName name="Z_A667E5A5_9814_469C_9263_81EF9CDBD38E_.wvu.FilterData" localSheetId="0" hidden="1">Outbound_Monitor!$A$2:$W$3</definedName>
    <definedName name="Z_A668F0E4_EACC_45A1_A32B_8319DE97F475_.wvu.FilterData" localSheetId="1" hidden="1">Inbound_Monitor!$A$2:$Q$3</definedName>
    <definedName name="Z_A668F0E4_EACC_45A1_A32B_8319DE97F475_.wvu.FilterData" localSheetId="0" hidden="1">Outbound_Monitor!$A$2:$W$3</definedName>
    <definedName name="Z_A674DC47_CCDD_4245_B6CF_9342A075142A_.wvu.FilterData" localSheetId="0" hidden="1">Outbound_Monitor!$A$2:$W$3</definedName>
    <definedName name="Z_A67579A5_C7B4_4FB5_AFE2_7A4B2807AAB9_.wvu.FilterData" localSheetId="1" hidden="1">Inbound_Monitor!$A$2:$Q$2</definedName>
    <definedName name="Z_A67579A5_C7B4_4FB5_AFE2_7A4B2807AAB9_.wvu.FilterData" localSheetId="0" hidden="1">Outbound_Monitor!$A$2:$W$2</definedName>
    <definedName name="Z_A6763C5B_E372_4FEC_8632_E52B7A9B9F98_.wvu.FilterData" localSheetId="1" hidden="1">Inbound_Monitor!$A$2:$Q$13</definedName>
    <definedName name="Z_A6763C5B_E372_4FEC_8632_E52B7A9B9F98_.wvu.FilterData" localSheetId="0" hidden="1">Outbound_Monitor!$A$2:$W$3</definedName>
    <definedName name="Z_A67AE386_0A5C_4C88_B316_7099D38F933A_.wvu.FilterData" localSheetId="1" hidden="1">Inbound_Monitor!$A$2:$Q$13</definedName>
    <definedName name="Z_A67BC900_C036_4859_AEB1_C39D0211224F_.wvu.FilterData" localSheetId="0" hidden="1">Outbound_Monitor!$A$2:$W$3</definedName>
    <definedName name="Z_A681E3E0_19DF_46A7_8862_99543126CE0F_.wvu.FilterData" localSheetId="1" hidden="1">Inbound_Monitor!$A$2:$Q$13</definedName>
    <definedName name="Z_A681E3E0_19DF_46A7_8862_99543126CE0F_.wvu.FilterData" localSheetId="0" hidden="1">Outbound_Monitor!$A$2:$X$16</definedName>
    <definedName name="Z_A68C9AC2_E492_4C44_873F_3857172A44CA_.wvu.FilterData" localSheetId="1" hidden="1">Inbound_Monitor!$A$2:$Q$3</definedName>
    <definedName name="Z_A68ECE73_CC52_4363_A1E7_0D022132490B_.wvu.FilterData" localSheetId="0" hidden="1">Outbound_Monitor!$A$2:$W$3</definedName>
    <definedName name="Z_A6A73F09_0D55_4421_9E2E_0851B15BB473_.wvu.FilterData" localSheetId="1" hidden="1">Inbound_Monitor!$A$2:$Q$13</definedName>
    <definedName name="Z_A6A73F09_0D55_4421_9E2E_0851B15BB473_.wvu.FilterData" localSheetId="0" hidden="1">Outbound_Monitor!$A$2:$W$3</definedName>
    <definedName name="Z_A6ACA0BC_2BD3_409B_95FB_C08807FED68D_.wvu.FilterData" localSheetId="1" hidden="1">Inbound_Monitor!$A$2:$Q$3</definedName>
    <definedName name="Z_A6ACA0BC_2BD3_409B_95FB_C08807FED68D_.wvu.FilterData" localSheetId="0" hidden="1">Outbound_Monitor!$A$2:$W$3</definedName>
    <definedName name="Z_A6B66880_E54C_4F83_A39A_AAEF5E056309_.wvu.FilterData" localSheetId="0" hidden="1">Outbound_Monitor!$A$2:$W$3</definedName>
    <definedName name="Z_A6B6B82E_E1F5_4929_89DF_1C26C4016D44_.wvu.FilterData" localSheetId="0" hidden="1">Outbound_Monitor!$A$2:$W$3</definedName>
    <definedName name="Z_A6BB1F66_1E4E_458C_BD43_75E5E1288761_.wvu.FilterData" localSheetId="0" hidden="1">Outbound_Monitor!$A$2:$W$3</definedName>
    <definedName name="Z_A6C6578D_4E2E_4D1E_9833_54B2CE69AB61_.wvu.FilterData" localSheetId="1" hidden="1">Inbound_Monitor!$A$2:$Q$13</definedName>
    <definedName name="Z_A6C6578D_4E2E_4D1E_9833_54B2CE69AB61_.wvu.FilterData" localSheetId="0" hidden="1">Outbound_Monitor!$A$2:$W$3</definedName>
    <definedName name="Z_A6D6B85D_4D8C_46D9_B78F_DA03C276D87B_.wvu.FilterData" localSheetId="0" hidden="1">Outbound_Monitor!$A$2:$W$3</definedName>
    <definedName name="Z_A6D9C919_A6FD_46EE_8362_43C51A6822AA_.wvu.FilterData" localSheetId="1" hidden="1">Inbound_Monitor!$A$2:$Q$2</definedName>
    <definedName name="Z_A6D9C919_A6FD_46EE_8362_43C51A6822AA_.wvu.FilterData" localSheetId="0" hidden="1">Outbound_Monitor!$A$2:$W$2</definedName>
    <definedName name="Z_A6E2A53B_B61B_4545_99E8_0F1DFFA8A2F5_.wvu.FilterData" localSheetId="1" hidden="1">Inbound_Monitor!$A$2:$Q$13</definedName>
    <definedName name="Z_A6E2A53B_B61B_4545_99E8_0F1DFFA8A2F5_.wvu.FilterData" localSheetId="0" hidden="1">Outbound_Monitor!$A$2:$W$3</definedName>
    <definedName name="Z_A6E5FE6E_AA75_4457_8D60_545ACEFECF57_.wvu.FilterData" localSheetId="0" hidden="1">Outbound_Monitor!$A$2:$W$3</definedName>
    <definedName name="Z_A6FA0186_74E0_4B4A_93E3_8E79A6469214_.wvu.FilterData" localSheetId="0" hidden="1">Outbound_Monitor!$A$2:$W$3</definedName>
    <definedName name="Z_A70EEA6F_254F_4080_8548_22816D5D9B29_.wvu.FilterData" localSheetId="0" hidden="1">Outbound_Monitor!$A$2:$X$16</definedName>
    <definedName name="Z_A71170A5_3DCB_43CB_9DEF_1D2F8EC2277F_.wvu.FilterData" localSheetId="0" hidden="1">Outbound_Monitor!$A$2:$X$16</definedName>
    <definedName name="Z_A715E6AC_E78A_4A3D_9417_8F61759378F6_.wvu.FilterData" localSheetId="1" hidden="1">Inbound_Monitor!$A$2:$Q$13</definedName>
    <definedName name="Z_A716420B_ADF6_41F0_9EC2_CFC47035AC59_.wvu.FilterData" localSheetId="1" hidden="1">Inbound_Monitor!$A$2:$Q$3</definedName>
    <definedName name="Z_A716420B_ADF6_41F0_9EC2_CFC47035AC59_.wvu.FilterData" localSheetId="0" hidden="1">Outbound_Monitor!$A$2:$W$3</definedName>
    <definedName name="Z_A71792D2_AC67_47CA_9DD4_CAEA89C2C6C5_.wvu.FilterData" localSheetId="1" hidden="1">Inbound_Monitor!$A$2:$Q$3</definedName>
    <definedName name="Z_A71F00EA_AE60_466B_A232_2915D88AA1F6_.wvu.FilterData" localSheetId="0" hidden="1">Outbound_Monitor!$A$2:$W$3</definedName>
    <definedName name="Z_A726E3B1_5730_4EF8_9DA3_AAA9CAEC55D5_.wvu.Rows" localSheetId="3" hidden="1">'SDDS_Office (nicht nutzen)'!#REF!,'SDDS_Office (nicht nutzen)'!#REF!,'SDDS_Office (nicht nutzen)'!#REF!,'SDDS_Office (nicht nutzen)'!#REF!</definedName>
    <definedName name="Z_A72C2B10_C814_4992_8C90_F919E2DEF133_.wvu.FilterData" localSheetId="1" hidden="1">Inbound_Monitor!$A$2:$Q$13</definedName>
    <definedName name="Z_A747E238_0B93_4A67_93F5_B8E19DC2CD91_.wvu.FilterData" localSheetId="0" hidden="1">Outbound_Monitor!$A$2:$W$3</definedName>
    <definedName name="Z_A7586D00_17EC_4BAD_BB1A_37D51914AFD7_.wvu.FilterData" localSheetId="0" hidden="1">Outbound_Monitor!$A$2:$W$3</definedName>
    <definedName name="Z_A75D7CB0_38D7_42F0_9D73_7068A745E3C4_.wvu.FilterData" localSheetId="1" hidden="1">Inbound_Monitor!$A$2:$Q$13</definedName>
    <definedName name="Z_A75D7CB0_38D7_42F0_9D73_7068A745E3C4_.wvu.FilterData" localSheetId="0" hidden="1">Outbound_Monitor!$A$2:$X$16</definedName>
    <definedName name="Z_A76A2648_FC43_43B6_AAFC_C485D650D870_.wvu.FilterData" localSheetId="1" hidden="1">Inbound_Monitor!$A$2:$Q$3</definedName>
    <definedName name="Z_A76D93C4_B6AB_4946_AF36_6407A1A31597_.wvu.FilterData" localSheetId="1" hidden="1">Inbound_Monitor!$A$2:$Q$13</definedName>
    <definedName name="Z_A773DA95_2A67_40EC_BC6C_87D640007181_.wvu.FilterData" localSheetId="1" hidden="1">Inbound_Monitor!$A$2:$Q$3</definedName>
    <definedName name="Z_A773DA95_2A67_40EC_BC6C_87D640007181_.wvu.FilterData" localSheetId="0" hidden="1">Outbound_Monitor!$A$2:$W$3</definedName>
    <definedName name="Z_A77627F9_9F99_4DFA_A349_B073DDFE43FA_.wvu.FilterData" localSheetId="1" hidden="1">Inbound_Monitor!$A$2:$Q$13</definedName>
    <definedName name="Z_A77627F9_9F99_4DFA_A349_B073DDFE43FA_.wvu.FilterData" localSheetId="0" hidden="1">Outbound_Monitor!$A$2:$W$3</definedName>
    <definedName name="Z_A78F7F3E_EB79_43A0_8B73_1AE7A6AAA108_.wvu.FilterData" localSheetId="0" hidden="1">Outbound_Monitor!$A$2:$W$3</definedName>
    <definedName name="Z_A78F7F3E_EB79_43A0_8B73_1AE7A6AAA108_.wvu.FilterData" localSheetId="4" hidden="1">Schichtübergabe_Protokoll!$B$3:$N$3</definedName>
    <definedName name="Z_A796507C_2D29_4562_9EDD_7014D1166D7D_.wvu.FilterData" localSheetId="0" hidden="1">Outbound_Monitor!$A$2:$X$16</definedName>
    <definedName name="Z_A7977E14_B9B7_49B5_8B57_07885634160B_.wvu.FilterData" localSheetId="1" hidden="1">Inbound_Monitor!$A$2:$Q$3</definedName>
    <definedName name="Z_A797B67B_5AC7_464A_BE49_E0F1F9A54339_.wvu.FilterData" localSheetId="1" hidden="1">Inbound_Monitor!$A$2:$Q$2</definedName>
    <definedName name="Z_A797B67B_5AC7_464A_BE49_E0F1F9A54339_.wvu.FilterData" localSheetId="0" hidden="1">Outbound_Monitor!$A$2:$W$2</definedName>
    <definedName name="Z_A79F96DC_3ADA_46AE_B291_92DA7CAD407A_.wvu.FilterData" localSheetId="1" hidden="1">Inbound_Monitor!$A$2:$Q$3</definedName>
    <definedName name="Z_A79F96DC_3ADA_46AE_B291_92DA7CAD407A_.wvu.FilterData" localSheetId="0" hidden="1">Outbound_Monitor!$A$2:$W$3</definedName>
    <definedName name="Z_A79F96DC_3ADA_46AE_B291_92DA7CAD407A_.wvu.FilterData" localSheetId="4" hidden="1">Schichtübergabe_Protokoll!$B$3:$N$3</definedName>
    <definedName name="Z_A7A9294F_2EA2_42F5_B8A2_21B19EAF2BA9_.wvu.FilterData" localSheetId="0" hidden="1">Outbound_Monitor!$A$2:$X$16</definedName>
    <definedName name="Z_A7B3FCD4_7B53_45BB_969B_7F0AB2401FAD_.wvu.FilterData" localSheetId="0" hidden="1">Outbound_Monitor!$A$2:$W$3</definedName>
    <definedName name="Z_A7BFF234_5FA1_43EE_B578_39F8D4C70708_.wvu.FilterData" localSheetId="0" hidden="1">Outbound_Monitor!$A$2:$X$16</definedName>
    <definedName name="Z_A7C0D83E_5ED0_413B_9F83_F00E72624AD2_.wvu.FilterData" localSheetId="1" hidden="1">Inbound_Monitor!$A$2:$Q$13</definedName>
    <definedName name="Z_A7C0D83E_5ED0_413B_9F83_F00E72624AD2_.wvu.FilterData" localSheetId="0" hidden="1">Outbound_Monitor!$A$2:$W$3</definedName>
    <definedName name="Z_A7CA4DA9_192C_4BE3_876E_E5C18048FBBF_.wvu.FilterData" localSheetId="0" hidden="1">Outbound_Monitor!$A$2:$W$3</definedName>
    <definedName name="Z_A7D35870_EA5A_4AC6_AE89_1E8B22B715D6_.wvu.FilterData" localSheetId="1" hidden="1">Inbound_Monitor!$A$2:$Q$13</definedName>
    <definedName name="Z_A7D6AAE5_4AEC_4DEF_965A_79DE6D560FDF_.wvu.FilterData" localSheetId="0" hidden="1">Outbound_Monitor!$A$2:$W$3</definedName>
    <definedName name="Z_A7DD4963_8039_4F1F_844E_E727B984AC70_.wvu.FilterData" localSheetId="0" hidden="1">Outbound_Monitor!$A$2:$W$3</definedName>
    <definedName name="Z_A7E39226_02AB_4C21_A004_83875CF67FB0_.wvu.FilterData" localSheetId="0" hidden="1">Outbound_Monitor!$A$2:$X$16</definedName>
    <definedName name="Z_A7FCC29B_DF79_484D_80E6_E5E91615A24F_.wvu.FilterData" localSheetId="0" hidden="1">Outbound_Monitor!$A$2:$W$3</definedName>
    <definedName name="Z_A7FEF8ED_B360_433A_83D0_D7313F0C96C8_.wvu.FilterData" localSheetId="0" hidden="1">Outbound_Monitor!$A$2:$W$3</definedName>
    <definedName name="Z_A80B64F3_F27E_461E_8B85_B5E2FE713553_.wvu.FilterData" localSheetId="0" hidden="1">Outbound_Monitor!$A$2:$W$3</definedName>
    <definedName name="Z_A81BB889_D73F_40BC_B30A_5E6274DB6642_.wvu.FilterData" localSheetId="0" hidden="1">Outbound_Monitor!$A$2:$X$16</definedName>
    <definedName name="Z_A82115AE_95EA_48A6_9AC6_8D0A26161BAC_.wvu.FilterData" localSheetId="1" hidden="1">Inbound_Monitor!$A$2:$Q$3</definedName>
    <definedName name="Z_A82F2296_7A5F_42F0_AB09_E9EA493F23D1_.wvu.FilterData" localSheetId="1" hidden="1">Inbound_Monitor!$A$2:$Q$3</definedName>
    <definedName name="Z_A83F3BFD_88A9_4388_A9A6_59708B90DAFF_.wvu.FilterData" localSheetId="1" hidden="1">Inbound_Monitor!$A$2:$Q$3</definedName>
    <definedName name="Z_A853214E_BBDD_498C_BF6C_71A103ECEFC4_.wvu.FilterData" localSheetId="1" hidden="1">Inbound_Monitor!$A$2:$Q$3</definedName>
    <definedName name="Z_A85D7FF7_967D_4313_A081_99AF07BF845D_.wvu.FilterData" localSheetId="4" hidden="1">Schichtübergabe_Protokoll!$B$3:$N$3</definedName>
    <definedName name="Z_A88B0C2C_A9BA_47CB_B66F_CF416266EB86_.wvu.FilterData" localSheetId="0" hidden="1">Outbound_Monitor!$A$2:$W$3</definedName>
    <definedName name="Z_A894FC21_9B62_4923_9AEA_28336F4A24F0_.wvu.FilterData" localSheetId="1" hidden="1">Inbound_Monitor!$A$2:$Q$13</definedName>
    <definedName name="Z_A894FC21_9B62_4923_9AEA_28336F4A24F0_.wvu.FilterData" localSheetId="0" hidden="1">Outbound_Monitor!$A$2:$X$16</definedName>
    <definedName name="Z_A894FC21_9B62_4923_9AEA_28336F4A24F0_.wvu.FilterData" localSheetId="4" hidden="1">Schichtübergabe_Protokoll!$B$3:$N$3</definedName>
    <definedName name="Z_A89BF7C9_E87F_4580_BFFA_164A2E9A8EE5_.wvu.FilterData" localSheetId="0" hidden="1">Outbound_Monitor!$A$2:$W$3</definedName>
    <definedName name="Z_A8A85EE0_0F3B_4D63_BA25_00D578FD5F89_.wvu.FilterData" localSheetId="0" hidden="1">Outbound_Monitor!#REF!</definedName>
    <definedName name="Z_A8ABE732_5D46_46FB_AE91_040C3FEF9700_.wvu.FilterData" localSheetId="4" hidden="1">Schichtübergabe_Protokoll!$B$3:$N$3</definedName>
    <definedName name="Z_A8D0A86C_7CED_4F5B_859C_17699EEDAF42_.wvu.FilterData" localSheetId="0" hidden="1">Outbound_Monitor!$A$2:$X$16</definedName>
    <definedName name="Z_A8DA6D2B_422E_49BB_9551_3B4B7DDF7A82_.wvu.FilterData" localSheetId="1" hidden="1">Inbound_Monitor!$A$2:$Q$2</definedName>
    <definedName name="Z_A8DA6D2B_422E_49BB_9551_3B4B7DDF7A82_.wvu.FilterData" localSheetId="0" hidden="1">Outbound_Monitor!$A$2:$W$2</definedName>
    <definedName name="Z_A8E7420C_F805_4C30_A2C5_4EC15A4BD80A_.wvu.FilterData" localSheetId="1" hidden="1">Inbound_Monitor!$A$2:$Q$2</definedName>
    <definedName name="Z_A8E7420C_F805_4C30_A2C5_4EC15A4BD80A_.wvu.FilterData" localSheetId="0" hidden="1">Outbound_Monitor!$A$2:$W$2</definedName>
    <definedName name="Z_A909D0E4_2B6B_4F18_957B_5E70FBEB8745_.wvu.FilterData" localSheetId="0" hidden="1">Outbound_Monitor!$A$2:$W$3</definedName>
    <definedName name="Z_A91C789A_B2FE_428C_ADFE_21580EF54AE2_.wvu.FilterData" localSheetId="1" hidden="1">Inbound_Monitor!$A$2:$Q$13</definedName>
    <definedName name="Z_A91F2F7D_053A_4F2D_8502_51810602DDF3_.wvu.FilterData" localSheetId="0" hidden="1">Outbound_Monitor!$A$2:$W$3</definedName>
    <definedName name="Z_A91F9120_A6BD_41CA_9E1A_03EC4447164A_.wvu.FilterData" localSheetId="0" hidden="1">Outbound_Monitor!$A$2:$W$3</definedName>
    <definedName name="Z_A92C91D9_4246_4729_8F30_A1761FE27BD4_.wvu.FilterData" localSheetId="0" hidden="1">Outbound_Monitor!$A$2:$W$3</definedName>
    <definedName name="Z_A938890F_E337_4F4C_9542_D1E4DFB382FA_.wvu.FilterData" localSheetId="0" hidden="1">Outbound_Monitor!$A$2:$W$3</definedName>
    <definedName name="Z_A9394557_FCE9_432F_BF03_170DE4B28F03_.wvu.FilterData" localSheetId="1" hidden="1">Inbound_Monitor!$A$2:$Q$13</definedName>
    <definedName name="Z_A9394557_FCE9_432F_BF03_170DE4B28F03_.wvu.FilterData" localSheetId="0" hidden="1">Outbound_Monitor!$A$3:$X$16</definedName>
    <definedName name="Z_A9394557_FCE9_432F_BF03_170DE4B28F03_.wvu.FilterData" localSheetId="4" hidden="1">Schichtübergabe_Protokoll!$B$3:$N$3</definedName>
    <definedName name="Z_A939BA30_37AD_444D_A06C_A31915C226E3_.wvu.FilterData" localSheetId="1" hidden="1">Inbound_Monitor!$A$2:$Q$3</definedName>
    <definedName name="Z_A96102A9_2AA2_4C7F_9DF4_DC44ADD8F2E4_.wvu.FilterData" localSheetId="0" hidden="1">Outbound_Monitor!$A$2:$W$3</definedName>
    <definedName name="Z_A9666370_75E8_4DD1_951B_62CB4AD17B6E_.wvu.FilterData" localSheetId="0" hidden="1">Outbound_Monitor!$A$2:$W$3</definedName>
    <definedName name="Z_A9853E9C_B02A_4E74_9305_653ADE2C82D3_.wvu.FilterData" localSheetId="1" hidden="1">Inbound_Monitor!$A$2:$Q$3</definedName>
    <definedName name="Z_A993D4AA_AF32_482F_98A6_5181F5060F01_.wvu.FilterData" localSheetId="0" hidden="1">Outbound_Monitor!$A$2:$W$3</definedName>
    <definedName name="Z_A996994B_EBAA_47B7_9976_5135131E6270_.wvu.FilterData" localSheetId="0" hidden="1">Outbound_Monitor!$A$2:$W$3</definedName>
    <definedName name="Z_A9BE1FC6_A4FE_473D_8717_B7866BB4F239_.wvu.FilterData" localSheetId="0" hidden="1">Outbound_Monitor!$A$2:$W$3</definedName>
    <definedName name="Z_A9CEBE88_770A_4B66_8F41_D240CE87E2B9_.wvu.FilterData" localSheetId="0" hidden="1">Outbound_Monitor!$A$2:$W$3</definedName>
    <definedName name="Z_A9E98AB1_EADA_4FB7_ADA4_01B380BBDBB7_.wvu.FilterData" localSheetId="1" hidden="1">Inbound_Monitor!$A$2:$Q$3</definedName>
    <definedName name="Z_A9EEB6FE_1F90_474A_A932_39E271A19CD4_.wvu.FilterData" localSheetId="0" hidden="1">Outbound_Monitor!$A$2:$X$16</definedName>
    <definedName name="Z_AA01E5C5_0FCE_4B18_A0D1_86AC2D1A78B0_.wvu.FilterData" localSheetId="0" hidden="1">Outbound_Monitor!$A$2:$X$16</definedName>
    <definedName name="Z_AA148001_B18B_4C66_9CC5_9E0A54D5B46C_.wvu.FilterData" localSheetId="1" hidden="1">Inbound_Monitor!$A$2:$Q$2</definedName>
    <definedName name="Z_AA148001_B18B_4C66_9CC5_9E0A54D5B46C_.wvu.FilterData" localSheetId="0" hidden="1">Outbound_Monitor!$A$2:$W$2</definedName>
    <definedName name="Z_AA16AEF6_8FC8_4065_AF94_D45E2DA70A91_.wvu.FilterData" localSheetId="0" hidden="1">Outbound_Monitor!$A$2:$W$3</definedName>
    <definedName name="Z_AA224B5B_DC11_4FD7_B56D_C17203722580_.wvu.FilterData" localSheetId="0" hidden="1">Outbound_Monitor!$A$2:$W$3</definedName>
    <definedName name="Z_AA28150B_EF63_456A_8D3F_59DEAD5C58F5_.wvu.FilterData" localSheetId="1" hidden="1">Inbound_Monitor!$A$2:$Q$3</definedName>
    <definedName name="Z_AA40604A_1B5A_4D9C_962B_6F16573C435F_.wvu.FilterData" localSheetId="1" hidden="1">Inbound_Monitor!$A$2:$Q$13</definedName>
    <definedName name="Z_AA48FBFC_F23E_4503_A502_CA2F99C0DD85_.wvu.FilterData" localSheetId="0" hidden="1">Outbound_Monitor!$A$2:$W$3</definedName>
    <definedName name="Z_AA4A47B3_B943_4B81_8DCC_50F1D8A5BEAA_.wvu.FilterData" localSheetId="1" hidden="1">Inbound_Monitor!$A$2:$Q$13</definedName>
    <definedName name="Z_AA4A47B3_B943_4B81_8DCC_50F1D8A5BEAA_.wvu.FilterData" localSheetId="0" hidden="1">Outbound_Monitor!$A$2:$W$3</definedName>
    <definedName name="Z_AA4BCE10_321E_4932_9064_32C3C58E232B_.wvu.FilterData" localSheetId="0" hidden="1">Outbound_Monitor!$A$2:$X$16</definedName>
    <definedName name="Z_AA4E0463_CD29_4F73_A7BF_B27A5C03D634_.wvu.FilterData" localSheetId="0" hidden="1">Outbound_Monitor!$A$2:$W$3</definedName>
    <definedName name="Z_AA51F408_3F07_43C8_A1B5_ABB702004BD7_.wvu.FilterData" localSheetId="1" hidden="1">Inbound_Monitor!$A$2:$Q$2</definedName>
    <definedName name="Z_AA51F408_3F07_43C8_A1B5_ABB702004BD7_.wvu.FilterData" localSheetId="0" hidden="1">Outbound_Monitor!$A$2:$W$2</definedName>
    <definedName name="Z_AA5B5886_266E_4983_8274_ED813D83DF54_.wvu.FilterData" localSheetId="0" hidden="1">Outbound_Monitor!$A$2:$W$3</definedName>
    <definedName name="Z_AA673DE9_23B6_4D24_ACA7_651209BD11DF_.wvu.FilterData" localSheetId="1" hidden="1">Inbound_Monitor!$A$2:$Q$3</definedName>
    <definedName name="Z_AA708ACF_D592_4C7D_86E9_97130770AC86_.wvu.FilterData" localSheetId="1" hidden="1">Inbound_Monitor!$A$2:$Q$3</definedName>
    <definedName name="Z_AA75D931_780C_4722_BACF_998C3E89894F_.wvu.FilterData" localSheetId="1" hidden="1">Inbound_Monitor!$A$2:$Q$2</definedName>
    <definedName name="Z_AA75D931_780C_4722_BACF_998C3E89894F_.wvu.FilterData" localSheetId="0" hidden="1">Outbound_Monitor!$A$2:$W$2</definedName>
    <definedName name="Z_AA8187CA_1E83_4902_AF4A_44358E01C9CC_.wvu.FilterData" localSheetId="0" hidden="1">Outbound_Monitor!$A$2:$W$3</definedName>
    <definedName name="Z_AA908670_7DE2_458F_8CF3_B1039428BA96_.wvu.FilterData" localSheetId="1" hidden="1">Inbound_Monitor!$A$2:$Q$3</definedName>
    <definedName name="Z_AA9CE9DC_8D84_4EAD_B362_BE7FE203A7E2_.wvu.FilterData" localSheetId="0" hidden="1">Outbound_Monitor!$A$2:$W$3</definedName>
    <definedName name="Z_AAA86FFD_6C12_42A4_A274_5DC871C6EA48_.wvu.FilterData" localSheetId="1" hidden="1">Inbound_Monitor!$A$2:$Q$3</definedName>
    <definedName name="Z_AAA8B914_D519_4753_B700_AAC7B635A14A_.wvu.FilterData" localSheetId="0" hidden="1">Outbound_Monitor!$A$2:$W$3</definedName>
    <definedName name="Z_AAC66E8A_BA66_4855_8E60_99C120C79840_.wvu.FilterData" localSheetId="1" hidden="1">Inbound_Monitor!$A$2:$Q$3</definedName>
    <definedName name="Z_AAC686EE_20CE_44B8_8789_BEE233B79236_.wvu.FilterData" localSheetId="1" hidden="1">Inbound_Monitor!$A$2:$Q$3</definedName>
    <definedName name="Z_AACC0408_22DD_4A3D_98F7_1904F600B5A4_.wvu.FilterData" localSheetId="0" hidden="1">Outbound_Monitor!$A$2:$X$16</definedName>
    <definedName name="Z_AAD29406_22CA_4916_8231_3D51545E3F44_.wvu.FilterData" localSheetId="0" hidden="1">Outbound_Monitor!$A$2:$W$3</definedName>
    <definedName name="Z_AAD2A5BD_98FE_458C_BEED_E06BD7E6E00C_.wvu.FilterData" localSheetId="0" hidden="1">Outbound_Monitor!$A$2:$X$16</definedName>
    <definedName name="Z_AADDB8DD_16C5_4785_BA7F_F646E6C80CAF_.wvu.FilterData" localSheetId="1" hidden="1">Inbound_Monitor!$A$2:$Q$13</definedName>
    <definedName name="Z_AADDB8DD_16C5_4785_BA7F_F646E6C80CAF_.wvu.FilterData" localSheetId="0" hidden="1">Outbound_Monitor!$A$2:$X$16</definedName>
    <definedName name="Z_AADE996C_8E79_4343_9AF6_B94895CAA2ED_.wvu.FilterData" localSheetId="0" hidden="1">Outbound_Monitor!$A$2:$W$3</definedName>
    <definedName name="Z_AAF2ACE3_EEB4_4F47_B455_6A8978169194_.wvu.FilterData" localSheetId="0" hidden="1">Outbound_Monitor!$A$2:$W$3</definedName>
    <definedName name="Z_AB02A2FA_46C1_4F01_9612_00DAF2029C72_.wvu.FilterData" localSheetId="1" hidden="1">Inbound_Monitor!$A$2:$Q$2</definedName>
    <definedName name="Z_AB02A2FA_46C1_4F01_9612_00DAF2029C72_.wvu.FilterData" localSheetId="0" hidden="1">Outbound_Monitor!$A$2:$W$2</definedName>
    <definedName name="Z_AB0956F6_872B_49BF_83CE_9ACEF8494ED4_.wvu.FilterData" localSheetId="1" hidden="1">Inbound_Monitor!$A$2:$Q$3</definedName>
    <definedName name="Z_AB0956F6_872B_49BF_83CE_9ACEF8494ED4_.wvu.FilterData" localSheetId="0" hidden="1">Outbound_Monitor!$A$2:$W$3</definedName>
    <definedName name="Z_AB27EE46_E2C2_4BD3_B325_543E0D837F75_.wvu.FilterData" localSheetId="0" hidden="1">Outbound_Monitor!$A$2:$W$3</definedName>
    <definedName name="Z_AB29DD76_3B93_4B88_A8C1_EE17CE0B35F6_.wvu.FilterData" localSheetId="0" hidden="1">Outbound_Monitor!$A$2:$W$3</definedName>
    <definedName name="Z_AB29F958_5344_4D1F_8EEB_992EA8B4675B_.wvu.FilterData" localSheetId="0" hidden="1">Outbound_Monitor!$A$2:$W$3</definedName>
    <definedName name="Z_AB2C7187_5A96_446F_B354_D7063F47A089_.wvu.FilterData" localSheetId="1" hidden="1">Inbound_Monitor!$A$2:$Q$13</definedName>
    <definedName name="Z_AB2C7187_5A96_446F_B354_D7063F47A089_.wvu.FilterData" localSheetId="0" hidden="1">Outbound_Monitor!$A$2:$W$3</definedName>
    <definedName name="Z_AB2C7187_5A96_446F_B354_D7063F47A089_.wvu.FilterData" localSheetId="4" hidden="1">Schichtübergabe_Protokoll!$B$3:$N$3</definedName>
    <definedName name="Z_AB332064_7BB3_4739_A2CF_9718EB9FC3E3_.wvu.FilterData" localSheetId="0" hidden="1">Outbound_Monitor!$A$2:$W$3</definedName>
    <definedName name="Z_AB348431_F4F5_405F_9E96_A35A9C3D6248_.wvu.FilterData" localSheetId="1" hidden="1">Inbound_Monitor!$A$2:$Q$3</definedName>
    <definedName name="Z_AB348431_F4F5_405F_9E96_A35A9C3D6248_.wvu.FilterData" localSheetId="0" hidden="1">Outbound_Monitor!$A$2:$W$3</definedName>
    <definedName name="Z_AB348431_F4F5_405F_9E96_A35A9C3D6248_.wvu.FilterData" localSheetId="4" hidden="1">Schichtübergabe_Protokoll!$B$3:$N$3</definedName>
    <definedName name="Z_AB38CFE6_054C_4590_BF45_3AA8217A69E3_.wvu.FilterData" localSheetId="0" hidden="1">Outbound_Monitor!$A$2:$W$3</definedName>
    <definedName name="Z_AB3E72A7_5550_4937_9F13_4FE3E8C43DF8_.wvu.FilterData" localSheetId="1" hidden="1">Inbound_Monitor!$A$2:$Q$3</definedName>
    <definedName name="Z_AB3E72A7_5550_4937_9F13_4FE3E8C43DF8_.wvu.FilterData" localSheetId="4" hidden="1">Schichtübergabe_Protokoll!$B$3:$N$3</definedName>
    <definedName name="Z_AB4CDE2E_7CE0_4457_B474_874706D99454_.wvu.FilterData" localSheetId="1" hidden="1">Inbound_Monitor!$A$2:$Q$2</definedName>
    <definedName name="Z_AB4CDE2E_7CE0_4457_B474_874706D99454_.wvu.FilterData" localSheetId="0" hidden="1">Outbound_Monitor!$A$2:$W$2</definedName>
    <definedName name="Z_AB583E4E_0129_4F4E_A0DE_BD844C1539B8_.wvu.FilterData" localSheetId="0" hidden="1">Outbound_Monitor!$A$2:$W$3</definedName>
    <definedName name="Z_AB7E98F2_1310_432C_85CC_E966D08DBE69_.wvu.FilterData" localSheetId="1" hidden="1">Inbound_Monitor!$A$2:$Q$3</definedName>
    <definedName name="Z_AB83B895_365E_421D_BFD9_EA64927C3EFB_.wvu.FilterData" localSheetId="0" hidden="1">Outbound_Monitor!$A$2:$W$3</definedName>
    <definedName name="Z_AB85308E_EFDA_470A_B547_B7F3C9B83B0F_.wvu.FilterData" localSheetId="0" hidden="1">Outbound_Monitor!$A$2:$X$16</definedName>
    <definedName name="Z_AB8C929C_7F59_4A55_B56C_18B26EC82297_.wvu.FilterData" localSheetId="1" hidden="1">Inbound_Monitor!$A$2:$Q$13</definedName>
    <definedName name="Z_AB8C929C_7F59_4A55_B56C_18B26EC82297_.wvu.FilterData" localSheetId="0" hidden="1">Outbound_Monitor!$A$2:$W$3</definedName>
    <definedName name="Z_AB913403_BC9A_46B3_9FC2_0615B8F6D11B_.wvu.FilterData" localSheetId="0" hidden="1">Outbound_Monitor!$A$2:$W$3</definedName>
    <definedName name="Z_AB9CA04D_D81D_4F40_A186_C184F7679B15_.wvu.FilterData" localSheetId="0" hidden="1">Outbound_Monitor!$A$2:$X$16</definedName>
    <definedName name="Z_AB9FCF8D_7096_4640_91CD_1AE1EDB24AE1_.wvu.FilterData" localSheetId="1" hidden="1">Inbound_Monitor!$A$2:$Q$3</definedName>
    <definedName name="Z_AB9FCF8D_7096_4640_91CD_1AE1EDB24AE1_.wvu.FilterData" localSheetId="0" hidden="1">Outbound_Monitor!$A$2:$W$3</definedName>
    <definedName name="Z_ABAA3BF0_5DEA_41CD_BDD7_3AEC1F7CF50E_.wvu.FilterData" localSheetId="0" hidden="1">Outbound_Monitor!$A$2:$W$3</definedName>
    <definedName name="Z_ABAE8E25_967A_4FCA_BEE9_8C141546F9E5_.wvu.FilterData" localSheetId="0" hidden="1">Outbound_Monitor!$A$2:$W$3</definedName>
    <definedName name="Z_ABBE3124_C0AB_440F_9FC9_963FE8D25C5E_.wvu.FilterData" localSheetId="1" hidden="1">Inbound_Monitor!$A$2:$Q$3</definedName>
    <definedName name="Z_ABBE3124_C0AB_440F_9FC9_963FE8D25C5E_.wvu.FilterData" localSheetId="0" hidden="1">Outbound_Monitor!$A$2:$W$3</definedName>
    <definedName name="Z_ABBE4BD0_8BA0_4065_9A24_4723A44DEDF7_.wvu.FilterData" localSheetId="1" hidden="1">Inbound_Monitor!$A$2:$Q$13</definedName>
    <definedName name="Z_ABD5D43F_B913_49FC_A3F4_5475B7604568_.wvu.FilterData" localSheetId="0" hidden="1">Outbound_Monitor!$A$2:$W$3</definedName>
    <definedName name="Z_ABD8420A_7F7A_4FC6_BB34_F163C8445403_.wvu.FilterData" localSheetId="1" hidden="1">Inbound_Monitor!$A$2:$Q$13</definedName>
    <definedName name="Z_ABDDEFC8_1033_40B1_BE45_12FE71D6AE59_.wvu.FilterData" localSheetId="0" hidden="1">Outbound_Monitor!$A$2:$X$16</definedName>
    <definedName name="Z_ABDFB7E3_A952_42CC_A84A_B744E0866B36_.wvu.FilterData" localSheetId="0" hidden="1">Outbound_Monitor!$A$2:$W$3</definedName>
    <definedName name="Z_ABE5CA78_3161_44C4_8551_EE2B6DA95ABF_.wvu.FilterData" localSheetId="0" hidden="1">Outbound_Monitor!$A$2:$W$3</definedName>
    <definedName name="Z_ABE972F4_1F11_43B3_AAB7_98E73FBECEBC_.wvu.FilterData" localSheetId="1" hidden="1">Inbound_Monitor!$A$2:$Q$13</definedName>
    <definedName name="Z_ABE972F4_1F11_43B3_AAB7_98E73FBECEBC_.wvu.FilterData" localSheetId="0" hidden="1">Outbound_Monitor!$A$2:$W$3</definedName>
    <definedName name="Z_ABEEA692_A431_4FD7_B4EC_8A33867A2BC4_.wvu.FilterData" localSheetId="1" hidden="1">Inbound_Monitor!$A$2:$Q$3</definedName>
    <definedName name="Z_AC011DFC_A0CC_479F_9CC7_D479E49F81BC_.wvu.FilterData" localSheetId="1" hidden="1">Inbound_Monitor!$A$2:$Q$2</definedName>
    <definedName name="Z_AC011DFC_A0CC_479F_9CC7_D479E49F81BC_.wvu.FilterData" localSheetId="0" hidden="1">Outbound_Monitor!$A$2:$W$2</definedName>
    <definedName name="Z_AC0504F2_E63C_413B_9C8F_8C0504FD90A0_.wvu.FilterData" localSheetId="1" hidden="1">Inbound_Monitor!$A$2:$Q$13</definedName>
    <definedName name="Z_AC2AB799_AE9E_4399_B723_4E738231D81B_.wvu.FilterData" localSheetId="0" hidden="1">Outbound_Monitor!$A$2:$W$3</definedName>
    <definedName name="Z_AC2CCD8F_D475_40DC_BE04_B2E81BE19BE1_.wvu.FilterData" localSheetId="0" hidden="1">Outbound_Monitor!$A$2:$W$3</definedName>
    <definedName name="Z_AC30C9D4_AAB5_4858_87D2_A0C0222A2809_.wvu.FilterData" localSheetId="1" hidden="1">Inbound_Monitor!$A$2:$Q$3</definedName>
    <definedName name="Z_AC368153_55A9_423E_BE8E_526FE42E8495_.wvu.FilterData" localSheetId="1" hidden="1">Inbound_Monitor!$A$2:$Q$3</definedName>
    <definedName name="Z_AC368153_55A9_423E_BE8E_526FE42E8495_.wvu.FilterData" localSheetId="0" hidden="1">Outbound_Monitor!$A$2:$W$3</definedName>
    <definedName name="Z_AC3902F9_FDA4_41E1_A12C_9A50AC355064_.wvu.FilterData" localSheetId="1" hidden="1">Inbound_Monitor!$A$2:$Q$3</definedName>
    <definedName name="Z_AC44CF88_8A77_48A4_85F7_FF014DA98D89_.wvu.FilterData" localSheetId="0" hidden="1">Outbound_Monitor!$A$2:$X$16</definedName>
    <definedName name="Z_AC460034_992C_40A8_B556_7490153542B9_.wvu.FilterData" localSheetId="0" hidden="1">Outbound_Monitor!$A$2:$W$3</definedName>
    <definedName name="Z_AC4C43A2_0755_400B_B1E2_231C7E9FEFB9_.wvu.FilterData" localSheetId="0" hidden="1">Outbound_Monitor!$A$2:$X$16</definedName>
    <definedName name="Z_AC5111B5_7D10_45C0_BAAD_A3B6682B7FDD_.wvu.FilterData" localSheetId="0" hidden="1">Outbound_Monitor!$A$2:$W$3</definedName>
    <definedName name="Z_AC62A3BF_5B27_4BAC_A7FC_488811FAC9C2_.wvu.FilterData" localSheetId="4" hidden="1">Schichtübergabe_Protokoll!$B$3:$N$3</definedName>
    <definedName name="Z_AC71EDD0_FCE1_4BB3_BD18_529209900A18_.wvu.FilterData" localSheetId="1" hidden="1">Inbound_Monitor!$A$2:$Q$13</definedName>
    <definedName name="Z_AC71EDD0_FCE1_4BB3_BD18_529209900A18_.wvu.FilterData" localSheetId="0" hidden="1">Outbound_Monitor!$A$2:$X$16</definedName>
    <definedName name="Z_AC80A65A_1E05_401F_B630_C39A99199DD1_.wvu.FilterData" localSheetId="1" hidden="1">Inbound_Monitor!$A$2:$Q$3</definedName>
    <definedName name="Z_AC86363F_F4ED_4305_AE2A_95F3EE99DD29_.wvu.FilterData" localSheetId="1" hidden="1">Inbound_Monitor!$A$2:$Q$13</definedName>
    <definedName name="Z_AC86363F_F4ED_4305_AE2A_95F3EE99DD29_.wvu.FilterData" localSheetId="0" hidden="1">Outbound_Monitor!$A$2:$W$3</definedName>
    <definedName name="Z_AC885A90_C7A5_4291_A891_1D3F8B347FBE_.wvu.FilterData" localSheetId="0" hidden="1">Outbound_Monitor!$A$2:$W$3</definedName>
    <definedName name="Z_AC8A01D1_3859_40D0_8FD6_B36C7B18FE81_.wvu.FilterData" localSheetId="0" hidden="1">Outbound_Monitor!$A$2:$W$3</definedName>
    <definedName name="Z_ACA1723B_FBD7_47CA_B3D0_82DC6B04D12B_.wvu.FilterData" localSheetId="0" hidden="1">Outbound_Monitor!$A$2:$W$3</definedName>
    <definedName name="Z_ACA27E28_46EB_4920_A1FB_4180F7C4E7FD_.wvu.FilterData" localSheetId="0" hidden="1">Outbound_Monitor!$A$2:$W$3</definedName>
    <definedName name="Z_ACB96F73_51A3_4BFE_BB3B_5C2B07E1DC0A_.wvu.FilterData" localSheetId="0" hidden="1">Outbound_Monitor!$A$2:$W$3</definedName>
    <definedName name="Z_ACBA653D_71AE_413E_A728_004E8106CF7C_.wvu.FilterData" localSheetId="0" hidden="1">Outbound_Monitor!$A$2:$W$3</definedName>
    <definedName name="Z_ACC9989B_D9F5_4F93_94DC_4A28F340D8AD_.wvu.FilterData" localSheetId="0" hidden="1">Outbound_Monitor!$A$2:$W$3</definedName>
    <definedName name="Z_ACD5361D_E73A_4260_AFC4_34E7A3D8D84B_.wvu.FilterData" localSheetId="1" hidden="1">Inbound_Monitor!$A$2:$Q$13</definedName>
    <definedName name="Z_ACD5361D_E73A_4260_AFC4_34E7A3D8D84B_.wvu.FilterData" localSheetId="0" hidden="1">Outbound_Monitor!$A$2:$X$16</definedName>
    <definedName name="Z_ACDF79D1_D43B_45B4_BC81_16069E888839_.wvu.FilterData" localSheetId="0" hidden="1">Outbound_Monitor!$A$2:$W$3</definedName>
    <definedName name="Z_ACF65DF1_5EDF_4F87_94AA_7B1E6420A433_.wvu.FilterData" localSheetId="0" hidden="1">Outbound_Monitor!$A$2:$W$3</definedName>
    <definedName name="Z_ACF80D17_D09E_4FE0_9149_814E555B87E1_.wvu.FilterData" localSheetId="1" hidden="1">Inbound_Monitor!$A$2:$Q$3</definedName>
    <definedName name="Z_ACF80D17_D09E_4FE0_9149_814E555B87E1_.wvu.FilterData" localSheetId="0" hidden="1">Outbound_Monitor!$A$2:$W$3</definedName>
    <definedName name="Z_ACFA569F_E147_415F_8B23_A853DFF01DF1_.wvu.FilterData" localSheetId="1" hidden="1">Inbound_Monitor!$A$2:$Q$13</definedName>
    <definedName name="Z_ACFA569F_E147_415F_8B23_A853DFF01DF1_.wvu.FilterData" localSheetId="0" hidden="1">Outbound_Monitor!$A$2:$W$3</definedName>
    <definedName name="Z_ACFD2CCA_66E4_49D5_A748_78ED41C20004_.wvu.FilterData" localSheetId="0" hidden="1">Outbound_Monitor!$A$2:$W$3</definedName>
    <definedName name="Z_ACFFBCF8_2787_4753_BCFD_711F5ADA3603_.wvu.FilterData" localSheetId="1" hidden="1">Inbound_Monitor!$A$2:$Q$3</definedName>
    <definedName name="Z_AD0AEDD6_8A44_4106_9EEF_D709BE620B70_.wvu.FilterData" localSheetId="1" hidden="1">Inbound_Monitor!$A$2:$Q$3</definedName>
    <definedName name="Z_AD0AEDD6_8A44_4106_9EEF_D709BE620B70_.wvu.FilterData" localSheetId="0" hidden="1">Outbound_Monitor!$A$2:$W$3</definedName>
    <definedName name="Z_AD106C12_729A_41AD_AE04_5F0E65B3747C_.wvu.FilterData" localSheetId="1" hidden="1">Inbound_Monitor!$A$2:$Q$3</definedName>
    <definedName name="Z_AD11FB40_7EFC_4219_9846_3E0036E4C1B0_.wvu.FilterData" localSheetId="0" hidden="1">Outbound_Monitor!$A$2:$X$16</definedName>
    <definedName name="Z_AD1528C9_64F5_4BA5_B346_8C6FCE55A197_.wvu.FilterData" localSheetId="1" hidden="1">Inbound_Monitor!$A$2:$Q$2</definedName>
    <definedName name="Z_AD1528C9_64F5_4BA5_B346_8C6FCE55A197_.wvu.FilterData" localSheetId="0" hidden="1">Outbound_Monitor!$A$2:$W$2</definedName>
    <definedName name="Z_AD1558E4_926B_4A99_B42E_81E939C35331_.wvu.FilterData" localSheetId="0" hidden="1">Outbound_Monitor!$A$2:$W$3</definedName>
    <definedName name="Z_AD164C20_D21C_4E3D_A48A_A63FD4C14B39_.wvu.FilterData" localSheetId="0" hidden="1">Outbound_Monitor!$1:$3</definedName>
    <definedName name="Z_AD16F267_84E6_4F0D_9A91_C38ADE2010E4_.wvu.FilterData" localSheetId="4" hidden="1">Schichtübergabe_Protokoll!$B$3:$N$3</definedName>
    <definedName name="Z_AD178B19_F0A4_4EA8_A793_332A359A22BA_.wvu.FilterData" localSheetId="1" hidden="1">Inbound_Monitor!$A$2:$Q$13</definedName>
    <definedName name="Z_AD178B19_F0A4_4EA8_A793_332A359A22BA_.wvu.FilterData" localSheetId="0" hidden="1">Outbound_Monitor!$A$2:$W$3</definedName>
    <definedName name="Z_AD2A734A_A01F_45E8_B2D7_1A1E6023FF0A_.wvu.FilterData" localSheetId="1" hidden="1">Inbound_Monitor!$A$2:$Q$3</definedName>
    <definedName name="Z_AD2BE031_A3EE_4BEF_B6D6_EDEB5AACD1E9_.wvu.FilterData" localSheetId="0" hidden="1">Outbound_Monitor!$A$2:$W$3</definedName>
    <definedName name="Z_AD309C64_8948_42BE_982C_DC6E9DFC4307_.wvu.FilterData" localSheetId="0" hidden="1">Outbound_Monitor!$A$2:$W$3</definedName>
    <definedName name="Z_AD328E9A_75BD_4FA8_84A9_B3418E6DC899_.wvu.FilterData" localSheetId="1" hidden="1">Inbound_Monitor!$A$2:$Q$3</definedName>
    <definedName name="Z_AD328E9A_75BD_4FA8_84A9_B3418E6DC899_.wvu.FilterData" localSheetId="0" hidden="1">Outbound_Monitor!$A$2:$W$3</definedName>
    <definedName name="Z_AD328E9A_75BD_4FA8_84A9_B3418E6DC899_.wvu.FilterData" localSheetId="4" hidden="1">Schichtübergabe_Protokoll!$B$3:$N$3</definedName>
    <definedName name="Z_AD37B877_0764_4CDE_8D17_1CC4DB4789EB_.wvu.FilterData" localSheetId="1" hidden="1">Inbound_Monitor!$A$2:$Q$3</definedName>
    <definedName name="Z_AD3D8E0B_8E39_410B_9B04_FAC137001A0D_.wvu.FilterData" localSheetId="0" hidden="1">Outbound_Monitor!$A$2:$W$3</definedName>
    <definedName name="Z_AD540CA6_53E7_4329_9E31_75850E6939FB_.wvu.FilterData" localSheetId="1" hidden="1">Inbound_Monitor!$A$2:$Q$3</definedName>
    <definedName name="Z_AD5AD184_1BE6_4442_9204_16B9E527655C_.wvu.FilterData" localSheetId="0" hidden="1">Outbound_Monitor!$A$2:$W$3</definedName>
    <definedName name="Z_AD68017A_9152_4699_AF7B_4DDDBCFF64E7_.wvu.FilterData" localSheetId="0" hidden="1">Outbound_Monitor!$A$2:$W$3</definedName>
    <definedName name="Z_AD76044E_1442_45F3_B26E_C99DCEF4C05C_.wvu.FilterData" localSheetId="0" hidden="1">Outbound_Monitor!$A$2:$X$16</definedName>
    <definedName name="Z_AD7765A3_69C7_4C75_A1D1_221B65D6EBE7_.wvu.FilterData" localSheetId="1" hidden="1">Inbound_Monitor!$A$2:$Q$13</definedName>
    <definedName name="Z_AD7765A3_69C7_4C75_A1D1_221B65D6EBE7_.wvu.FilterData" localSheetId="0" hidden="1">Outbound_Monitor!$A$2:$X$16</definedName>
    <definedName name="Z_AD839E48_7135_40C4_9DC4_46EEC4814186_.wvu.FilterData" localSheetId="1" hidden="1">Inbound_Monitor!$A$2:$Q$3</definedName>
    <definedName name="Z_AD839E48_7135_40C4_9DC4_46EEC4814186_.wvu.FilterData" localSheetId="0" hidden="1">Outbound_Monitor!$A$2:$W$3</definedName>
    <definedName name="Z_AD8852E8_643D_4F43_9C92_CA3EB3E34611_.wvu.FilterData" localSheetId="0" hidden="1">Outbound_Monitor!$A$2:$X$16</definedName>
    <definedName name="Z_AD8A8166_8912_4FD2_9D1E_CE78B068E01E_.wvu.FilterData" localSheetId="1" hidden="1">Inbound_Monitor!$A$2:$Q$13</definedName>
    <definedName name="Z_AD8DA305_57E6_4987_ADE4_39A66960E826_.wvu.FilterData" localSheetId="0" hidden="1">Outbound_Monitor!$A$2:$W$3</definedName>
    <definedName name="Z_AD90D3D7_FFDB_434B_AE3D_7D3C0ABA912D_.wvu.FilterData" localSheetId="0" hidden="1">Outbound_Monitor!$A$2:$W$3</definedName>
    <definedName name="Z_AD983C03_862D_4667_818F_BEA7294F7F37_.wvu.FilterData" localSheetId="1" hidden="1">Inbound_Monitor!$A$2:$Q$3</definedName>
    <definedName name="Z_AD983C03_862D_4667_818F_BEA7294F7F37_.wvu.FilterData" localSheetId="0" hidden="1">Outbound_Monitor!$A$2:$W$3</definedName>
    <definedName name="Z_AD9B0717_1053_4AE7_96C3_B68CF9E205C0_.wvu.FilterData" localSheetId="1" hidden="1">Inbound_Monitor!$A$2:$Q$13</definedName>
    <definedName name="Z_AD9B0717_1053_4AE7_96C3_B68CF9E205C0_.wvu.FilterData" localSheetId="0" hidden="1">Outbound_Monitor!$A$2:$X$16</definedName>
    <definedName name="Z_ADA65CA7_A8EB_45B8_B77B_357B8E5F40CF_.wvu.FilterData" localSheetId="0" hidden="1">Outbound_Monitor!$A$2:$W$3</definedName>
    <definedName name="Z_ADA992D3_BF17_4CBF_825C_FD5511113F97_.wvu.FilterData" localSheetId="0" hidden="1">Outbound_Monitor!$A$2:$X$16</definedName>
    <definedName name="Z_ADAA08E9_4E0D_4B31_A012_8D40C4C159A5_.wvu.FilterData" localSheetId="0" hidden="1">Outbound_Monitor!#REF!</definedName>
    <definedName name="Z_ADADA659_03C4_4A2C_8482_B1F7FE1C4DA3_.wvu.FilterData" localSheetId="1" hidden="1">Inbound_Monitor!$A$2:$Q$3</definedName>
    <definedName name="Z_ADADA659_03C4_4A2C_8482_B1F7FE1C4DA3_.wvu.FilterData" localSheetId="0" hidden="1">Outbound_Monitor!$A$2:$W$3</definedName>
    <definedName name="Z_ADB4E884_B93F_4A71_BCC1_0502DAE11C21_.wvu.FilterData" localSheetId="0" hidden="1">Outbound_Monitor!$A$2:$W$3</definedName>
    <definedName name="Z_ADB9A581_CBA5_48C3_A390_F8B9AB14C32C_.wvu.FilterData" localSheetId="0" hidden="1">Outbound_Monitor!$A$2:$W$3</definedName>
    <definedName name="Z_ADC118D7_D732_4D53_AED9_332A83A502D5_.wvu.FilterData" localSheetId="1" hidden="1">Inbound_Monitor!$A$2:$Q$13</definedName>
    <definedName name="Z_ADD4E3EA_F3CE_4026_8AE7_1A147B150A9B_.wvu.FilterData" localSheetId="1" hidden="1">Inbound_Monitor!$A$2:$Q$3</definedName>
    <definedName name="Z_ADED7D08_EA22_4C7D_B593_DE687B49AD9B_.wvu.FilterData" localSheetId="1" hidden="1">Inbound_Monitor!$A$2:$Q$13</definedName>
    <definedName name="Z_ADF2682E_F2B0_4150_8779_92823C7F632C_.wvu.FilterData" localSheetId="1" hidden="1">Inbound_Monitor!$A$2:$Q$3</definedName>
    <definedName name="Z_ADF34AE3_ECF2_4227_B84D_524BAE774889_.wvu.FilterData" localSheetId="1" hidden="1">Inbound_Monitor!$A$2:$Q$3</definedName>
    <definedName name="Z_ADF34AE3_ECF2_4227_B84D_524BAE774889_.wvu.FilterData" localSheetId="0" hidden="1">Outbound_Monitor!$A$2:$W$3</definedName>
    <definedName name="Z_AE0022CD_CF5D_4B90_84A7_F2A2F035CE45_.wvu.FilterData" localSheetId="0" hidden="1">Outbound_Monitor!$A$2:$W$3</definedName>
    <definedName name="Z_AE20086B_C7B6_4343_BC56_ED55C37242B9_.wvu.FilterData" localSheetId="1" hidden="1">Inbound_Monitor!$A$2:$Q$3</definedName>
    <definedName name="Z_AE392D54_CE7A_4F7D_8AE0_D173621873DC_.wvu.FilterData" localSheetId="1" hidden="1">Inbound_Monitor!$A$2:$Q$3</definedName>
    <definedName name="Z_AE43269E_6577_4C7E_90F6_8E89C48940F5_.wvu.FilterData" localSheetId="1" hidden="1">Inbound_Monitor!$A$2:$Q$3</definedName>
    <definedName name="Z_AE43269E_6577_4C7E_90F6_8E89C48940F5_.wvu.FilterData" localSheetId="0" hidden="1">Outbound_Monitor!$A$2:$W$3</definedName>
    <definedName name="Z_AE4CC757_9EA9_46D9_8896_E4984A7319EF_.wvu.FilterData" localSheetId="0" hidden="1">Outbound_Monitor!$A$2:$W$3</definedName>
    <definedName name="Z_AE5F995D_BBFB_474B_BEB9_371BFBFB129D_.wvu.FilterData" localSheetId="1" hidden="1">Inbound_Monitor!$A$2:$Q$13</definedName>
    <definedName name="Z_AE5F995D_BBFB_474B_BEB9_371BFBFB129D_.wvu.FilterData" localSheetId="0" hidden="1">Outbound_Monitor!$A$2:$W$3</definedName>
    <definedName name="Z_AE60A3B2_7A80_4B88_B838_44A1D693B143_.wvu.FilterData" localSheetId="0" hidden="1">Outbound_Monitor!$A$2:$W$3</definedName>
    <definedName name="Z_AE71F2BE_DB82_4704_B431_ABC49DC9D23A_.wvu.FilterData" localSheetId="0" hidden="1">Outbound_Monitor!$A$2:$W$3</definedName>
    <definedName name="Z_AE7ACEFC_D2D5_4024_AF5B_319C445CB3C6_.wvu.FilterData" localSheetId="0" hidden="1">Outbound_Monitor!$A$2:$W$3</definedName>
    <definedName name="Z_AE87104B_68DB_4BA7_9573_D23C4180E9F5_.wvu.FilterData" localSheetId="0" hidden="1">Outbound_Monitor!$A$2:$W$3</definedName>
    <definedName name="Z_AE983402_68D2_4BDD_8B06_893276ADCEC7_.wvu.FilterData" localSheetId="1" hidden="1">Inbound_Monitor!$A$2:$Q$13</definedName>
    <definedName name="Z_AE9EDFF8_04F6_4D01_9772_96176998367D_.wvu.FilterData" localSheetId="0" hidden="1">Outbound_Monitor!$A$2:$W$3</definedName>
    <definedName name="Z_AEA141CE_871F_4AEB_ABC6_AE1366C14017_.wvu.FilterData" localSheetId="1" hidden="1">Inbound_Monitor!$A$2:$Q$13</definedName>
    <definedName name="Z_AEABE318_DFCC_4967_B780_5B0A695A21E8_.wvu.FilterData" localSheetId="0" hidden="1">Outbound_Monitor!$A$2:$W$3</definedName>
    <definedName name="Z_AEACEDE4_935D_4729_9F94_7250A233497F_.wvu.FilterData" localSheetId="0" hidden="1">Outbound_Monitor!$A$2:$W$3</definedName>
    <definedName name="Z_AEC5ABB3_1086_4FA9_BDFB_31AAD94DA500_.wvu.FilterData" localSheetId="1" hidden="1">Inbound_Monitor!$A$2:$Q$13</definedName>
    <definedName name="Z_AEC9E8AD_9E36_4EF7_BFC3_9F1F087BEB8A_.wvu.FilterData" localSheetId="1" hidden="1">Inbound_Monitor!$A$2:$Q$2</definedName>
    <definedName name="Z_AEC9E8AD_9E36_4EF7_BFC3_9F1F087BEB8A_.wvu.FilterData" localSheetId="0" hidden="1">Outbound_Monitor!$A$2:$W$2</definedName>
    <definedName name="Z_AECAF327_774C_48FD_A0CE_45109A76A511_.wvu.FilterData" localSheetId="1" hidden="1">Inbound_Monitor!$A$2:$Q$13</definedName>
    <definedName name="Z_AED5F622_122B_4B53_A2E8_7C3A458BC3AD_.wvu.FilterData" localSheetId="1" hidden="1">Inbound_Monitor!$A$2:$Q$2</definedName>
    <definedName name="Z_AED5F622_122B_4B53_A2E8_7C3A458BC3AD_.wvu.FilterData" localSheetId="0" hidden="1">Outbound_Monitor!$A$2:$W$2</definedName>
    <definedName name="Z_AEDC4412_0DF3_466A_A0FF_1D3BEBEBF869_.wvu.FilterData" localSheetId="1" hidden="1">Inbound_Monitor!$A$2:$Q$3</definedName>
    <definedName name="Z_AEDC4412_0DF3_466A_A0FF_1D3BEBEBF869_.wvu.FilterData" localSheetId="4" hidden="1">Schichtübergabe_Protokoll!$B$3:$N$3</definedName>
    <definedName name="Z_AEE3B3F9_76BD_4DC4_822F_583565A73CBF_.wvu.FilterData" localSheetId="1" hidden="1">Inbound_Monitor!$A$2:$Q$13</definedName>
    <definedName name="Z_AEE3B3F9_76BD_4DC4_822F_583565A73CBF_.wvu.FilterData" localSheetId="0" hidden="1">Outbound_Monitor!$A$2:$X$16</definedName>
    <definedName name="Z_AEEFEE33_BF67_4CF9_8D22_FA35DC6C42A5_.wvu.FilterData" localSheetId="1" hidden="1">Inbound_Monitor!$A$2:$Q$13</definedName>
    <definedName name="Z_AEF9E25B_4959_45E5_8EF1_6F8AB8E63F8A_.wvu.FilterData" localSheetId="0" hidden="1">Outbound_Monitor!$A$2:$X$16</definedName>
    <definedName name="Z_AF01BD87_40D4_44DE_B111_6F02112D36DB_.wvu.FilterData" localSheetId="0" hidden="1">Outbound_Monitor!$A$2:$X$16</definedName>
    <definedName name="Z_AF0481CF_ED4A_45C7_8C05_AF349EE52F3A_.wvu.FilterData" localSheetId="1" hidden="1">Inbound_Monitor!$A$2:$Q$13</definedName>
    <definedName name="Z_AF0A8C5E_DB1F_4D76_8DB7_7AD189BCC906_.wvu.FilterData" localSheetId="1" hidden="1">Inbound_Monitor!$A$2:$Q$13</definedName>
    <definedName name="Z_AF0A8C5E_DB1F_4D76_8DB7_7AD189BCC906_.wvu.FilterData" localSheetId="0" hidden="1">Outbound_Monitor!$A$2:$W$3</definedName>
    <definedName name="Z_AF0F255B_DAE7_40E9_9C83_88B710F7AAFC_.wvu.FilterData" localSheetId="0" hidden="1">Outbound_Monitor!$A$2:$W$3</definedName>
    <definedName name="Z_AF1306B8_E3F2_4E83_A133_EC7142CD8B80_.wvu.FilterData" localSheetId="1" hidden="1">Inbound_Monitor!$A$2:$Q$13</definedName>
    <definedName name="Z_AF13C56A_641B_4C86_AA65_330B6B0D3F3E_.wvu.FilterData" localSheetId="0" hidden="1">Outbound_Monitor!$A$2:$W$3</definedName>
    <definedName name="Z_AF258E1C_BC79_496A_9EBE_0FBA30A97348_.wvu.FilterData" localSheetId="0" hidden="1">Outbound_Monitor!$A$2:$W$3</definedName>
    <definedName name="Z_AF2EE3DB_5279_4AE5_821B_B43FCA5BE562_.wvu.FilterData" localSheetId="0" hidden="1">Outbound_Monitor!$A$2:$W$3</definedName>
    <definedName name="Z_AF2F88BD_847A_4E19_9B2C_EC2DD4EDD117_.wvu.FilterData" localSheetId="1" hidden="1">Inbound_Monitor!$A$2:$Q$3</definedName>
    <definedName name="Z_AF2F88BD_847A_4E19_9B2C_EC2DD4EDD117_.wvu.FilterData" localSheetId="0" hidden="1">Outbound_Monitor!$A$2:$W$3</definedName>
    <definedName name="Z_AF3022D7_E3B3_4F45_AEC7_C617B6E84149_.wvu.FilterData" localSheetId="1" hidden="1">Inbound_Monitor!$A$2:$Q$3</definedName>
    <definedName name="Z_AF31C5F2_FC59_44CC_B2C5_5B15A35C2EBE_.wvu.FilterData" localSheetId="1" hidden="1">Inbound_Monitor!$A$2:$Q$13</definedName>
    <definedName name="Z_AF31C5F2_FC59_44CC_B2C5_5B15A35C2EBE_.wvu.FilterData" localSheetId="0" hidden="1">Outbound_Monitor!$A$2:$X$16</definedName>
    <definedName name="Z_AF385385_93DF_4A04_B4C5_619D574D18AF_.wvu.FilterData" localSheetId="0" hidden="1">Outbound_Monitor!$A$2:$X$16</definedName>
    <definedName name="Z_AF438311_9622_4465_84ED_6644D4001AF9_.wvu.FilterData" localSheetId="0" hidden="1">Outbound_Monitor!$A$2:$X$16</definedName>
    <definedName name="Z_AF56AAB6_179B_4B29_98A5_232104BF9D71_.wvu.FilterData" localSheetId="0" hidden="1">Outbound_Monitor!$A$2:$W$3</definedName>
    <definedName name="Z_AF64F217_EAE4_4926_893B_15210C7CD8F8_.wvu.FilterData" localSheetId="0" hidden="1">Outbound_Monitor!$A$2:$X$16</definedName>
    <definedName name="Z_AF670767_DA1B_46B5_9F44_C17FE5D242A8_.wvu.FilterData" localSheetId="1" hidden="1">Inbound_Monitor!$A$2:$Q$3</definedName>
    <definedName name="Z_AF68B858_163A_4053_910E_E82CD0EFDF68_.wvu.FilterData" localSheetId="0" hidden="1">Outbound_Monitor!$A$2:$W$3</definedName>
    <definedName name="Z_AF70B706_5571_4C71_838A_FE7262C1164A_.wvu.FilterData" localSheetId="1" hidden="1">Inbound_Monitor!$A$2:$Q$2</definedName>
    <definedName name="Z_AF70B706_5571_4C71_838A_FE7262C1164A_.wvu.FilterData" localSheetId="0" hidden="1">Outbound_Monitor!$A$2:$W$2</definedName>
    <definedName name="Z_AF7243F6_C2E5_47CE_93E2_B865965D4EED_.wvu.FilterData" localSheetId="0" hidden="1">Outbound_Monitor!$A$2:$X$16</definedName>
    <definedName name="Z_AF81060D_4738_4476_B2F4_1CEDCDBD7099_.wvu.FilterData" localSheetId="1" hidden="1">Inbound_Monitor!$A$2:$Q$13</definedName>
    <definedName name="Z_AF81060D_4738_4476_B2F4_1CEDCDBD7099_.wvu.FilterData" localSheetId="0" hidden="1">Outbound_Monitor!$A$2:$X$16</definedName>
    <definedName name="Z_AF886BE3_2D76_41EC_A959_3AF602D2B948_.wvu.FilterData" localSheetId="0" hidden="1">Outbound_Monitor!$A$2:$X$16</definedName>
    <definedName name="Z_AF8BE8D0_A615_4B72_906E_AEF56DFDE2FD_.wvu.FilterData" localSheetId="0" hidden="1">Outbound_Monitor!$A$2:$W$3</definedName>
    <definedName name="Z_AF8E9E09_CBDB_4CEF_BBCA_D362AC2EB237_.wvu.FilterData" localSheetId="0" hidden="1">Outbound_Monitor!$A$2:$W$3</definedName>
    <definedName name="Z_AF9F247B_7BB5_4B17_B721_EF0D2D41F9F7_.wvu.FilterData" localSheetId="0" hidden="1">Outbound_Monitor!$A$2:$W$3</definedName>
    <definedName name="Z_AFA007FA_650C_4ED6_AF09_AF8351CD2E36_.wvu.FilterData" localSheetId="0" hidden="1">Outbound_Monitor!$A$2:$W$3</definedName>
    <definedName name="Z_AFA2F982_4110_4C04_A31D_49B7D6A70E92_.wvu.FilterData" localSheetId="0" hidden="1">Outbound_Monitor!$A$2:$W$3</definedName>
    <definedName name="Z_AFAA5E9E_7606_4517_B9B9_C0239C1462BC_.wvu.FilterData" localSheetId="1" hidden="1">Inbound_Monitor!$A$2:$Q$2</definedName>
    <definedName name="Z_AFAA5E9E_7606_4517_B9B9_C0239C1462BC_.wvu.FilterData" localSheetId="0" hidden="1">Outbound_Monitor!$A$2:$W$2</definedName>
    <definedName name="Z_AFAD4DE3_BD54_4B9E_A126_467A9B2BB8A4_.wvu.FilterData" localSheetId="0" hidden="1">Outbound_Monitor!$A$2:$X$16</definedName>
    <definedName name="Z_AFBFDF48_136A_470A_BC9A_2D3AAFA2F2BC_.wvu.FilterData" localSheetId="0" hidden="1">Outbound_Monitor!$A$2:$X$16</definedName>
    <definedName name="Z_AFCA47DC_0B87_4985_8AED_EB58D36374A0_.wvu.FilterData" localSheetId="0" hidden="1">Outbound_Monitor!$A$2:$X$16</definedName>
    <definedName name="Z_AFDA83E3_AE4B_49A2_83C3_368B1E777E01_.wvu.FilterData" localSheetId="0" hidden="1">Outbound_Monitor!$A$2:$W$3</definedName>
    <definedName name="Z_AFDEC27C_A770_4D21_969D_3FAC026CD5B9_.wvu.FilterData" localSheetId="0" hidden="1">Outbound_Monitor!$A$2:$W$3</definedName>
    <definedName name="Z_AFE7B481_4DB7_488D_8A6E_89E0D11B79B8_.wvu.FilterData" localSheetId="0" hidden="1">Outbound_Monitor!$A$3:$X$16</definedName>
    <definedName name="Z_AFE983F2_3D83_479C_B556_1D7F5AC66B3D_.wvu.FilterData" localSheetId="1" hidden="1">Inbound_Monitor!$A$2:$Q$3</definedName>
    <definedName name="Z_AFE983F2_3D83_479C_B556_1D7F5AC66B3D_.wvu.FilterData" localSheetId="0" hidden="1">Outbound_Monitor!$A$2:$W$3</definedName>
    <definedName name="Z_AFEA64D0_5DAB_4373_9628_2D6E17B70A73_.wvu.FilterData" localSheetId="0" hidden="1">Outbound_Monitor!$A$2:$W$3</definedName>
    <definedName name="Z_AFEBA217_4075_469B_AC89_FD8F1EE191D4_.wvu.FilterData" localSheetId="0" hidden="1">Outbound_Monitor!$A$2:$W$3</definedName>
    <definedName name="Z_B00DD98D_973B_4CC8_AE06_4811D418A15F_.wvu.FilterData" localSheetId="0" hidden="1">Outbound_Monitor!$A$2:$W$3</definedName>
    <definedName name="Z_B017014F_3746_4AB4_B778_CC8E225380CE_.wvu.FilterData" localSheetId="1" hidden="1">Inbound_Monitor!$A$2:$Q$13</definedName>
    <definedName name="Z_B017014F_3746_4AB4_B778_CC8E225380CE_.wvu.FilterData" localSheetId="0" hidden="1">Outbound_Monitor!$A$2:$W$3</definedName>
    <definedName name="Z_B02427F5_3644_4CCA_B8A5_F552D6F78858_.wvu.FilterData" localSheetId="1" hidden="1">Inbound_Monitor!$A$2:$Q$13</definedName>
    <definedName name="Z_B02427F5_3644_4CCA_B8A5_F552D6F78858_.wvu.FilterData" localSheetId="0" hidden="1">Outbound_Monitor!$A$2:$W$3</definedName>
    <definedName name="Z_B026B1B1_2779_4EF6_BBA5_6B1D0EA9B7E4_.wvu.FilterData" localSheetId="1" hidden="1">Inbound_Monitor!$A$2:$Q$3</definedName>
    <definedName name="Z_B02B732E_41A5_4D9D_8DBD_88A1FB8C79BD_.wvu.FilterData" localSheetId="1" hidden="1">Inbound_Monitor!$A$2:$Q$2</definedName>
    <definedName name="Z_B02B732E_41A5_4D9D_8DBD_88A1FB8C79BD_.wvu.FilterData" localSheetId="0" hidden="1">Outbound_Monitor!$A$2:$W$2</definedName>
    <definedName name="Z_B02CF9AA_E59B_48FA_83D3_51D5B345D648_.wvu.FilterData" localSheetId="1" hidden="1">Inbound_Monitor!$A$2:$Q$13</definedName>
    <definedName name="Z_B02CF9AA_E59B_48FA_83D3_51D5B345D648_.wvu.FilterData" localSheetId="0" hidden="1">Outbound_Monitor!$A$2:$X$16</definedName>
    <definedName name="Z_B030191F_E955_460A_AA12_E77E05377C36_.wvu.FilterData" localSheetId="1" hidden="1">Inbound_Monitor!$A$2:$Q$13</definedName>
    <definedName name="Z_B030191F_E955_460A_AA12_E77E05377C36_.wvu.FilterData" localSheetId="0" hidden="1">Outbound_Monitor!$A$2:$X$16</definedName>
    <definedName name="Z_B0313AEB_0CEA_4487_B069_50D764AF3D54_.wvu.FilterData" localSheetId="1" hidden="1">Inbound_Monitor!$A$2:$Q$3</definedName>
    <definedName name="Z_B048E6ED_DD27_4695_9F93_F373F358C748_.wvu.FilterData" localSheetId="0" hidden="1">Outbound_Monitor!$A$2:$W$3</definedName>
    <definedName name="Z_B0493908_ACAA_4049_B394_B36C97BF5403_.wvu.FilterData" localSheetId="1" hidden="1">Inbound_Monitor!$A$2:$Q$3</definedName>
    <definedName name="Z_B055640C_FFD3_48C9_81CA_969E3F41C1AC_.wvu.FilterData" localSheetId="1" hidden="1">Inbound_Monitor!$A$2:$Q$13</definedName>
    <definedName name="Z_B06D445E_ACFD_4B25_A3C3_79746304FFBD_.wvu.FilterData" localSheetId="1" hidden="1">Inbound_Monitor!$A$2:$Q$3</definedName>
    <definedName name="Z_B06D445E_ACFD_4B25_A3C3_79746304FFBD_.wvu.FilterData" localSheetId="0" hidden="1">Outbound_Monitor!$A$2:$W$3</definedName>
    <definedName name="Z_B070E485_5E53_46C7_B454_0B881CB14154_.wvu.FilterData" localSheetId="0" hidden="1">Outbound_Monitor!$A$2:$W$3</definedName>
    <definedName name="Z_B0891934_B5A7_4EE6_9536_6E677CA6993D_.wvu.FilterData" localSheetId="1" hidden="1">Inbound_Monitor!$A$2:$Q$2</definedName>
    <definedName name="Z_B0891934_B5A7_4EE6_9536_6E677CA6993D_.wvu.FilterData" localSheetId="0" hidden="1">Outbound_Monitor!$A$2:$W$2</definedName>
    <definedName name="Z_B09B7BF5_57FF_4A33_9182_16FEE1FC58EC_.wvu.FilterData" localSheetId="0" hidden="1">Outbound_Monitor!$A$2:$W$3</definedName>
    <definedName name="Z_B0ACE25A_85A9_4E43_A637_E515F69EE1A6_.wvu.FilterData" localSheetId="0" hidden="1">Outbound_Monitor!$A$2:$W$3</definedName>
    <definedName name="Z_B0B244B3_3CC0_4AB8_8874_5FFB5D088D5A_.wvu.FilterData" localSheetId="0" hidden="1">Outbound_Monitor!$A$2:$X$16</definedName>
    <definedName name="Z_B0C32961_7C9A_4BDC_B36D_46ACE909EE4B_.wvu.FilterData" localSheetId="1" hidden="1">Inbound_Monitor!$A$2:$Q$13</definedName>
    <definedName name="Z_B0C4301C_880B_43E3_9BF5_005F7F33BB8D_.wvu.FilterData" localSheetId="0" hidden="1">Outbound_Monitor!$A$2:$W$3</definedName>
    <definedName name="Z_B0C704D1_0492_4377_A8B5_A2532A265528_.wvu.FilterData" localSheetId="0" hidden="1">Outbound_Monitor!$A$2:$W$3</definedName>
    <definedName name="Z_B0CC9D93_68E2_4D77_9399_DA00A3A16E7D_.wvu.FilterData" localSheetId="0" hidden="1">Outbound_Monitor!$A$2:$W$3</definedName>
    <definedName name="Z_B0D98ED0_3395_4888_8392_7E1A0E141F45_.wvu.FilterData" localSheetId="0" hidden="1">Outbound_Monitor!$A$2:$X$16</definedName>
    <definedName name="Z_B0DBC7B0_D2CB_4C95_8C76_C14A04A19D96_.wvu.FilterData" localSheetId="0" hidden="1">Outbound_Monitor!$A$2:$W$3</definedName>
    <definedName name="Z_B0DC83C8_18ED_4304_A12D_8222A145327D_.wvu.Cols" localSheetId="1" hidden="1">Inbound_Monitor!#REF!</definedName>
    <definedName name="Z_B0DC83C8_18ED_4304_A12D_8222A145327D_.wvu.Cols" localSheetId="0" hidden="1">Outbound_Monitor!#REF!</definedName>
    <definedName name="Z_B0DC83C8_18ED_4304_A12D_8222A145327D_.wvu.FilterData" localSheetId="1" hidden="1">Inbound_Monitor!$A$2:$Q$3</definedName>
    <definedName name="Z_B0DC83C8_18ED_4304_A12D_8222A145327D_.wvu.FilterData" localSheetId="0" hidden="1">Outbound_Monitor!$A$2:$W$3</definedName>
    <definedName name="Z_B0DC83C8_18ED_4304_A12D_8222A145327D_.wvu.FilterData" localSheetId="4" hidden="1">Schichtübergabe_Protokoll!$B$3:$N$3</definedName>
    <definedName name="Z_B0DED458_24C4_48D6_94DA_CA9691CE2A49_.wvu.FilterData" localSheetId="0" hidden="1">Outbound_Monitor!$A$2:$X$16</definedName>
    <definedName name="Z_B0E756D9_B838_415F_ABE5_31DFE186E3F4_.wvu.FilterData" localSheetId="1" hidden="1">Inbound_Monitor!$A$2:$Q$2</definedName>
    <definedName name="Z_B0E756D9_B838_415F_ABE5_31DFE186E3F4_.wvu.FilterData" localSheetId="0" hidden="1">Outbound_Monitor!$A$2:$W$2</definedName>
    <definedName name="Z_B0ECF9C1_FDD1_45DB_AA24_E75C2756BF08_.wvu.FilterData" localSheetId="1" hidden="1">Inbound_Monitor!$A$2:$Q$13</definedName>
    <definedName name="Z_B0EE6DCA_E37B_4315_B564_ACC530BC968B_.wvu.FilterData" localSheetId="1" hidden="1">Inbound_Monitor!$A$2:$Q$3</definedName>
    <definedName name="Z_B0F73C62_D536_4AC0_9963_4104A9665068_.wvu.FilterData" localSheetId="1" hidden="1">Inbound_Monitor!$A$2:$Q$13</definedName>
    <definedName name="Z_B0F73C62_D536_4AC0_9963_4104A9665068_.wvu.FilterData" localSheetId="0" hidden="1">Outbound_Monitor!$A$2:$W$3</definedName>
    <definedName name="Z_B1039A57_A6AE_440C_83F7_B39085BE8246_.wvu.FilterData" localSheetId="0" hidden="1">Outbound_Monitor!#REF!</definedName>
    <definedName name="Z_B1210BAA_87CE_4586_A20A_DC411D6191D7_.wvu.FilterData" localSheetId="0" hidden="1">Outbound_Monitor!$A$2:$X$16</definedName>
    <definedName name="Z_B1441F51_19D6_4588_9A9C_631F5647BC36_.wvu.FilterData" localSheetId="1" hidden="1">Inbound_Monitor!$A$2:$Q$13</definedName>
    <definedName name="Z_B1441F51_19D6_4588_9A9C_631F5647BC36_.wvu.FilterData" localSheetId="0" hidden="1">Outbound_Monitor!$A$2:$X$16</definedName>
    <definedName name="Z_B14D4688_5D63_4363_942D_E60B2D2F589B_.wvu.FilterData" localSheetId="0" hidden="1">Outbound_Monitor!$A$2:$W$3</definedName>
    <definedName name="Z_B14E75F9_9C31_407A_8A5D_ABA80E7E0833_.wvu.FilterData" localSheetId="0" hidden="1">Outbound_Monitor!$A$2:$W$3</definedName>
    <definedName name="Z_B15011B3_E96A_4A8C_97FA_6678D5CBE501_.wvu.FilterData" localSheetId="0" hidden="1">Outbound_Monitor!$A$2:$X$16</definedName>
    <definedName name="Z_B151CD7F_8603_4AD7_87BF_B629B491C2F4_.wvu.FilterData" localSheetId="1" hidden="1">Inbound_Monitor!$A$2:$Q$13</definedName>
    <definedName name="Z_B15A7580_2FA2_4A3D_B4A4_84C5648EFB8E_.wvu.FilterData" localSheetId="1" hidden="1">Inbound_Monitor!$A$2:$Q$3</definedName>
    <definedName name="Z_B15A7580_2FA2_4A3D_B4A4_84C5648EFB8E_.wvu.FilterData" localSheetId="0" hidden="1">Outbound_Monitor!$A$2:$W$3</definedName>
    <definedName name="Z_B1649F8C_343C_4B35_A831_85BC27AF6E60_.wvu.FilterData" localSheetId="1" hidden="1">Inbound_Monitor!$A$2:$Q$13</definedName>
    <definedName name="Z_B1677563_7187_4A7C_8A51_492C76D509F2_.wvu.FilterData" localSheetId="0" hidden="1">Outbound_Monitor!$A$2:$W$3</definedName>
    <definedName name="Z_B1682A5A_E3FE_445E_A46D_89C3999162B0_.wvu.FilterData" localSheetId="0" hidden="1">Outbound_Monitor!$A$2:$W$3</definedName>
    <definedName name="Z_B16ADE41_C908_4082_9C88_EBDA19D16AF8_.wvu.FilterData" localSheetId="1" hidden="1">Inbound_Monitor!$A$2:$Q$13</definedName>
    <definedName name="Z_B16ADE41_C908_4082_9C88_EBDA19D16AF8_.wvu.FilterData" localSheetId="0" hidden="1">Outbound_Monitor!$A$2:$X$16</definedName>
    <definedName name="Z_B170AF5E_ACAB_41E5_AEE6_B9F6B01BAA46_.wvu.FilterData" localSheetId="0" hidden="1">Outbound_Monitor!$A$2:$W$3</definedName>
    <definedName name="Z_B17531A3_8746_44E1_87EE_BDC9A2483C87_.wvu.FilterData" localSheetId="0" hidden="1">Outbound_Monitor!$A$2:$W$3</definedName>
    <definedName name="Z_B177F437_3A2B_411D_B8B8_5A1D64423A4A_.wvu.FilterData" localSheetId="0" hidden="1">Outbound_Monitor!$A$2:$W$3</definedName>
    <definedName name="Z_B1788ED2_14D0_4B32_838A_BD1B2E2300A2_.wvu.FilterData" localSheetId="0" hidden="1">Outbound_Monitor!$A$2:$W$3</definedName>
    <definedName name="Z_B178A38D_11DC_4FBB_AADA_5075938A2DFA_.wvu.FilterData" localSheetId="0" hidden="1">Outbound_Monitor!$A$2:$X$16</definedName>
    <definedName name="Z_B184787D_6376_4330_B09A_B6E3AA8E5CC4_.wvu.FilterData" localSheetId="0" hidden="1">Outbound_Monitor!$A$2:$W$3</definedName>
    <definedName name="Z_B18BE60F_8451_4A31_9680_A8729B37D2AC_.wvu.FilterData" localSheetId="0" hidden="1">Outbound_Monitor!$A$2:$W$3</definedName>
    <definedName name="Z_B18C66EE_B687_4E09_99B6_41EDF46E7E25_.wvu.FilterData" localSheetId="1" hidden="1">Inbound_Monitor!$A$2:$Q$3</definedName>
    <definedName name="Z_B18C66EE_B687_4E09_99B6_41EDF46E7E25_.wvu.FilterData" localSheetId="0" hidden="1">Outbound_Monitor!$A$2:$W$3</definedName>
    <definedName name="Z_B1914EC6_491D_4E3A_AE7F_CE3F6CF54108_.wvu.FilterData" localSheetId="0" hidden="1">Outbound_Monitor!$A$2:$W$3</definedName>
    <definedName name="Z_B195D489_84E4_47DA_81DE_622565142445_.wvu.FilterData" localSheetId="4" hidden="1">Schichtübergabe_Protokoll!$B$3:$N$3</definedName>
    <definedName name="Z_B1B4BCE2_007B_486D_8EEE_5CFBAC5357D6_.wvu.FilterData" localSheetId="1" hidden="1">Inbound_Monitor!$A$2:$Q$13</definedName>
    <definedName name="Z_B1B4BCE2_007B_486D_8EEE_5CFBAC5357D6_.wvu.FilterData" localSheetId="0" hidden="1">Outbound_Monitor!$A$2:$X$16</definedName>
    <definedName name="Z_B1B6B8EB_52EB_4A02_96A7_BFB144374D1F_.wvu.FilterData" localSheetId="1" hidden="1">Inbound_Monitor!$A$2:$Q$13</definedName>
    <definedName name="Z_B1B6B8EB_52EB_4A02_96A7_BFB144374D1F_.wvu.FilterData" localSheetId="0" hidden="1">Outbound_Monitor!$A$2:$W$3</definedName>
    <definedName name="Z_B1B70C48_09A8_475B_9E57_F17601BE1F35_.wvu.Rows" localSheetId="3" hidden="1">'SDDS_Office (nicht nutzen)'!#REF!,'SDDS_Office (nicht nutzen)'!#REF!,'SDDS_Office (nicht nutzen)'!#REF!</definedName>
    <definedName name="Z_B1C03DD1_1418_4D6D_867A_5284853628CA_.wvu.FilterData" localSheetId="0" hidden="1">Outbound_Monitor!$A$2:$W$3</definedName>
    <definedName name="Z_B1D5D489_F3F7_4203_95EC_91755B8490EA_.wvu.FilterData" localSheetId="1" hidden="1">Inbound_Monitor!$A$2:$Q$13</definedName>
    <definedName name="Z_B1D9F653_EB15_439D_8ED5_29BE3D22F439_.wvu.FilterData" localSheetId="0" hidden="1">Outbound_Monitor!$A$2:$W$3</definedName>
    <definedName name="Z_B1E703DF_7310_48ED_B250_96DA2AB80E60_.wvu.FilterData" localSheetId="0" hidden="1">Outbound_Monitor!$A$2:$W$3</definedName>
    <definedName name="Z_B1EED6F6_70B5_4DCC_BA20_459D9E52E301_.wvu.FilterData" localSheetId="1" hidden="1">Inbound_Monitor!$A$2:$Q$3</definedName>
    <definedName name="Z_B1FCDE11_C7E4_4470_9165_CC1493EE7323_.wvu.FilterData" localSheetId="0" hidden="1">Outbound_Monitor!$A$2:$X$16</definedName>
    <definedName name="Z_B1FD3878_32E4_4EC7_98E1_71026E441F91_.wvu.FilterData" localSheetId="1" hidden="1">Inbound_Monitor!$A$2:$Q$3</definedName>
    <definedName name="Z_B2020D35_82F8_427C_8BDD_F1D921993FD8_.wvu.FilterData" localSheetId="1" hidden="1">Inbound_Monitor!$A$2:$Q$13</definedName>
    <definedName name="Z_B205B5CE_885A_48B7_8339_C6303EBDCD3E_.wvu.FilterData" localSheetId="0" hidden="1">Outbound_Monitor!$A$2:$W$3</definedName>
    <definedName name="Z_B20F75A3_C40C_4FB2_98D4_D1235346C6B2_.wvu.FilterData" localSheetId="0" hidden="1">Outbound_Monitor!$A$2:$W$3</definedName>
    <definedName name="Z_B2206197_CEAC_4895_8AE0_94F550024AA6_.wvu.FilterData" localSheetId="1" hidden="1">Inbound_Monitor!$A$2:$Q$13</definedName>
    <definedName name="Z_B23B0F14_AE75_4A5C_98D4_15000B3B839C_.wvu.FilterData" localSheetId="0" hidden="1">Outbound_Monitor!$A$2:$W$3</definedName>
    <definedName name="Z_B24AF122_129C_4669_8033_46E8547D650E_.wvu.FilterData" localSheetId="1" hidden="1">Inbound_Monitor!$A$2:$Q$3</definedName>
    <definedName name="Z_B24F493C_87ED_4C3C_A3DA_9555CA39591C_.wvu.FilterData" localSheetId="0" hidden="1">Outbound_Monitor!$A$2:$W$3</definedName>
    <definedName name="Z_B25FA10E_B047_4C34_8E57_6554281754E1_.wvu.FilterData" localSheetId="1" hidden="1">Inbound_Monitor!$A$2:$Q$2</definedName>
    <definedName name="Z_B25FA10E_B047_4C34_8E57_6554281754E1_.wvu.FilterData" localSheetId="0" hidden="1">Outbound_Monitor!$A$2:$W$2</definedName>
    <definedName name="Z_B27208C3_3C51_412F_8942_C4D332C9017F_.wvu.FilterData" localSheetId="0" hidden="1">Outbound_Monitor!$A$2:$W$3</definedName>
    <definedName name="Z_B2748FAE_A126_4CB7_988F_A03605DCBA33_.wvu.FilterData" localSheetId="0" hidden="1">Outbound_Monitor!$A$2:$W$3</definedName>
    <definedName name="Z_B27529A5_EC43_4FB9_BD7B_27046E82F166_.wvu.FilterData" localSheetId="1" hidden="1">Inbound_Monitor!$A$2:$Q$3</definedName>
    <definedName name="Z_B27529A5_EC43_4FB9_BD7B_27046E82F166_.wvu.FilterData" localSheetId="0" hidden="1">Outbound_Monitor!$A$2:$W$3</definedName>
    <definedName name="Z_B275F7D7_CCAF_486B_8017_B46132FDCBA2_.wvu.FilterData" localSheetId="0" hidden="1">Outbound_Monitor!$A$2:$W$3</definedName>
    <definedName name="Z_B275F7D7_CCAF_486B_8017_B46132FDCBA2_.wvu.FilterData" localSheetId="4" hidden="1">Schichtübergabe_Protokoll!$B$3:$N$3</definedName>
    <definedName name="Z_B277A77C_47E5_4B8A_873A_F32E9FCC5E2B_.wvu.FilterData" localSheetId="0" hidden="1">Outbound_Monitor!$A$2:$W$3</definedName>
    <definedName name="Z_B28049A2_4172_404B_806B_29323EDE38CD_.wvu.FilterData" localSheetId="0" hidden="1">Outbound_Monitor!$A$2:$W$3</definedName>
    <definedName name="Z_B286B17A_6170_4825_9B24_ABF886C4D6D0_.wvu.FilterData" localSheetId="0" hidden="1">Outbound_Monitor!$A$2:$W$3</definedName>
    <definedName name="Z_B29950F2_63D9_4A31_B601_A560980505FC_.wvu.Rows" localSheetId="3" hidden="1">'SDDS_Office (nicht nutzen)'!#REF!,'SDDS_Office (nicht nutzen)'!#REF!,'SDDS_Office (nicht nutzen)'!#REF!,'SDDS_Office (nicht nutzen)'!#REF!</definedName>
    <definedName name="Z_B29C28B6_F4AC_49DB_8C39_06533AA292C0_.wvu.FilterData" localSheetId="0" hidden="1">Outbound_Monitor!$A$2:$W$3</definedName>
    <definedName name="Z_B29C5DCC_2DE0_4A5A_831A_A574987EB59D_.wvu.FilterData" localSheetId="1" hidden="1">Inbound_Monitor!$A$2:$Q$13</definedName>
    <definedName name="Z_B29C5DCC_2DE0_4A5A_831A_A574987EB59D_.wvu.FilterData" localSheetId="0" hidden="1">Outbound_Monitor!$A$2:$W$3</definedName>
    <definedName name="Z_B2A75784_D618_4DFC_927E_1CC882101ECB_.wvu.FilterData" localSheetId="1" hidden="1">Inbound_Monitor!$A$2:$Q$13</definedName>
    <definedName name="Z_B2A75784_D618_4DFC_927E_1CC882101ECB_.wvu.FilterData" localSheetId="0" hidden="1">Outbound_Monitor!$A$2:$W$3</definedName>
    <definedName name="Z_B2AE2E20_4EF9_4FD0_AB13_F28D69397AD1_.wvu.FilterData" localSheetId="1" hidden="1">Inbound_Monitor!$A$2:$Q$13</definedName>
    <definedName name="Z_B2AE2E20_4EF9_4FD0_AB13_F28D69397AD1_.wvu.FilterData" localSheetId="0" hidden="1">Outbound_Monitor!$A$2:$W$3</definedName>
    <definedName name="Z_B2B3F376_54EC_48E4_9A48_BB9790912D90_.wvu.FilterData" localSheetId="0" hidden="1">Outbound_Monitor!$A$2:$W$3</definedName>
    <definedName name="Z_B2D705BA_5581_4A4D_A3B8_5218832BA3F7_.wvu.FilterData" localSheetId="0" hidden="1">Outbound_Monitor!$A$2:$W$3</definedName>
    <definedName name="Z_B2DB67A2_689D_4B5F_BDCF_220E9426273D_.wvu.FilterData" localSheetId="1" hidden="1">Inbound_Monitor!$A$2:$Q$13</definedName>
    <definedName name="Z_B2DB67A2_689D_4B5F_BDCF_220E9426273D_.wvu.FilterData" localSheetId="0" hidden="1">Outbound_Monitor!$A$2:$X$16</definedName>
    <definedName name="Z_B2E7FB0A_49B8_4D1F_9BE9_B53BA238FA45_.wvu.FilterData" localSheetId="0" hidden="1">Outbound_Monitor!$A$2:$W$3</definedName>
    <definedName name="Z_B2E81953_27CB_47AE_A2C8_76CCF63B4F4E_.wvu.FilterData" localSheetId="0" hidden="1">Outbound_Monitor!$A$2:$X$16</definedName>
    <definedName name="Z_B2F18751_8246_49FF_A389_B02F3261122D_.wvu.FilterData" localSheetId="1" hidden="1">Inbound_Monitor!$A$2:$Q$3</definedName>
    <definedName name="Z_B2F18751_8246_49FF_A389_B02F3261122D_.wvu.FilterData" localSheetId="0" hidden="1">Outbound_Monitor!$A$2:$W$3</definedName>
    <definedName name="Z_B2F213A5_88E9_4622_B999_C11979258457_.wvu.FilterData" localSheetId="1" hidden="1">Inbound_Monitor!$A$2:$Q$2</definedName>
    <definedName name="Z_B2F213A5_88E9_4622_B999_C11979258457_.wvu.FilterData" localSheetId="0" hidden="1">Outbound_Monitor!$A$2:$W$2</definedName>
    <definedName name="Z_B2F5AAD8_8F2E_4129_8AC4_004257565C7F_.wvu.FilterData" localSheetId="0" hidden="1">Outbound_Monitor!$A$2:$W$3</definedName>
    <definedName name="Z_B302DB47_49A0_49DC_90D5_CFD10092522B_.wvu.FilterData" localSheetId="0" hidden="1">Outbound_Monitor!$A$2:$W$3</definedName>
    <definedName name="Z_B31E6A0D_9793_4CDF_8A0F_71B99DFB5ED2_.wvu.FilterData" localSheetId="0" hidden="1">Outbound_Monitor!$A$2:$X$16</definedName>
    <definedName name="Z_B3304BDA_25C4_49FF_976F_7D79E1881A18_.wvu.FilterData" localSheetId="1" hidden="1">Inbound_Monitor!$A$2:$Q$3</definedName>
    <definedName name="Z_B356C640_7921_4C44_ADBE_BCFBA3356618_.wvu.FilterData" localSheetId="0" hidden="1">Outbound_Monitor!$A$2:$W$3</definedName>
    <definedName name="Z_B36AB531_6F38_47C8_A056_93239F90FA2F_.wvu.FilterData" localSheetId="1" hidden="1">Inbound_Monitor!$A$2:$Q$13</definedName>
    <definedName name="Z_B36AB531_6F38_47C8_A056_93239F90FA2F_.wvu.FilterData" localSheetId="0" hidden="1">Outbound_Monitor!$A$2:$W$3</definedName>
    <definedName name="Z_B3815A4C_4C0C_4575_8B69_7929E460C96C_.wvu.FilterData" localSheetId="1" hidden="1">Inbound_Monitor!$A$2:$Q$3</definedName>
    <definedName name="Z_B382E9BD_5528_4768_BB08_364225F9D95C_.wvu.FilterData" localSheetId="0" hidden="1">Outbound_Monitor!$A$2:$W$3</definedName>
    <definedName name="Z_B39D12D3_BE54_4C25_AEC0_BAA2368C8740_.wvu.FilterData" localSheetId="0" hidden="1">Outbound_Monitor!$A$2:$W$3</definedName>
    <definedName name="Z_B3A01C2D_5392_4F76_BC99_8AD41085553B_.wvu.FilterData" localSheetId="0" hidden="1">Outbound_Monitor!$A$2:$W$3</definedName>
    <definedName name="Z_B3A32317_10E9_45F3_B265_43D3D70B76CD_.wvu.FilterData" localSheetId="0" hidden="1">Outbound_Monitor!$A$2:$W$3</definedName>
    <definedName name="Z_B3AA89CD_C76D_4C1E_ADF4_F56AE776F99C_.wvu.FilterData" localSheetId="1" hidden="1">Inbound_Monitor!$A$2:$Q$3</definedName>
    <definedName name="Z_B3AA89CD_C76D_4C1E_ADF4_F56AE776F99C_.wvu.FilterData" localSheetId="0" hidden="1">Outbound_Monitor!$A$2:$W$3</definedName>
    <definedName name="Z_B3AE1549_90EF_474F_9933_4C98E09E5D83_.wvu.FilterData" localSheetId="0" hidden="1">Outbound_Monitor!$A$2:$W$3</definedName>
    <definedName name="Z_B3AF5143_F689_4502_AB8A_CD58ABF7C0D0_.wvu.FilterData" localSheetId="0" hidden="1">Outbound_Monitor!$A$2:$W$3</definedName>
    <definedName name="Z_B3C3EF3A_9AB3_448F_AEB9_6010AE22921E_.wvu.FilterData" localSheetId="1" hidden="1">Inbound_Monitor!$A$2:$Q$13</definedName>
    <definedName name="Z_B3C3EF3A_9AB3_448F_AEB9_6010AE22921E_.wvu.FilterData" localSheetId="0" hidden="1">Outbound_Monitor!$A$2:$W$3</definedName>
    <definedName name="Z_B3C52226_6B79_4DC9_8F28_61E3035BD8F7_.wvu.FilterData" localSheetId="0" hidden="1">Outbound_Monitor!$A$2:$X$16</definedName>
    <definedName name="Z_B3C568DE_0B30_4B30_8F84_10C4CD57C3ED_.wvu.FilterData" localSheetId="1" hidden="1">Inbound_Monitor!$A$2:$Q$3</definedName>
    <definedName name="Z_B3CC1507_AF80_49D7_94A1_C76B6B42FCF1_.wvu.FilterData" localSheetId="0" hidden="1">Outbound_Monitor!$A$2:$X$16</definedName>
    <definedName name="Z_B3D2F381_47A8_4CC0_BD93_59D7F8EC649B_.wvu.FilterData" localSheetId="1" hidden="1">Inbound_Monitor!$A$2:$Q$13</definedName>
    <definedName name="Z_B3E4EF22_51BE_42BF_A2A4_00F984FBA4E9_.wvu.FilterData" localSheetId="1" hidden="1">Inbound_Monitor!$A$2:$Q$3</definedName>
    <definedName name="Z_B3E4EF22_51BE_42BF_A2A4_00F984FBA4E9_.wvu.FilterData" localSheetId="0" hidden="1">Outbound_Monitor!$A$2:$W$3</definedName>
    <definedName name="Z_B3F46A0F_F282_4A2C_B240_9B07CD962CD8_.wvu.FilterData" localSheetId="0" hidden="1">Outbound_Monitor!$A$2:$W$3</definedName>
    <definedName name="Z_B3FA4A13_2BFB_48C2_9659_BEDE0C260781_.wvu.FilterData" localSheetId="0" hidden="1">Outbound_Monitor!$A$2:$W$3</definedName>
    <definedName name="Z_B40B58B3_024A_4FD5_8697_1B50CCD7C112_.wvu.FilterData" localSheetId="1" hidden="1">Inbound_Monitor!$A$2:$Q$13</definedName>
    <definedName name="Z_B40B58B3_024A_4FD5_8697_1B50CCD7C112_.wvu.FilterData" localSheetId="0" hidden="1">Outbound_Monitor!$A$2:$W$3</definedName>
    <definedName name="Z_B4105CBC_9342_4254_9E1F_B2173D82C6A0_.wvu.FilterData" localSheetId="0" hidden="1">Outbound_Monitor!$A$2:$W$3</definedName>
    <definedName name="Z_B413F4F5_74A1_49F5_85EE_61CF21CC8535_.wvu.FilterData" localSheetId="1" hidden="1">Inbound_Monitor!$A$2:$Q$3</definedName>
    <definedName name="Z_B4376EB9_4BAD_4965_BA85_A0EAD21FE18F_.wvu.FilterData" localSheetId="1" hidden="1">Inbound_Monitor!$A$2:$Q$13</definedName>
    <definedName name="Z_B439A6AA_B412_44BE_A4EC_614051DEB3CC_.wvu.FilterData" localSheetId="0" hidden="1">Outbound_Monitor!$A$2:$W$3</definedName>
    <definedName name="Z_B443E319_B4A7_4375_A74E_E8C3C3047C6B_.wvu.FilterData" localSheetId="0" hidden="1">Outbound_Monitor!$A$2:$W$3</definedName>
    <definedName name="Z_B4457FA4_C0C1_46DC_A5A1_D927D3F380EE_.wvu.FilterData" localSheetId="0" hidden="1">Outbound_Monitor!$A$2:$W$3</definedName>
    <definedName name="Z_B46882E0_5E7E_4514_82D7_64717BBD2A77_.wvu.FilterData" localSheetId="1" hidden="1">Inbound_Monitor!$A$2:$Q$3</definedName>
    <definedName name="Z_B46882E0_5E7E_4514_82D7_64717BBD2A77_.wvu.FilterData" localSheetId="0" hidden="1">Outbound_Monitor!$A$2:$W$3</definedName>
    <definedName name="Z_B46882E0_5E7E_4514_82D7_64717BBD2A77_.wvu.FilterData" localSheetId="4" hidden="1">Schichtübergabe_Protokoll!$B$3:$N$3</definedName>
    <definedName name="Z_B47C10DB_6CCA_42D2_A1D7_BD860545DCE4_.wvu.FilterData" localSheetId="1" hidden="1">Inbound_Monitor!$A$2:$Q$3</definedName>
    <definedName name="Z_B48DDD96_120A_42FC_9A22_D1B5190F4009_.wvu.FilterData" localSheetId="1" hidden="1">Inbound_Monitor!$A$2:$Q$3</definedName>
    <definedName name="Z_B4905865_E079_4A17_A42E_0B7352E4B0F7_.wvu.FilterData" localSheetId="1" hidden="1">Inbound_Monitor!$A$2:$Q$3</definedName>
    <definedName name="Z_B49342A9_37FD_4A03_B3D8_1F1AA36BF668_.wvu.FilterData" localSheetId="1" hidden="1">Inbound_Monitor!$A$2:$Q$13</definedName>
    <definedName name="Z_B49342A9_37FD_4A03_B3D8_1F1AA36BF668_.wvu.FilterData" localSheetId="0" hidden="1">Outbound_Monitor!$A$2:$W$3</definedName>
    <definedName name="Z_B4993AFE_E982_4D0D_AF41_8D1ABF7A9FAC_.wvu.FilterData" localSheetId="1" hidden="1">Inbound_Monitor!$A$2:$Q$13</definedName>
    <definedName name="Z_B49CC81A_414C_4EF6_9AA7_29D142C78DA5_.wvu.FilterData" localSheetId="1" hidden="1">Inbound_Monitor!$A$2:$Q$13</definedName>
    <definedName name="Z_B4A38009_68A9_4181_A4EB_F0957701F760_.wvu.FilterData" localSheetId="1" hidden="1">Inbound_Monitor!$A$2:$Q$13</definedName>
    <definedName name="Z_B4A38009_68A9_4181_A4EB_F0957701F760_.wvu.FilterData" localSheetId="0" hidden="1">Outbound_Monitor!$A$2:$W$3</definedName>
    <definedName name="Z_B4A9389C_4ACD_46E5_B289_BEA323A000ED_.wvu.FilterData" localSheetId="1" hidden="1">Inbound_Monitor!$A$2:$Q$13</definedName>
    <definedName name="Z_B4A9389C_4ACD_46E5_B289_BEA323A000ED_.wvu.FilterData" localSheetId="0" hidden="1">Outbound_Monitor!$A$2:$W$3</definedName>
    <definedName name="Z_B4B75ECB_344D_43A4_BA46_13D73D6F84BA_.wvu.FilterData" localSheetId="4" hidden="1">Schichtübergabe_Protokoll!$B$3:$N$3</definedName>
    <definedName name="Z_B4B91C48_092B_4841_BED8_081FEC59A1A0_.wvu.FilterData" localSheetId="0" hidden="1">Outbound_Monitor!$A$2:$W$3</definedName>
    <definedName name="Z_B4BEDA0F_C712_4419_A1BE_FECC06223B01_.wvu.FilterData" localSheetId="0" hidden="1">Outbound_Monitor!$A$2:$W$3</definedName>
    <definedName name="Z_B4D5F4DF_466B_4D1B_BBCB_F531D726268C_.wvu.FilterData" localSheetId="1" hidden="1">Inbound_Monitor!$A$2:$Q$3</definedName>
    <definedName name="Z_B4D7BF80_C128_4A50_AE19_3B0D6B145A20_.wvu.FilterData" localSheetId="1" hidden="1">Inbound_Monitor!$A$2:$Q$3</definedName>
    <definedName name="Z_B4E09E1B_2262_49A1_8B7C_B83A590857CF_.wvu.FilterData" localSheetId="1" hidden="1">Inbound_Monitor!$A$2:$Q$3</definedName>
    <definedName name="Z_B4E09E1B_2262_49A1_8B7C_B83A590857CF_.wvu.FilterData" localSheetId="4" hidden="1">Schichtübergabe_Protokoll!$B$3:$N$3</definedName>
    <definedName name="Z_B4E12E73_D6A1_4C27_993A_9E1E51B98C12_.wvu.FilterData" localSheetId="1" hidden="1">Inbound_Monitor!$A$2:$Q$13</definedName>
    <definedName name="Z_B4E370E2_B2FD_417C_B113_3B2C7467D73F_.wvu.FilterData" localSheetId="1" hidden="1">Inbound_Monitor!$A$2:$Q$13</definedName>
    <definedName name="Z_B4E370E2_B2FD_417C_B113_3B2C7467D73F_.wvu.FilterData" localSheetId="0" hidden="1">Outbound_Monitor!$A$2:$W$3</definedName>
    <definedName name="Z_B50450AA_A98F_4508_A8D2_416CB0EA475E_.wvu.FilterData" localSheetId="0" hidden="1">Outbound_Monitor!$A$2:$W$3</definedName>
    <definedName name="Z_B51AEAB6_AD68_40F1_A1DF_137929DE3E71_.wvu.FilterData" localSheetId="0" hidden="1">Outbound_Monitor!$A$2:$W$3</definedName>
    <definedName name="Z_B523CE16_A3D4_4457_92EF_4D86553D02D2_.wvu.FilterData" localSheetId="0" hidden="1">Outbound_Monitor!$A$2:$W$3</definedName>
    <definedName name="Z_B5325EC0_929D_4EB5_BDA0_B832C9FA8975_.wvu.FilterData" localSheetId="0" hidden="1">Outbound_Monitor!$A$2:$W$3</definedName>
    <definedName name="Z_B537D60D_399A_4117_AB0E_BD2B356472C0_.wvu.FilterData" localSheetId="1" hidden="1">Inbound_Monitor!$A$2:$Q$3</definedName>
    <definedName name="Z_B53EF601_544F_4724_8A4E_D008B8F316DF_.wvu.FilterData" localSheetId="0" hidden="1">Outbound_Monitor!$A$2:$W$3</definedName>
    <definedName name="Z_B555E99A_13D2_4B66_A378_40E588F81767_.wvu.FilterData" localSheetId="1" hidden="1">Inbound_Monitor!$A$2:$Q$13</definedName>
    <definedName name="Z_B558ADF5_6FE2_467A_8B90_C87775B53580_.wvu.FilterData" localSheetId="0" hidden="1">Outbound_Monitor!$A$2:$W$3</definedName>
    <definedName name="Z_B56176C0_7BB9_4C42_B0B6_0C23C9B9B297_.wvu.FilterData" localSheetId="1" hidden="1">Inbound_Monitor!$A$2:$Q$13</definedName>
    <definedName name="Z_B56755EB_4B11_41D3_895B_CD2338000791_.wvu.FilterData" localSheetId="0" hidden="1">Outbound_Monitor!$A$2:$W$3</definedName>
    <definedName name="Z_B56B9F4A_BF18_4FBD_9811_D967377F8F3D_.wvu.FilterData" localSheetId="1" hidden="1">Inbound_Monitor!$A$2:$Q$3</definedName>
    <definedName name="Z_B586BEF8_3020_4FE9_AE98_4C9E4F0A5EC3_.wvu.FilterData" localSheetId="1" hidden="1">Inbound_Monitor!$A$2:$Q$3</definedName>
    <definedName name="Z_B588756B_EDD5_4EA6_B048_CE363DD5391A_.wvu.FilterData" localSheetId="1" hidden="1">Inbound_Monitor!$A$2:$Q$13</definedName>
    <definedName name="Z_B588756B_EDD5_4EA6_B048_CE363DD5391A_.wvu.FilterData" localSheetId="0" hidden="1">Outbound_Monitor!$A$2:$W$3</definedName>
    <definedName name="Z_B591578E_0631_46BA_A9B0_BFD179314A05_.wvu.FilterData" localSheetId="1" hidden="1">Inbound_Monitor!$A$2:$Q$2</definedName>
    <definedName name="Z_B591578E_0631_46BA_A9B0_BFD179314A05_.wvu.FilterData" localSheetId="0" hidden="1">Outbound_Monitor!$A$2:$W$2</definedName>
    <definedName name="Z_B596E342_4308_418C_98CA_F5E0C7DEA699_.wvu.FilterData" localSheetId="1" hidden="1">Inbound_Monitor!$A$2:$Q$3</definedName>
    <definedName name="Z_B596E342_4308_418C_98CA_F5E0C7DEA699_.wvu.FilterData" localSheetId="0" hidden="1">Outbound_Monitor!$A$2:$W$3</definedName>
    <definedName name="Z_B5974F54_BCAB_470B_AB90_1E5D6654A135_.wvu.FilterData" localSheetId="1" hidden="1">Inbound_Monitor!$A$2:$Q$3</definedName>
    <definedName name="Z_B59ABA01_523A_4210_947E_AB5067DE9ACF_.wvu.FilterData" localSheetId="1" hidden="1">Inbound_Monitor!$A$2:$Q$2</definedName>
    <definedName name="Z_B59ABA01_523A_4210_947E_AB5067DE9ACF_.wvu.FilterData" localSheetId="0" hidden="1">Outbound_Monitor!$A$2:$W$2</definedName>
    <definedName name="Z_B59C3996_9D31_4986_BB11_C1886ADE8091_.wvu.FilterData" localSheetId="0" hidden="1">Outbound_Monitor!$A$2:$W$3</definedName>
    <definedName name="Z_B5A01426_A222_4750_A380_C360A418C8E4_.wvu.FilterData" localSheetId="1" hidden="1">Inbound_Monitor!$A$2:$Q$3</definedName>
    <definedName name="Z_B5AD60FD_6A8A_4010_81B4_1AD97AF64680_.wvu.FilterData" localSheetId="1" hidden="1">Inbound_Monitor!$A$2:$Q$3</definedName>
    <definedName name="Z_B5C6B377_00F3_4193_831C_077233B600FC_.wvu.FilterData" localSheetId="0" hidden="1">Outbound_Monitor!$A$2:$W$3</definedName>
    <definedName name="Z_B5C7A3E9_1D5D_4FE7_9803_81B9200D07DD_.wvu.FilterData" localSheetId="0" hidden="1">Outbound_Monitor!$A$2:$W$3</definedName>
    <definedName name="Z_B5D17A96_2C83_457B_B8AD_A0F154F8A599_.wvu.FilterData" localSheetId="0" hidden="1">Outbound_Monitor!$A$2:$W$3</definedName>
    <definedName name="Z_B5DAA069_9709_4EB2_8EAC_B2EBEB9A1496_.wvu.FilterData" localSheetId="1" hidden="1">Inbound_Monitor!$A$2:$Q$2</definedName>
    <definedName name="Z_B5DAA069_9709_4EB2_8EAC_B2EBEB9A1496_.wvu.FilterData" localSheetId="0" hidden="1">Outbound_Monitor!$A$2:$W$2</definedName>
    <definedName name="Z_B5DAD6FD_3245_49A1_87BF_ED8FF20750E4_.wvu.FilterData" localSheetId="0" hidden="1">Outbound_Monitor!$A$2:$W$3</definedName>
    <definedName name="Z_B5EAA049_D63D_44EB_9664_5183606A948F_.wvu.FilterData" localSheetId="0" hidden="1">Outbound_Monitor!$A$2:$W$3</definedName>
    <definedName name="Z_B5F89FE9_0047_45DE_9439_FC42B8FC18BA_.wvu.FilterData" localSheetId="0" hidden="1">Outbound_Monitor!$A$2:$W$3</definedName>
    <definedName name="Z_B607D6AC_D071_4C53_84CD_83472365CC3F_.wvu.FilterData" localSheetId="1" hidden="1">Inbound_Monitor!$A$2:$Q$13</definedName>
    <definedName name="Z_B607D6AC_D071_4C53_84CD_83472365CC3F_.wvu.FilterData" localSheetId="0" hidden="1">Outbound_Monitor!$A$2:$W$3</definedName>
    <definedName name="Z_B6138E2B_DF82_4F9F_8D71_E8B97AF1616D_.wvu.FilterData" localSheetId="1" hidden="1">Inbound_Monitor!$A$2:$Q$2</definedName>
    <definedName name="Z_B6138E2B_DF82_4F9F_8D71_E8B97AF1616D_.wvu.FilterData" localSheetId="0" hidden="1">Outbound_Monitor!$A$2:$W$2</definedName>
    <definedName name="Z_B6172CF8_585C_45C4_BB64_2BD467A8DCFC_.wvu.FilterData" localSheetId="0" hidden="1">Outbound_Monitor!$A$2:$W$3</definedName>
    <definedName name="Z_B6376ED2_BB2B_4450_83FC_0DD38702974D_.wvu.FilterData" localSheetId="0" hidden="1">Outbound_Monitor!$A$2:$W$3</definedName>
    <definedName name="Z_B63B04EC_1B13_42A4_904B_54BC6E9E4A7A_.wvu.FilterData" localSheetId="1" hidden="1">Inbound_Monitor!$A$2:$Q$3</definedName>
    <definedName name="Z_B63D41DF_99D0_45BF_A3CA_8B5F1EB10363_.wvu.FilterData" localSheetId="1" hidden="1">Inbound_Monitor!$A$2:$Q$13</definedName>
    <definedName name="Z_B63D41DF_99D0_45BF_A3CA_8B5F1EB10363_.wvu.FilterData" localSheetId="0" hidden="1">Outbound_Monitor!$A$2:$W$3</definedName>
    <definedName name="Z_B6498B5E_F170_4550_AE3C_00838BD7C5EB_.wvu.FilterData" localSheetId="0" hidden="1">Outbound_Monitor!$A$2:$X$16</definedName>
    <definedName name="Z_B6500A82_422B_46B6_A80A_4461EE1121FC_.wvu.FilterData" localSheetId="0" hidden="1">Outbound_Monitor!$A$2:$W$3</definedName>
    <definedName name="Z_B6643D59_6E7D_4BFE_8836_566CCC05EC35_.wvu.FilterData" localSheetId="0" hidden="1">Outbound_Monitor!$A$2:$X$16</definedName>
    <definedName name="Z_B677E7AD_B3AF_4565_9B4E_C394F9935CDE_.wvu.FilterData" localSheetId="1" hidden="1">Inbound_Monitor!$A$2:$Q$13</definedName>
    <definedName name="Z_B677E7AD_B3AF_4565_9B4E_C394F9935CDE_.wvu.FilterData" localSheetId="0" hidden="1">Outbound_Monitor!$A$2:$W$3</definedName>
    <definedName name="Z_B67DF9E2_E025_4767_8545_FE020B9111A5_.wvu.FilterData" localSheetId="0" hidden="1">Outbound_Monitor!$A$2:$X$16</definedName>
    <definedName name="Z_B685F477_56CC_4794_8055_04FA252D469C_.wvu.FilterData" localSheetId="0" hidden="1">Outbound_Monitor!$A$2:$W$3</definedName>
    <definedName name="Z_B6870A7C_0149_4612_89A7_778E88DD3163_.wvu.FilterData" localSheetId="0" hidden="1">Outbound_Monitor!$A$2:$X$16</definedName>
    <definedName name="Z_B68BD1EC_1AA1_432E_AF40_B0D1702F1E43_.wvu.FilterData" localSheetId="0" hidden="1">Outbound_Monitor!$A$2:$W$3</definedName>
    <definedName name="Z_B68FA222_00B4_412E_8E9C_EB01B16E11DC_.wvu.FilterData" localSheetId="0" hidden="1">Outbound_Monitor!$A$2:$W$3</definedName>
    <definedName name="Z_B6919E37_5C55_4DC2_9584_7EF4DE24A182_.wvu.FilterData" localSheetId="0" hidden="1">Outbound_Monitor!$A$2:$W$3</definedName>
    <definedName name="Z_B69AFF11_2BA5_4495_97F9_16D0F49B1171_.wvu.FilterData" localSheetId="1" hidden="1">Inbound_Monitor!$A$2:$Q$13</definedName>
    <definedName name="Z_B69AFF11_2BA5_4495_97F9_16D0F49B1171_.wvu.FilterData" localSheetId="0" hidden="1">Outbound_Monitor!$A$2:$W$3</definedName>
    <definedName name="Z_B6A106E9_D1A8_4044_AEBB_A49301B717BE_.wvu.FilterData" localSheetId="0" hidden="1">Outbound_Monitor!$A$2:$W$3</definedName>
    <definedName name="Z_B6A14C7E_363E_41F6_B651_DCEC83912DBC_.wvu.FilterData" localSheetId="1" hidden="1">Inbound_Monitor!$A$2:$Q$3</definedName>
    <definedName name="Z_B6AC3089_21DB_4B1F_904C_73E92E4BC056_.wvu.FilterData" localSheetId="1" hidden="1">Inbound_Monitor!$A$2:$Q$13</definedName>
    <definedName name="Z_B6AC3089_21DB_4B1F_904C_73E92E4BC056_.wvu.FilterData" localSheetId="0" hidden="1">Outbound_Monitor!$A$2:$X$16</definedName>
    <definedName name="Z_B6B38F19_C5D6_42A2_968C_6EFBE08476D8_.wvu.FilterData" localSheetId="0" hidden="1">Outbound_Monitor!$A$2:$W$3</definedName>
    <definedName name="Z_B6B61EE8_F714_435A_A152_D8987F835E03_.wvu.FilterData" localSheetId="0" hidden="1">Outbound_Monitor!$A$2:$W$3</definedName>
    <definedName name="Z_B6C96B80_7EE3_4117_8DFD_ED910189D371_.wvu.FilterData" localSheetId="0" hidden="1">Outbound_Monitor!$A$2:$W$3</definedName>
    <definedName name="Z_B6D30AEE_DBFF_48A5_B96D_AFB3B4B92A47_.wvu.FilterData" localSheetId="0" hidden="1">Outbound_Monitor!$A$2:$W$3</definedName>
    <definedName name="Z_B6D961A3_5EE1_4A3C_A02D_48016DCADA47_.wvu.FilterData" localSheetId="1" hidden="1">Inbound_Monitor!$A$2:$Q$13</definedName>
    <definedName name="Z_B6EB9F53_38BA_46DA_8A0E_B531906E9EF6_.wvu.FilterData" localSheetId="1" hidden="1">Inbound_Monitor!$A$2:$Q$3</definedName>
    <definedName name="Z_B6F0CDB4_1ED2_4815_8161_AC080C4D5743_.wvu.FilterData" localSheetId="0" hidden="1">Outbound_Monitor!$A$2:$W$3</definedName>
    <definedName name="Z_B6F25E05_0535_409D_A603_AC659D3BD6F8_.wvu.FilterData" localSheetId="0" hidden="1">Outbound_Monitor!$A$2:$W$3</definedName>
    <definedName name="Z_B6F64BF7_478E_434B_A201_0E305B60D8D5_.wvu.FilterData" localSheetId="1" hidden="1">Inbound_Monitor!$A$2:$Q$2</definedName>
    <definedName name="Z_B6F64BF7_478E_434B_A201_0E305B60D8D5_.wvu.FilterData" localSheetId="0" hidden="1">Outbound_Monitor!$A$2:$W$2</definedName>
    <definedName name="Z_B6F94453_E034_4D2F_B88E_4977A8427FF9_.wvu.FilterData" localSheetId="1" hidden="1">Inbound_Monitor!$A$2:$Q$13</definedName>
    <definedName name="Z_B70559F5_AF94_4C85_A63D_7880155B681D_.wvu.FilterData" localSheetId="1" hidden="1">Inbound_Monitor!$A$2:$Q$2</definedName>
    <definedName name="Z_B70559F5_AF94_4C85_A63D_7880155B681D_.wvu.FilterData" localSheetId="0" hidden="1">Outbound_Monitor!$A$2:$W$2</definedName>
    <definedName name="Z_B71C938D_A22B_48ED_9C34_8F59A9EE31AA_.wvu.FilterData" localSheetId="4" hidden="1">Schichtübergabe_Protokoll!$B$3:$N$3</definedName>
    <definedName name="Z_B720D5E4_524F_4B87_9260_90DD57977550_.wvu.FilterData" localSheetId="1" hidden="1">Inbound_Monitor!$A$2:$Q$3</definedName>
    <definedName name="Z_B724A13F_98B6_4526_BC94_972F21B1264E_.wvu.FilterData" localSheetId="1" hidden="1">Inbound_Monitor!$A$2:$Q$13</definedName>
    <definedName name="Z_B724A13F_98B6_4526_BC94_972F21B1264E_.wvu.FilterData" localSheetId="0" hidden="1">Outbound_Monitor!$A$2:$W$3</definedName>
    <definedName name="Z_B7301FA0_B500_40EA_A9A0_C5E1E710723B_.wvu.FilterData" localSheetId="1" hidden="1">Inbound_Monitor!$A$2:$Q$3</definedName>
    <definedName name="Z_B7301FA0_B500_40EA_A9A0_C5E1E710723B_.wvu.FilterData" localSheetId="4" hidden="1">Schichtübergabe_Protokoll!$B$3:$N$3</definedName>
    <definedName name="Z_B738AFCB_2AF8_4D8C_8E6C_11EBEB75EE0D_.wvu.FilterData" localSheetId="1" hidden="1">Inbound_Monitor!$A$2:$Q$3</definedName>
    <definedName name="Z_B738AFCB_2AF8_4D8C_8E6C_11EBEB75EE0D_.wvu.FilterData" localSheetId="0" hidden="1">Outbound_Monitor!$A$2:$W$3</definedName>
    <definedName name="Z_B7484B15_975B_474A_B42D_E2E9724E10CB_.wvu.FilterData" localSheetId="0" hidden="1">Outbound_Monitor!$A$2:$W$3</definedName>
    <definedName name="Z_B74D452A_DA52_46BD_867E_E7B6950B9A02_.wvu.FilterData" localSheetId="1" hidden="1">Inbound_Monitor!$A$2:$Q$3</definedName>
    <definedName name="Z_B761B196_DA49_456B_988A_AB22FA6EE7BF_.wvu.FilterData" localSheetId="1" hidden="1">Inbound_Monitor!$A$2:$Q$13</definedName>
    <definedName name="Z_B761B196_DA49_456B_988A_AB22FA6EE7BF_.wvu.FilterData" localSheetId="0" hidden="1">Outbound_Monitor!$A$2:$X$16</definedName>
    <definedName name="Z_B7671AAE_AC0B_4D0F_BD8A_CC921133630C_.wvu.FilterData" localSheetId="1" hidden="1">Inbound_Monitor!$A$2:$Q$13</definedName>
    <definedName name="Z_B7671AAE_AC0B_4D0F_BD8A_CC921133630C_.wvu.FilterData" localSheetId="0" hidden="1">Outbound_Monitor!$A$2:$X$16</definedName>
    <definedName name="Z_B77B07C4_C262_43B3_8D41_1B261408C78C_.wvu.FilterData" localSheetId="0" hidden="1">Outbound_Monitor!$A$2:$W$3</definedName>
    <definedName name="Z_B784C0E4_85DF_49D5_91CE_CC9B694E3570_.wvu.FilterData" localSheetId="0" hidden="1">Outbound_Monitor!$A$2:$W$3</definedName>
    <definedName name="Z_B7856C10_A176_4A21_A557_5FDFAC8CF015_.wvu.FilterData" localSheetId="0" hidden="1">Outbound_Monitor!$A$2:$W$3</definedName>
    <definedName name="Z_B789286B_B2A0_4AD1_8220_3AD893D250C7_.wvu.FilterData" localSheetId="1" hidden="1">Inbound_Monitor!$A$2:$Q$3</definedName>
    <definedName name="Z_B78DFECF_83F3_4923_84A6_4CC93E748AD6_.wvu.FilterData" localSheetId="1" hidden="1">Inbound_Monitor!$A$2:$Q$13</definedName>
    <definedName name="Z_B7A88845_D18F_4A06_8B4D_97FDBA536949_.wvu.FilterData" localSheetId="1" hidden="1">Inbound_Monitor!$A$2:$Q$3</definedName>
    <definedName name="Z_B7B3B715_63F8_427A_B836_734CAAA08F76_.wvu.FilterData" localSheetId="0" hidden="1">Outbound_Monitor!$A$2:$X$16</definedName>
    <definedName name="Z_B7B7A3DA_3645_427B_BAE5_5B483BAB56D1_.wvu.FilterData" localSheetId="1" hidden="1">Inbound_Monitor!$A$2:$Q$2</definedName>
    <definedName name="Z_B7B7A3DA_3645_427B_BAE5_5B483BAB56D1_.wvu.FilterData" localSheetId="0" hidden="1">Outbound_Monitor!$A$2:$W$2</definedName>
    <definedName name="Z_B7BA037C_2F36_47B4_B002_5596C86BDBFA_.wvu.FilterData" localSheetId="0" hidden="1">Outbound_Monitor!$A$2:$W$3</definedName>
    <definedName name="Z_B7BFB235_968F_49A6_AAA7_93ECF30AD3AC_.wvu.FilterData" localSheetId="1" hidden="1">Inbound_Monitor!$A$2:$Q$2</definedName>
    <definedName name="Z_B7BFB235_968F_49A6_AAA7_93ECF30AD3AC_.wvu.FilterData" localSheetId="0" hidden="1">Outbound_Monitor!$A$2:$W$2</definedName>
    <definedName name="Z_B7C848F8_1C7D_4317_AD3B_9AA9BAD99B34_.wvu.FilterData" localSheetId="1" hidden="1">Inbound_Monitor!$A$2:$Q$13</definedName>
    <definedName name="Z_B7C848F8_1C7D_4317_AD3B_9AA9BAD99B34_.wvu.FilterData" localSheetId="0" hidden="1">Outbound_Monitor!$A$2:$X$16</definedName>
    <definedName name="Z_B7CCEF92_147B_4D5D_9401_E5516F1DD499_.wvu.FilterData" localSheetId="1" hidden="1">Inbound_Monitor!$A$2:$Q$13</definedName>
    <definedName name="Z_B7CFE06A_3822_4BFA_AD7B_87A8E8CDA191_.wvu.FilterData" localSheetId="1" hidden="1">Inbound_Monitor!$A$2:$Q$2</definedName>
    <definedName name="Z_B7CFE06A_3822_4BFA_AD7B_87A8E8CDA191_.wvu.FilterData" localSheetId="0" hidden="1">Outbound_Monitor!$A$2:$W$2</definedName>
    <definedName name="Z_B7D4A006_6B2C_427A_A239_5B2880CA2F67_.wvu.FilterData" localSheetId="1" hidden="1">Inbound_Monitor!$A$2:$Q$2</definedName>
    <definedName name="Z_B7D4A006_6B2C_427A_A239_5B2880CA2F67_.wvu.FilterData" localSheetId="0" hidden="1">Outbound_Monitor!$A$2:$W$2</definedName>
    <definedName name="Z_B7F31154_ACAC_41D1_B0CE_53B6832EACA7_.wvu.FilterData" localSheetId="0" hidden="1">Outbound_Monitor!$A$2:$W$3</definedName>
    <definedName name="Z_B7F4E30B_5488_4FD8_983A_F200B6D14646_.wvu.FilterData" localSheetId="0" hidden="1">Outbound_Monitor!$A$2:$W$3</definedName>
    <definedName name="Z_B7FDFA59_8211_44F2_BE6A_1C173F1D3637_.wvu.FilterData" localSheetId="0" hidden="1">Outbound_Monitor!$A$2:$W$3</definedName>
    <definedName name="Z_B800FADE_17F5_4391_A6D0_F1354A19F514_.wvu.FilterData" localSheetId="0" hidden="1">Outbound_Monitor!$A$2:$X$16</definedName>
    <definedName name="Z_B802FE49_AB93_4677_AD59_889561FF2C59_.wvu.FilterData" localSheetId="0" hidden="1">Outbound_Monitor!#REF!</definedName>
    <definedName name="Z_B8051D6A_0A1F_485E_B45D_CBDA1CF86B02_.wvu.FilterData" localSheetId="1" hidden="1">Inbound_Monitor!$A$2:$Q$2</definedName>
    <definedName name="Z_B8051D6A_0A1F_485E_B45D_CBDA1CF86B02_.wvu.FilterData" localSheetId="0" hidden="1">Outbound_Monitor!$A$2:$W$2</definedName>
    <definedName name="Z_B843DE53_587D_4DDC_8F84_EA4B0E5A2130_.wvu.FilterData" localSheetId="0" hidden="1">Outbound_Monitor!$A$2:$X$16</definedName>
    <definedName name="Z_B84E7D86_9DF4_4C6D_9E31_2AF23199AD6B_.wvu.FilterData" localSheetId="1" hidden="1">Inbound_Monitor!$A$2:$Q$3</definedName>
    <definedName name="Z_B85231D8_27B9_43DF_AFA3_1A0D5F4CB229_.wvu.FilterData" localSheetId="1" hidden="1">Inbound_Monitor!$A$2:$Q$13</definedName>
    <definedName name="Z_B85231D8_27B9_43DF_AFA3_1A0D5F4CB229_.wvu.FilterData" localSheetId="0" hidden="1">Outbound_Monitor!$A$2:$W$3</definedName>
    <definedName name="Z_B859CDA2_843A_47DA_BBFC_CA5602625F70_.wvu.FilterData" localSheetId="0" hidden="1">Outbound_Monitor!$A$2:$W$3</definedName>
    <definedName name="Z_B861C1BF_83B6_4732_BFEF_B7358341FD8B_.wvu.FilterData" localSheetId="0" hidden="1">Outbound_Monitor!$A$2:$W$3</definedName>
    <definedName name="Z_B862E27C_0973_460B_B1B5_C754F6B95638_.wvu.FilterData" localSheetId="0" hidden="1">Outbound_Monitor!$A$2:$W$3</definedName>
    <definedName name="Z_B8647D01_74E3_464D_8E7F_AF750206AF11_.wvu.FilterData" localSheetId="0" hidden="1">Outbound_Monitor!$A$2:$W$3</definedName>
    <definedName name="Z_B864DF48_D707_4766_A3AA_4421CB63A571_.wvu.FilterData" localSheetId="0" hidden="1">Outbound_Monitor!$A$2:$W$3</definedName>
    <definedName name="Z_B87B31BD_963D_4E26_BEF7_144808AA2160_.wvu.FilterData" localSheetId="1" hidden="1">Inbound_Monitor!$A$2:$Q$13</definedName>
    <definedName name="Z_B87B31BD_963D_4E26_BEF7_144808AA2160_.wvu.FilterData" localSheetId="0" hidden="1">Outbound_Monitor!$A$2:$W$3</definedName>
    <definedName name="Z_B89F8014_8CBB_45E6_B29D_3B36C00FDF83_.wvu.FilterData" localSheetId="0" hidden="1">Outbound_Monitor!$A$2:$W$3</definedName>
    <definedName name="Z_B8A2CA0E_2668_48B6_BE2B_9E24E6271B6B_.wvu.FilterData" localSheetId="1" hidden="1">Inbound_Monitor!$A$2:$Q$3</definedName>
    <definedName name="Z_B8B2BDCB_344D_4AB9_BF43_DD8B8178AB7A_.wvu.FilterData" localSheetId="0" hidden="1">Outbound_Monitor!$A$2:$W$3</definedName>
    <definedName name="Z_B8B2BDCB_344D_4AB9_BF43_DD8B8178AB7A_.wvu.FilterData" localSheetId="4" hidden="1">Schichtübergabe_Protokoll!$B$3:$N$3</definedName>
    <definedName name="Z_B8BF3FA6_2E79_416E_84B7_AD3C9B86DED9_.wvu.FilterData" localSheetId="1" hidden="1">Inbound_Monitor!$A$2:$Q$3</definedName>
    <definedName name="Z_B8C8E619_25A2_43F5_A522_BBEDBDF2C957_.wvu.FilterData" localSheetId="1" hidden="1">Inbound_Monitor!$A$2:$Q$2</definedName>
    <definedName name="Z_B8C8E619_25A2_43F5_A522_BBEDBDF2C957_.wvu.FilterData" localSheetId="0" hidden="1">Outbound_Monitor!$A$2:$W$2</definedName>
    <definedName name="Z_B8E77213_DA95_4040_B7F7_39B39A1B9A22_.wvu.FilterData" localSheetId="0" hidden="1">Outbound_Monitor!$A$2:$W$3</definedName>
    <definedName name="Z_B8E88FB8_5FF4_423F_B296_664E47EFF30E_.wvu.FilterData" localSheetId="4" hidden="1">Schichtübergabe_Protokoll!$B$3:$N$3</definedName>
    <definedName name="Z_B8EA7B9D_DB89_4018_A587_F5DC712521E3_.wvu.FilterData" localSheetId="1" hidden="1">Inbound_Monitor!$A$2:$Q$3</definedName>
    <definedName name="Z_B8EA7B9D_DB89_4018_A587_F5DC712521E3_.wvu.FilterData" localSheetId="0" hidden="1">Outbound_Monitor!$A$2:$W$3</definedName>
    <definedName name="Z_B8EE7187_BC29_4F32_B533_49D43356CF02_.wvu.FilterData" localSheetId="0" hidden="1">Outbound_Monitor!$A$2:$W$3</definedName>
    <definedName name="Z_B8F8D593_870A_4BDB_8C4A_E9CC2D9BDDF4_.wvu.FilterData" localSheetId="1" hidden="1">Inbound_Monitor!$A$2:$Q$13</definedName>
    <definedName name="Z_B8F8D593_870A_4BDB_8C4A_E9CC2D9BDDF4_.wvu.FilterData" localSheetId="0" hidden="1">Outbound_Monitor!$A$2:$X$16</definedName>
    <definedName name="Z_B8FC3C3C_5C7A_476D_85E5_07EED1673C8B_.wvu.FilterData" localSheetId="0" hidden="1">Outbound_Monitor!$A$2:$X$16</definedName>
    <definedName name="Z_B9002CA2_2EED_4A2D_B621_2716A71DA5A0_.wvu.FilterData" localSheetId="0" hidden="1">Outbound_Monitor!$A$2:$X$16</definedName>
    <definedName name="Z_B90BA170_8AFE_4673_9D8D_B49764CB7D28_.wvu.FilterData" localSheetId="0" hidden="1">Outbound_Monitor!$A$2:$W$3</definedName>
    <definedName name="Z_B91233E3_83AD_485D_987D_5DF40DFD2C62_.wvu.FilterData" localSheetId="1" hidden="1">Inbound_Monitor!$A$2:$Q$13</definedName>
    <definedName name="Z_B91233E3_83AD_485D_987D_5DF40DFD2C62_.wvu.FilterData" localSheetId="0" hidden="1">Outbound_Monitor!$A$2:$X$16</definedName>
    <definedName name="Z_B9134591_F925_4E09_8910_FE5CAD147D1D_.wvu.FilterData" localSheetId="1" hidden="1">Inbound_Monitor!$A$2:$Q$3</definedName>
    <definedName name="Z_B9134591_F925_4E09_8910_FE5CAD147D1D_.wvu.FilterData" localSheetId="0" hidden="1">Outbound_Monitor!$A$2:$W$3</definedName>
    <definedName name="Z_B929D81A_2BC9_4646_BDC8_69E1E80039AD_.wvu.FilterData" localSheetId="4" hidden="1">Schichtübergabe_Protokoll!$B$3:$N$3</definedName>
    <definedName name="Z_B9319C15_D46A_44DD_873E_6355A0EFA6B0_.wvu.FilterData" localSheetId="0" hidden="1">Outbound_Monitor!$A$2:$W$3</definedName>
    <definedName name="Z_B9407EF5_FCD9_4350_AD6C_36BE673D6C7F_.wvu.FilterData" localSheetId="0" hidden="1">Outbound_Monitor!$A$2:$W$3</definedName>
    <definedName name="Z_B941AA97_95D2_426D_9974_C4BB47B032B0_.wvu.FilterData" localSheetId="1" hidden="1">Inbound_Monitor!$A$2:$Q$3</definedName>
    <definedName name="Z_B941AA97_95D2_426D_9974_C4BB47B032B0_.wvu.FilterData" localSheetId="0" hidden="1">Outbound_Monitor!$A$2:$W$3</definedName>
    <definedName name="Z_B947819C_6324_4D84_A4E9_F02DB0E1F83E_.wvu.FilterData" localSheetId="0" hidden="1">Outbound_Monitor!$A$2:$W$3</definedName>
    <definedName name="Z_B94EA75D_E86B_4A19_AEE7_63C362D9E9CC_.wvu.FilterData" localSheetId="1" hidden="1">Inbound_Monitor!$A$2:$Q$2</definedName>
    <definedName name="Z_B94EA75D_E86B_4A19_AEE7_63C362D9E9CC_.wvu.FilterData" localSheetId="0" hidden="1">Outbound_Monitor!$A$2:$W$2</definedName>
    <definedName name="Z_B95B0782_18A0_4B3C_8342_10C2A9595266_.wvu.FilterData" localSheetId="1" hidden="1">Inbound_Monitor!$A$2:$Q$3</definedName>
    <definedName name="Z_B95B0782_18A0_4B3C_8342_10C2A9595266_.wvu.FilterData" localSheetId="0" hidden="1">Outbound_Monitor!$A$2:$W$3</definedName>
    <definedName name="Z_B95B0782_18A0_4B3C_8342_10C2A9595266_.wvu.FilterData" localSheetId="4" hidden="1">Schichtübergabe_Protokoll!$B$3:$N$3</definedName>
    <definedName name="Z_B9624B04_E8A0_437B_B708_196A197F1B18_.wvu.FilterData" localSheetId="0" hidden="1">Outbound_Monitor!$A$2:$W$3</definedName>
    <definedName name="Z_B96A953B_0847_48E0_A8E9_0AB2E0C23405_.wvu.FilterData" localSheetId="1" hidden="1">Inbound_Monitor!$A$2:$Q$3</definedName>
    <definedName name="Z_B97595C8_1336_4516_9334_AD8B33C8D924_.wvu.FilterData" localSheetId="0" hidden="1">Outbound_Monitor!$A$2:$W$3</definedName>
    <definedName name="Z_B98F024C_9830_4727_B53B_D7B7C0A8E023_.wvu.FilterData" localSheetId="1" hidden="1">Inbound_Monitor!$A$2:$Q$13</definedName>
    <definedName name="Z_B98F024C_9830_4727_B53B_D7B7C0A8E023_.wvu.FilterData" localSheetId="0" hidden="1">Outbound_Monitor!$A$2:$W$3</definedName>
    <definedName name="Z_B99C0556_0B9D_43A9_8CAF_0874949490A8_.wvu.FilterData" localSheetId="0" hidden="1">Outbound_Monitor!$A$2:$W$3</definedName>
    <definedName name="Z_B99DF95D_4F9E_42E0_AD09_7586897C0A64_.wvu.FilterData" localSheetId="0" hidden="1">Outbound_Monitor!$A$2:$W$3</definedName>
    <definedName name="Z_B9A399DF_942B_4C9C_9E77_7B92C2673F18_.wvu.FilterData" localSheetId="1" hidden="1">Inbound_Monitor!$A$2:$Q$2</definedName>
    <definedName name="Z_B9A399DF_942B_4C9C_9E77_7B92C2673F18_.wvu.FilterData" localSheetId="0" hidden="1">Outbound_Monitor!$A$2:$W$2</definedName>
    <definedName name="Z_B9A509B6_590D_4ACD_8F3B_216AEF63C9C8_.wvu.FilterData" localSheetId="1" hidden="1">Inbound_Monitor!$A$2:$Q$13</definedName>
    <definedName name="Z_B9A509B6_590D_4ACD_8F3B_216AEF63C9C8_.wvu.FilterData" localSheetId="0" hidden="1">Outbound_Monitor!$A$2:$X$16</definedName>
    <definedName name="Z_B9AD09C0_A36F_414B_B2A4_CCCD0C846E6C_.wvu.FilterData" localSheetId="1" hidden="1">Inbound_Monitor!$A$2:$Q$3</definedName>
    <definedName name="Z_B9AD09C0_A36F_414B_B2A4_CCCD0C846E6C_.wvu.FilterData" localSheetId="0" hidden="1">Outbound_Monitor!$A$2:$W$3</definedName>
    <definedName name="Z_B9B44BCD_9D55_4925_9FB3_802D4F97C39F_.wvu.FilterData" localSheetId="1" hidden="1">Inbound_Monitor!$A$2:$Q$3</definedName>
    <definedName name="Z_B9C3C34B_9945_4698_BB49_EBCAC79D3706_.wvu.FilterData" localSheetId="0" hidden="1">Outbound_Monitor!$A$2:$W$3</definedName>
    <definedName name="Z_B9C4089B_AA0E_495B_85B7_AF93049F7187_.wvu.FilterData" localSheetId="0" hidden="1">Outbound_Monitor!$A$2:$W$3</definedName>
    <definedName name="Z_B9CA9315_6862_47B8_8AEE_67E738FFB308_.wvu.FilterData" localSheetId="0" hidden="1">Outbound_Monitor!$A$2:$W$3</definedName>
    <definedName name="Z_B9D0038D_9DC5_4B50_8726_6F0CCF561963_.wvu.FilterData" localSheetId="0" hidden="1">Outbound_Monitor!$A$2:$W$3</definedName>
    <definedName name="Z_B9D45532_7799_451A_BBA1_841037D78646_.wvu.FilterData" localSheetId="1" hidden="1">Inbound_Monitor!$A$2:$Q$13</definedName>
    <definedName name="Z_B9EAA77E_2C54_411E_A94C_CD08618A854C_.wvu.FilterData" localSheetId="1" hidden="1">Inbound_Monitor!$A$2:$Q$3</definedName>
    <definedName name="Z_B9EAA77E_2C54_411E_A94C_CD08618A854C_.wvu.FilterData" localSheetId="0" hidden="1">Outbound_Monitor!$A$2:$W$3</definedName>
    <definedName name="Z_B9ED429B_3D87_44E0_99FB_984EC4D34597_.wvu.FilterData" localSheetId="1" hidden="1">Inbound_Monitor!$A$2:$Q$3</definedName>
    <definedName name="Z_B9EEFB06_73C6_4F6E_A393_98C10D2D5AB8_.wvu.FilterData" localSheetId="0" hidden="1">Outbound_Monitor!$A$2:$W$3</definedName>
    <definedName name="Z_B9F8423F_5D3A_4C7B_9C3B_46E52A71ABBD_.wvu.FilterData" localSheetId="1" hidden="1">Inbound_Monitor!$A$2:$Q$3</definedName>
    <definedName name="Z_B9F8423F_5D3A_4C7B_9C3B_46E52A71ABBD_.wvu.FilterData" localSheetId="4" hidden="1">Schichtübergabe_Protokoll!$B$3:$N$3</definedName>
    <definedName name="Z_BA09C512_EEEC_4916_A99D_62B1825FFD3B_.wvu.FilterData" localSheetId="0" hidden="1">Outbound_Monitor!$A$2:$W$3</definedName>
    <definedName name="Z_BA0C6184_553F_4FBC_8FB0_A21927257E88_.wvu.FilterData" localSheetId="0" hidden="1">Outbound_Monitor!$A$2:$W$3</definedName>
    <definedName name="Z_BA17EC2A_19BC_45B7_A9AA_FD74E463F6E6_.wvu.FilterData" localSheetId="0" hidden="1">Outbound_Monitor!$A$2:$W$3</definedName>
    <definedName name="Z_BA1D9FE5_B1CF_41E0_A35D_E7FCD742D1C7_.wvu.FilterData" localSheetId="1" hidden="1">Inbound_Monitor!$A$2:$Q$13</definedName>
    <definedName name="Z_BA24B0AB_3C57_4A48_B0FF_F8000F2F26D2_.wvu.FilterData" localSheetId="0" hidden="1">Outbound_Monitor!$A$2:$X$16</definedName>
    <definedName name="Z_BA35155A_DBE9_466F_A9BA_5A9BB597A610_.wvu.FilterData" localSheetId="0" hidden="1">Outbound_Monitor!$A$2:$X$16</definedName>
    <definedName name="Z_BA38F1EC_A988_44D8_933B_8A2C852D23DA_.wvu.FilterData" localSheetId="0" hidden="1">Outbound_Monitor!$A$2:$W$3</definedName>
    <definedName name="Z_BA390B1B_DB76_45CB_BE12_1AA32688BD5C_.wvu.FilterData" localSheetId="1" hidden="1">Inbound_Monitor!$A$2:$Q$3</definedName>
    <definedName name="Z_BA649003_B84E_4AE3_970C_9E2148FD604D_.wvu.FilterData" localSheetId="0" hidden="1">Outbound_Monitor!$A$2:$X$16</definedName>
    <definedName name="Z_BA757FF5_ACAF_4233_9CA5_5E5054200035_.wvu.FilterData" localSheetId="1" hidden="1">Inbound_Monitor!$A$2:$Q$3</definedName>
    <definedName name="Z_BA757FF5_ACAF_4233_9CA5_5E5054200035_.wvu.FilterData" localSheetId="0" hidden="1">Outbound_Monitor!$A$2:$W$3</definedName>
    <definedName name="Z_BA757FF5_ACAF_4233_9CA5_5E5054200035_.wvu.FilterData" localSheetId="4" hidden="1">Schichtübergabe_Protokoll!$B$3:$N$3</definedName>
    <definedName name="Z_BA863A0F_17C7_4E7F_86CB_DF18E6F47B40_.wvu.FilterData" localSheetId="0" hidden="1">Outbound_Monitor!$A$2:$W$3</definedName>
    <definedName name="Z_BA896794_8AE7_444C_BDFE_4DCABDADB3D2_.wvu.FilterData" localSheetId="0" hidden="1">Outbound_Monitor!$A$2:$W$3</definedName>
    <definedName name="Z_BA8C5AA2_9EF6_4800_8527_C7A439B413CA_.wvu.FilterData" localSheetId="0" hidden="1">Outbound_Monitor!$A$2:$W$3</definedName>
    <definedName name="Z_BA99F8B8_1851_416C_B4E5_D475823DA66D_.wvu.FilterData" localSheetId="0" hidden="1">Outbound_Monitor!$A$2:$W$3</definedName>
    <definedName name="Z_BA9BD0E1_C8C7_49FC_BB2A_E56BFC7E4411_.wvu.FilterData" localSheetId="0" hidden="1">Outbound_Monitor!$A$2:$W$3</definedName>
    <definedName name="Z_BAABDED7_F3DA_42A1_B53C_D0D1CE88003E_.wvu.Rows" localSheetId="3" hidden="1">'SDDS_Office (nicht nutzen)'!#REF!,'SDDS_Office (nicht nutzen)'!#REF!,'SDDS_Office (nicht nutzen)'!#REF!,'SDDS_Office (nicht nutzen)'!#REF!</definedName>
    <definedName name="Z_BAC38F2C_043E_41E3_B98C_F9459398B150_.wvu.FilterData" localSheetId="1" hidden="1">Inbound_Monitor!$A$2:$Q$13</definedName>
    <definedName name="Z_BACAF12E_DDB8_4840_8E86_B3B9887E92D2_.wvu.FilterData" localSheetId="1" hidden="1">Inbound_Monitor!$A$2:$Q$3</definedName>
    <definedName name="Z_BAE375F8_8E5B_46BE_8C59_BAA4120CFB08_.wvu.FilterData" localSheetId="0" hidden="1">Outbound_Monitor!$A$2:$W$3</definedName>
    <definedName name="Z_BAE397FA_776F_4C99_A63E_14F2EE806634_.wvu.FilterData" localSheetId="0" hidden="1">Outbound_Monitor!$A$2:$W$3</definedName>
    <definedName name="Z_BAFF3870_85A8_42F8_866E_ABE7964F038E_.wvu.FilterData" localSheetId="0" hidden="1">Outbound_Monitor!$A$2:$W$3</definedName>
    <definedName name="Z_BB09FD38_C99A_410E_A37E_73FE85CFCF3C_.wvu.FilterData" localSheetId="1" hidden="1">Inbound_Monitor!$A$2:$Q$13</definedName>
    <definedName name="Z_BB09FD38_C99A_410E_A37E_73FE85CFCF3C_.wvu.FilterData" localSheetId="0" hidden="1">Outbound_Monitor!$A$2:$W$3</definedName>
    <definedName name="Z_BB1578DA_5D73_4213_9912_92FB1D6C258B_.wvu.FilterData" localSheetId="0" hidden="1">Outbound_Monitor!$A$2:$W$3</definedName>
    <definedName name="Z_BB1F18B7_94D9_4112_A884_9DD50B81876C_.wvu.FilterData" localSheetId="0" hidden="1">Outbound_Monitor!$A$2:$W$3</definedName>
    <definedName name="Z_BB33A639_BF1A_4250_9198_31A9BC762F62_.wvu.FilterData" localSheetId="0" hidden="1">Outbound_Monitor!$A$2:$W$3</definedName>
    <definedName name="Z_BB3A7C26_803F_4B4B_BEEC_413FCC61E6A4_.wvu.FilterData" localSheetId="1" hidden="1">Inbound_Monitor!$A$2:$Q$3</definedName>
    <definedName name="Z_BB3ABEC9_2F90_44F0_998E_09FB240B0920_.wvu.FilterData" localSheetId="0" hidden="1">Outbound_Monitor!$A$2:$X$16</definedName>
    <definedName name="Z_BB3B76FA_2959_4340_B77D_598648247A97_.wvu.FilterData" localSheetId="4" hidden="1">Schichtübergabe_Protokoll!$B$3:$N$3</definedName>
    <definedName name="Z_BB3C0DDC_314F_4A97_8504_B7E8238ED53A_.wvu.FilterData" localSheetId="1" hidden="1">Inbound_Monitor!$A$2:$Q$13</definedName>
    <definedName name="Z_BB49DF28_6E5F_4CBE_A4D3_7A3830A61B28_.wvu.FilterData" localSheetId="1" hidden="1">Inbound_Monitor!$A$2:$Q$3</definedName>
    <definedName name="Z_BB4ADD0D_3110_4E88_9D9A_1CC93C695F88_.wvu.FilterData" localSheetId="1" hidden="1">Inbound_Monitor!$A$2:$Q$3</definedName>
    <definedName name="Z_BB5C4AE6_3A7D_41D5_BDEC_17D3998077E1_.wvu.FilterData" localSheetId="4" hidden="1">Schichtübergabe_Protokoll!$B$3:$N$3</definedName>
    <definedName name="Z_BB69FBBA_CBA9_4B25_9C74_5FFB4DCA1D29_.wvu.FilterData" localSheetId="0" hidden="1">Outbound_Monitor!$A$2:$W$3</definedName>
    <definedName name="Z_BB83C8B7_AA14_4A05_B33C_A34C20E60812_.wvu.FilterData" localSheetId="1" hidden="1">Inbound_Monitor!$A$2:$Q$13</definedName>
    <definedName name="Z_BB83C8B7_AA14_4A05_B33C_A34C20E60812_.wvu.FilterData" localSheetId="0" hidden="1">Outbound_Monitor!$A$2:$W$3</definedName>
    <definedName name="Z_BB924F4F_01D9_4BC7_955B_38713336B750_.wvu.FilterData" localSheetId="1" hidden="1">Inbound_Monitor!$A$2:$Q$2</definedName>
    <definedName name="Z_BB924F4F_01D9_4BC7_955B_38713336B750_.wvu.FilterData" localSheetId="0" hidden="1">Outbound_Monitor!$A$2:$W$2</definedName>
    <definedName name="Z_BB95BA97_005B_4F4F_9CFD_6DB7317AAD9C_.wvu.FilterData" localSheetId="1" hidden="1">Inbound_Monitor!$A$2:$Q$13</definedName>
    <definedName name="Z_BB9F9CE0_C0B3_4827_AC6D_3842156A6FE4_.wvu.FilterData" localSheetId="1" hidden="1">Inbound_Monitor!$A$2:$Q$2</definedName>
    <definedName name="Z_BB9F9CE0_C0B3_4827_AC6D_3842156A6FE4_.wvu.FilterData" localSheetId="0" hidden="1">Outbound_Monitor!$A$2:$W$2</definedName>
    <definedName name="Z_BBA1A6F7_2D50_4926_897D_190D172B2C10_.wvu.FilterData" localSheetId="0" hidden="1">Outbound_Monitor!$A$2:$W$3</definedName>
    <definedName name="Z_BBA6146D_1BB7_4AD2_8287_85E9436DD4DE_.wvu.FilterData" localSheetId="0" hidden="1">Outbound_Monitor!$A$2:$X$16</definedName>
    <definedName name="Z_BBB1EC56_8101_47DB_B8CC_166E511C8C3F_.wvu.FilterData" localSheetId="0" hidden="1">Outbound_Monitor!$A$2:$W$3</definedName>
    <definedName name="Z_BBBBDEFA_6B83_42AD_99F1_F12D46A84880_.wvu.FilterData" localSheetId="0" hidden="1">Outbound_Monitor!$A$2:$W$3</definedName>
    <definedName name="Z_BBCE2369_29EC_433B_8388_31DA30F1CC4F_.wvu.FilterData" localSheetId="0" hidden="1">Outbound_Monitor!$A$2:$W$3</definedName>
    <definedName name="Z_BBD6446A_F47D_4007_9457_D7BE5A1C91B9_.wvu.FilterData" localSheetId="1" hidden="1">Inbound_Monitor!$A$2:$Q$3</definedName>
    <definedName name="Z_BBE20EF3_07F6_479B_8CD9_85B7C561DF58_.wvu.FilterData" localSheetId="1" hidden="1">Inbound_Monitor!$A$2:$Q$13</definedName>
    <definedName name="Z_BBE20EF3_07F6_479B_8CD9_85B7C561DF58_.wvu.FilterData" localSheetId="0" hidden="1">Outbound_Monitor!$A$2:$W$3</definedName>
    <definedName name="Z_BBEBA339_9A1D_47F8_942F_1544D3811248_.wvu.FilterData" localSheetId="1" hidden="1">Inbound_Monitor!$A$2:$Q$2</definedName>
    <definedName name="Z_BBEBA339_9A1D_47F8_942F_1544D3811248_.wvu.FilterData" localSheetId="0" hidden="1">Outbound_Monitor!$A$2:$W$2</definedName>
    <definedName name="Z_BBFBF601_798D_476A_9DF8_51161802CE2D_.wvu.FilterData" localSheetId="1" hidden="1">Inbound_Monitor!$A$2:$Q$13</definedName>
    <definedName name="Z_BBFBF601_798D_476A_9DF8_51161802CE2D_.wvu.FilterData" localSheetId="0" hidden="1">Outbound_Monitor!$A$2:$W$3</definedName>
    <definedName name="Z_BC02AF53_E387_4418_97C4_09A4CD9507CC_.wvu.FilterData" localSheetId="1" hidden="1">Inbound_Monitor!$A$2:$Q$3</definedName>
    <definedName name="Z_BC22AEC3_A304_4912_9AD6_20F2BCA0C428_.wvu.FilterData" localSheetId="0" hidden="1">Outbound_Monitor!$A$2:$W$3</definedName>
    <definedName name="Z_BC5166FF_FDA4_41D8_89BB_0CF570F35344_.wvu.FilterData" localSheetId="1" hidden="1">Inbound_Monitor!$A$2:$Q$3</definedName>
    <definedName name="Z_BC51BDBF_E360_4C20_A126_1A894EFFC057_.wvu.FilterData" localSheetId="0" hidden="1">Outbound_Monitor!$A$2:$X$16</definedName>
    <definedName name="Z_BC567963_F0E0_4295_B552_254051DA3EE1_.wvu.FilterData" localSheetId="1" hidden="1">Inbound_Monitor!$A$2:$Q$3</definedName>
    <definedName name="Z_BC5D1BB4_8F6F_4B57_BC41_0E559B6A3235_.wvu.FilterData" localSheetId="0" hidden="1">Outbound_Monitor!$A$2:$W$3</definedName>
    <definedName name="Z_BC5FD93D_474A_40CE_AC98_87A9E14985AE_.wvu.FilterData" localSheetId="0" hidden="1">Outbound_Monitor!$A$2:$X$16</definedName>
    <definedName name="Z_BC69618D_D3FE_4870_A466_800A479AFFB2_.wvu.FilterData" localSheetId="0" hidden="1">Outbound_Monitor!#REF!</definedName>
    <definedName name="Z_BC7E3DFF_6494_4131_8959_7535E26CBDDF_.wvu.FilterData" localSheetId="0" hidden="1">Outbound_Monitor!$A$2:$W$3</definedName>
    <definedName name="Z_BC803652_1399_466B_83A9_6EA66B2D59F7_.wvu.FilterData" localSheetId="0" hidden="1">Outbound_Monitor!$A$2:$W$3</definedName>
    <definedName name="Z_BC82866B_E832_46E1_9A3E_3E58202CCF66_.wvu.FilterData" localSheetId="4" hidden="1">Schichtübergabe_Protokoll!$B$3:$N$3</definedName>
    <definedName name="Z_BC9313F0_2936_4B99_BFD4_A752E5DC861F_.wvu.FilterData" localSheetId="0" hidden="1">Outbound_Monitor!$A$2:$W$3</definedName>
    <definedName name="Z_BC97F46C_444D_4515_B6FF_07A7C705E799_.wvu.FilterData" localSheetId="0" hidden="1">Outbound_Monitor!$A$2:$X$16</definedName>
    <definedName name="Z_BCA895AD_D12A_422E_AB71_63C22C3193FE_.wvu.FilterData" localSheetId="1" hidden="1">Inbound_Monitor!$A$2:$Q$2</definedName>
    <definedName name="Z_BCA895AD_D12A_422E_AB71_63C22C3193FE_.wvu.FilterData" localSheetId="0" hidden="1">Outbound_Monitor!$A$2:$W$2</definedName>
    <definedName name="Z_BCAAABE6_B56D_4B16_B8F7_AA6154C5B256_.wvu.FilterData" localSheetId="0" hidden="1">Outbound_Monitor!$A$2:$W$3</definedName>
    <definedName name="Z_BCB6C4F4_9F1A_405B_B8CD_8C54D8223641_.wvu.FilterData" localSheetId="0" hidden="1">Outbound_Monitor!$A$2:$W$3</definedName>
    <definedName name="Z_BCC3160B_C9ED_4E39_BBEE_24B62DA3A44C_.wvu.FilterData" localSheetId="0" hidden="1">Outbound_Monitor!$A$2:$X$16</definedName>
    <definedName name="Z_BCD752BB_5012_4791_8730_377F0428E327_.wvu.FilterData" localSheetId="0" hidden="1">Outbound_Monitor!$A$2:$W$3</definedName>
    <definedName name="Z_BCF01672_DA8C_4532_884D_9FF19C1198F2_.wvu.FilterData" localSheetId="1" hidden="1">Inbound_Monitor!$A$2:$Q$3</definedName>
    <definedName name="Z_BCF0A460_58B5_40D4_8897_49A6E7B0756F_.wvu.FilterData" localSheetId="0" hidden="1">Outbound_Monitor!$A$2:$W$3</definedName>
    <definedName name="Z_BCF7BA09_EE40_4E5D_8AFF_690DCAE2E3F5_.wvu.FilterData" localSheetId="0" hidden="1">Outbound_Monitor!$A$2:$W$3</definedName>
    <definedName name="Z_BD01E19F_90A5_4C0F_96FA_5943E4A0F47A_.wvu.FilterData" localSheetId="0" hidden="1">Outbound_Monitor!$A$2:$W$3</definedName>
    <definedName name="Z_BD14E5E8_0721_4E30_8549_F552B0D0D2C3_.wvu.FilterData" localSheetId="0" hidden="1">Outbound_Monitor!$A$2:$W$3</definedName>
    <definedName name="Z_BD25E9E6_6F2C_4C44_9C32_C775C9859A11_.wvu.FilterData" localSheetId="0" hidden="1">Outbound_Monitor!$A$2:$W$3</definedName>
    <definedName name="Z_BD2C38BC_E3B4_462A_9D49_0B32BEDF6E60_.wvu.FilterData" localSheetId="1" hidden="1">Inbound_Monitor!$A$2:$Q$13</definedName>
    <definedName name="Z_BD2C3B0B_DE3C_483D_B56F_389A83F03E18_.wvu.FilterData" localSheetId="1" hidden="1">Inbound_Monitor!$A$2:$Q$2</definedName>
    <definedName name="Z_BD2C3B0B_DE3C_483D_B56F_389A83F03E18_.wvu.FilterData" localSheetId="0" hidden="1">Outbound_Monitor!$A$2:$W$2</definedName>
    <definedName name="Z_BD4711D1_2784_4D17_84CC_BF92AE62BD36_.wvu.FilterData" localSheetId="1" hidden="1">Inbound_Monitor!$A$2:$Q$3</definedName>
    <definedName name="Z_BD5B2A62_80A1_483C_B9DB_38C11A82868F_.wvu.FilterData" localSheetId="1" hidden="1">Inbound_Monitor!$A$2:$Q$2</definedName>
    <definedName name="Z_BD5B2A62_80A1_483C_B9DB_38C11A82868F_.wvu.FilterData" localSheetId="0" hidden="1">Outbound_Monitor!$A$2:$W$2</definedName>
    <definedName name="Z_BD5BEC4D_AA7F_48EA_BBBE_0736FA499BC1_.wvu.FilterData" localSheetId="1" hidden="1">Inbound_Monitor!$A$2:$Q$3</definedName>
    <definedName name="Z_BD74BCF5_DD7C_44A9_9D5A_52A8A6F9F1D1_.wvu.FilterData" localSheetId="1" hidden="1">Inbound_Monitor!$A$2:$Q$3</definedName>
    <definedName name="Z_BD74BCF5_DD7C_44A9_9D5A_52A8A6F9F1D1_.wvu.FilterData" localSheetId="0" hidden="1">Outbound_Monitor!$A$2:$W$3</definedName>
    <definedName name="Z_BD775E70_2BC3_4906_A2EC_37879BE10D63_.wvu.FilterData" localSheetId="1" hidden="1">Inbound_Monitor!$A$2:$Q$3</definedName>
    <definedName name="Z_BD7A6246_FDA1_49AB_8FCF_CBE424CE8D44_.wvu.FilterData" localSheetId="1" hidden="1">Inbound_Monitor!$A$2:$Q$13</definedName>
    <definedName name="Z_BD91E242_E29A_4964_BEEE_25D7B1213AA7_.wvu.FilterData" localSheetId="0" hidden="1">Outbound_Monitor!$A$2:$W$3</definedName>
    <definedName name="Z_BD97D19C_935E_4B10_8663_1938A58F07A9_.wvu.FilterData" localSheetId="1" hidden="1">Inbound_Monitor!$A$2:$Q$13</definedName>
    <definedName name="Z_BDA43DE2_9377_44A8_A4CC_4715D9A5A224_.wvu.FilterData" localSheetId="0" hidden="1">Outbound_Monitor!$A$2:$W$3</definedName>
    <definedName name="Z_BDAADFB8_E8BE_4EE8_97F9_7D5B6386E8CE_.wvu.FilterData" localSheetId="1" hidden="1">Inbound_Monitor!$A$2:$Q$13</definedName>
    <definedName name="Z_BDAADFB8_E8BE_4EE8_97F9_7D5B6386E8CE_.wvu.FilterData" localSheetId="0" hidden="1">Outbound_Monitor!$A$2:$X$16</definedName>
    <definedName name="Z_BDAAFE88_0A07_44C0_9C3C_8EFECED75319_.wvu.FilterData" localSheetId="0" hidden="1">Outbound_Monitor!$A$2:$W$3</definedName>
    <definedName name="Z_BDC3B401_7312_454D_B5ED_6810B01E9586_.wvu.FilterData" localSheetId="1" hidden="1">Inbound_Monitor!$A$2:$Q$13</definedName>
    <definedName name="Z_BDC3B401_7312_454D_B5ED_6810B01E9586_.wvu.FilterData" localSheetId="0" hidden="1">Outbound_Monitor!$A$2:$X$16</definedName>
    <definedName name="Z_BDD2C2EA_E73F_4280_9CEF_3287DB48C372_.wvu.FilterData" localSheetId="0" hidden="1">Outbound_Monitor!$A$2:$W$3</definedName>
    <definedName name="Z_BDD88943_A225_4B37_BF51_F0E0741AF991_.wvu.FilterData" localSheetId="0" hidden="1">Outbound_Monitor!$A$2:$W$3</definedName>
    <definedName name="Z_BDD88943_A225_4B37_BF51_F0E0741AF991_.wvu.FilterData" localSheetId="4" hidden="1">Schichtübergabe_Protokoll!$B$3:$N$3</definedName>
    <definedName name="Z_BDF5D744_D222_4DE4_9E4C_F2BF3E34500B_.wvu.FilterData" localSheetId="0" hidden="1">Outbound_Monitor!$A$2:$W$3</definedName>
    <definedName name="Z_BDF9C8CA_D70D_4E24_8C76_C6B3376679CF_.wvu.FilterData" localSheetId="0" hidden="1">Outbound_Monitor!$A$2:$W$3</definedName>
    <definedName name="Z_BE12ABFE_45F2_48CB_8EB1_AE269FC45BC1_.wvu.FilterData" localSheetId="1" hidden="1">Inbound_Monitor!$A$2:$Q$3</definedName>
    <definedName name="Z_BE2A45E1_E0E8_489C_9FA3_3AFB561D057C_.wvu.FilterData" localSheetId="1" hidden="1">Inbound_Monitor!$A$2:$Q$13</definedName>
    <definedName name="Z_BE2A45E1_E0E8_489C_9FA3_3AFB561D057C_.wvu.FilterData" localSheetId="0" hidden="1">Outbound_Monitor!$A$2:$X$16</definedName>
    <definedName name="Z_BE398FBA_123F_4C9B_828F_67ADAFCD5F08_.wvu.FilterData" localSheetId="0" hidden="1">Outbound_Monitor!$A$2:$W$3</definedName>
    <definedName name="Z_BE3D53EA_81AB_4D5D_A1DE_9FFD661DB33E_.wvu.FilterData" localSheetId="1" hidden="1">Inbound_Monitor!$A$2:$Q$13</definedName>
    <definedName name="Z_BE49BB5E_C83C_408F_832D_27AD2B5FFFF5_.wvu.FilterData" localSheetId="1" hidden="1">Inbound_Monitor!$A$2:$Q$3</definedName>
    <definedName name="Z_BE4FC7FC_8B87_4AD9_9800_D90E5404B9BB_.wvu.FilterData" localSheetId="1" hidden="1">Inbound_Monitor!$A$2:$Q$13</definedName>
    <definedName name="Z_BE4FC7FC_8B87_4AD9_9800_D90E5404B9BB_.wvu.FilterData" localSheetId="0" hidden="1">Outbound_Monitor!$A$2:$W$3</definedName>
    <definedName name="Z_BE8009E7_7D4A_4309_B73A_27DEC16E41A7_.wvu.FilterData" localSheetId="0" hidden="1">Outbound_Monitor!$A$2:$W$3</definedName>
    <definedName name="Z_BE82076B_CB62_4410_9E17_78309CD35BA8_.wvu.FilterData" localSheetId="1" hidden="1">Inbound_Monitor!$A$2:$Q$13</definedName>
    <definedName name="Z_BE82076B_CB62_4410_9E17_78309CD35BA8_.wvu.FilterData" localSheetId="0" hidden="1">Outbound_Monitor!$A$2:$W$3</definedName>
    <definedName name="Z_BE992EE3_94C2_450E_A4D4_B4737E997D71_.wvu.FilterData" localSheetId="0" hidden="1">Outbound_Monitor!$A$2:$X$16</definedName>
    <definedName name="Z_BE9EB9A8_FA21_4198_AB94_82E0C1EF6741_.wvu.FilterData" localSheetId="0" hidden="1">Outbound_Monitor!$A$2:$W$3</definedName>
    <definedName name="Z_BEA05B26_2FC1_4C4B_B618_53A6CDE84D83_.wvu.FilterData" localSheetId="0" hidden="1">Outbound_Monitor!$A$2:$W$3</definedName>
    <definedName name="Z_BEAAAEB0_80C7_42DC_97CB_88351DBE6ED4_.wvu.FilterData" localSheetId="1" hidden="1">Inbound_Monitor!$A$2:$Q$13</definedName>
    <definedName name="Z_BEB2DF5E_DAA2_469D_A1BF_F078E1B465D7_.wvu.FilterData" localSheetId="0" hidden="1">Outbound_Monitor!$A$2:$W$3</definedName>
    <definedName name="Z_BEBB6EC0_90BF_4DD1_975C_5929B142AA92_.wvu.FilterData" localSheetId="1" hidden="1">Inbound_Monitor!$A$2:$Q$13</definedName>
    <definedName name="Z_BEC70F45_1069_458B_ADAE_5640A61FCAB4_.wvu.FilterData" localSheetId="0" hidden="1">Outbound_Monitor!$A$2:$X$16</definedName>
    <definedName name="Z_BEC89A94_2290_455B_9DA2_59EE2EF1B4A7_.wvu.FilterData" localSheetId="1" hidden="1">Inbound_Monitor!$A$2:$Q$3</definedName>
    <definedName name="Z_BEF42B56_4C6D_4E16_8B8B_AD226FE508AC_.wvu.FilterData" localSheetId="0" hidden="1">Outbound_Monitor!$A$2:$W$3</definedName>
    <definedName name="Z_BEFCD31F_905C_4A79_907F_090765EA7893_.wvu.FilterData" localSheetId="1" hidden="1">Inbound_Monitor!$A$2:$Q$13</definedName>
    <definedName name="Z_BEFCD31F_905C_4A79_907F_090765EA7893_.wvu.FilterData" localSheetId="0" hidden="1">Outbound_Monitor!$A$2:$X$16</definedName>
    <definedName name="Z_BEFD934B_4620_44A6_A824_52495ED573AE_.wvu.FilterData" localSheetId="1" hidden="1">Inbound_Monitor!$A$2:$Q$2</definedName>
    <definedName name="Z_BEFD934B_4620_44A6_A824_52495ED573AE_.wvu.FilterData" localSheetId="0" hidden="1">Outbound_Monitor!$A$2:$W$2</definedName>
    <definedName name="Z_BEFFBBD6_7575_4AFE_BB9B_188B842BFFBD_.wvu.FilterData" localSheetId="0" hidden="1">Outbound_Monitor!$A$2:$X$16</definedName>
    <definedName name="Z_BF01C647_181F_4E78_BDDF_9CDCEC8CC011_.wvu.FilterData" localSheetId="0" hidden="1">Outbound_Monitor!$A$2:$W$3</definedName>
    <definedName name="Z_BF03B469_78DA_4623_A314_FD480CBA58C0_.wvu.FilterData" localSheetId="0" hidden="1">Outbound_Monitor!$A$2:$W$3</definedName>
    <definedName name="Z_BF03DD82_1CCF_488A_9866_55CC8956E3CF_.wvu.FilterData" localSheetId="0" hidden="1">Outbound_Monitor!$A$2:$W$3</definedName>
    <definedName name="Z_BF282B09_61D1_4CB9_9668_8B1CF4D6CDA2_.wvu.FilterData" localSheetId="0" hidden="1">Outbound_Monitor!$A$2:$W$3</definedName>
    <definedName name="Z_BF363BB7_C11E_4751_8189_122ED82A1841_.wvu.FilterData" localSheetId="0" hidden="1">Outbound_Monitor!$A$2:$W$3</definedName>
    <definedName name="Z_BF461607_D92F_41E4_ABA9_79829584C312_.wvu.FilterData" localSheetId="0" hidden="1">Outbound_Monitor!$A$2:$W$3</definedName>
    <definedName name="Z_BF4D1FDA_E897_475C_A25B_023C91586D5A_.wvu.FilterData" localSheetId="0" hidden="1">Outbound_Monitor!$A$2:$W$3</definedName>
    <definedName name="Z_BF56217C_9EBC_4C04_9B27_1FE40C6FE28F_.wvu.FilterData" localSheetId="1" hidden="1">Inbound_Monitor!$A$2:$Q$3</definedName>
    <definedName name="Z_BF56217C_9EBC_4C04_9B27_1FE40C6FE28F_.wvu.FilterData" localSheetId="0" hidden="1">Outbound_Monitor!$A$2:$W$3</definedName>
    <definedName name="Z_BF734205_DC50_42AD_84C1_CD068F08A4B0_.wvu.FilterData" localSheetId="0" hidden="1">Outbound_Monitor!$A$2:$X$16</definedName>
    <definedName name="Z_BF7EDDE5_D689_4C63_B02F_C93DC338AB39_.wvu.FilterData" localSheetId="0" hidden="1">Outbound_Monitor!$A$2:$W$3</definedName>
    <definedName name="Z_BF9B14D8_2EAC_44AA_A9B4_B8F9BE1D66A7_.wvu.FilterData" localSheetId="0" hidden="1">Outbound_Monitor!$A$2:$W$3</definedName>
    <definedName name="Z_BFA27539_1D40_432E_8FD7_AFCD8FAD5B7E_.wvu.FilterData" localSheetId="0" hidden="1">Outbound_Monitor!$A$2:$X$16</definedName>
    <definedName name="Z_BFBE04A5_F72B_426C_8C24_797E8DD534F6_.wvu.FilterData" localSheetId="0" hidden="1">Outbound_Monitor!$A$2:$W$3</definedName>
    <definedName name="Z_BFC5EAAC_16CE_4525_B2C6_CB8D95C7EE00_.wvu.FilterData" localSheetId="0" hidden="1">Outbound_Monitor!$A$2:$W$3</definedName>
    <definedName name="Z_BFC63D0B_2394_443A_8A57_A883E200F256_.wvu.FilterData" localSheetId="1" hidden="1">Inbound_Monitor!$A$2:$Q$3</definedName>
    <definedName name="Z_BFCD8921_E1D5_4735_A4F0_16BD202C313D_.wvu.FilterData" localSheetId="1" hidden="1">Inbound_Monitor!$A$2:$Q$2</definedName>
    <definedName name="Z_BFCD8921_E1D5_4735_A4F0_16BD202C313D_.wvu.FilterData" localSheetId="0" hidden="1">Outbound_Monitor!$A$2:$W$2</definedName>
    <definedName name="Z_BFCDFB0F_8D4B_486B_AAAF_BACF5D52D060_.wvu.FilterData" localSheetId="0" hidden="1">Outbound_Monitor!$A$2:$W$3</definedName>
    <definedName name="Z_BFD6C3AC_60FF_41E6_B2A3_1E100B7DBF7A_.wvu.FilterData" localSheetId="0" hidden="1">Outbound_Monitor!$A$2:$W$3</definedName>
    <definedName name="Z_BFDA0DF2_BFA0_47F7_B467_AFB2C3912988_.wvu.FilterData" localSheetId="1" hidden="1">Inbound_Monitor!$A$2:$Q$2</definedName>
    <definedName name="Z_BFDA0DF2_BFA0_47F7_B467_AFB2C3912988_.wvu.FilterData" localSheetId="0" hidden="1">Outbound_Monitor!$A$2:$W$2</definedName>
    <definedName name="Z_BFE0241B_B32E_4C89_84C5_067E58F89C09_.wvu.FilterData" localSheetId="0" hidden="1">Outbound_Monitor!$A$2:$X$16</definedName>
    <definedName name="Z_BFE75AE6_6A9F_40D6_8AAD_17DD2A5DB3BB_.wvu.FilterData" localSheetId="0" hidden="1">Outbound_Monitor!$A$2:$W$3</definedName>
    <definedName name="Z_BFE78CB0_BDD5_4814_AB06_4AD5D6BF0273_.wvu.FilterData" localSheetId="0" hidden="1">Outbound_Monitor!$A$2:$W$3</definedName>
    <definedName name="Z_BFE78CB0_BDD5_4814_AB06_4AD5D6BF0273_.wvu.FilterData" localSheetId="4" hidden="1">Schichtübergabe_Protokoll!$B$3:$N$3</definedName>
    <definedName name="Z_BFEFC68E_DAAE_4DFC_9BC7_A8B7FABF29AA_.wvu.FilterData" localSheetId="1" hidden="1">Inbound_Monitor!$A$2:$Q$2</definedName>
    <definedName name="Z_BFEFC68E_DAAE_4DFC_9BC7_A8B7FABF29AA_.wvu.FilterData" localSheetId="0" hidden="1">Outbound_Monitor!$A$2:$W$2</definedName>
    <definedName name="Z_C0042BA4_A66D_45D1_B4B6_12F99BC53E5A_.wvu.FilterData" localSheetId="0" hidden="1">Outbound_Monitor!$A$2:$W$3</definedName>
    <definedName name="Z_C017AB7C_CB70_4F75_AC22_B276878127A0_.wvu.FilterData" localSheetId="1" hidden="1">Inbound_Monitor!$A$2:$Q$3</definedName>
    <definedName name="Z_C017AFF2_C63D_43A1_AEEB_B6B150702CEF_.wvu.FilterData" localSheetId="1" hidden="1">Inbound_Monitor!$A$2:$Q$3</definedName>
    <definedName name="Z_C020BAC4_1732_4511_97A0_C932B59B40E4_.wvu.FilterData" localSheetId="0" hidden="1">Outbound_Monitor!$A$2:$W$3</definedName>
    <definedName name="Z_C031BCA8_3FAC_45FB_B8FC_3664CE0A1ACB_.wvu.FilterData" localSheetId="1" hidden="1">Inbound_Monitor!$A$2:$Q$3</definedName>
    <definedName name="Z_C0379F1E_37E0_4227_9C98_5CC9F1979517_.wvu.FilterData" localSheetId="0" hidden="1">Outbound_Monitor!$A$2:$X$16</definedName>
    <definedName name="Z_C041338D_B9B9_4759_8D49_47D30C900447_.wvu.FilterData" localSheetId="0" hidden="1">Outbound_Monitor!$A$2:$W$3</definedName>
    <definedName name="Z_C042DF89_E48F_45D9_B396_3CDCE672438C_.wvu.FilterData" localSheetId="0" hidden="1">Outbound_Monitor!$A$2:$X$16</definedName>
    <definedName name="Z_C04C5A4E_89BF_4AEB_AE3A_B967574CD077_.wvu.FilterData" localSheetId="0" hidden="1">Outbound_Monitor!$A$2:$W$3</definedName>
    <definedName name="Z_C04EAD5D_2755_40C3_9C22_43CAC7B96AE4_.wvu.FilterData" localSheetId="1" hidden="1">Inbound_Monitor!$A$2:$Q$13</definedName>
    <definedName name="Z_C055D855_03E7_473F_9169_AF40483059A5_.wvu.FilterData" localSheetId="0" hidden="1">Outbound_Monitor!$A$2:$X$16</definedName>
    <definedName name="Z_C059352E_CC5A_4EF6_8FEB_393381A38FE1_.wvu.FilterData" localSheetId="0" hidden="1">Outbound_Monitor!$A$2:$W$3</definedName>
    <definedName name="Z_C05C1636_3B99_4F88_A4D7_8D2C69D9A3B9_.wvu.FilterData" localSheetId="0" hidden="1">Outbound_Monitor!$A$2:$W$3</definedName>
    <definedName name="Z_C05FD675_DA5D_40EC_BCA5_B09149402EDF_.wvu.Rows" localSheetId="3" hidden="1">'SDDS_Office (nicht nutzen)'!#REF!,'SDDS_Office (nicht nutzen)'!#REF!,'SDDS_Office (nicht nutzen)'!#REF!,'SDDS_Office (nicht nutzen)'!#REF!</definedName>
    <definedName name="Z_C06A544A_78E1_4E4A_B1A4_05EFCF4E3A11_.wvu.FilterData" localSheetId="0" hidden="1">Outbound_Monitor!$A$2:$W$3</definedName>
    <definedName name="Z_C06B860F_4784_49DA_BBFB_93CAFECD325F_.wvu.FilterData" localSheetId="0" hidden="1">Outbound_Monitor!$A$2:$W$3</definedName>
    <definedName name="Z_C06E2CEF_EDC6_40EB_A660_8B6ED26B0189_.wvu.FilterData" localSheetId="1" hidden="1">Inbound_Monitor!$A$2:$Q$3</definedName>
    <definedName name="Z_C0792306_DF2D_4486_BF2C_7F12703FAD20_.wvu.FilterData" localSheetId="0" hidden="1">Outbound_Monitor!$A$2:$X$16</definedName>
    <definedName name="Z_C084036A_3F26_4003_BE7C_78F98452FFA8_.wvu.FilterData" localSheetId="0" hidden="1">Outbound_Monitor!$A$2:$W$3</definedName>
    <definedName name="Z_C08FD772_B7DC_4CA2_B66F_C372DB0FB213_.wvu.FilterData" localSheetId="1" hidden="1">Inbound_Monitor!$A$2:$Q$13</definedName>
    <definedName name="Z_C08FD772_B7DC_4CA2_B66F_C372DB0FB213_.wvu.FilterData" localSheetId="0" hidden="1">Outbound_Monitor!$A$2:$W$3</definedName>
    <definedName name="Z_C09021D3_8632_4FBD_857D_B0F654FE0BA4_.wvu.FilterData" localSheetId="1" hidden="1">Inbound_Monitor!$A$2:$Q$3</definedName>
    <definedName name="Z_C0916A93_8174_4D2F_8468_421640784D86_.wvu.FilterData" localSheetId="4" hidden="1">Schichtübergabe_Protokoll!$B$3:$N$3</definedName>
    <definedName name="Z_C0A23555_C043_42DD_AC92_BF7A881E4F20_.wvu.FilterData" localSheetId="0" hidden="1">Outbound_Monitor!$A$2:$W$3</definedName>
    <definedName name="Z_C0A83073_D0D0_45F2_B4E8_C312EB122ED5_.wvu.FilterData" localSheetId="0" hidden="1">Outbound_Monitor!$A$2:$W$3</definedName>
    <definedName name="Z_C0A90755_6905_4C2C_B00D_923D07F07192_.wvu.FilterData" localSheetId="1" hidden="1">Inbound_Monitor!$A$2:$Q$3</definedName>
    <definedName name="Z_C0A90755_6905_4C2C_B00D_923D07F07192_.wvu.FilterData" localSheetId="0" hidden="1">Outbound_Monitor!$A$2:$W$3</definedName>
    <definedName name="Z_C0B89E1B_E838_4C71_BAD7_A45C0DED47D1_.wvu.FilterData" localSheetId="0" hidden="1">Outbound_Monitor!$A$2:$W$3</definedName>
    <definedName name="Z_C0C124A2_2847_4996_943F_A7511F66FBF4_.wvu.FilterData" localSheetId="1" hidden="1">Inbound_Monitor!$A$2:$Q$3</definedName>
    <definedName name="Z_C0C124A2_2847_4996_943F_A7511F66FBF4_.wvu.FilterData" localSheetId="0" hidden="1">Outbound_Monitor!$A$2:$W$3</definedName>
    <definedName name="Z_C0C3B817_BA9C_4516_9B7A_85E270C69FAC_.wvu.FilterData" localSheetId="1" hidden="1">Inbound_Monitor!$A$2:$Q$3</definedName>
    <definedName name="Z_C0C97B0C_1E0A_4054_B6BF_A918A0419009_.wvu.FilterData" localSheetId="0" hidden="1">Outbound_Monitor!$A$2:$W$3</definedName>
    <definedName name="Z_C0D2E2B8_FF9B_4A85_99E0_7A2009F01549_.wvu.FilterData" localSheetId="1" hidden="1">Inbound_Monitor!$A$2:$Q$3</definedName>
    <definedName name="Z_C0D7AE7B_DC84_457A_A3D1_EA113A33C7C2_.wvu.FilterData" localSheetId="1" hidden="1">Inbound_Monitor!$A$2:$Q$3</definedName>
    <definedName name="Z_C0D7AE7B_DC84_457A_A3D1_EA113A33C7C2_.wvu.FilterData" localSheetId="0" hidden="1">Outbound_Monitor!$A$2:$W$3</definedName>
    <definedName name="Z_C0EB5AE2_42E2_4A37_8A1F_6180124C9EE1_.wvu.FilterData" localSheetId="0" hidden="1">Outbound_Monitor!$A$2:$W$3</definedName>
    <definedName name="Z_C0F38B5F_386D_4D1A_93F1_CEA5F79DA823_.wvu.FilterData" localSheetId="1" hidden="1">Inbound_Monitor!$A$2:$Q$3</definedName>
    <definedName name="Z_C0F4BB57_512A_4E05_985A_633C7690A26C_.wvu.FilterData" localSheetId="1" hidden="1">Inbound_Monitor!$A$2:$Q$3</definedName>
    <definedName name="Z_C0F4BB57_512A_4E05_985A_633C7690A26C_.wvu.FilterData" localSheetId="0" hidden="1">Outbound_Monitor!$A$2:$W$3</definedName>
    <definedName name="Z_C0F6345C_49AE_4461_B3A2_FB9E47627450_.wvu.FilterData" localSheetId="0" hidden="1">Outbound_Monitor!$A$2:$W$3</definedName>
    <definedName name="Z_C112F2FD_34A9_45B4_BD29_04268BA87E26_.wvu.FilterData" localSheetId="1" hidden="1">Inbound_Monitor!$A$2:$Q$2</definedName>
    <definedName name="Z_C112F2FD_34A9_45B4_BD29_04268BA87E26_.wvu.FilterData" localSheetId="0" hidden="1">Outbound_Monitor!$A$2:$W$2</definedName>
    <definedName name="Z_C11A7F93_C35A_4F8C_9569_EF9E1DFA40F7_.wvu.FilterData" localSheetId="0" hidden="1">Outbound_Monitor!$A$2:$W$3</definedName>
    <definedName name="Z_C11CD1E0_C587_4C78_B698_FE7B6CB49576_.wvu.FilterData" localSheetId="1" hidden="1">Inbound_Monitor!$A$2:$Q$3</definedName>
    <definedName name="Z_C11EEE57_9F6E_452C_9E79_9A61D4E11E5C_.wvu.FilterData" localSheetId="1" hidden="1">Inbound_Monitor!$A$2:$Q$3</definedName>
    <definedName name="Z_C12244BC_9024_4F92_980D_3CB0125D61DF_.wvu.FilterData" localSheetId="1" hidden="1">Inbound_Monitor!$A$2:$Q$13</definedName>
    <definedName name="Z_C12244BC_9024_4F92_980D_3CB0125D61DF_.wvu.FilterData" localSheetId="0" hidden="1">Outbound_Monitor!$A$2:$W$3</definedName>
    <definedName name="Z_C12DE39E_A582_447F_90A1_27A142F204E5_.wvu.FilterData" localSheetId="1" hidden="1">Inbound_Monitor!$A$2:$Q$13</definedName>
    <definedName name="Z_C1346F79_CB89_4319_B120_F19E6149336D_.wvu.FilterData" localSheetId="0" hidden="1">Outbound_Monitor!$A$2:$W$3</definedName>
    <definedName name="Z_C136A1B8_838D_49CE_BF8E_5DC6F782E8DD_.wvu.FilterData" localSheetId="1" hidden="1">Inbound_Monitor!$A$2:$Q$13</definedName>
    <definedName name="Z_C136A1B8_838D_49CE_BF8E_5DC6F782E8DD_.wvu.FilterData" localSheetId="0" hidden="1">Outbound_Monitor!$A$2:$X$16</definedName>
    <definedName name="Z_C141AFDD_3391_46A2_8169_6D3A44F4B863_.wvu.FilterData" localSheetId="1" hidden="1">Inbound_Monitor!$A$2:$Q$13</definedName>
    <definedName name="Z_C141AFDD_3391_46A2_8169_6D3A44F4B863_.wvu.FilterData" localSheetId="0" hidden="1">Outbound_Monitor!$A$2:$X$16</definedName>
    <definedName name="Z_C14AA221_CC53_4319_BF3F_0E4F8A21C6F2_.wvu.FilterData" localSheetId="1" hidden="1">Inbound_Monitor!$A$2:$Q$3</definedName>
    <definedName name="Z_C1504F89_00C6_4A05_BBD9_4702DFE354AA_.wvu.FilterData" localSheetId="1" hidden="1">Inbound_Monitor!$A$2:$Q$13</definedName>
    <definedName name="Z_C1504F89_00C6_4A05_BBD9_4702DFE354AA_.wvu.FilterData" localSheetId="0" hidden="1">Outbound_Monitor!$A$2:$W$3</definedName>
    <definedName name="Z_C1557271_591B_43A3_9D54_42F703A30FFA_.wvu.FilterData" localSheetId="0" hidden="1">Outbound_Monitor!$A$2:$X$16</definedName>
    <definedName name="Z_C15851DC_BC90_413A_903D_8EB64AE7E540_.wvu.FilterData" localSheetId="1" hidden="1">Inbound_Monitor!$A$2:$Q$2</definedName>
    <definedName name="Z_C15851DC_BC90_413A_903D_8EB64AE7E540_.wvu.FilterData" localSheetId="0" hidden="1">Outbound_Monitor!$A$2:$W$2</definedName>
    <definedName name="Z_C15E35A9_6F8E_4893_B9AD_CE18A55FC5D8_.wvu.FilterData" localSheetId="1" hidden="1">Inbound_Monitor!$A$2:$Q$3</definedName>
    <definedName name="Z_C15E35A9_6F8E_4893_B9AD_CE18A55FC5D8_.wvu.FilterData" localSheetId="0" hidden="1">Outbound_Monitor!$A$2:$W$3</definedName>
    <definedName name="Z_C15FE322_AF02_437C_8A89_93EC8087DBFC_.wvu.FilterData" localSheetId="1" hidden="1">Inbound_Monitor!$A$2:$Q$3</definedName>
    <definedName name="Z_C160AC36_49C7_4CDA_99C7_0B2E8CCE8D8F_.wvu.FilterData" localSheetId="1" hidden="1">Inbound_Monitor!$A$2:$Q$3</definedName>
    <definedName name="Z_C16CEEC3_371B_4C70_8CC6_6094A126ABDE_.wvu.FilterData" localSheetId="0" hidden="1">Outbound_Monitor!$A$2:$W$3</definedName>
    <definedName name="Z_C16E4E0D_A910_432B_98C5_87ACE4EA3183_.wvu.FilterData" localSheetId="0" hidden="1">Outbound_Monitor!$A$2:$W$3</definedName>
    <definedName name="Z_C1752900_7698_4F55_9CCA_A1E349BB98B4_.wvu.FilterData" localSheetId="1" hidden="1">Inbound_Monitor!$A$2:$Q$2</definedName>
    <definedName name="Z_C1752900_7698_4F55_9CCA_A1E349BB98B4_.wvu.FilterData" localSheetId="0" hidden="1">Outbound_Monitor!$A$2:$W$2</definedName>
    <definedName name="Z_C176B95D_5070_4E7D_A381_43EB087113B9_.wvu.Cols" localSheetId="1" hidden="1">Inbound_Monitor!#REF!</definedName>
    <definedName name="Z_C176B95D_5070_4E7D_A381_43EB087113B9_.wvu.Cols" localSheetId="0" hidden="1">Outbound_Monitor!#REF!</definedName>
    <definedName name="Z_C176B95D_5070_4E7D_A381_43EB087113B9_.wvu.FilterData" localSheetId="1" hidden="1">Inbound_Monitor!$A$2:$Q$3</definedName>
    <definedName name="Z_C176B95D_5070_4E7D_A381_43EB087113B9_.wvu.FilterData" localSheetId="0" hidden="1">Outbound_Monitor!$A$2:$W$3</definedName>
    <definedName name="Z_C176B95D_5070_4E7D_A381_43EB087113B9_.wvu.FilterData" localSheetId="4" hidden="1">Schichtübergabe_Protokoll!$B$3:$N$3</definedName>
    <definedName name="Z_C18782FE_6928_42A6_AB7A_F26934B45080_.wvu.FilterData" localSheetId="1" hidden="1">Inbound_Monitor!$A$2:$Q$3</definedName>
    <definedName name="Z_C19538E8_45C1_475E_B010_AD9DF309DAEA_.wvu.FilterData" localSheetId="0" hidden="1">Outbound_Monitor!$A$2:$X$16</definedName>
    <definedName name="Z_C19C514B_23A8_4EEB_BB2C_B41B6793C3B0_.wvu.FilterData" localSheetId="0" hidden="1">Outbound_Monitor!$A$2:$X$16</definedName>
    <definedName name="Z_C1B14D15_4BDF_40BE_85E2_B3BF768B190D_.wvu.FilterData" localSheetId="0" hidden="1">Outbound_Monitor!$A$2:$W$3</definedName>
    <definedName name="Z_C1BFB3AC_7FBE_477A_9C3E_F1AB96A2480B_.wvu.FilterData" localSheetId="1" hidden="1">Inbound_Monitor!$A$2:$Q$13</definedName>
    <definedName name="Z_C1BFB3AC_7FBE_477A_9C3E_F1AB96A2480B_.wvu.FilterData" localSheetId="0" hidden="1">Outbound_Monitor!$A$2:$X$16</definedName>
    <definedName name="Z_C1E6F50A_10B9_4A70_85B2_344D434FCBEB_.wvu.FilterData" localSheetId="1" hidden="1">Inbound_Monitor!$A$2:$Q$3</definedName>
    <definedName name="Z_C1E6F50A_10B9_4A70_85B2_344D434FCBEB_.wvu.FilterData" localSheetId="0" hidden="1">Outbound_Monitor!$A$2:$W$3</definedName>
    <definedName name="Z_C1E6F50A_10B9_4A70_85B2_344D434FCBEB_.wvu.FilterData" localSheetId="4" hidden="1">Schichtübergabe_Protokoll!$B$3:$N$3</definedName>
    <definedName name="Z_C1F3F460_FE2F_4F5D_9A02_C9F6E2AFB6B8_.wvu.FilterData" localSheetId="1" hidden="1">Inbound_Monitor!$A$2:$Q$13</definedName>
    <definedName name="Z_C1F3F460_FE2F_4F5D_9A02_C9F6E2AFB6B8_.wvu.FilterData" localSheetId="0" hidden="1">Outbound_Monitor!$A$2:$W$3</definedName>
    <definedName name="Z_C208CD02_6F91_453C_AE97_49730CFA0F04_.wvu.FilterData" localSheetId="1" hidden="1">Inbound_Monitor!$A$2:$Q$3</definedName>
    <definedName name="Z_C208CD02_6F91_453C_AE97_49730CFA0F04_.wvu.FilterData" localSheetId="0" hidden="1">Outbound_Monitor!$A$2:$W$3</definedName>
    <definedName name="Z_C224E9F0_CA4C_4331_8BB4_F7182146CA3D_.wvu.FilterData" localSheetId="4" hidden="1">Schichtübergabe_Protokoll!$B$3:$N$3</definedName>
    <definedName name="Z_C226FDFC_907D_4351_A4CE_EDBF21C21152_.wvu.FilterData" localSheetId="1" hidden="1">Inbound_Monitor!$A$2:$Q$3</definedName>
    <definedName name="Z_C22E832D_8F23_4C74_BA63_77B57823DCEF_.wvu.FilterData" localSheetId="0" hidden="1">Outbound_Monitor!$A$2:$W$3</definedName>
    <definedName name="Z_C23286DB_E173_4B85_9FED_791B62AC01C5_.wvu.FilterData" localSheetId="0" hidden="1">Outbound_Monitor!$A$2:$X$16</definedName>
    <definedName name="Z_C2409593_99DB_479E_8EC8_DB53D7A58209_.wvu.FilterData" localSheetId="0" hidden="1">Outbound_Monitor!$A$2:$W$3</definedName>
    <definedName name="Z_C264C57F_B1FB_45B7_B750_D9775685BD20_.wvu.FilterData" localSheetId="1" hidden="1">Inbound_Monitor!$A$2:$Q$2</definedName>
    <definedName name="Z_C264C57F_B1FB_45B7_B750_D9775685BD20_.wvu.FilterData" localSheetId="0" hidden="1">Outbound_Monitor!$A$2:$W$2</definedName>
    <definedName name="Z_C26DCF8B_B9B0_4010_B228_B49AED18C108_.wvu.FilterData" localSheetId="1" hidden="1">Inbound_Monitor!$A$2:$Q$2</definedName>
    <definedName name="Z_C26DCF8B_B9B0_4010_B228_B49AED18C108_.wvu.FilterData" localSheetId="0" hidden="1">Outbound_Monitor!$A$2:$W$2</definedName>
    <definedName name="Z_C282CC8F_D55C_4F0E_90FC_66C55AF6D69A_.wvu.FilterData" localSheetId="0" hidden="1">Outbound_Monitor!$A$2:$W$3</definedName>
    <definedName name="Z_C284279C_4510_4985_94EE_CF47E7629215_.wvu.FilterData" localSheetId="1" hidden="1">Inbound_Monitor!$A$2:$Q$13</definedName>
    <definedName name="Z_C28EA184_8C51_4BF5_BA53_67FB3F2D954D_.wvu.FilterData" localSheetId="0" hidden="1">Outbound_Monitor!$A$2:$W$3</definedName>
    <definedName name="Z_C29C7D12_771C_4BA8_90AD_C0527D33F8C0_.wvu.FilterData" localSheetId="0" hidden="1">Outbound_Monitor!$A$2:$X$16</definedName>
    <definedName name="Z_C2CCBC5B_4B7B_4493_8EEB_851E26B83427_.wvu.FilterData" localSheetId="1" hidden="1">Inbound_Monitor!$A$2:$Q$3</definedName>
    <definedName name="Z_C2DCA113_C4F0_4B12_AE5C_4054AFDBE329_.wvu.FilterData" localSheetId="1" hidden="1">Inbound_Monitor!$A$2:$Q$13</definedName>
    <definedName name="Z_C2DCA113_C4F0_4B12_AE5C_4054AFDBE329_.wvu.FilterData" localSheetId="0" hidden="1">Outbound_Monitor!$A$2:$W$3</definedName>
    <definedName name="Z_C2E162F9_338F_4004_9783_E0EF94121C48_.wvu.FilterData" localSheetId="0" hidden="1">Outbound_Monitor!$A$2:$W$3</definedName>
    <definedName name="Z_C311A901_6620_48F0_9298_237BB4CBB018_.wvu.FilterData" localSheetId="1" hidden="1">Inbound_Monitor!$A$2:$Q$13</definedName>
    <definedName name="Z_C344B578_5354_4300_879D_94628EDB9CB6_.wvu.FilterData" localSheetId="1" hidden="1">Inbound_Monitor!$A$2:$Q$13</definedName>
    <definedName name="Z_C344B578_5354_4300_879D_94628EDB9CB6_.wvu.FilterData" localSheetId="0" hidden="1">Outbound_Monitor!$A$2:$W$3</definedName>
    <definedName name="Z_C35717F0_E7CD_474A_9B7D_59E3156CFF14_.wvu.FilterData" localSheetId="1" hidden="1">Inbound_Monitor!$A$2:$Q$3</definedName>
    <definedName name="Z_C35717F0_E7CD_474A_9B7D_59E3156CFF14_.wvu.FilterData" localSheetId="0" hidden="1">Outbound_Monitor!$A$2:$W$3</definedName>
    <definedName name="Z_C3585FEA_9BA5_4132_9E94_9A460EA3F98A_.wvu.FilterData" localSheetId="1" hidden="1">Inbound_Monitor!$A$2:$Q$13</definedName>
    <definedName name="Z_C3585FEA_9BA5_4132_9E94_9A460EA3F98A_.wvu.FilterData" localSheetId="0" hidden="1">Outbound_Monitor!$A$2:$X$16</definedName>
    <definedName name="Z_C36EAE07_615C_4643_9D9B_BEA93BD98758_.wvu.FilterData" localSheetId="1" hidden="1">Inbound_Monitor!$A$2:$Q$2</definedName>
    <definedName name="Z_C36EAE07_615C_4643_9D9B_BEA93BD98758_.wvu.FilterData" localSheetId="0" hidden="1">Outbound_Monitor!$A$2:$W$2</definedName>
    <definedName name="Z_C36F3549_5BA8_421A_8BBA_AFE6F3F657E8_.wvu.FilterData" localSheetId="1" hidden="1">Inbound_Monitor!$A$2:$Q$2</definedName>
    <definedName name="Z_C36F3549_5BA8_421A_8BBA_AFE6F3F657E8_.wvu.FilterData" localSheetId="0" hidden="1">Outbound_Monitor!$A$2:$W$2</definedName>
    <definedName name="Z_C37FA466_7749_44FB_BB2F_DFFCC00B47B0_.wvu.FilterData" localSheetId="0" hidden="1">Outbound_Monitor!$A$2:$W$3</definedName>
    <definedName name="Z_C3845F75_C1D0_4845_9023_A5F270013207_.wvu.FilterData" localSheetId="1" hidden="1">Inbound_Monitor!$A$2:$Q$13</definedName>
    <definedName name="Z_C38AA550_3FCA_4657_88E9_0F34D8B46C99_.wvu.FilterData" localSheetId="1" hidden="1">Inbound_Monitor!$A$2:$Q$3</definedName>
    <definedName name="Z_C38E9E2B_CDBB_4044_8D4D_5AFCB5A819E6_.wvu.FilterData" localSheetId="1" hidden="1">Inbound_Monitor!$A$2:$Q$3</definedName>
    <definedName name="Z_C38E9E2B_CDBB_4044_8D4D_5AFCB5A819E6_.wvu.FilterData" localSheetId="0" hidden="1">Outbound_Monitor!$A$2:$W$3</definedName>
    <definedName name="Z_C393A8E8_32A6_4F5F_86B9_5B14D5B886E3_.wvu.FilterData" localSheetId="1" hidden="1">Inbound_Monitor!$A$2:$Q$13</definedName>
    <definedName name="Z_C3968CBE_5F02_41F7_A93D_84B3CE4E98E2_.wvu.FilterData" localSheetId="1" hidden="1">Inbound_Monitor!$A$2:$Q$3</definedName>
    <definedName name="Z_C397E1D4_2701_433E_8E1A_0F6BBE298F11_.wvu.FilterData" localSheetId="1" hidden="1">Inbound_Monitor!$A$2:$Q$13</definedName>
    <definedName name="Z_C397E1D4_2701_433E_8E1A_0F6BBE298F11_.wvu.FilterData" localSheetId="0" hidden="1">Outbound_Monitor!$A$2:$W$3</definedName>
    <definedName name="Z_C39DC920_7AB0_4096_9596_309E578F6145_.wvu.FilterData" localSheetId="0" hidden="1">Outbound_Monitor!$A$2:$W$3</definedName>
    <definedName name="Z_C3B76383_9DA3_470E_A0D7_13F17BAB1E21_.wvu.FilterData" localSheetId="0" hidden="1">Outbound_Monitor!$A$2:$W$3</definedName>
    <definedName name="Z_C3B83F11_988E_4229_AD29_BC4294C5806C_.wvu.FilterData" localSheetId="0" hidden="1">Outbound_Monitor!$A$2:$W$3</definedName>
    <definedName name="Z_C3D7F12A_EA9E_4993_9313_C2B3697BF452_.wvu.FilterData" localSheetId="0" hidden="1">Outbound_Monitor!$A$2:$W$3</definedName>
    <definedName name="Z_C3E45EA9_57D6_4B05_B91E_547B1224A182_.wvu.FilterData" localSheetId="0" hidden="1">Outbound_Monitor!$A$2:$W$3</definedName>
    <definedName name="Z_C3EDBF11_4358_4ACF_8214_F9E137FC89C7_.wvu.FilterData" localSheetId="0" hidden="1">Outbound_Monitor!$A$2:$W$3</definedName>
    <definedName name="Z_C3EE0BDA_F03B_49D6_AD37_0002799D184C_.wvu.FilterData" localSheetId="1" hidden="1">Inbound_Monitor!$A$2:$Q$3</definedName>
    <definedName name="Z_C3F395EC_AB66_4147_8A98_BE2D08CED1A8_.wvu.FilterData" localSheetId="1" hidden="1">Inbound_Monitor!$A$2:$Q$2</definedName>
    <definedName name="Z_C3F395EC_AB66_4147_8A98_BE2D08CED1A8_.wvu.FilterData" localSheetId="0" hidden="1">Outbound_Monitor!$A$2:$W$2</definedName>
    <definedName name="Z_C3F455D4_E3AC_40BE_8E67_5BEBDFB50DD0_.wvu.FilterData" localSheetId="0" hidden="1">Outbound_Monitor!$A$2:$W$3</definedName>
    <definedName name="Z_C3F51DB6_D740_40A8_80B1_FDB4B2F5C6F2_.wvu.FilterData" localSheetId="1" hidden="1">Inbound_Monitor!$A$2:$Q$3</definedName>
    <definedName name="Z_C3F51DB6_D740_40A8_80B1_FDB4B2F5C6F2_.wvu.FilterData" localSheetId="0" hidden="1">Outbound_Monitor!$A$2:$W$3</definedName>
    <definedName name="Z_C3F7AC68_844B_4C95_B767_3658EBE85065_.wvu.FilterData" localSheetId="0" hidden="1">Outbound_Monitor!$A$2:$W$3</definedName>
    <definedName name="Z_C3FE1102_EA4A_4994_B5C3_3CB4021D2DCE_.wvu.FilterData" localSheetId="1" hidden="1">Inbound_Monitor!$A$2:$Q$3</definedName>
    <definedName name="Z_C400766C_6901_4399_8A02_B7DF364E76D7_.wvu.FilterData" localSheetId="1" hidden="1">Inbound_Monitor!$A$2:$Q$13</definedName>
    <definedName name="Z_C4041141_AC95_4851_AE54_A628E80C67C7_.wvu.FilterData" localSheetId="1" hidden="1">Inbound_Monitor!$A$2:$Q$13</definedName>
    <definedName name="Z_C4080030_7209_4485_9054_BDE132BF4A58_.wvu.FilterData" localSheetId="1" hidden="1">Inbound_Monitor!$A$2:$Q$3</definedName>
    <definedName name="Z_C40D4719_707A_4F27_AEA6_1BC680E397EF_.wvu.FilterData" localSheetId="1" hidden="1">Inbound_Monitor!$A$2:$Q$13</definedName>
    <definedName name="Z_C40D4719_707A_4F27_AEA6_1BC680E397EF_.wvu.FilterData" localSheetId="0" hidden="1">Outbound_Monitor!$A$2:$W$3</definedName>
    <definedName name="Z_C411DA8A_6319_46AC_A10E_F059D867BE22_.wvu.FilterData" localSheetId="1" hidden="1">Inbound_Monitor!$A$2:$Q$3</definedName>
    <definedName name="Z_C411DA8A_6319_46AC_A10E_F059D867BE22_.wvu.FilterData" localSheetId="0" hidden="1">Outbound_Monitor!$A$2:$W$3</definedName>
    <definedName name="Z_C41EF20E_8B15_46B9_AB7F_443002CE0BFC_.wvu.FilterData" localSheetId="1" hidden="1">Inbound_Monitor!$A$2:$Q$13</definedName>
    <definedName name="Z_C41FF286_A851_4CB7_8FAC_E682B4D22920_.wvu.FilterData" localSheetId="1" hidden="1">Inbound_Monitor!$A$2:$Q$3</definedName>
    <definedName name="Z_C41FF286_A851_4CB7_8FAC_E682B4D22920_.wvu.FilterData" localSheetId="0" hidden="1">Outbound_Monitor!$A$2:$W$3</definedName>
    <definedName name="Z_C4258298_DD27_480F_91D2_36BC1E75053E_.wvu.FilterData" localSheetId="1" hidden="1">Inbound_Monitor!$A$2:$Q$3</definedName>
    <definedName name="Z_C426EF5F_C7C9_485B_B790_95E21C800C36_.wvu.FilterData" localSheetId="1" hidden="1">Inbound_Monitor!$A$2:$Q$13</definedName>
    <definedName name="Z_C426EF5F_C7C9_485B_B790_95E21C800C36_.wvu.FilterData" localSheetId="0" hidden="1">Outbound_Monitor!$A$2:$X$16</definedName>
    <definedName name="Z_C44A9359_F284_4DEA_B10D_33480FF755EF_.wvu.FilterData" localSheetId="1" hidden="1">Inbound_Monitor!$A$2:$Q$13</definedName>
    <definedName name="Z_C44B8E5F_CEC1_48A1_B083_9FD2078E76DD_.wvu.FilterData" localSheetId="1" hidden="1">Inbound_Monitor!$A$2:$Q$3</definedName>
    <definedName name="Z_C45836E7_24DF_49A8_B23C_2CA20BF05CAE_.wvu.FilterData" localSheetId="0" hidden="1">Outbound_Monitor!$A$2:$W$3</definedName>
    <definedName name="Z_C45A4A71_4CD7_4C26_B584_549FFE886DE0_.wvu.FilterData" localSheetId="0" hidden="1">Outbound_Monitor!$A$2:$W$3</definedName>
    <definedName name="Z_C460DD85_8E6E_4357_AD54_4FA7A1F52884_.wvu.FilterData" localSheetId="0" hidden="1">Outbound_Monitor!$A$2:$X$16</definedName>
    <definedName name="Z_C46EE738_B36C_4E0C_AE41_4DF4FCA02A04_.wvu.FilterData" localSheetId="0" hidden="1">Outbound_Monitor!$A$2:$X$16</definedName>
    <definedName name="Z_C47A019F_38FF_4036_99DD_0E2C7C317082_.wvu.FilterData" localSheetId="1" hidden="1">Inbound_Monitor!$A$2:$Q$3</definedName>
    <definedName name="Z_C47A019F_38FF_4036_99DD_0E2C7C317082_.wvu.FilterData" localSheetId="0" hidden="1">Outbound_Monitor!$A$2:$W$3</definedName>
    <definedName name="Z_C4855FBC_4BCE_4CD4_B51B_869B9A10DD26_.wvu.FilterData" localSheetId="1" hidden="1">Inbound_Monitor!$A$2:$Q$3</definedName>
    <definedName name="Z_C489F0FA_1111_4D7B_9CE3_4EB103EA034C_.wvu.FilterData" localSheetId="1" hidden="1">Inbound_Monitor!$A$2:$Q$3</definedName>
    <definedName name="Z_C495D356_B8B7_4057_955F_6F17A9F687D7_.wvu.FilterData" localSheetId="1" hidden="1">Inbound_Monitor!$A$2:$Q$3</definedName>
    <definedName name="Z_C495D356_B8B7_4057_955F_6F17A9F687D7_.wvu.FilterData" localSheetId="0" hidden="1">Outbound_Monitor!$A$2:$W$3</definedName>
    <definedName name="Z_C4972F08_E71A_47CF_A97F_FBA4D8518E1E_.wvu.FilterData" localSheetId="0" hidden="1">Outbound_Monitor!$A$2:$W$3</definedName>
    <definedName name="Z_C499809B_1142_4522_9B43_09170A666BBF_.wvu.FilterData" localSheetId="0" hidden="1">Outbound_Monitor!$A$2:$W$3</definedName>
    <definedName name="Z_C49A0253_F3EB_4FC9_B33F_92F6F07ACBDB_.wvu.FilterData" localSheetId="1" hidden="1">Inbound_Monitor!$A$2:$Q$3</definedName>
    <definedName name="Z_C49A0253_F3EB_4FC9_B33F_92F6F07ACBDB_.wvu.FilterData" localSheetId="0" hidden="1">Outbound_Monitor!$A$2:$W$3</definedName>
    <definedName name="Z_C4A8D8DD_4AB5_4F1F_874E_0D35BFC7F1FC_.wvu.FilterData" localSheetId="0" hidden="1">Outbound_Monitor!$A$2:$W$3</definedName>
    <definedName name="Z_C4AC606E_3062_40DC_878C_B97E4DA91EC3_.wvu.FilterData" localSheetId="1" hidden="1">Inbound_Monitor!$A$2:$Q$2</definedName>
    <definedName name="Z_C4AC606E_3062_40DC_878C_B97E4DA91EC3_.wvu.FilterData" localSheetId="0" hidden="1">Outbound_Monitor!$A$2:$W$2</definedName>
    <definedName name="Z_C4B3FAD9_E6A0_437A_80A6_BCD18A182423_.wvu.FilterData" localSheetId="0" hidden="1">Outbound_Monitor!$A$2:$W$3</definedName>
    <definedName name="Z_C4C2440F_E4A3_41CD_BC5F_3485DEAEA0C4_.wvu.FilterData" localSheetId="0" hidden="1">Outbound_Monitor!$A$2:$W$3</definedName>
    <definedName name="Z_C4C6330D_A630_4A0B_B458_7A80DB81E04D_.wvu.FilterData" localSheetId="1" hidden="1">Inbound_Monitor!$A$2:$Q$3</definedName>
    <definedName name="Z_C4C6330D_A630_4A0B_B458_7A80DB81E04D_.wvu.FilterData" localSheetId="0" hidden="1">Outbound_Monitor!$A$2:$W$3</definedName>
    <definedName name="Z_C4C6330D_A630_4A0B_B458_7A80DB81E04D_.wvu.FilterData" localSheetId="4" hidden="1">Schichtübergabe_Protokoll!$B$3:$N$3</definedName>
    <definedName name="Z_C4C8A2FF_8B33_48CA_940B_99F6EB66C986_.wvu.FilterData" localSheetId="1" hidden="1">Inbound_Monitor!$A$2:$Q$3</definedName>
    <definedName name="Z_C4C9B259_2AEF_4840_8CCF_11782CB11F0A_.wvu.FilterData" localSheetId="0" hidden="1">Outbound_Monitor!$A$2:$X$16</definedName>
    <definedName name="Z_C4DAA968_BBFB_4B4F_BC01_57D3E0C186F9_.wvu.FilterData" localSheetId="1" hidden="1">Inbound_Monitor!$A$2:$Q$2</definedName>
    <definedName name="Z_C4DAA968_BBFB_4B4F_BC01_57D3E0C186F9_.wvu.FilterData" localSheetId="0" hidden="1">Outbound_Monitor!$A$2:$W$2</definedName>
    <definedName name="Z_C4DC1B77_E209_43A5_9AA8_7765C73B2D56_.wvu.FilterData" localSheetId="0" hidden="1">Outbound_Monitor!$A$2:$W$3</definedName>
    <definedName name="Z_C4E63B8C_09C7_4DE2_AD1C_F0E15342BE25_.wvu.FilterData" localSheetId="0" hidden="1">Outbound_Monitor!$A$2:$W$3</definedName>
    <definedName name="Z_C4EF0218_564D_472F_9523_5AED437A9709_.wvu.FilterData" localSheetId="1" hidden="1">Inbound_Monitor!$A$2:$Q$13</definedName>
    <definedName name="Z_C4F08A08_FE1D_4C17_A165_55244DA391B1_.wvu.FilterData" localSheetId="1" hidden="1">Inbound_Monitor!$A$2:$Q$13</definedName>
    <definedName name="Z_C4F08A08_FE1D_4C17_A165_55244DA391B1_.wvu.FilterData" localSheetId="0" hidden="1">Outbound_Monitor!$A$2:$W$3</definedName>
    <definedName name="Z_C51B7D0B_B698_4E5C_A9DC_146612B8AE5A_.wvu.FilterData" localSheetId="1" hidden="1">Inbound_Monitor!$A$2:$Q$3</definedName>
    <definedName name="Z_C51B7D0B_B698_4E5C_A9DC_146612B8AE5A_.wvu.FilterData" localSheetId="0" hidden="1">Outbound_Monitor!$A$2:$W$3</definedName>
    <definedName name="Z_C523252F_A137_4B5C_A4A1_0C885E9586DF_.wvu.FilterData" localSheetId="0" hidden="1">Outbound_Monitor!$A$2:$W$3</definedName>
    <definedName name="Z_C53C4265_1A63_4094_8037_CBF012B3D052_.wvu.FilterData" localSheetId="0" hidden="1">Outbound_Monitor!$A$2:$X$16</definedName>
    <definedName name="Z_C543C866_CB49_4EE1_8415_C266CEE8DBA0_.wvu.FilterData" localSheetId="0" hidden="1">Outbound_Monitor!$A$2:$W$3</definedName>
    <definedName name="Z_C54CD5B8_72D5_4F7A_B757_996FB0D00894_.wvu.FilterData" localSheetId="0" hidden="1">Outbound_Monitor!$A$2:$W$3</definedName>
    <definedName name="Z_C54DB951_E791_489E_A39B_F1E892FC9ED9_.wvu.FilterData" localSheetId="1" hidden="1">Inbound_Monitor!$A$2:$Q$3</definedName>
    <definedName name="Z_C55374C7_252E_47BD_BF94_B1945AFFB14A_.wvu.FilterData" localSheetId="1" hidden="1">Inbound_Monitor!$A$2:$Q$13</definedName>
    <definedName name="Z_C55374C7_252E_47BD_BF94_B1945AFFB14A_.wvu.FilterData" localSheetId="0" hidden="1">Outbound_Monitor!$A$2:$W$3</definedName>
    <definedName name="Z_C5628DDE_F219_4D83_B435_AACE95739194_.wvu.FilterData" localSheetId="1" hidden="1">Inbound_Monitor!$A$2:$Q$2</definedName>
    <definedName name="Z_C5628DDE_F219_4D83_B435_AACE95739194_.wvu.FilterData" localSheetId="0" hidden="1">Outbound_Monitor!$A$2:$W$2</definedName>
    <definedName name="Z_C5647E63_76F4_475C_BC51_B76477F47092_.wvu.FilterData" localSheetId="0" hidden="1">Outbound_Monitor!$A$2:$W$3</definedName>
    <definedName name="Z_C566D34B_D2F6_4479_A929_445D749A71D9_.wvu.FilterData" localSheetId="0" hidden="1">Outbound_Monitor!$A$2:$W$3</definedName>
    <definedName name="Z_C567A3D0_7427_496D_8CF4_3A0BE1F04FC5_.wvu.FilterData" localSheetId="0" hidden="1">Outbound_Monitor!$A$2:$W$3</definedName>
    <definedName name="Z_C56F96EE_6C26_4C00_A416_DABA923A4A38_.wvu.FilterData" localSheetId="1" hidden="1">Inbound_Monitor!$A$2:$Q$3</definedName>
    <definedName name="Z_C56F96EE_6C26_4C00_A416_DABA923A4A38_.wvu.FilterData" localSheetId="0" hidden="1">Outbound_Monitor!$A$2:$W$3</definedName>
    <definedName name="Z_C571DA71_E985_43BC_B1E9_D1745684A396_.wvu.FilterData" localSheetId="0" hidden="1">Outbound_Monitor!$A$2:$W$3</definedName>
    <definedName name="Z_C589C079_26D6_4233_976F_8B80A115260E_.wvu.FilterData" localSheetId="0" hidden="1">Outbound_Monitor!$A$2:$W$3</definedName>
    <definedName name="Z_C593A047_2CEE_4756_9560_0627C2B51339_.wvu.FilterData" localSheetId="0" hidden="1">Outbound_Monitor!$A$2:$W$3</definedName>
    <definedName name="Z_C5AA51F8_FB41_480A_9E2B_8F601C6EBB5F_.wvu.FilterData" localSheetId="4" hidden="1">Schichtübergabe_Protokoll!$B$3:$N$3</definedName>
    <definedName name="Z_C5CF4990_1C94_4D4F_B298_E38FF33E1E5E_.wvu.FilterData" localSheetId="1" hidden="1">Inbound_Monitor!$A$2:$Q$3</definedName>
    <definedName name="Z_C5D2639C_EFE5_4498_A443_2DB7AAF49B2E_.wvu.FilterData" localSheetId="0" hidden="1">Outbound_Monitor!$A$2:$W$3</definedName>
    <definedName name="Z_C5E03A41_C7E4_48E5_86D6_8F4744EAFF7B_.wvu.FilterData" localSheetId="1" hidden="1">Inbound_Monitor!$A$2:$Q$2</definedName>
    <definedName name="Z_C5E03A41_C7E4_48E5_86D6_8F4744EAFF7B_.wvu.FilterData" localSheetId="0" hidden="1">Outbound_Monitor!$A$2:$W$2</definedName>
    <definedName name="Z_C5E32F96_17F0_4D5B_B8CE_FA1C84A5C720_.wvu.FilterData" localSheetId="0" hidden="1">Outbound_Monitor!$A$2:$W$3</definedName>
    <definedName name="Z_C5E82678_B5AA_4789_BB2B_F1CA19D9E353_.wvu.FilterData" localSheetId="0" hidden="1">Outbound_Monitor!$A$2:$X$16</definedName>
    <definedName name="Z_C5F005AD_E012_43B8_BB18_54E19A5AEE45_.wvu.FilterData" localSheetId="1" hidden="1">Inbound_Monitor!$A$2:$Q$13</definedName>
    <definedName name="Z_C5F005AD_E012_43B8_BB18_54E19A5AEE45_.wvu.FilterData" localSheetId="0" hidden="1">Outbound_Monitor!$A$2:$W$3</definedName>
    <definedName name="Z_C60D397B_76A6_43A4_9477_B76A233B6A7E_.wvu.FilterData" localSheetId="1" hidden="1">Inbound_Monitor!$A$2:$Q$13</definedName>
    <definedName name="Z_C60D397B_76A6_43A4_9477_B76A233B6A7E_.wvu.FilterData" localSheetId="0" hidden="1">Outbound_Monitor!$A$2:$W$3</definedName>
    <definedName name="Z_C62CED70_0A6B_43ED_A5CD_6EE6DDB9E431_.wvu.FilterData" localSheetId="1" hidden="1">Inbound_Monitor!$A$2:$Q$2</definedName>
    <definedName name="Z_C62CED70_0A6B_43ED_A5CD_6EE6DDB9E431_.wvu.FilterData" localSheetId="0" hidden="1">Outbound_Monitor!$A$2:$W$2</definedName>
    <definedName name="Z_C63AA69B_75A8_431F_9E05_4E80ECB04E5B_.wvu.FilterData" localSheetId="1" hidden="1">Inbound_Monitor!$A$2:$Q$2</definedName>
    <definedName name="Z_C63AA69B_75A8_431F_9E05_4E80ECB04E5B_.wvu.FilterData" localSheetId="0" hidden="1">Outbound_Monitor!$A$2:$W$2</definedName>
    <definedName name="Z_C640767F_E222_4233_B7A8_E7904696ABF2_.wvu.FilterData" localSheetId="0" hidden="1">Outbound_Monitor!$A$2:$W$3</definedName>
    <definedName name="Z_C6412AE7_866E_4D53_B865_541B569E1746_.wvu.FilterData" localSheetId="0" hidden="1">Outbound_Monitor!$A$2:$X$16</definedName>
    <definedName name="Z_C669B0D5_DCEE_4032_BAB5_6DB40E8F4BB9_.wvu.FilterData" localSheetId="0" hidden="1">Outbound_Monitor!$A$2:$W$3</definedName>
    <definedName name="Z_C6768F5B_8BF8_4CAF_BD91_F6F9D00B276D_.wvu.FilterData" localSheetId="1" hidden="1">Inbound_Monitor!$A$2:$Q$3</definedName>
    <definedName name="Z_C67B970E_47AC_42ED_A0D9_27589871B563_.wvu.FilterData" localSheetId="1" hidden="1">Inbound_Monitor!$A$2:$Q$3</definedName>
    <definedName name="Z_C6848F6C_97ED_4C83_9459_9A2736641EEC_.wvu.FilterData" localSheetId="1" hidden="1">Inbound_Monitor!$A$2:$Q$2</definedName>
    <definedName name="Z_C6848F6C_97ED_4C83_9459_9A2736641EEC_.wvu.FilterData" localSheetId="0" hidden="1">Outbound_Monitor!$A$2:$W$2</definedName>
    <definedName name="Z_C6873C90_63EA_4881_9B1D_515730A0405B_.wvu.FilterData" localSheetId="0" hidden="1">Outbound_Monitor!$A$2:$X$16</definedName>
    <definedName name="Z_C68DEAA6_DBAC_4CD4_A5A1_BFC3DB7EADEC_.wvu.FilterData" localSheetId="0" hidden="1">Outbound_Monitor!$A$2:$W$3</definedName>
    <definedName name="Z_C695E9D0_8AAF_454E_B2A7_B5EA7B0DEE7C_.wvu.FilterData" localSheetId="0" hidden="1">Outbound_Monitor!$A$2:$W$3</definedName>
    <definedName name="Z_C6AFA0FB_24BF_4EF1_B363_E6AB0D822204_.wvu.FilterData" localSheetId="0" hidden="1">Outbound_Monitor!$A$2:$X$16</definedName>
    <definedName name="Z_C6D1EB4A_1107_43BA_BA63_EC1029570C88_.wvu.FilterData" localSheetId="1" hidden="1">Inbound_Monitor!$A$2:$Q$13</definedName>
    <definedName name="Z_C6D1EB4A_1107_43BA_BA63_EC1029570C88_.wvu.FilterData" localSheetId="0" hidden="1">Outbound_Monitor!$A$2:$X$16</definedName>
    <definedName name="Z_C6D7E920_543A_47DD_97F0_269369B3774A_.wvu.FilterData" localSheetId="1" hidden="1">Inbound_Monitor!$A$2:$Q$2</definedName>
    <definedName name="Z_C6D7E920_543A_47DD_97F0_269369B3774A_.wvu.FilterData" localSheetId="0" hidden="1">Outbound_Monitor!$A$2:$W$2</definedName>
    <definedName name="Z_C6F6F4AC_B273_4BDA_A403_9A852A38DB88_.wvu.FilterData" localSheetId="0" hidden="1">Outbound_Monitor!$A$2:$W$3</definedName>
    <definedName name="Z_C6FE4188_4936_46B0_BFC6_A333BF694188_.wvu.FilterData" localSheetId="1" hidden="1">Inbound_Monitor!$A$2:$Q$13</definedName>
    <definedName name="Z_C70B160E_8DFD_4DC6_AE97_CE6C00B3F5DC_.wvu.FilterData" localSheetId="1" hidden="1">Inbound_Monitor!$A$2:$Q$13</definedName>
    <definedName name="Z_C70B160E_8DFD_4DC6_AE97_CE6C00B3F5DC_.wvu.FilterData" localSheetId="0" hidden="1">Outbound_Monitor!$A$2:$W$3</definedName>
    <definedName name="Z_C712701B_6B83_458D_8180_7EDC01E09E8E_.wvu.FilterData" localSheetId="0" hidden="1">Outbound_Monitor!$A$2:$W$3</definedName>
    <definedName name="Z_C719F8C1_FFA3_47BE_828E_59872CCC949B_.wvu.FilterData" localSheetId="1" hidden="1">Inbound_Monitor!$A$2:$Q$3</definedName>
    <definedName name="Z_C719F8C1_FFA3_47BE_828E_59872CCC949B_.wvu.FilterData" localSheetId="0" hidden="1">Outbound_Monitor!$A$2:$W$3</definedName>
    <definedName name="Z_C71BC61B_139C_4E74_84FF_C227550677BF_.wvu.FilterData" localSheetId="0" hidden="1">Outbound_Monitor!$A$2:$W$3</definedName>
    <definedName name="Z_C722C18A_7B47_49F4_938A_E49853B1BE58_.wvu.FilterData" localSheetId="0" hidden="1">Outbound_Monitor!$A$2:$W$3</definedName>
    <definedName name="Z_C72495D9_D768_4289_9F6A_AA08C2D482A9_.wvu.FilterData" localSheetId="1" hidden="1">Inbound_Monitor!$A$2:$Q$3</definedName>
    <definedName name="Z_C7290758_4428_47FD_85D5_D4E9169625FF_.wvu.FilterData" localSheetId="1" hidden="1">Inbound_Monitor!$A$2:$Q$13</definedName>
    <definedName name="Z_C7290758_4428_47FD_85D5_D4E9169625FF_.wvu.FilterData" localSheetId="0" hidden="1">Outbound_Monitor!$A$2:$W$3</definedName>
    <definedName name="Z_C73C75D6_1A51_43B8_A244_9E5745D78267_.wvu.FilterData" localSheetId="0" hidden="1">Outbound_Monitor!$A$2:$W$3</definedName>
    <definedName name="Z_C73ED9DB_AA7D_4FC0_AAF9_FA27603F1588_.wvu.FilterData" localSheetId="0" hidden="1">Outbound_Monitor!$A$2:$X$16</definedName>
    <definedName name="Z_C742B5C2_C346_4FB5_A3C3_D25C8E9F2C91_.wvu.FilterData" localSheetId="1" hidden="1">Inbound_Monitor!$A$2:$Q$3</definedName>
    <definedName name="Z_C742B5C2_C346_4FB5_A3C3_D25C8E9F2C91_.wvu.FilterData" localSheetId="0" hidden="1">Outbound_Monitor!$A$2:$W$3</definedName>
    <definedName name="Z_C7572483_5F4B_441C_94EB_6DE09B394745_.wvu.FilterData" localSheetId="1" hidden="1">Inbound_Monitor!$A$2:$Q$3</definedName>
    <definedName name="Z_C75C18B6_0442_4C87_90B9_7C351CC22456_.wvu.FilterData" localSheetId="1" hidden="1">Inbound_Monitor!$A$2:$Q$2</definedName>
    <definedName name="Z_C75C18B6_0442_4C87_90B9_7C351CC22456_.wvu.FilterData" localSheetId="0" hidden="1">Outbound_Monitor!$A$2:$W$2</definedName>
    <definedName name="Z_C75C5A15_5BA8_4890_99C6_EAE608A20090_.wvu.FilterData" localSheetId="0" hidden="1">Outbound_Monitor!$A$2:$W$3</definedName>
    <definedName name="Z_C778551E_E5C0_40DE_9009_092D4A246478_.wvu.FilterData" localSheetId="1" hidden="1">Inbound_Monitor!$A$2:$Q$3</definedName>
    <definedName name="Z_C778551E_E5C0_40DE_9009_092D4A246478_.wvu.FilterData" localSheetId="4" hidden="1">Schichtübergabe_Protokoll!$B$3:$N$3</definedName>
    <definedName name="Z_C779D04F_B0E6_4C20_9890_BC4F6FD22EB3_.wvu.FilterData" localSheetId="1" hidden="1">Inbound_Monitor!$A$2:$Q$3</definedName>
    <definedName name="Z_C78236B7_4623_4057_8AC1_32D72BF78EA0_.wvu.FilterData" localSheetId="1" hidden="1">Inbound_Monitor!$A$2:$Q$3</definedName>
    <definedName name="Z_C78B8A84_F690_41A7_ABAF_AC99A2277347_.wvu.FilterData" localSheetId="1" hidden="1">Inbound_Monitor!$A$2:$Q$13</definedName>
    <definedName name="Z_C78B8A84_F690_41A7_ABAF_AC99A2277347_.wvu.FilterData" localSheetId="0" hidden="1">Outbound_Monitor!$A$2:$W$3</definedName>
    <definedName name="Z_C78CBAF6_845E_4120_8ABD_07C3A52B6801_.wvu.FilterData" localSheetId="1" hidden="1">Inbound_Monitor!$A$2:$Q$2</definedName>
    <definedName name="Z_C78CBAF6_845E_4120_8ABD_07C3A52B6801_.wvu.FilterData" localSheetId="0" hidden="1">Outbound_Monitor!$A$2:$W$2</definedName>
    <definedName name="Z_C7A3802E_F9E0_4FCB_8A3E_394136F247C7_.wvu.FilterData" localSheetId="0" hidden="1">Outbound_Monitor!$A$2:$W$3</definedName>
    <definedName name="Z_C7A7701E_8CA3_4231_A521_81717A4C3526_.wvu.FilterData" localSheetId="1" hidden="1">Inbound_Monitor!$A$2:$Q$2</definedName>
    <definedName name="Z_C7A7701E_8CA3_4231_A521_81717A4C3526_.wvu.FilterData" localSheetId="0" hidden="1">Outbound_Monitor!$A$2:$W$2</definedName>
    <definedName name="Z_C7AF6C1B_61A0_43BC_85F5_6430876A0B62_.wvu.FilterData" localSheetId="1" hidden="1">Inbound_Monitor!$A$2:$Q$13</definedName>
    <definedName name="Z_C7DB157F_1CD8_4D39_B640_21F080E5756F_.wvu.FilterData" localSheetId="1" hidden="1">Inbound_Monitor!$A$2:$Q$13</definedName>
    <definedName name="Z_C7DB157F_1CD8_4D39_B640_21F080E5756F_.wvu.FilterData" localSheetId="0" hidden="1">Outbound_Monitor!$A$2:$W$3</definedName>
    <definedName name="Z_C7E4DEE9_9AB0_447A_872D_FDB576557EB9_.wvu.FilterData" localSheetId="1" hidden="1">Inbound_Monitor!$A$2:$Q$3</definedName>
    <definedName name="Z_C7E4DEE9_9AB0_447A_872D_FDB576557EB9_.wvu.FilterData" localSheetId="0" hidden="1">Outbound_Monitor!$A$2:$W$3</definedName>
    <definedName name="Z_C7E4E2BB_BEFE_4B92_BE41_E81222E673CA_.wvu.FilterData" localSheetId="1" hidden="1">Inbound_Monitor!$A$2:$Q$13</definedName>
    <definedName name="Z_C7E4E2BB_BEFE_4B92_BE41_E81222E673CA_.wvu.FilterData" localSheetId="0" hidden="1">Outbound_Monitor!$A$2:$W$3</definedName>
    <definedName name="Z_C7EC57C2_86B0_4ACE_B6EC_2B4636DB83D1_.wvu.FilterData" localSheetId="0" hidden="1">Outbound_Monitor!$A$2:$W$3</definedName>
    <definedName name="Z_C7F9BBFE_D151_4774_9C14_E4EAAF124EA9_.wvu.FilterData" localSheetId="0" hidden="1">Outbound_Monitor!$A$2:$W$3</definedName>
    <definedName name="Z_C7F9DEFA_D59D_4CE1_8CED_2540C044CE21_.wvu.FilterData" localSheetId="1" hidden="1">Inbound_Monitor!$A$2:$Q$3</definedName>
    <definedName name="Z_C7F9DEFA_D59D_4CE1_8CED_2540C044CE21_.wvu.FilterData" localSheetId="0" hidden="1">Outbound_Monitor!$A$2:$W$3</definedName>
    <definedName name="Z_C8188E96_ECB2_4DE9_81F8_01B48B516C52_.wvu.FilterData" localSheetId="1" hidden="1">Inbound_Monitor!$A$2:$Q$13</definedName>
    <definedName name="Z_C8188E96_ECB2_4DE9_81F8_01B48B516C52_.wvu.FilterData" localSheetId="0" hidden="1">Outbound_Monitor!$A$2:$X$16</definedName>
    <definedName name="Z_C82CD5AE_621F_4AA6_90A8_48FE2670B8A0_.wvu.FilterData" localSheetId="1" hidden="1">Inbound_Monitor!$A$2:$Q$3</definedName>
    <definedName name="Z_C82CD5AE_621F_4AA6_90A8_48FE2670B8A0_.wvu.FilterData" localSheetId="4" hidden="1">Schichtübergabe_Protokoll!$B$3:$N$3</definedName>
    <definedName name="Z_C8383182_21E0_4819_B9A2_054B07FC92A6_.wvu.FilterData" localSheetId="1" hidden="1">Inbound_Monitor!$A$2:$Q$3</definedName>
    <definedName name="Z_C84179CE_A4A5_459F_BA37_8EBC5A8D1D63_.wvu.FilterData" localSheetId="0" hidden="1">Outbound_Monitor!$A$2:$W$3</definedName>
    <definedName name="Z_C8469E4D_9F98_4445_96D3_C738849C72D9_.wvu.FilterData" localSheetId="0" hidden="1">Outbound_Monitor!$A$2:$X$16</definedName>
    <definedName name="Z_C84C11CE_0012_40E4_9A05_EB9AF16E12B7_.wvu.FilterData" localSheetId="0" hidden="1">Outbound_Monitor!$A$2:$W$3</definedName>
    <definedName name="Z_C8609383_78B1_4FA4_B79C_65BB71E946FE_.wvu.FilterData" localSheetId="0" hidden="1">Outbound_Monitor!$A$2:$W$3</definedName>
    <definedName name="Z_C867B8AD_43BB_446F_9A25_EB9D45FDF2D5_.wvu.FilterData" localSheetId="1" hidden="1">Inbound_Monitor!$A$2:$Q$13</definedName>
    <definedName name="Z_C867B8AD_43BB_446F_9A25_EB9D45FDF2D5_.wvu.FilterData" localSheetId="0" hidden="1">Outbound_Monitor!$A$2:$W$3</definedName>
    <definedName name="Z_C877D7D9_9435_4152_9466_E4647009A785_.wvu.FilterData" localSheetId="1" hidden="1">Inbound_Monitor!$A$2:$Q$13</definedName>
    <definedName name="Z_C87E82A1_5089_48CF_BAA9_3C0BB570AA67_.wvu.FilterData" localSheetId="0" hidden="1">Outbound_Monitor!$A$2:$W$3</definedName>
    <definedName name="Z_C87FEFF3_4EE2_4574_B7B4_41088D66E8D0_.wvu.FilterData" localSheetId="0" hidden="1">Outbound_Monitor!$A$2:$W$3</definedName>
    <definedName name="Z_C8A4F77A_3421_41FB_AB8D_989437548F68_.wvu.FilterData" localSheetId="0" hidden="1">Outbound_Monitor!$A$2:$X$16</definedName>
    <definedName name="Z_C8AF3910_9993_4884_BD1B_DEB5318A0DEF_.wvu.FilterData" localSheetId="0" hidden="1">Outbound_Monitor!$A$2:$W$3</definedName>
    <definedName name="Z_C8B82525_910F_4877_BDBE_5AB83C832648_.wvu.FilterData" localSheetId="0" hidden="1">Outbound_Monitor!$A$2:$W$3</definedName>
    <definedName name="Z_C8B9EDA4_6BDC_40C0_BA81_FDE897C6A345_.wvu.FilterData" localSheetId="0" hidden="1">Outbound_Monitor!$A$2:$X$16</definedName>
    <definedName name="Z_C8DC0BA7_3862_48A4_8ED4_4A891ABF02F9_.wvu.FilterData" localSheetId="0" hidden="1">Outbound_Monitor!$A$2:$X$16</definedName>
    <definedName name="Z_C8E7A487_3013_41A7_9240_8F172DE2905A_.wvu.FilterData" localSheetId="1" hidden="1">Inbound_Monitor!$A$2:$Q$3</definedName>
    <definedName name="Z_C8F64711_CEBC_4E69_B8D0_8518B237E0D1_.wvu.FilterData" localSheetId="0" hidden="1">Outbound_Monitor!$A$2:$W$3</definedName>
    <definedName name="Z_C9086154_C2C9_48E7_9930_994E715DECBF_.wvu.FilterData" localSheetId="0" hidden="1">Outbound_Monitor!$A$2:$W$3</definedName>
    <definedName name="Z_C90BE9EA_E9EF_4877_8658_9E6FA754AB12_.wvu.FilterData" localSheetId="1" hidden="1">Inbound_Monitor!$A$2:$Q$3</definedName>
    <definedName name="Z_C90F2A87_7017_4459_910D_5A2D35DA5A8D_.wvu.FilterData" localSheetId="0" hidden="1">Outbound_Monitor!$A$2:$X$16</definedName>
    <definedName name="Z_C9219C0A_AA78_454E_9E48_1F006A67B683_.wvu.FilterData" localSheetId="0" hidden="1">Outbound_Monitor!$A$2:$W$3</definedName>
    <definedName name="Z_C9274254_F2AD_45BE_8A2E_DECB20C9A865_.wvu.FilterData" localSheetId="0" hidden="1">Outbound_Monitor!$A$2:$W$3</definedName>
    <definedName name="Z_C92BCF36_639D_4DE6_BEF9_16256216F2E1_.wvu.FilterData" localSheetId="1" hidden="1">Inbound_Monitor!$A$2:$Q$3</definedName>
    <definedName name="Z_C930536F_2838_4857_B243_C6ED13AAB090_.wvu.FilterData" localSheetId="1" hidden="1">Inbound_Monitor!$A$2:$Q$2</definedName>
    <definedName name="Z_C930536F_2838_4857_B243_C6ED13AAB090_.wvu.FilterData" localSheetId="0" hidden="1">Outbound_Monitor!$A$2:$W$2</definedName>
    <definedName name="Z_C93F9EAC_E778_4A34_94BB_F1B587B75130_.wvu.FilterData" localSheetId="1" hidden="1">Inbound_Monitor!$A$2:$Q$13</definedName>
    <definedName name="Z_C93F9EAC_E778_4A34_94BB_F1B587B75130_.wvu.FilterData" localSheetId="0" hidden="1">Outbound_Monitor!$A$2:$X$16</definedName>
    <definedName name="Z_C9584A90_B509_4118_B151_7B420A79D2CA_.wvu.FilterData" localSheetId="1" hidden="1">Inbound_Monitor!$A$2:$Q$3</definedName>
    <definedName name="Z_C9584A90_B509_4118_B151_7B420A79D2CA_.wvu.FilterData" localSheetId="0" hidden="1">Outbound_Monitor!$A$2:$W$3</definedName>
    <definedName name="Z_C9623CF0_FB79_4AF6_809B_75BD483CF0F8_.wvu.FilterData" localSheetId="1" hidden="1">Inbound_Monitor!$A$2:$Q$3</definedName>
    <definedName name="Z_C9623CF0_FB79_4AF6_809B_75BD483CF0F8_.wvu.FilterData" localSheetId="0" hidden="1">Outbound_Monitor!$1:$3</definedName>
    <definedName name="Z_C970D60F_C96C_4433_98E4_E6D1DA16E42E_.wvu.FilterData" localSheetId="1" hidden="1">Inbound_Monitor!$A$2:$Q$3</definedName>
    <definedName name="Z_C970D60F_C96C_4433_98E4_E6D1DA16E42E_.wvu.FilterData" localSheetId="0" hidden="1">Outbound_Monitor!$A$2:$W$3</definedName>
    <definedName name="Z_C9717F62_C14E_4A2A_BA2B_78FEF7B25ED9_.wvu.FilterData" localSheetId="1" hidden="1">Inbound_Monitor!$A$2:$Q$3</definedName>
    <definedName name="Z_C9724FC0_D9D0_4DD6_B9D0_2B91468B4A90_.wvu.FilterData" localSheetId="1" hidden="1">Inbound_Monitor!$A$2:$Q$3</definedName>
    <definedName name="Z_C972EEB6_C3DA_4BAA_B8A3_6DF1818401B2_.wvu.FilterData" localSheetId="1" hidden="1">Inbound_Monitor!$A$2:$Q$13</definedName>
    <definedName name="Z_C972EEB6_C3DA_4BAA_B8A3_6DF1818401B2_.wvu.FilterData" localSheetId="0" hidden="1">Outbound_Monitor!$A$2:$X$16</definedName>
    <definedName name="Z_C97A5222_803D_4460_AB11_8E950F1A8566_.wvu.FilterData" localSheetId="1" hidden="1">Inbound_Monitor!$A$2:$Q$3</definedName>
    <definedName name="Z_C97A5222_803D_4460_AB11_8E950F1A8566_.wvu.FilterData" localSheetId="0" hidden="1">Outbound_Monitor!$A$2:$W$3</definedName>
    <definedName name="Z_C97F2EEE_F9E3_4382_B9D1_19A860AAA8E6_.wvu.FilterData" localSheetId="1" hidden="1">Inbound_Monitor!$A$2:$Q$2</definedName>
    <definedName name="Z_C97F2EEE_F9E3_4382_B9D1_19A860AAA8E6_.wvu.FilterData" localSheetId="0" hidden="1">Outbound_Monitor!$A$2:$W$2</definedName>
    <definedName name="Z_C98B571E_4743_4464_813A_B15673DE37E8_.wvu.FilterData" localSheetId="0" hidden="1">Outbound_Monitor!$A$2:$W$3</definedName>
    <definedName name="Z_C9BAA690_50B9_4B1C_849B_E4883D1F4049_.wvu.FilterData" localSheetId="0" hidden="1">Outbound_Monitor!$A$2:$W$3</definedName>
    <definedName name="Z_C9BD4412_9E6F_47CC_9265_F082858E03EF_.wvu.FilterData" localSheetId="0" hidden="1">Outbound_Monitor!$A$2:$W$3</definedName>
    <definedName name="Z_C9C4D859_2CFA_4609_9094_9C6110516614_.wvu.FilterData" localSheetId="0" hidden="1">Outbound_Monitor!$A$2:$W$3</definedName>
    <definedName name="Z_C9D5CD29_5C5E_4105_95F7_D45E393DB6D5_.wvu.FilterData" localSheetId="0" hidden="1">Outbound_Monitor!$A$2:$W$3</definedName>
    <definedName name="Z_C9DBB388_55B8_4BB7_BDCC_39E5FE5ACE77_.wvu.FilterData" localSheetId="1" hidden="1">Inbound_Monitor!$A$2:$Q$13</definedName>
    <definedName name="Z_CA056E3E_D832_42A0_AAF6_7E1DDC1D7E62_.wvu.FilterData" localSheetId="0" hidden="1">Outbound_Monitor!$A$2:$W$3</definedName>
    <definedName name="Z_CA17880D_DB08_4FB9_957F_6CE132F24E73_.wvu.FilterData" localSheetId="1" hidden="1">Inbound_Monitor!$A$2:$Q$3</definedName>
    <definedName name="Z_CA281F23_60DA_40FF_9AAD_E17FBFFBF9F3_.wvu.FilterData" localSheetId="1" hidden="1">Inbound_Monitor!$A$2:$Q$3</definedName>
    <definedName name="Z_CA281F23_60DA_40FF_9AAD_E17FBFFBF9F3_.wvu.FilterData" localSheetId="0" hidden="1">Outbound_Monitor!$A$2:$X$3</definedName>
    <definedName name="Z_CA28D049_AFB0_4685_8A1C_5C9C73E541E7_.wvu.FilterData" localSheetId="1" hidden="1">Inbound_Monitor!$A$2:$Q$3</definedName>
    <definedName name="Z_CA29377D_2263_4A8F_A5EE_57B92D3383CF_.wvu.FilterData" localSheetId="0" hidden="1">Outbound_Monitor!$A$2:$W$3</definedName>
    <definedName name="Z_CA2D9664_D7F4_4B26_AAFD_7BC36AC099BA_.wvu.FilterData" localSheetId="1" hidden="1">Inbound_Monitor!$A$2:$Q$13</definedName>
    <definedName name="Z_CA2D9664_D7F4_4B26_AAFD_7BC36AC099BA_.wvu.FilterData" localSheetId="0" hidden="1">Outbound_Monitor!$A$2:$W$3</definedName>
    <definedName name="Z_CA302124_973E_4B58_9765_32D56811D182_.wvu.FilterData" localSheetId="0" hidden="1">Outbound_Monitor!$A$2:$W$3</definedName>
    <definedName name="Z_CA3C5AF7_24C2_4205_985F_C9BCA3F36930_.wvu.FilterData" localSheetId="1" hidden="1">Inbound_Monitor!$A$2:$Q$3</definedName>
    <definedName name="Z_CA40FD5F_6324_4683_89B3_B0FA5E6E43B7_.wvu.FilterData" localSheetId="1" hidden="1">Inbound_Monitor!$A$2:$Q$3</definedName>
    <definedName name="Z_CA457E91_11A9_47C0_8152_7F1DB292D730_.wvu.FilterData" localSheetId="1" hidden="1">Inbound_Monitor!$A$2:$Q$3</definedName>
    <definedName name="Z_CA509E80_74ED_44D2_B444_CDE1CEA8C652_.wvu.FilterData" localSheetId="0" hidden="1">Outbound_Monitor!$A$2:$W$3</definedName>
    <definedName name="Z_CA60E0D8_9820_4B49_938B_62FCB2F3ECA0_.wvu.FilterData" localSheetId="1" hidden="1">Inbound_Monitor!$A$2:$Q$3</definedName>
    <definedName name="Z_CA60E0D8_9820_4B49_938B_62FCB2F3ECA0_.wvu.FilterData" localSheetId="4" hidden="1">Schichtübergabe_Protokoll!$B$3:$N$3</definedName>
    <definedName name="Z_CA6656EB_5BC4_4DD5_A09A_D48E228C86F3_.wvu.FilterData" localSheetId="0" hidden="1">Outbound_Monitor!$A$2:$W$3</definedName>
    <definedName name="Z_CA8F28FA_F70B_4AD0_A4C2_AC971F486EF4_.wvu.FilterData" localSheetId="1" hidden="1">Inbound_Monitor!$A$2:$Q$3</definedName>
    <definedName name="Z_CAC4AF81_88CA_4249_85B3_109C1F96829C_.wvu.FilterData" localSheetId="1" hidden="1">Inbound_Monitor!$A$2:$Q$13</definedName>
    <definedName name="Z_CAC4AF81_88CA_4249_85B3_109C1F96829C_.wvu.FilterData" localSheetId="0" hidden="1">Outbound_Monitor!$A$2:$X$16</definedName>
    <definedName name="Z_CACA156E_2245_43DC_8677_CEB7A8099283_.wvu.FilterData" localSheetId="1" hidden="1">Inbound_Monitor!$A$2:$Q$13</definedName>
    <definedName name="Z_CACA156E_2245_43DC_8677_CEB7A8099283_.wvu.FilterData" localSheetId="0" hidden="1">Outbound_Monitor!$A$2:$X$16</definedName>
    <definedName name="Z_CACFF423_21D1_49C7_8D16_F47AC796CCA1_.wvu.Cols" localSheetId="1" hidden="1">Inbound_Monitor!#REF!</definedName>
    <definedName name="Z_CACFF423_21D1_49C7_8D16_F47AC796CCA1_.wvu.Cols" localSheetId="0" hidden="1">Outbound_Monitor!#REF!</definedName>
    <definedName name="Z_CACFF423_21D1_49C7_8D16_F47AC796CCA1_.wvu.FilterData" localSheetId="1" hidden="1">Inbound_Monitor!$A$2:$Q$3</definedName>
    <definedName name="Z_CACFF423_21D1_49C7_8D16_F47AC796CCA1_.wvu.FilterData" localSheetId="0" hidden="1">Outbound_Monitor!$A$2:$W$3</definedName>
    <definedName name="Z_CACFF423_21D1_49C7_8D16_F47AC796CCA1_.wvu.FilterData" localSheetId="4" hidden="1">Schichtübergabe_Protokoll!$B$3:$N$3</definedName>
    <definedName name="Z_CAE497AD_FD39_421C_98BE_26EC8F44F310_.wvu.FilterData" localSheetId="1" hidden="1">Inbound_Monitor!$A$2:$Q$13</definedName>
    <definedName name="Z_CAE497AD_FD39_421C_98BE_26EC8F44F310_.wvu.FilterData" localSheetId="0" hidden="1">Outbound_Monitor!$A$2:$X$16</definedName>
    <definedName name="Z_CAF60425_EF90_4631_B8BD_5C7FDA75A4FF_.wvu.FilterData" localSheetId="1" hidden="1">Inbound_Monitor!$A$2:$Q$3</definedName>
    <definedName name="Z_CAF60425_EF90_4631_B8BD_5C7FDA75A4FF_.wvu.FilterData" localSheetId="0" hidden="1">Outbound_Monitor!$A$2:$W$3</definedName>
    <definedName name="Z_CAF85F9B_8F43_43EB_B732_94CBB2F5D014_.wvu.FilterData" localSheetId="0" hidden="1">Outbound_Monitor!$A$2:$W$3</definedName>
    <definedName name="Z_CAFD446A_2B8D_4C38_B48B_40F5062E1717_.wvu.FilterData" localSheetId="1" hidden="1">Inbound_Monitor!$A$2:$Q$13</definedName>
    <definedName name="Z_CAFD446A_2B8D_4C38_B48B_40F5062E1717_.wvu.FilterData" localSheetId="0" hidden="1">Outbound_Monitor!$A$2:$W$3</definedName>
    <definedName name="Z_CB145851_4E5D_4B27_9369_04B331C76B36_.wvu.FilterData" localSheetId="1" hidden="1">Inbound_Monitor!$A$2:$Q$13</definedName>
    <definedName name="Z_CB16539A_A9AE_4E2F_8FF6_A043F2156A80_.wvu.FilterData" localSheetId="1" hidden="1">Inbound_Monitor!$A$2:$Q$13</definedName>
    <definedName name="Z_CB16B9B8_D72B_4FCA_830B_C8788015F5D0_.wvu.FilterData" localSheetId="0" hidden="1">Outbound_Monitor!$A$2:$W$3</definedName>
    <definedName name="Z_CB16F02D_B79C_433A_8AE8_B9CFC5163FB5_.wvu.FilterData" localSheetId="1" hidden="1">Inbound_Monitor!$A$2:$Q$13</definedName>
    <definedName name="Z_CB16F02D_B79C_433A_8AE8_B9CFC5163FB5_.wvu.FilterData" localSheetId="0" hidden="1">Outbound_Monitor!$A$2:$X$16</definedName>
    <definedName name="Z_CB1CD4D1_9C77_461E_8A7D_DC36DBD14B3A_.wvu.FilterData" localSheetId="1" hidden="1">Inbound_Monitor!$A$2:$Q$13</definedName>
    <definedName name="Z_CB1CD4D1_9C77_461E_8A7D_DC36DBD14B3A_.wvu.FilterData" localSheetId="0" hidden="1">Outbound_Monitor!$A$2:$X$16</definedName>
    <definedName name="Z_CB20EC7C_996E_4C22_A389_1A7CEFF75097_.wvu.FilterData" localSheetId="0" hidden="1">Outbound_Monitor!$A$2:$W$3</definedName>
    <definedName name="Z_CB2450FE_E311_454C_9A43_E69714EE3E05_.wvu.FilterData" localSheetId="1" hidden="1">Inbound_Monitor!$A$2:$Q$13</definedName>
    <definedName name="Z_CB541594_3194_42CB_9AA4_A9EC725AFDF3_.wvu.FilterData" localSheetId="1" hidden="1">Inbound_Monitor!$A$2:$Q$3</definedName>
    <definedName name="Z_CB541594_3194_42CB_9AA4_A9EC725AFDF3_.wvu.FilterData" localSheetId="0" hidden="1">Outbound_Monitor!$A$2:$W$3</definedName>
    <definedName name="Z_CB559B0B_D2C7_4CEF_A96F_F0D8B7088AC0_.wvu.FilterData" localSheetId="0" hidden="1">Outbound_Monitor!$A$2:$X$16</definedName>
    <definedName name="Z_CB6204AB_D3BD_45F9_A4CF_00CE9BF921E4_.wvu.FilterData" localSheetId="1" hidden="1">Inbound_Monitor!$A$2:$Q$13</definedName>
    <definedName name="Z_CB6204AB_D3BD_45F9_A4CF_00CE9BF921E4_.wvu.FilterData" localSheetId="0" hidden="1">Outbound_Monitor!$A$2:$X$16</definedName>
    <definedName name="Z_CB665AEF_C63B_4B0A_807B_1F8D4C6A2815_.wvu.FilterData" localSheetId="0" hidden="1">Outbound_Monitor!$A$2:$X$16</definedName>
    <definedName name="Z_CB74D918_C71B_49C0_915A_E00109C68CF4_.wvu.FilterData" localSheetId="0" hidden="1">Outbound_Monitor!$A$2:$W$3</definedName>
    <definedName name="Z_CB873982_9D2F_49B6_93E6_50BDAF85243F_.wvu.Rows" localSheetId="3" hidden="1">'SDDS_Office (nicht nutzen)'!#REF!</definedName>
    <definedName name="Z_CBB00540_9290_485B_81C6_1BB31D4E034B_.wvu.FilterData" localSheetId="1" hidden="1">Inbound_Monitor!$A$2:$Q$3</definedName>
    <definedName name="Z_CBB2E5BD_D20D_43D0_8A0B_4A7F647F384C_.wvu.FilterData" localSheetId="1" hidden="1">Inbound_Monitor!$A$2:$Q$13</definedName>
    <definedName name="Z_CBBDA850_B5A3_4909_A6C8_101A271AC7B2_.wvu.FilterData" localSheetId="1" hidden="1">Inbound_Monitor!$A$2:$Q$3</definedName>
    <definedName name="Z_CBC67DAD_C14E_41FF_9BAF_367734B1DFDB_.wvu.FilterData" localSheetId="0" hidden="1">Outbound_Monitor!$A$2:$W$3</definedName>
    <definedName name="Z_CBC9DC22_279D_47ED_BD4F_1461085E566A_.wvu.FilterData" localSheetId="1" hidden="1">Inbound_Monitor!$A$2:$Q$13</definedName>
    <definedName name="Z_CBD47D0E_CA5E_45B8_A79C_5C081281E775_.wvu.FilterData" localSheetId="1" hidden="1">Inbound_Monitor!$A$2:$Q$13</definedName>
    <definedName name="Z_CBD47D0E_CA5E_45B8_A79C_5C081281E775_.wvu.FilterData" localSheetId="0" hidden="1">Outbound_Monitor!$A$2:$W$3</definedName>
    <definedName name="Z_CBE211BD_1B4C_4536_ADEB_7B0C30C8CF56_.wvu.FilterData" localSheetId="0" hidden="1">Outbound_Monitor!$A$2:$X$16</definedName>
    <definedName name="Z_CC0660E8_37C1_40F5_AEDF_5B63360C20C7_.wvu.FilterData" localSheetId="1" hidden="1">Inbound_Monitor!$A$2:$Q$13</definedName>
    <definedName name="Z_CC0660E8_37C1_40F5_AEDF_5B63360C20C7_.wvu.FilterData" localSheetId="0" hidden="1">Outbound_Monitor!$A$2:$X$16</definedName>
    <definedName name="Z_CC0660E8_37C1_40F5_AEDF_5B63360C20C7_.wvu.FilterData" localSheetId="4" hidden="1">Schichtübergabe_Protokoll!$B$3:$N$3</definedName>
    <definedName name="Z_CC067B91_D8B9_4C32_A458_D2587416D558_.wvu.FilterData" localSheetId="1" hidden="1">Inbound_Monitor!$A$2:$Q$13</definedName>
    <definedName name="Z_CC1588D4_2478_44A2_92D9_C98BEAC4D23C_.wvu.FilterData" localSheetId="0" hidden="1">Outbound_Monitor!$A$2:$W$3</definedName>
    <definedName name="Z_CC229347_83D5_4804_8303_CF800EA9DC33_.wvu.FilterData" localSheetId="1" hidden="1">Inbound_Monitor!$A$2:$Q$3</definedName>
    <definedName name="Z_CC229347_83D5_4804_8303_CF800EA9DC33_.wvu.FilterData" localSheetId="0" hidden="1">Outbound_Monitor!$A$2:$W$3</definedName>
    <definedName name="Z_CC28B095_4F7F_4656_9873_9485A54A1801_.wvu.FilterData" localSheetId="0" hidden="1">Outbound_Monitor!$A$2:$W$3</definedName>
    <definedName name="Z_CC29DB35_6356_4390_80FB_1B15F3A0972E_.wvu.FilterData" localSheetId="0" hidden="1">Outbound_Monitor!$A$2:$X$16</definedName>
    <definedName name="Z_CC349DFE_6301_4109_B472_FCF40D88F5A8_.wvu.FilterData" localSheetId="0" hidden="1">Outbound_Monitor!$A$2:$W$3</definedName>
    <definedName name="Z_CC424A84_3E2C_4380_920A_882804D5C50A_.wvu.FilterData" localSheetId="0" hidden="1">Outbound_Monitor!$A$2:$W$3</definedName>
    <definedName name="Z_CC4B918F_2A47_4C1E_A4EC_9B45D028D0EF_.wvu.FilterData" localSheetId="0" hidden="1">Outbound_Monitor!$A$2:$W$3</definedName>
    <definedName name="Z_CC5B6A89_7AD9_42A8_B55D_BCC69029DF95_.wvu.FilterData" localSheetId="1" hidden="1">Inbound_Monitor!$A$2:$Q$3</definedName>
    <definedName name="Z_CC5C3B5E_9EF5_43AA_9047_20E10F81338C_.wvu.FilterData" localSheetId="1" hidden="1">Inbound_Monitor!$A$2:$Q$13</definedName>
    <definedName name="Z_CC5C3B5E_9EF5_43AA_9047_20E10F81338C_.wvu.FilterData" localSheetId="0" hidden="1">Outbound_Monitor!$A$2:$X$16</definedName>
    <definedName name="Z_CC640434_E5F1_4891_9EB9_49DDBF667F89_.wvu.FilterData" localSheetId="0" hidden="1">Outbound_Monitor!$A$2:$W$3</definedName>
    <definedName name="Z_CC6666BF_8938_4017_88B1_C5479B3AFD16_.wvu.FilterData" localSheetId="0" hidden="1">Outbound_Monitor!$A$2:$W$3</definedName>
    <definedName name="Z_CC67DE3D_36D2_4015_968A_D249E04E6FEE_.wvu.FilterData" localSheetId="0" hidden="1">Outbound_Monitor!$A$2:$W$3</definedName>
    <definedName name="Z_CC745757_CDFD_4C95_8BBF_FC028CEBFC07_.wvu.FilterData" localSheetId="1" hidden="1">Inbound_Monitor!$A$2:$Q$3</definedName>
    <definedName name="Z_CC7603EC_4F62_48B1_A598_91C87CE7F239_.wvu.FilterData" localSheetId="1" hidden="1">Inbound_Monitor!$A$2:$Q$13</definedName>
    <definedName name="Z_CC7603EC_4F62_48B1_A598_91C87CE7F239_.wvu.FilterData" localSheetId="0" hidden="1">Outbound_Monitor!$A$2:$W$3</definedName>
    <definedName name="Z_CC945E1E_0954_4032_9E03_3427C2F5364E_.wvu.FilterData" localSheetId="1" hidden="1">Inbound_Monitor!$A$2:$Q$13</definedName>
    <definedName name="Z_CCAACF84_7606_4795_8D69_1C69AE60A4D4_.wvu.FilterData" localSheetId="0" hidden="1">Outbound_Monitor!$A$2:$W$3</definedName>
    <definedName name="Z_CCAE8F3C_EBD5_46C4_A4DB_44B7BE1E3278_.wvu.FilterData" localSheetId="0" hidden="1">Outbound_Monitor!$A$2:$W$3</definedName>
    <definedName name="Z_CCAE8F3C_EBD5_46C4_A4DB_44B7BE1E3278_.wvu.FilterData" localSheetId="4" hidden="1">Schichtübergabe_Protokoll!$B$3:$N$3</definedName>
    <definedName name="Z_CCD963D0_EF41_42AC_A4C0_A5875558553B_.wvu.FilterData" localSheetId="1" hidden="1">Inbound_Monitor!$A$2:$Q$13</definedName>
    <definedName name="Z_CCEC8296_6061_4822_AF95_FFE7E95C8270_.wvu.FilterData" localSheetId="0" hidden="1">Outbound_Monitor!$A$2:$X$16</definedName>
    <definedName name="Z_CD1EC2D2_3B04_4F5F_9779_72638255E832_.wvu.FilterData" localSheetId="0" hidden="1">Outbound_Monitor!$A$2:$W$3</definedName>
    <definedName name="Z_CD206B3E_B7C2_4ED6_B1E2_70E63CAC180C_.wvu.FilterData" localSheetId="1" hidden="1">Inbound_Monitor!$A$2:$Q$13</definedName>
    <definedName name="Z_CD206B3E_B7C2_4ED6_B1E2_70E63CAC180C_.wvu.FilterData" localSheetId="0" hidden="1">Outbound_Monitor!$A$2:$W$3</definedName>
    <definedName name="Z_CD25565E_A359_4767_9AB4_F0B492315E31_.wvu.FilterData" localSheetId="1" hidden="1">Inbound_Monitor!$A$2:$Q$3</definedName>
    <definedName name="Z_CD2A2B23_6EF1_4573_AAE9_E74C67A432C0_.wvu.FilterData" localSheetId="1" hidden="1">Inbound_Monitor!$A$2:$Q$3</definedName>
    <definedName name="Z_CD36039A_05C7_4A31_AD69_803B306D2699_.wvu.FilterData" localSheetId="1" hidden="1">Inbound_Monitor!$A$2:$Q$3</definedName>
    <definedName name="Z_CD3B2C2A_2223_4F2C_81DB_106856C9A4AB_.wvu.FilterData" localSheetId="1" hidden="1">Inbound_Monitor!$A$2:$Q$3</definedName>
    <definedName name="Z_CD3C7D6E_12B5_4314_A859_4B6392BB9969_.wvu.FilterData" localSheetId="0" hidden="1">Outbound_Monitor!$A$2:$W$3</definedName>
    <definedName name="Z_CD3CF3A7_87F8_476E_8A2E_F10A41333A4D_.wvu.FilterData" localSheetId="0" hidden="1">Outbound_Monitor!$A$2:$W$3</definedName>
    <definedName name="Z_CD439676_CA10_4EB1_9820_47DD3F39230D_.wvu.FilterData" localSheetId="1" hidden="1">Inbound_Monitor!$A$2:$Q$3</definedName>
    <definedName name="Z_CD439676_CA10_4EB1_9820_47DD3F39230D_.wvu.FilterData" localSheetId="0" hidden="1">Outbound_Monitor!$A$2:$W$3</definedName>
    <definedName name="Z_CD5AA465_1171_46BE_83D2_45397DED2B41_.wvu.FilterData" localSheetId="1" hidden="1">Inbound_Monitor!$A$2:$Q$3</definedName>
    <definedName name="Z_CD5AA465_1171_46BE_83D2_45397DED2B41_.wvu.FilterData" localSheetId="0" hidden="1">Outbound_Monitor!$A$2:$W$3</definedName>
    <definedName name="Z_CD61DE2A_8D13_43EA_9878_8DB0309A61FE_.wvu.FilterData" localSheetId="1" hidden="1">Inbound_Monitor!$A$2:$Q$2</definedName>
    <definedName name="Z_CD61DE2A_8D13_43EA_9878_8DB0309A61FE_.wvu.FilterData" localSheetId="0" hidden="1">Outbound_Monitor!$A$2:$W$2</definedName>
    <definedName name="Z_CD62B288_749E_4FC7_81D6_305EBCEF312C_.wvu.FilterData" localSheetId="0" hidden="1">Outbound_Monitor!$A$2:$W$3</definedName>
    <definedName name="Z_CD65D3C1_D4BD_4F95_8F9D_F2CD94499568_.wvu.FilterData" localSheetId="1" hidden="1">Inbound_Monitor!$A$2:$Q$3</definedName>
    <definedName name="Z_CD730707_E644_4F98_B518_9A81DE961510_.wvu.FilterData" localSheetId="1" hidden="1">Inbound_Monitor!$A$2:$Q$3</definedName>
    <definedName name="Z_CD769FE9_3CEC_4D2A_BE49_E61881176E1B_.wvu.FilterData" localSheetId="0" hidden="1">Outbound_Monitor!$A$2:$W$3</definedName>
    <definedName name="Z_CD7E05EE_AF43_4741_BC5C_D63279B87E9E_.wvu.FilterData" localSheetId="1" hidden="1">Inbound_Monitor!$A$2:$Q$13</definedName>
    <definedName name="Z_CD7E05EE_AF43_4741_BC5C_D63279B87E9E_.wvu.FilterData" localSheetId="0" hidden="1">Outbound_Monitor!$A$2:$W$3</definedName>
    <definedName name="Z_CD886029_6E1B_4DAC_AD12_318C9956B2A0_.wvu.FilterData" localSheetId="0" hidden="1">Outbound_Monitor!$A$2:$W$3</definedName>
    <definedName name="Z_CD8B73A3_5AEA_4D26_AF36_C9BA79700F58_.wvu.Rows" localSheetId="3" hidden="1">'SDDS_Office (nicht nutzen)'!$25:$25,'SDDS_Office (nicht nutzen)'!#REF!,'SDDS_Office (nicht nutzen)'!#REF!,'SDDS_Office (nicht nutzen)'!#REF!,'SDDS_Office (nicht nutzen)'!#REF!</definedName>
    <definedName name="Z_CD8F764D_8ABB_4DD8_B531_8059A820C02D_.wvu.FilterData" localSheetId="0" hidden="1">Outbound_Monitor!$A$2:$W$3</definedName>
    <definedName name="Z_CD9D40C7_29A4_4067_BB98_604ECB7492D9_.wvu.FilterData" localSheetId="1" hidden="1">Inbound_Monitor!$A$2:$Q$13</definedName>
    <definedName name="Z_CDB0B6B7_3AAF_4E06_8F9C_601209C7890E_.wvu.FilterData" localSheetId="0" hidden="1">Outbound_Monitor!$A$2:$W$3</definedName>
    <definedName name="Z_CDBCA503_D980_48BE_B7FD_1DEF2CC38270_.wvu.FilterData" localSheetId="1" hidden="1">Inbound_Monitor!$A$2:$Q$3</definedName>
    <definedName name="Z_CDBDCC31_09DA_49CB_B73E_0E93E2689290_.wvu.FilterData" localSheetId="0" hidden="1">Outbound_Monitor!$A$2:$W$3</definedName>
    <definedName name="Z_CDC019F7_2075_48CA_A947_C511F533293C_.wvu.FilterData" localSheetId="1" hidden="1">Inbound_Monitor!$A$2:$Q$13</definedName>
    <definedName name="Z_CDC019F7_2075_48CA_A947_C511F533293C_.wvu.FilterData" localSheetId="0" hidden="1">Outbound_Monitor!$A$2:$W$3</definedName>
    <definedName name="Z_CDC15D64_C65B_412F_A7C2_CD17A178DB20_.wvu.FilterData" localSheetId="1" hidden="1">Inbound_Monitor!$A$2:$Q$13</definedName>
    <definedName name="Z_CDC15D64_C65B_412F_A7C2_CD17A178DB20_.wvu.FilterData" localSheetId="0" hidden="1">Outbound_Monitor!$A$2:$W$3</definedName>
    <definedName name="Z_CDE6B2B8_DA75_4986_A449_4427C3C98C2F_.wvu.FilterData" localSheetId="1" hidden="1">Inbound_Monitor!$A$2:$Q$13</definedName>
    <definedName name="Z_CDE8644C_558A_48A8_A9FE_62001AA2A597_.wvu.FilterData" localSheetId="0" hidden="1">Outbound_Monitor!$A$2:$W$3</definedName>
    <definedName name="Z_CDFC2CC0_9048_4E60_8273_5803B9DAC3C0_.wvu.FilterData" localSheetId="1" hidden="1">Inbound_Monitor!$A$2:$Q$13</definedName>
    <definedName name="Z_CDFC2CC0_9048_4E60_8273_5803B9DAC3C0_.wvu.FilterData" localSheetId="0" hidden="1">Outbound_Monitor!$A$2:$W$3</definedName>
    <definedName name="Z_CDFCEA49_2C4E_4FA8_9C6E_FC779B12CC6B_.wvu.FilterData" localSheetId="0" hidden="1">Outbound_Monitor!$A$2:$W$3</definedName>
    <definedName name="Z_CE140542_B378_4C0C_A794_EDC223B05ECC_.wvu.FilterData" localSheetId="0" hidden="1">Outbound_Monitor!$A$2:$W$3</definedName>
    <definedName name="Z_CE247E1B_3261_4F97_8DFC_CA38C240156F_.wvu.FilterData" localSheetId="0" hidden="1">Outbound_Monitor!$A$2:$W$3</definedName>
    <definedName name="Z_CE35D348_265C_456E_985F_08E8B441BED2_.wvu.FilterData" localSheetId="1" hidden="1">Inbound_Monitor!$A$2:$Q$2</definedName>
    <definedName name="Z_CE35D348_265C_456E_985F_08E8B441BED2_.wvu.FilterData" localSheetId="0" hidden="1">Outbound_Monitor!$A$2:$W$2</definedName>
    <definedName name="Z_CE61F980_C6C8_4163_9BFC_BAE47AAAA7EC_.wvu.FilterData" localSheetId="0" hidden="1">Outbound_Monitor!$A$2:$W$3</definedName>
    <definedName name="Z_CE668D06_E21D_40E3_A08E_4006C084FE83_.wvu.FilterData" localSheetId="1" hidden="1">Inbound_Monitor!$A$2:$Q$2</definedName>
    <definedName name="Z_CE668D06_E21D_40E3_A08E_4006C084FE83_.wvu.FilterData" localSheetId="0" hidden="1">Outbound_Monitor!$A$2:$W$2</definedName>
    <definedName name="Z_CE6A039E_013E_4FAE_B711_B6612F7DD4DD_.wvu.FilterData" localSheetId="0" hidden="1">Outbound_Monitor!$A$2:$W$3</definedName>
    <definedName name="Z_CE6D5DE4_10AE_4629_B768_C89574A04D47_.wvu.FilterData" localSheetId="1" hidden="1">Inbound_Monitor!$A$2:$Q$3</definedName>
    <definedName name="Z_CE75196C_C700_4F64_A1AD_C032AB728EF8_.wvu.FilterData" localSheetId="1" hidden="1">Inbound_Monitor!$A$2:$Q$3</definedName>
    <definedName name="Z_CE7C65F2_C2E0_414F_AA63_B36EBF0421F9_.wvu.FilterData" localSheetId="1" hidden="1">Inbound_Monitor!$A$2:$Q$2</definedName>
    <definedName name="Z_CE7C65F2_C2E0_414F_AA63_B36EBF0421F9_.wvu.FilterData" localSheetId="0" hidden="1">Outbound_Monitor!$A$2:$W$2</definedName>
    <definedName name="Z_CE82EE96_8619_471E_8DFB_E0564A25C73B_.wvu.FilterData" localSheetId="0" hidden="1">Outbound_Monitor!$A$2:$W$3</definedName>
    <definedName name="Z_CE95D7A3_A2D8_45C3_86AC_2A7EB9123823_.wvu.FilterData" localSheetId="1" hidden="1">Inbound_Monitor!$A$2:$Q$13</definedName>
    <definedName name="Z_CE95D7A3_A2D8_45C3_86AC_2A7EB9123823_.wvu.FilterData" localSheetId="0" hidden="1">Outbound_Monitor!$A$2:$X$16</definedName>
    <definedName name="Z_CEC1356A_59E4_4026_9B0D_792A2E69CE53_.wvu.FilterData" localSheetId="1" hidden="1">Inbound_Monitor!$A$2:$Q$13</definedName>
    <definedName name="Z_CEC504D6_9934_4B60_A71B_A8F44AA2BFD1_.wvu.FilterData" localSheetId="1" hidden="1">Inbound_Monitor!$A$2:$Q$3</definedName>
    <definedName name="Z_CEC504D6_9934_4B60_A71B_A8F44AA2BFD1_.wvu.FilterData" localSheetId="0" hidden="1">Outbound_Monitor!$A$2:$W$3</definedName>
    <definedName name="Z_CECB9B10_C6AD_40DC_8059_524F9F29FB67_.wvu.Rows" localSheetId="3" hidden="1">'SDDS_Office (nicht nutzen)'!#REF!,'SDDS_Office (nicht nutzen)'!#REF!,'SDDS_Office (nicht nutzen)'!#REF!,'SDDS_Office (nicht nutzen)'!#REF!</definedName>
    <definedName name="Z_CED8D6A2_E3A3_42EF_82E1_E24290770B70_.wvu.FilterData" localSheetId="0" hidden="1">Outbound_Monitor!$A$2:$W$3</definedName>
    <definedName name="Z_CEE5B1A3_01AD_4800_8AEA_DE5C3A6637A7_.wvu.FilterData" localSheetId="0" hidden="1">Outbound_Monitor!$A$2:$X$16</definedName>
    <definedName name="Z_CEE6E012_D05F_4F86_A13A_E780758D30DD_.wvu.FilterData" localSheetId="1" hidden="1">Inbound_Monitor!$A$2:$Q$3</definedName>
    <definedName name="Z_CEFE059C_A65A_469E_9091_3A9D2026CE44_.wvu.FilterData" localSheetId="1" hidden="1">Inbound_Monitor!$A$2:$Q$13</definedName>
    <definedName name="Z_CEFE059C_A65A_469E_9091_3A9D2026CE44_.wvu.FilterData" localSheetId="0" hidden="1">Outbound_Monitor!$A$2:$X$16</definedName>
    <definedName name="Z_CF067D58_6CAE_48B4_95BB_F7168F4A52BA_.wvu.FilterData" localSheetId="1" hidden="1">Inbound_Monitor!$A$2:$Q$3</definedName>
    <definedName name="Z_CF234D0C_924C_4C42_92EB_6AED53EBB5F8_.wvu.FilterData" localSheetId="0" hidden="1">Outbound_Monitor!$A$2:$W$3</definedName>
    <definedName name="Z_CF24D6EB_C745_4358_B306_AFF167C5D082_.wvu.FilterData" localSheetId="0" hidden="1">Outbound_Monitor!$A$2:$W$3</definedName>
    <definedName name="Z_CF24D6EB_C745_4358_B306_AFF167C5D082_.wvu.FilterData" localSheetId="4" hidden="1">Schichtübergabe_Protokoll!$B$3:$N$3</definedName>
    <definedName name="Z_CF471831_966A_4721_8EF8_1E2E49A3FAC6_.wvu.FilterData" localSheetId="0" hidden="1">Outbound_Monitor!$A$2:$W$3</definedName>
    <definedName name="Z_CF4B9920_0560_4F89_9AA3_2109942F8152_.wvu.FilterData" localSheetId="1" hidden="1">Inbound_Monitor!$A$2:$Q$3</definedName>
    <definedName name="Z_CF6867FA_F7ED_4CA2_85D6_E67ED7D8F3CB_.wvu.FilterData" localSheetId="1" hidden="1">Inbound_Monitor!$A$2:$Q$3</definedName>
    <definedName name="Z_CF79CD42_991A_4B35_9E22_7D1CB888FAEC_.wvu.FilterData" localSheetId="0" hidden="1">Outbound_Monitor!$A$2:$W$3</definedName>
    <definedName name="Z_CF89FA8B_8A38_499C_B56A_96BF0614B79E_.wvu.FilterData" localSheetId="0" hidden="1">Outbound_Monitor!$A$2:$W$3</definedName>
    <definedName name="Z_CF96B277_58FF_42B8_9DC3_F6C3051525C5_.wvu.FilterData" localSheetId="0" hidden="1">Outbound_Monitor!$A$2:$W$3</definedName>
    <definedName name="Z_CFA371B2_643D_469E_8782_FDF5F43F333C_.wvu.FilterData" localSheetId="1" hidden="1">Inbound_Monitor!$A$2:$Q$2</definedName>
    <definedName name="Z_CFA371B2_643D_469E_8782_FDF5F43F333C_.wvu.FilterData" localSheetId="0" hidden="1">Outbound_Monitor!$A$2:$W$2</definedName>
    <definedName name="Z_CFA4AF4F_4A13_468F_9090_37DB5A12DE8B_.wvu.FilterData" localSheetId="0" hidden="1">Outbound_Monitor!$A$2:$X$16</definedName>
    <definedName name="Z_CFA7490E_B6C6_48AF_8D66_86D9F9CF5EBD_.wvu.FilterData" localSheetId="1" hidden="1">Inbound_Monitor!$A$2:$Q$3</definedName>
    <definedName name="Z_CFC7122F_D2A1_4E77_9EAB_D9CC9397630A_.wvu.FilterData" localSheetId="0" hidden="1">Outbound_Monitor!$A$2:$W$3</definedName>
    <definedName name="Z_CFCFF46A_563A_4BD6_80A9_A3B04705DB1A_.wvu.FilterData" localSheetId="1" hidden="1">Inbound_Monitor!$A$2:$Q$13</definedName>
    <definedName name="Z_CFCFF46A_563A_4BD6_80A9_A3B04705DB1A_.wvu.FilterData" localSheetId="0" hidden="1">Outbound_Monitor!$A$2:$W$3</definedName>
    <definedName name="Z_CFCFF46A_563A_4BD6_80A9_A3B04705DB1A_.wvu.FilterData" localSheetId="4" hidden="1">Schichtübergabe_Protokoll!$B$3:$N$3</definedName>
    <definedName name="Z_CFD1EAD2_FD21_4DAC_B526_5CA3F8899735_.wvu.FilterData" localSheetId="1" hidden="1">Inbound_Monitor!$A$2:$Q$3</definedName>
    <definedName name="Z_CFD69EBF_0930_4119_8198_2D5AE88513F7_.wvu.FilterData" localSheetId="1" hidden="1">Inbound_Monitor!$A$2:$Q$2</definedName>
    <definedName name="Z_CFD69EBF_0930_4119_8198_2D5AE88513F7_.wvu.FilterData" localSheetId="0" hidden="1">Outbound_Monitor!$A$2:$W$2</definedName>
    <definedName name="Z_CFFD5956_BB36_4460_93DA_B96D6B6E9699_.wvu.FilterData" localSheetId="1" hidden="1">Inbound_Monitor!$A$2:$Q$2</definedName>
    <definedName name="Z_CFFD5956_BB36_4460_93DA_B96D6B6E9699_.wvu.FilterData" localSheetId="0" hidden="1">Outbound_Monitor!$A$2:$W$2</definedName>
    <definedName name="Z_D0030816_46B0_4230_AC26_CAC65E4A3120_.wvu.FilterData" localSheetId="1" hidden="1">Inbound_Monitor!$A$2:$Q$3</definedName>
    <definedName name="Z_D0066B2C_462B_4E3C_B870_EE208DDB1D17_.wvu.FilterData" localSheetId="1" hidden="1">Inbound_Monitor!$A$2:$Q$3</definedName>
    <definedName name="Z_D00B71FC_019C_40CB_BB05_B17FE6DFB841_.wvu.FilterData" localSheetId="1" hidden="1">Inbound_Monitor!$A$2:$Q$13</definedName>
    <definedName name="Z_D00B71FC_019C_40CB_BB05_B17FE6DFB841_.wvu.FilterData" localSheetId="0" hidden="1">Outbound_Monitor!$A$2:$W$3</definedName>
    <definedName name="Z_D02B10D9_4FA2_414D_BAF5_A6774ECCF2B6_.wvu.FilterData" localSheetId="1" hidden="1">Inbound_Monitor!$A$2:$Q$3</definedName>
    <definedName name="Z_D0474072_CA40_4CB6_9F17_AB2BF2F8CDFA_.wvu.FilterData" localSheetId="1" hidden="1">Inbound_Monitor!$A$2:$Q$3</definedName>
    <definedName name="Z_D0474072_CA40_4CB6_9F17_AB2BF2F8CDFA_.wvu.FilterData" localSheetId="0" hidden="1">Outbound_Monitor!$A$2:$W$3</definedName>
    <definedName name="Z_D0533A27_4814_4D0C_A6CD_E4CF53C3C84D_.wvu.FilterData" localSheetId="0" hidden="1">Outbound_Monitor!$A$2:$X$16</definedName>
    <definedName name="Z_D055BB93_FEE0_4B52_9B7D_CB5AF1A9CD41_.wvu.FilterData" localSheetId="4" hidden="1">Schichtübergabe_Protokoll!$B$3:$N$3</definedName>
    <definedName name="Z_D0586D13_8638_4499_A9EB_C56763359D87_.wvu.FilterData" localSheetId="0" hidden="1">Outbound_Monitor!$A$2:$W$3</definedName>
    <definedName name="Z_D0606391_ED96_46C0_BD81_068D1B7A6DC9_.wvu.FilterData" localSheetId="1" hidden="1">Inbound_Monitor!$A$2:$Q$3</definedName>
    <definedName name="Z_D06721F0_6005_4E10_BFAA_354B94C6B5D9_.wvu.FilterData" localSheetId="1" hidden="1">Inbound_Monitor!$A$2:$Q$2</definedName>
    <definedName name="Z_D06721F0_6005_4E10_BFAA_354B94C6B5D9_.wvu.FilterData" localSheetId="0" hidden="1">Outbound_Monitor!$A$2:$W$2</definedName>
    <definedName name="Z_D06CCE83_7F58_4354_BF62_C9F51EAF6D4E_.wvu.FilterData" localSheetId="0" hidden="1">Outbound_Monitor!$A$2:$W$3</definedName>
    <definedName name="Z_D07FDD14_2F4F_4E53_A86E_77498BCDD9F2_.wvu.FilterData" localSheetId="1" hidden="1">Inbound_Monitor!$A$2:$Q$2</definedName>
    <definedName name="Z_D07FDD14_2F4F_4E53_A86E_77498BCDD9F2_.wvu.FilterData" localSheetId="0" hidden="1">Outbound_Monitor!$A$2:$W$2</definedName>
    <definedName name="Z_D0A7E41D_10BA_4F2D_9127_FDD570405ED0_.wvu.FilterData" localSheetId="0" hidden="1">Outbound_Monitor!$A$2:$W$3</definedName>
    <definedName name="Z_D0B60478_62B4_4FE8_AB89_40565B8DA715_.wvu.FilterData" localSheetId="1" hidden="1">Inbound_Monitor!$A$2:$Q$3</definedName>
    <definedName name="Z_D0B60478_62B4_4FE8_AB89_40565B8DA715_.wvu.FilterData" localSheetId="0" hidden="1">Outbound_Monitor!$A$2:$W$3</definedName>
    <definedName name="Z_D0B60478_62B4_4FE8_AB89_40565B8DA715_.wvu.FilterData" localSheetId="4" hidden="1">Schichtübergabe_Protokoll!$B$3:$N$3</definedName>
    <definedName name="Z_D0C60F64_20A3_421A_BE93_9B7B47789EE1_.wvu.FilterData" localSheetId="1" hidden="1">Inbound_Monitor!$A$2:$Q$2</definedName>
    <definedName name="Z_D0C60F64_20A3_421A_BE93_9B7B47789EE1_.wvu.FilterData" localSheetId="0" hidden="1">Outbound_Monitor!$A$2:$W$2</definedName>
    <definedName name="Z_D0D5FF05_B4B9_43C9_B207_67A3C0531972_.wvu.FilterData" localSheetId="0" hidden="1">Outbound_Monitor!$A$2:$W$3</definedName>
    <definedName name="Z_D0EB51AB_DAB1_4F47_9135_A852C0C5ECD9_.wvu.FilterData" localSheetId="1" hidden="1">Inbound_Monitor!$A$2:$Q$13</definedName>
    <definedName name="Z_D0F62B63_F9E2_4D9A_B206_70EC77564A0C_.wvu.FilterData" localSheetId="1" hidden="1">Inbound_Monitor!$A$2:$Q$13</definedName>
    <definedName name="Z_D0F62B63_F9E2_4D9A_B206_70EC77564A0C_.wvu.FilterData" localSheetId="0" hidden="1">Outbound_Monitor!$A$2:$X$16</definedName>
    <definedName name="Z_D0F7417A_8415_49FC_82A9_4D1E60FBAAE9_.wvu.FilterData" localSheetId="0" hidden="1">Outbound_Monitor!$A$2:$W$3</definedName>
    <definedName name="Z_D0F75FCD_F8B3_4CC0_9080_76EAD6774986_.wvu.FilterData" localSheetId="1" hidden="1">Inbound_Monitor!$A$2:$Q$3</definedName>
    <definedName name="Z_D112F85F_BC8A_4939_A14C_6F135C53172C_.wvu.FilterData" localSheetId="1" hidden="1">Inbound_Monitor!$A$2:$Q$3</definedName>
    <definedName name="Z_D112F85F_BC8A_4939_A14C_6F135C53172C_.wvu.FilterData" localSheetId="0" hidden="1">Outbound_Monitor!$A$2:$X$3</definedName>
    <definedName name="Z_D11346CC_A771_4C4F_AAFE_DABFFF59F33A_.wvu.FilterData" localSheetId="0" hidden="1">Outbound_Monitor!$A$2:$W$3</definedName>
    <definedName name="Z_D11F5296_50E6_4027_88AE_1B6EF68940D1_.wvu.FilterData" localSheetId="0" hidden="1">Outbound_Monitor!$A$2:$W$3</definedName>
    <definedName name="Z_D122A6B5_706D_4A55_9E98_44F7DFE64DD4_.wvu.FilterData" localSheetId="1" hidden="1">Inbound_Monitor!$A$2:$Q$13</definedName>
    <definedName name="Z_D12B2863_47EE_48F4_91B7_71E1D0BE34BA_.wvu.FilterData" localSheetId="1" hidden="1">Inbound_Monitor!$A$2:$Q$2</definedName>
    <definedName name="Z_D12B2863_47EE_48F4_91B7_71E1D0BE34BA_.wvu.FilterData" localSheetId="0" hidden="1">Outbound_Monitor!$A$2:$W$2</definedName>
    <definedName name="Z_D13827FD_D6D4_456D_B4AA_DAB086C685A1_.wvu.FilterData" localSheetId="0" hidden="1">Outbound_Monitor!$A$2:$W$3</definedName>
    <definedName name="Z_D13BD43B_4094_4FBB_A576_8CDDC6E219B7_.wvu.FilterData" localSheetId="0" hidden="1">Outbound_Monitor!$A$2:$X$16</definedName>
    <definedName name="Z_D141263B_F492_4B98_A961_45A4B8897245_.wvu.FilterData" localSheetId="0" hidden="1">Outbound_Monitor!$A$2:$W$3</definedName>
    <definedName name="Z_D1459E0D_8013_46FF_8F46_55FB44049632_.wvu.FilterData" localSheetId="1" hidden="1">Inbound_Monitor!$A$2:$Q$13</definedName>
    <definedName name="Z_D14CC3EE_0529_4C9A_B572_A9ADC61001E0_.wvu.FilterData" localSheetId="1" hidden="1">Inbound_Monitor!$A$2:$Q$13</definedName>
    <definedName name="Z_D163072A_5DF6_4CAE_BA1D_BAD63BA371CF_.wvu.FilterData" localSheetId="0" hidden="1">Outbound_Monitor!$A$2:$W$3</definedName>
    <definedName name="Z_D16A34D1_9478_4266_9162_9233289D860B_.wvu.FilterData" localSheetId="1" hidden="1">Inbound_Monitor!$A$2:$Q$13</definedName>
    <definedName name="Z_D16A34D1_9478_4266_9162_9233289D860B_.wvu.FilterData" localSheetId="0" hidden="1">Outbound_Monitor!$A$2:$X$16</definedName>
    <definedName name="Z_D16FD83D_5050_4983_9E40_24BA7318F103_.wvu.FilterData" localSheetId="1" hidden="1">Inbound_Monitor!$A$2:$Q$3</definedName>
    <definedName name="Z_D16FD83D_5050_4983_9E40_24BA7318F103_.wvu.FilterData" localSheetId="0" hidden="1">Outbound_Monitor!$A$2:$W$3</definedName>
    <definedName name="Z_D1883480_BF4D_49CF_BD4E_1C95E0562187_.wvu.FilterData" localSheetId="1" hidden="1">Inbound_Monitor!$A$2:$Q$3</definedName>
    <definedName name="Z_D1949B0F_0E98_40C0_917B_95ACA8C44B34_.wvu.FilterData" localSheetId="0" hidden="1">Outbound_Monitor!$A$2:$W$3</definedName>
    <definedName name="Z_D1949B67_8900_4BA1_B890_8558253B1991_.wvu.FilterData" localSheetId="0" hidden="1">Outbound_Monitor!$A$2:$W$3</definedName>
    <definedName name="Z_D1987F57_0CD3_4EAD_9C65_CA633544DDCA_.wvu.FilterData" localSheetId="0" hidden="1">Outbound_Monitor!$A$2:$W$3</definedName>
    <definedName name="Z_D19F7EF2_30F7_48AD_87DE_C9740BB39C81_.wvu.FilterData" localSheetId="1" hidden="1">Inbound_Monitor!$A$2:$Q$3</definedName>
    <definedName name="Z_D1A2DDF3_C8D8_44F3_84EF_34B21F655EE7_.wvu.FilterData" localSheetId="1" hidden="1">Inbound_Monitor!$A$2:$Q$3</definedName>
    <definedName name="Z_D1AB14C8_E477_43A7_8014_7FE95A8BC06B_.wvu.FilterData" localSheetId="1" hidden="1">Inbound_Monitor!$A$2:$Q$3</definedName>
    <definedName name="Z_D1AB14C8_E477_43A7_8014_7FE95A8BC06B_.wvu.FilterData" localSheetId="0" hidden="1">Outbound_Monitor!#REF!</definedName>
    <definedName name="Z_D1C1BA85_A617_40EE_9C4D_34AD6D03308B_.wvu.FilterData" localSheetId="1" hidden="1">Inbound_Monitor!$A$2:$Q$2</definedName>
    <definedName name="Z_D1C1BA85_A617_40EE_9C4D_34AD6D03308B_.wvu.FilterData" localSheetId="0" hidden="1">Outbound_Monitor!$A$2:$W$2</definedName>
    <definedName name="Z_D1D9F52A_F5CF_416E_B340_2BC0B6BAF963_.wvu.FilterData" localSheetId="0" hidden="1">Outbound_Monitor!$A$2:$W$3</definedName>
    <definedName name="Z_D1E83919_0B36_4EBF_868B_DCDFAA63C0AF_.wvu.FilterData" localSheetId="1" hidden="1">Inbound_Monitor!$A$2:$Q$13</definedName>
    <definedName name="Z_D1FEAE98_CDD2_4A91_B345_7706B18900D7_.wvu.FilterData" localSheetId="0" hidden="1">Outbound_Monitor!$A$2:$W$3</definedName>
    <definedName name="Z_D2064FE4_4435_4BE1_9C43_ED2399C82E58_.wvu.FilterData" localSheetId="0" hidden="1">Outbound_Monitor!$A$3:$X$16</definedName>
    <definedName name="Z_D2076206_7350_453F_94AA_B84C9FF8D836_.wvu.FilterData" localSheetId="0" hidden="1">Outbound_Monitor!$A$2:$W$3</definedName>
    <definedName name="Z_D2164482_79C6_4A8E_9446_44F61BE2BF2C_.wvu.FilterData" localSheetId="1" hidden="1">Inbound_Monitor!$A$2:$Q$13</definedName>
    <definedName name="Z_D2164482_79C6_4A8E_9446_44F61BE2BF2C_.wvu.FilterData" localSheetId="0" hidden="1">Outbound_Monitor!$A$2:$X$16</definedName>
    <definedName name="Z_D2352990_97C1_43EE_BA35_768A2B549E59_.wvu.FilterData" localSheetId="0" hidden="1">Outbound_Monitor!$A$2:$W$3</definedName>
    <definedName name="Z_D23AE471_3DD6_4538_9D3D_317EF521A480_.wvu.FilterData" localSheetId="0" hidden="1">Outbound_Monitor!$A$2:$W$3</definedName>
    <definedName name="Z_D2433E1B_AA48_4EC3_9C9A_6DC21FE35697_.wvu.FilterData" localSheetId="0" hidden="1">Outbound_Monitor!$A$2:$W$3</definedName>
    <definedName name="Z_D24708D8_B77D_4777_A4E5_D3C37AD9C1CD_.wvu.FilterData" localSheetId="1" hidden="1">Inbound_Monitor!$A$2:$Q$2</definedName>
    <definedName name="Z_D24708D8_B77D_4777_A4E5_D3C37AD9C1CD_.wvu.FilterData" localSheetId="0" hidden="1">Outbound_Monitor!$A$2:$W$2</definedName>
    <definedName name="Z_D2524FDA_9626_4C97_A07B_BBB7200ABBAE_.wvu.FilterData" localSheetId="0" hidden="1">Outbound_Monitor!$A$2:$W$3</definedName>
    <definedName name="Z_D25A9B72_B853_4BE7_8171_EE5D10C7F30E_.wvu.FilterData" localSheetId="0" hidden="1">Outbound_Monitor!$A$2:$X$16</definedName>
    <definedName name="Z_D2659BB9_3381_40D0_ACB2_03ADD344C49A_.wvu.FilterData" localSheetId="1" hidden="1">Inbound_Monitor!$A$2:$Q$13</definedName>
    <definedName name="Z_D2752BC8_D136_4266_8271_2A16D728E609_.wvu.FilterData" localSheetId="1" hidden="1">Inbound_Monitor!$A$2:$Q$3</definedName>
    <definedName name="Z_D2752BC8_D136_4266_8271_2A16D728E609_.wvu.FilterData" localSheetId="0" hidden="1">Outbound_Monitor!$A$2:$W$3</definedName>
    <definedName name="Z_D287C79E_BB67_4732_9081_306B3A5F71EE_.wvu.FilterData" localSheetId="1" hidden="1">Inbound_Monitor!$A$2:$Q$3</definedName>
    <definedName name="Z_D287C79E_BB67_4732_9081_306B3A5F71EE_.wvu.FilterData" localSheetId="0" hidden="1">Outbound_Monitor!$A$2:$W$3</definedName>
    <definedName name="Z_D2A769FE_1B24_4A27_8299_5E0DAC21C7CC_.wvu.FilterData" localSheetId="0" hidden="1">Outbound_Monitor!$A$2:$W$3</definedName>
    <definedName name="Z_D2A9D38C_535E_48C0_8A75_F2C329FE44BC_.wvu.FilterData" localSheetId="1" hidden="1">Inbound_Monitor!$A$2:$Q$3</definedName>
    <definedName name="Z_D2AD99A5_7E97_4DF1_8534_DDC5D175F329_.wvu.FilterData" localSheetId="0" hidden="1">Outbound_Monitor!$A$2:$W$3</definedName>
    <definedName name="Z_D2B47568_6F11_46EF_812B_F3873467F9B7_.wvu.FilterData" localSheetId="1" hidden="1">Inbound_Monitor!$A$2:$Q$3</definedName>
    <definedName name="Z_D2BE9476_CC72_48D1_9BF7_5C42194658B6_.wvu.FilterData" localSheetId="1" hidden="1">Inbound_Monitor!$A$2:$Q$13</definedName>
    <definedName name="Z_D2D0BC30_69A2_4D3C_9642_B4A2A629C7B3_.wvu.FilterData" localSheetId="1" hidden="1">Inbound_Monitor!$A$2:$Q$3</definedName>
    <definedName name="Z_D2D4635F_1EFB_448C_A6BB_A199055C90D4_.wvu.FilterData" localSheetId="1" hidden="1">Inbound_Monitor!$A$2:$Q$2</definedName>
    <definedName name="Z_D2D4635F_1EFB_448C_A6BB_A199055C90D4_.wvu.FilterData" localSheetId="0" hidden="1">Outbound_Monitor!$A$2:$W$2</definedName>
    <definedName name="Z_D2EE35A7_0325_485C_8D99_9DCBC7CE6A5E_.wvu.FilterData" localSheetId="1" hidden="1">Inbound_Monitor!$A$2:$Q$13</definedName>
    <definedName name="Z_D2EE35A7_0325_485C_8D99_9DCBC7CE6A5E_.wvu.FilterData" localSheetId="0" hidden="1">Outbound_Monitor!$A$2:$W$3</definedName>
    <definedName name="Z_D2F183EB_4CB4_48CC_82BD_EB8040E547B9_.wvu.FilterData" localSheetId="0" hidden="1">Outbound_Monitor!$A$2:$W$3</definedName>
    <definedName name="Z_D2F42E2F_78F5_4ED2_B302_FC8EF3521633_.wvu.FilterData" localSheetId="0" hidden="1">Outbound_Monitor!$A$2:$W$3</definedName>
    <definedName name="Z_D2F739BA_B165_4097_BCA5_A65A5CCEDE76_.wvu.FilterData" localSheetId="1" hidden="1">Inbound_Monitor!$A$2:$Q$3</definedName>
    <definedName name="Z_D2F97C8C_3218_4D05_88C6_D07F3C84A143_.wvu.FilterData" localSheetId="0" hidden="1">Outbound_Monitor!$A$2:$X$16</definedName>
    <definedName name="Z_D30DBC3B_7220_4F3D_8AF3_F27E68E2FABF_.wvu.FilterData" localSheetId="0" hidden="1">Outbound_Monitor!$A$2:$W$3</definedName>
    <definedName name="Z_D324184C_6930_4CE9_B402_F80F439D8993_.wvu.FilterData" localSheetId="1" hidden="1">Inbound_Monitor!$A$2:$Q$3</definedName>
    <definedName name="Z_D32EE77C_1347_481E_A749_9D3098196A51_.wvu.FilterData" localSheetId="0" hidden="1">Outbound_Monitor!$A$2:$W$3</definedName>
    <definedName name="Z_D330D2D6_18AA_46CB_8F0E_4E090329D3C5_.wvu.FilterData" localSheetId="1" hidden="1">Inbound_Monitor!$A$2:$Q$13</definedName>
    <definedName name="Z_D330D2D6_18AA_46CB_8F0E_4E090329D3C5_.wvu.FilterData" localSheetId="0" hidden="1">Outbound_Monitor!$A$2:$X$16</definedName>
    <definedName name="Z_D338DCA8_3143_4627_ADA1_24E1B6F06D29_.wvu.FilterData" localSheetId="0" hidden="1">Outbound_Monitor!$A$2:$X$16</definedName>
    <definedName name="Z_D3416636_33F5_49B1_8371_D479D5A7D8EC_.wvu.FilterData" localSheetId="1" hidden="1">Inbound_Monitor!$A$2:$Q$3</definedName>
    <definedName name="Z_D3416636_33F5_49B1_8371_D479D5A7D8EC_.wvu.FilterData" localSheetId="0" hidden="1">Outbound_Monitor!$A$2:$W$3</definedName>
    <definedName name="Z_D358A9C5_B469_45B8_BC87_553EBDA784BF_.wvu.FilterData" localSheetId="1" hidden="1">Inbound_Monitor!$A$2:$Q$3</definedName>
    <definedName name="Z_D35BAB83_A9CC_4951_BC68_F3993604F670_.wvu.FilterData" localSheetId="0" hidden="1">Outbound_Monitor!$A$2:$W$3</definedName>
    <definedName name="Z_D3634624_157A_4DD1_BCBE_8733FA78BC34_.wvu.FilterData" localSheetId="0" hidden="1">Outbound_Monitor!$A$2:$W$3</definedName>
    <definedName name="Z_D3671AAA_BFDD_4A53_9D1C_3F873609AD17_.wvu.FilterData" localSheetId="1" hidden="1">Inbound_Monitor!$A$2:$Q$3</definedName>
    <definedName name="Z_D3671AAA_BFDD_4A53_9D1C_3F873609AD17_.wvu.FilterData" localSheetId="0" hidden="1">Outbound_Monitor!$A$2:$W$3</definedName>
    <definedName name="Z_D36F3304_2DCC_48D2_AB32_96B07A39D2BA_.wvu.FilterData" localSheetId="0" hidden="1">Outbound_Monitor!$A$2:$W$3</definedName>
    <definedName name="Z_D390EFE9_912C_4209_8B3B_83BD40D974C7_.wvu.FilterData" localSheetId="4" hidden="1">Schichtübergabe_Protokoll!$B$3:$N$3</definedName>
    <definedName name="Z_D39C2A66_40A7_4339_80F9_A8494EFA504A_.wvu.FilterData" localSheetId="0" hidden="1">Outbound_Monitor!$A$2:$W$3</definedName>
    <definedName name="Z_D39ECA20_6F46_48D0_87C9_134406080F3D_.wvu.FilterData" localSheetId="1" hidden="1">Inbound_Monitor!$A$2:$Q$13</definedName>
    <definedName name="Z_D3AA2A67_2461_4C72_AE97_F0CF9B1DE5DF_.wvu.FilterData" localSheetId="1" hidden="1">Inbound_Monitor!$A$2:$Q$3</definedName>
    <definedName name="Z_D3AA2A67_2461_4C72_AE97_F0CF9B1DE5DF_.wvu.FilterData" localSheetId="0" hidden="1">Outbound_Monitor!$A$2:$W$3</definedName>
    <definedName name="Z_D3B20825_BFB5_4D5D_B308_F269CF8A47A8_.wvu.FilterData" localSheetId="0" hidden="1">Outbound_Monitor!$A$2:$W$3</definedName>
    <definedName name="Z_D3B43573_38A9_415A_AE89_8066510FA913_.wvu.FilterData" localSheetId="0" hidden="1">Outbound_Monitor!$A$2:$W$3</definedName>
    <definedName name="Z_D3B4F95F_51A4_4A36_9196_CF90DDA075EE_.wvu.FilterData" localSheetId="0" hidden="1">Outbound_Monitor!$A$2:$W$3</definedName>
    <definedName name="Z_D3B9DE03_2B09_41F0_99A5_AA7F83A64D1D_.wvu.FilterData" localSheetId="1" hidden="1">Inbound_Monitor!$A$2:$Q$3</definedName>
    <definedName name="Z_D3D091A9_C149_45F8_9EB2_88AA6890C0E1_.wvu.FilterData" localSheetId="1" hidden="1">Inbound_Monitor!$A$2:$Q$2</definedName>
    <definedName name="Z_D3D091A9_C149_45F8_9EB2_88AA6890C0E1_.wvu.FilterData" localSheetId="0" hidden="1">Outbound_Monitor!$A$2:$W$2</definedName>
    <definedName name="Z_D3DA6DAD_5037_4EE3_8A2F_690D47CB7E19_.wvu.FilterData" localSheetId="0" hidden="1">Outbound_Monitor!$A$2:$W$3</definedName>
    <definedName name="Z_D3E35F7A_B4EC_4E1C_88DC_EF47CDF923C8_.wvu.FilterData" localSheetId="1" hidden="1">Inbound_Monitor!$A$2:$Q$13</definedName>
    <definedName name="Z_D3E35F7A_B4EC_4E1C_88DC_EF47CDF923C8_.wvu.FilterData" localSheetId="0" hidden="1">Outbound_Monitor!$A$2:$X$16</definedName>
    <definedName name="Z_D3E4121E_B5E4_4E03_A4B1_1396714F52A8_.wvu.FilterData" localSheetId="1" hidden="1">Inbound_Monitor!$A$2:$Q$2</definedName>
    <definedName name="Z_D3E4121E_B5E4_4E03_A4B1_1396714F52A8_.wvu.FilterData" localSheetId="0" hidden="1">Outbound_Monitor!$A$2:$W$2</definedName>
    <definedName name="Z_D3EE18E6_0FF4_4589_909D_60A5F05C22E1_.wvu.FilterData" localSheetId="1" hidden="1">Inbound_Monitor!$A$2:$Q$3</definedName>
    <definedName name="Z_D3EFA04A_4C9F_4BC3_93B2_08548CEEF504_.wvu.FilterData" localSheetId="0" hidden="1">Outbound_Monitor!$A$2:$X$16</definedName>
    <definedName name="Z_D401400F_F36B_42CA_8B24_29AE4DF9D562_.wvu.FilterData" localSheetId="0" hidden="1">Outbound_Monitor!$A$2:$W$3</definedName>
    <definedName name="Z_D40AB2CA_4023_41E1_9E7E_A8FA78964345_.wvu.FilterData" localSheetId="1" hidden="1">Inbound_Monitor!$A$2:$Q$2</definedName>
    <definedName name="Z_D40AB2CA_4023_41E1_9E7E_A8FA78964345_.wvu.FilterData" localSheetId="0" hidden="1">Outbound_Monitor!$A$2:$W$2</definedName>
    <definedName name="Z_D41C34FD_78F6_40CF_A4F7_DFB54157D87E_.wvu.FilterData" localSheetId="0" hidden="1">Outbound_Monitor!$A$2:$X$16</definedName>
    <definedName name="Z_D42431C9_3A7D_4AD7_93AB_E7B5462801BB_.wvu.FilterData" localSheetId="0" hidden="1">Outbound_Monitor!$A$2:$W$3</definedName>
    <definedName name="Z_D429F79F_9197_43FC_A28B_F529068B3EB9_.wvu.FilterData" localSheetId="1" hidden="1">Inbound_Monitor!$A$2:$Q$3</definedName>
    <definedName name="Z_D42CE9C0_8573_4F71_BE77_D88F82BFC7A8_.wvu.FilterData" localSheetId="1" hidden="1">Inbound_Monitor!$A$2:$Q$13</definedName>
    <definedName name="Z_D42CE9C0_8573_4F71_BE77_D88F82BFC7A8_.wvu.FilterData" localSheetId="0" hidden="1">Outbound_Monitor!$A$2:$W$3</definedName>
    <definedName name="Z_D42CE9C0_8573_4F71_BE77_D88F82BFC7A8_.wvu.FilterData" localSheetId="4" hidden="1">Schichtübergabe_Protokoll!$B$3:$N$3</definedName>
    <definedName name="Z_D42DE125_E074_407B_8AA2_A533AB231117_.wvu.FilterData" localSheetId="1" hidden="1">Inbound_Monitor!$A$2:$Q$3</definedName>
    <definedName name="Z_D435CAB2_4AF9_420F_BEA8_E046DB09340B_.wvu.FilterData" localSheetId="1" hidden="1">Inbound_Monitor!$A$2:$Q$3</definedName>
    <definedName name="Z_D435CAB2_4AF9_420F_BEA8_E046DB09340B_.wvu.FilterData" localSheetId="0" hidden="1">Outbound_Monitor!$A$2:$X$3</definedName>
    <definedName name="Z_D43C5203_8CA2_49AD_B863_35CFACCF4A29_.wvu.FilterData" localSheetId="0" hidden="1">Outbound_Monitor!$A$2:$W$3</definedName>
    <definedName name="Z_D4427AD2_12B6_483B_B800_7118CFCA755C_.wvu.FilterData" localSheetId="1" hidden="1">Inbound_Monitor!$A$2:$Q$3</definedName>
    <definedName name="Z_D4427AD2_12B6_483B_B800_7118CFCA755C_.wvu.FilterData" localSheetId="0" hidden="1">Outbound_Monitor!$A$2:$W$3</definedName>
    <definedName name="Z_D444BA63_4641_4015_863C_AE0D0ADAE0DE_.wvu.FilterData" localSheetId="0" hidden="1">Outbound_Monitor!$A$2:$X$16</definedName>
    <definedName name="Z_D454EBD3_14C6_4995_B1DF_E9F62729F7BF_.wvu.FilterData" localSheetId="0" hidden="1">Outbound_Monitor!$A$2:$W$3</definedName>
    <definedName name="Z_D45BBA2C_175A_4973_93BD_A34FEEF758E3_.wvu.FilterData" localSheetId="1" hidden="1">Inbound_Monitor!$A$2:$Q$2</definedName>
    <definedName name="Z_D45BBA2C_175A_4973_93BD_A34FEEF758E3_.wvu.FilterData" localSheetId="0" hidden="1">Outbound_Monitor!$A$2:$W$2</definedName>
    <definedName name="Z_D45D4D3F_3B8B_44DE_BE06_5488C0104B9A_.wvu.FilterData" localSheetId="0" hidden="1">Outbound_Monitor!$A$2:$W$3</definedName>
    <definedName name="Z_D45F79AD_B98E_406E_9678_39D453A2EA56_.wvu.FilterData" localSheetId="0" hidden="1">Outbound_Monitor!$A$2:$W$3</definedName>
    <definedName name="Z_D466AA0F_3A05_40F4_9678_BBDA30979A78_.wvu.FilterData" localSheetId="1" hidden="1">Inbound_Monitor!$A$2:$Q$3</definedName>
    <definedName name="Z_D47C2B06_CD86_44CB_B89B_2CF3B2057434_.wvu.FilterData" localSheetId="0" hidden="1">Outbound_Monitor!$A$2:$W$3</definedName>
    <definedName name="Z_D47CD89E_1655_4C3B_8E22_74C6F19BE035_.wvu.FilterData" localSheetId="0" hidden="1">Outbound_Monitor!$A$2:$W$3</definedName>
    <definedName name="Z_D485364F_0081_4D19_8076_7B381BAE5982_.wvu.FilterData" localSheetId="1" hidden="1">Inbound_Monitor!$A$2:$Q$3</definedName>
    <definedName name="Z_D487D015_E154_4900_A6AB_B9FC75EA827F_.wvu.FilterData" localSheetId="0" hidden="1">Outbound_Monitor!$A$2:$W$3</definedName>
    <definedName name="Z_D49A5A64_62BD_482B_AB7B_46AD6237A6BB_.wvu.FilterData" localSheetId="0" hidden="1">Outbound_Monitor!$A$2:$W$3</definedName>
    <definedName name="Z_D4B06F5C_6185_4033_AA22_0C25AE6B7C61_.wvu.FilterData" localSheetId="0" hidden="1">Outbound_Monitor!$A$2:$W$3</definedName>
    <definedName name="Z_D4BD40AA_0802_4CE6_B93D_20813143B4FD_.wvu.FilterData" localSheetId="0" hidden="1">Outbound_Monitor!$A$2:$X$16</definedName>
    <definedName name="Z_D4DB0F4B_6801_4839_AA99_FEF12A69AD7F_.wvu.FilterData" localSheetId="0" hidden="1">Outbound_Monitor!$A$2:$W$3</definedName>
    <definedName name="Z_D4DCD114_5CA2_4C8E_B4CC_D54D97886D50_.wvu.FilterData" localSheetId="1" hidden="1">Inbound_Monitor!$A$2:$Q$3</definedName>
    <definedName name="Z_D4DCD114_5CA2_4C8E_B4CC_D54D97886D50_.wvu.FilterData" localSheetId="4" hidden="1">Schichtübergabe_Protokoll!$B$3:$N$3</definedName>
    <definedName name="Z_D4E0A6C5_9B57_4E3C_B5A1_0BD7C2CF3288_.wvu.FilterData" localSheetId="1" hidden="1">Inbound_Monitor!$A$2:$Q$3</definedName>
    <definedName name="Z_D4EC8F48_7D57_4BDC_877B_AD76B632ACE0_.wvu.FilterData" localSheetId="1" hidden="1">Inbound_Monitor!$A$2:$Q$2</definedName>
    <definedName name="Z_D4EC8F48_7D57_4BDC_877B_AD76B632ACE0_.wvu.FilterData" localSheetId="0" hidden="1">Outbound_Monitor!$A$2:$W$2</definedName>
    <definedName name="Z_D4F04C84_6F8A_463F_B971_6EC47A8FBF8E_.wvu.FilterData" localSheetId="0" hidden="1">Outbound_Monitor!$A$2:$W$3</definedName>
    <definedName name="Z_D4F43EED_6B25_4565_BF5A_9C07DE2BB203_.wvu.FilterData" localSheetId="0" hidden="1">Outbound_Monitor!#REF!</definedName>
    <definedName name="Z_D4FED9D3_A049_4EEE_946C_05EFEDC88BCB_.wvu.FilterData" localSheetId="4" hidden="1">Schichtübergabe_Protokoll!$B$3:$N$3</definedName>
    <definedName name="Z_D501638A_DC83_4436_95ED_9C13987F94BC_.wvu.FilterData" localSheetId="1" hidden="1">Inbound_Monitor!$A$2:$Q$13</definedName>
    <definedName name="Z_D501638A_DC83_4436_95ED_9C13987F94BC_.wvu.FilterData" localSheetId="0" hidden="1">Outbound_Monitor!$A$2:$W$3</definedName>
    <definedName name="Z_D50DB65B_918B_48FE_9070_67F957E77707_.wvu.FilterData" localSheetId="1" hidden="1">Inbound_Monitor!$A$2:$Q$2</definedName>
    <definedName name="Z_D50DB65B_918B_48FE_9070_67F957E77707_.wvu.FilterData" localSheetId="0" hidden="1">Outbound_Monitor!$A$2:$W$2</definedName>
    <definedName name="Z_D5134D7D_50A0_4F5E_AF2D_8F4CF0582D08_.wvu.FilterData" localSheetId="0" hidden="1">Outbound_Monitor!$A$2:$W$3</definedName>
    <definedName name="Z_D5170776_8855_43CD_9D73_9F9AC28639CE_.wvu.FilterData" localSheetId="1" hidden="1">Inbound_Monitor!$A$2:$Q$3</definedName>
    <definedName name="Z_D5170776_8855_43CD_9D73_9F9AC28639CE_.wvu.FilterData" localSheetId="0" hidden="1">Outbound_Monitor!$A$2:$W$3</definedName>
    <definedName name="Z_D518ACF0_5F2B_4E35_A502_47B86851CF12_.wvu.FilterData" localSheetId="0" hidden="1">Outbound_Monitor!$A$2:$W$3</definedName>
    <definedName name="Z_D529241B_A639_4A23_917A_9A56E32C0AA9_.wvu.FilterData" localSheetId="1" hidden="1">Inbound_Monitor!$A$2:$Q$3</definedName>
    <definedName name="Z_D54C04DA_F796_4946_8DE2_8C664F7A253F_.wvu.FilterData" localSheetId="0" hidden="1">Outbound_Monitor!$A$2:$W$3</definedName>
    <definedName name="Z_D56D0287_44DB_47F0_8DAB_6AF01C08FC9A_.wvu.FilterData" localSheetId="1" hidden="1">Inbound_Monitor!$A$2:$Q$13</definedName>
    <definedName name="Z_D56D0287_44DB_47F0_8DAB_6AF01C08FC9A_.wvu.FilterData" localSheetId="0" hidden="1">Outbound_Monitor!$A$2:$W$3</definedName>
    <definedName name="Z_D57DE73B_9DB1_49CA_B201_BCA954CCDEED_.wvu.FilterData" localSheetId="1" hidden="1">Inbound_Monitor!$A$2:$Q$13</definedName>
    <definedName name="Z_D57DE73B_9DB1_49CA_B201_BCA954CCDEED_.wvu.FilterData" localSheetId="0" hidden="1">Outbound_Monitor!$A$2:$W$3</definedName>
    <definedName name="Z_D5809FB7_222B_4B28_9B37_A7FD3C9AE395_.wvu.FilterData" localSheetId="0" hidden="1">Outbound_Monitor!$A$2:$W$3</definedName>
    <definedName name="Z_D590FE76_8FFE_42A5_BF4B_2BBE0D946244_.wvu.FilterData" localSheetId="1" hidden="1">Inbound_Monitor!$A$2:$Q$13</definedName>
    <definedName name="Z_D5955DC8_0163_40B1_9402_371839E08D4F_.wvu.FilterData" localSheetId="0" hidden="1">Outbound_Monitor!$A$2:$W$3</definedName>
    <definedName name="Z_D59C1378_A384_41CC_9F5B_D248BB240F01_.wvu.FilterData" localSheetId="1" hidden="1">Inbound_Monitor!$A$2:$Q$13</definedName>
    <definedName name="Z_D59C1378_A384_41CC_9F5B_D248BB240F01_.wvu.FilterData" localSheetId="0" hidden="1">Outbound_Monitor!$A$2:$W$3</definedName>
    <definedName name="Z_D59E81AB_06C4_4379_A20F_049122137DAF_.wvu.FilterData" localSheetId="0" hidden="1">Outbound_Monitor!$A$2:$W$3</definedName>
    <definedName name="Z_D5A7B089_1444_4B16_948D_8EF2276C2E76_.wvu.FilterData" localSheetId="0" hidden="1">Outbound_Monitor!$A$2:$W$3</definedName>
    <definedName name="Z_D5AA463B_F331_46C7_A93F_8D7A38CD8FCA_.wvu.FilterData" localSheetId="1" hidden="1">Inbound_Monitor!$A$2:$Q$13</definedName>
    <definedName name="Z_D5AE93EF_E19B_41C9_84A0_E22087F893F5_.wvu.FilterData" localSheetId="0" hidden="1">Outbound_Monitor!$A$2:$X$16</definedName>
    <definedName name="Z_D5AFA104_9AC5_4AF6_9581_889BCF9E1977_.wvu.FilterData" localSheetId="0" hidden="1">Outbound_Monitor!$A$2:$W$3</definedName>
    <definedName name="Z_D5BE4132_C162_4F63_99EA_113E775DFC42_.wvu.FilterData" localSheetId="1" hidden="1">Inbound_Monitor!$A$2:$Q$3</definedName>
    <definedName name="Z_D5C4F61C_AE03_4F55_95D4_F2134AC7868F_.wvu.FilterData" localSheetId="0" hidden="1">Outbound_Monitor!$A$2:$W$3</definedName>
    <definedName name="Z_D5CD024E_7FE2_4386_AECD_8C5D5E0783FE_.wvu.FilterData" localSheetId="0" hidden="1">Outbound_Monitor!$A$2:$W$3</definedName>
    <definedName name="Z_D5D38F66_8056_4FD0_8AEE_557C55A43BE1_.wvu.FilterData" localSheetId="0" hidden="1">Outbound_Monitor!$A$2:$W$3</definedName>
    <definedName name="Z_D6090729_6BBD_4E43_BB23_4B03903421D2_.wvu.FilterData" localSheetId="0" hidden="1">Outbound_Monitor!$A$2:$W$3</definedName>
    <definedName name="Z_D60C1E57_6242_4A9B_A44D_3F6FCCC91EF5_.wvu.FilterData" localSheetId="1" hidden="1">Inbound_Monitor!$A$2:$Q$3</definedName>
    <definedName name="Z_D624C37B_DDF6_438C_8244_C09D77EDE888_.wvu.FilterData" localSheetId="1" hidden="1">Inbound_Monitor!$A$2:$Q$2</definedName>
    <definedName name="Z_D624C37B_DDF6_438C_8244_C09D77EDE888_.wvu.FilterData" localSheetId="0" hidden="1">Outbound_Monitor!$A$2:$W$2</definedName>
    <definedName name="Z_D62DAFBB_9659_4A90_A701_9C0A46902B3F_.wvu.FilterData" localSheetId="0" hidden="1">Outbound_Monitor!$A$2:$W$3</definedName>
    <definedName name="Z_D62E2DDE_8381_46B0_8F66_A7A93DDB2BEB_.wvu.FilterData" localSheetId="1" hidden="1">Inbound_Monitor!$A$2:$Q$3</definedName>
    <definedName name="Z_D62E2DDE_8381_46B0_8F66_A7A93DDB2BEB_.wvu.FilterData" localSheetId="0" hidden="1">Outbound_Monitor!$A$2:$W$3</definedName>
    <definedName name="Z_D636B770_F6AF_40B5_B498_41BB31D1BA58_.wvu.FilterData" localSheetId="0" hidden="1">Outbound_Monitor!$A$2:$X$16</definedName>
    <definedName name="Z_D6399943_2CB9_4B7C_A34A_1709C9DF8D89_.wvu.FilterData" localSheetId="0" hidden="1">Outbound_Monitor!$A$2:$W$3</definedName>
    <definedName name="Z_D63D81DA_C8B9_471D_B6B9_2E67F4AB319F_.wvu.FilterData" localSheetId="1" hidden="1">Inbound_Monitor!$A$2:$Q$2</definedName>
    <definedName name="Z_D63D81DA_C8B9_471D_B6B9_2E67F4AB319F_.wvu.FilterData" localSheetId="0" hidden="1">Outbound_Monitor!$A$2:$W$2</definedName>
    <definedName name="Z_D649B1B6_F6D4_48DC_B8CA_7793165BF33D_.wvu.FilterData" localSheetId="1" hidden="1">Inbound_Monitor!$A$2:$Q$13</definedName>
    <definedName name="Z_D649B1B6_F6D4_48DC_B8CA_7793165BF33D_.wvu.FilterData" localSheetId="0" hidden="1">Outbound_Monitor!$A$2:$X$16</definedName>
    <definedName name="Z_D658F093_1237_477D_96B8_7B0156FBB703_.wvu.FilterData" localSheetId="4" hidden="1">Schichtübergabe_Protokoll!$B$3:$N$3</definedName>
    <definedName name="Z_D65FF87D_C845_4375_A583_CC928551C5DF_.wvu.FilterData" localSheetId="0" hidden="1">Outbound_Monitor!$A$2:$W$3</definedName>
    <definedName name="Z_D66A1CF9_7289_425B_A3BD_DEA1CE823B10_.wvu.FilterData" localSheetId="1" hidden="1">Inbound_Monitor!$A$2:$Q$13</definedName>
    <definedName name="Z_D66DF587_C83C_49A2_8F86_64D83430FDDE_.wvu.FilterData" localSheetId="1" hidden="1">Inbound_Monitor!$A$2:$Q$13</definedName>
    <definedName name="Z_D66DF587_C83C_49A2_8F86_64D83430FDDE_.wvu.FilterData" localSheetId="0" hidden="1">Outbound_Monitor!$A$2:$W$3</definedName>
    <definedName name="Z_D675DE8D_1946_44DB_A070_DEF3ADAFA7BE_.wvu.FilterData" localSheetId="0" hidden="1">Outbound_Monitor!$A$2:$X$16</definedName>
    <definedName name="Z_D6768513_7A6D_4A0A_9523_EA5F421CE2DA_.wvu.FilterData" localSheetId="0" hidden="1">Outbound_Monitor!$A$2:$W$3</definedName>
    <definedName name="Z_D6774AE4_286D_479A_BB9F_A930C2FD06FB_.wvu.FilterData" localSheetId="1" hidden="1">Inbound_Monitor!$A$2:$Q$2</definedName>
    <definedName name="Z_D6774AE4_286D_479A_BB9F_A930C2FD06FB_.wvu.FilterData" localSheetId="0" hidden="1">Outbound_Monitor!$A$2:$W$2</definedName>
    <definedName name="Z_D685FAB4_FFE6_4CEC_988D_BCC88EC2C95F_.wvu.FilterData" localSheetId="0" hidden="1">Outbound_Monitor!$A$2:$W$3</definedName>
    <definedName name="Z_D6A09D87_44AE_4A70_B518_35D6826CD36A_.wvu.FilterData" localSheetId="0" hidden="1">Outbound_Monitor!$A$2:$X$16</definedName>
    <definedName name="Z_D6B10B69_45EE_484D_8CE0_160338406CDF_.wvu.FilterData" localSheetId="1" hidden="1">Inbound_Monitor!$A$2:$Q$13</definedName>
    <definedName name="Z_D6B9A847_3AFB_481A_BAB2_D7B1BCACFA4D_.wvu.FilterData" localSheetId="0" hidden="1">Outbound_Monitor!$A$2:$X$16</definedName>
    <definedName name="Z_D6BC5D31_70AA_480F_994B_05AA725CCBEB_.wvu.FilterData" localSheetId="0" hidden="1">Outbound_Monitor!$A$2:$X$16</definedName>
    <definedName name="Z_D6C40255_375C_4B92_A8F2_306BEBF6A7E2_.wvu.FilterData" localSheetId="1" hidden="1">Inbound_Monitor!$A$2:$Q$3</definedName>
    <definedName name="Z_D6C5F17D_F67C_4C95_9D1E_2F9FD575095F_.wvu.FilterData" localSheetId="0" hidden="1">Outbound_Monitor!$A$2:$W$3</definedName>
    <definedName name="Z_D6DB8B86_8E1E_4B14_93C3_139487D4A0A0_.wvu.FilterData" localSheetId="1" hidden="1">Inbound_Monitor!$A$2:$Q$3</definedName>
    <definedName name="Z_D6DB8B86_8E1E_4B14_93C3_139487D4A0A0_.wvu.FilterData" localSheetId="0" hidden="1">Outbound_Monitor!$A$2:$X$3</definedName>
    <definedName name="Z_D6E8398C_46E8_4185_8403_E666BE9273C3_.wvu.FilterData" localSheetId="0" hidden="1">Outbound_Monitor!$A$2:$W$3</definedName>
    <definedName name="Z_D6E8C3E1_2B14_4ECE_B518_1720E9F6DCFE_.wvu.FilterData" localSheetId="0" hidden="1">Outbound_Monitor!$A$2:$X$16</definedName>
    <definedName name="Z_D7012F6C_9B70_45EE_86E5_01A16630EE28_.wvu.FilterData" localSheetId="0" hidden="1">Outbound_Monitor!$A$2:$W$3</definedName>
    <definedName name="Z_D703F040_3D81_49BA_932E_B73933515661_.wvu.FilterData" localSheetId="1" hidden="1">Inbound_Monitor!$A$2:$Q$13</definedName>
    <definedName name="Z_D703F040_3D81_49BA_932E_B73933515661_.wvu.FilterData" localSheetId="0" hidden="1">Outbound_Monitor!$A$2:$W$3</definedName>
    <definedName name="Z_D7060485_10E7_445C_8229_19AFF7505377_.wvu.FilterData" localSheetId="1" hidden="1">Inbound_Monitor!$A$2:$Q$13</definedName>
    <definedName name="Z_D7060485_10E7_445C_8229_19AFF7505377_.wvu.FilterData" localSheetId="0" hidden="1">Outbound_Monitor!$A$2:$W$3</definedName>
    <definedName name="Z_D7062215_83D9_46E7_9BF2_7668C82DE3B9_.wvu.FilterData" localSheetId="1" hidden="1">Inbound_Monitor!$A$2:$Q$3</definedName>
    <definedName name="Z_D71F6437_2E54_4704_807F_DE300BAB1A36_.wvu.FilterData" localSheetId="0" hidden="1">Outbound_Monitor!$A$2:$X$16</definedName>
    <definedName name="Z_D722571B_4A2A_41EC_A9F2_D948A603FF8E_.wvu.FilterData" localSheetId="0" hidden="1">Outbound_Monitor!$A$2:$W$3</definedName>
    <definedName name="Z_D724AD0A_D8A7_4392_AC4A_A8A0023EE1C2_.wvu.FilterData" localSheetId="0" hidden="1">Outbound_Monitor!$A$2:$W$3</definedName>
    <definedName name="Z_D726FA6C_11F8_4D27_9ED3_EA4EF7ABA55B_.wvu.FilterData" localSheetId="1" hidden="1">Inbound_Monitor!$A$2:$Q$13</definedName>
    <definedName name="Z_D726FA6C_11F8_4D27_9ED3_EA4EF7ABA55B_.wvu.FilterData" localSheetId="0" hidden="1">Outbound_Monitor!$A$2:$W$3</definedName>
    <definedName name="Z_D72EEA10_BA7B_478B_83F1_72912E168A92_.wvu.FilterData" localSheetId="0" hidden="1">Outbound_Monitor!$A$2:$X$16</definedName>
    <definedName name="Z_D72F1A42_F51E_447A_9954_9F294E3C9440_.wvu.FilterData" localSheetId="1" hidden="1">Inbound_Monitor!$A$2:$Q$3</definedName>
    <definedName name="Z_D72F1A42_F51E_447A_9954_9F294E3C9440_.wvu.FilterData" localSheetId="0" hidden="1">Outbound_Monitor!$A$2:$W$3</definedName>
    <definedName name="Z_D72F1A42_F51E_447A_9954_9F294E3C9440_.wvu.FilterData" localSheetId="4" hidden="1">Schichtübergabe_Protokoll!$B$3:$N$3</definedName>
    <definedName name="Z_D73607AA_7FBB_4E77_9059_38548172B291_.wvu.FilterData" localSheetId="1" hidden="1">Inbound_Monitor!$A$2:$Q$3</definedName>
    <definedName name="Z_D73607AA_7FBB_4E77_9059_38548172B291_.wvu.FilterData" localSheetId="0" hidden="1">Outbound_Monitor!$A$2:$W$3</definedName>
    <definedName name="Z_D74FEA44_B9B0_4DF1_8108_10FDF07BCF16_.wvu.FilterData" localSheetId="0" hidden="1">Outbound_Monitor!$A$2:$W$3</definedName>
    <definedName name="Z_D750567E_2A14_4A33_B05D_AB21165085AA_.wvu.FilterData" localSheetId="1" hidden="1">Inbound_Monitor!$A$2:$Q$2</definedName>
    <definedName name="Z_D750567E_2A14_4A33_B05D_AB21165085AA_.wvu.FilterData" localSheetId="0" hidden="1">Outbound_Monitor!$A$2:$W$2</definedName>
    <definedName name="Z_D752D150_0A6C_4F0D_ADDC_95D90421F79F_.wvu.FilterData" localSheetId="1" hidden="1">Inbound_Monitor!$A$2:$Q$13</definedName>
    <definedName name="Z_D75CE85D_1A84_413C_BF2C_D2493E143E5F_.wvu.FilterData" localSheetId="0" hidden="1">Outbound_Monitor!$A$2:$W$3</definedName>
    <definedName name="Z_D760D16A_1D6A_4D60_B165_DC233CECEC07_.wvu.FilterData" localSheetId="0" hidden="1">Outbound_Monitor!$A$2:$W$3</definedName>
    <definedName name="Z_D765C49C_CEA6_4C4D_979A_811415F8C8CA_.wvu.FilterData" localSheetId="0" hidden="1">Outbound_Monitor!$A$2:$X$16</definedName>
    <definedName name="Z_D76DF310_2900_4ABC_862C_C621E3C2F828_.wvu.FilterData" localSheetId="0" hidden="1">Outbound_Monitor!$A$2:$W$3</definedName>
    <definedName name="Z_D7705FC2_8651_4F98_B1D0_0AF1B3A3AA23_.wvu.FilterData" localSheetId="1" hidden="1">Inbound_Monitor!$A$2:$Q$13</definedName>
    <definedName name="Z_D7705FC2_8651_4F98_B1D0_0AF1B3A3AA23_.wvu.FilterData" localSheetId="0" hidden="1">Outbound_Monitor!$A$2:$X$16</definedName>
    <definedName name="Z_D77FE999_F56D_4C3A_9169_32BE54265C84_.wvu.FilterData" localSheetId="1" hidden="1">Inbound_Monitor!$A$2:$Q$13</definedName>
    <definedName name="Z_D77FE999_F56D_4C3A_9169_32BE54265C84_.wvu.FilterData" localSheetId="0" hidden="1">Outbound_Monitor!$A$2:$X$16</definedName>
    <definedName name="Z_D79F6C47_2F1C_4744_BA04_6F73190E56E6_.wvu.FilterData" localSheetId="1" hidden="1">Inbound_Monitor!$A$2:$Q$13</definedName>
    <definedName name="Z_D79F6C47_2F1C_4744_BA04_6F73190E56E6_.wvu.FilterData" localSheetId="0" hidden="1">Outbound_Monitor!$A$2:$W$3</definedName>
    <definedName name="Z_D7E54E93_8A7E_4073_8121_C5F29341ECB9_.wvu.FilterData" localSheetId="1" hidden="1">Inbound_Monitor!$A$2:$Q$2</definedName>
    <definedName name="Z_D7E54E93_8A7E_4073_8121_C5F29341ECB9_.wvu.FilterData" localSheetId="0" hidden="1">Outbound_Monitor!$A$2:$W$2</definedName>
    <definedName name="Z_D7EB8A14_BA5E_4FAB_ACB5_A4DA00DE1DF4_.wvu.FilterData" localSheetId="1" hidden="1">Inbound_Monitor!$A$2:$Q$3</definedName>
    <definedName name="Z_D7F4EE07_4712_4E66_82E7_EEBBACB05E36_.wvu.FilterData" localSheetId="1" hidden="1">Inbound_Monitor!$A$2:$Q$3</definedName>
    <definedName name="Z_D7F4EE07_4712_4E66_82E7_EEBBACB05E36_.wvu.FilterData" localSheetId="0" hidden="1">Outbound_Monitor!$A$2:$W$3</definedName>
    <definedName name="Z_D7FE8848_D7EC_4687_AD80_F4A2BECC3BCE_.wvu.FilterData" localSheetId="1" hidden="1">Inbound_Monitor!$A$2:$Q$3</definedName>
    <definedName name="Z_D7FED092_8273_416F_A223_E811BA4A08AE_.wvu.FilterData" localSheetId="0" hidden="1">Outbound_Monitor!$A$2:$W$3</definedName>
    <definedName name="Z_D808FFF8_2656_44CF_9293_CEB509AE13D1_.wvu.FilterData" localSheetId="1" hidden="1">Inbound_Monitor!$A$2:$Q$3</definedName>
    <definedName name="Z_D8103BC0_0ED9_48D7_8DB1_F740B2938D46_.wvu.FilterData" localSheetId="0" hidden="1">Outbound_Monitor!$A$2:$W$3</definedName>
    <definedName name="Z_D8371D53_899D_4CFA_99DD_EF7F260070BF_.wvu.FilterData" localSheetId="0" hidden="1">Outbound_Monitor!$A$2:$W$3</definedName>
    <definedName name="Z_D838C93A_E02F_40DE_BF4C_B316358E1111_.wvu.FilterData" localSheetId="0" hidden="1">Outbound_Monitor!$A$2:$W$3</definedName>
    <definedName name="Z_D84D3D05_FD7C_4241_989C_8C72C5678540_.wvu.FilterData" localSheetId="0" hidden="1">Outbound_Monitor!$A$2:$W$3</definedName>
    <definedName name="Z_D85CBB72_D9AA_4462_A838_A20F82CBDF36_.wvu.FilterData" localSheetId="1" hidden="1">Inbound_Monitor!$A$2:$Q$13</definedName>
    <definedName name="Z_D867D5B3_076F_4382_98E7_B630938C4F45_.wvu.FilterData" localSheetId="0" hidden="1">Outbound_Monitor!$A$2:$X$16</definedName>
    <definedName name="Z_D8841FDE_BE4E_45AF_B810_798513945C09_.wvu.FilterData" localSheetId="1" hidden="1">Inbound_Monitor!$A$2:$Q$13</definedName>
    <definedName name="Z_D8841FDE_BE4E_45AF_B810_798513945C09_.wvu.FilterData" localSheetId="0" hidden="1">Outbound_Monitor!$A$2:$X$16</definedName>
    <definedName name="Z_D88C8EB6_853E_4D8B_81F1_C6E8E5BDD831_.wvu.FilterData" localSheetId="1" hidden="1">Inbound_Monitor!$A$2:$Q$13</definedName>
    <definedName name="Z_D88C8EB6_853E_4D8B_81F1_C6E8E5BDD831_.wvu.FilterData" localSheetId="0" hidden="1">Outbound_Monitor!$A$2:$W$3</definedName>
    <definedName name="Z_D89A957E_461D_4CE5_8C32_C8E7DDA22C95_.wvu.FilterData" localSheetId="0" hidden="1">Outbound_Monitor!$A$2:$W$3</definedName>
    <definedName name="Z_D8A09D50_868E_4567_9AD3_5E9D349C36FB_.wvu.FilterData" localSheetId="1" hidden="1">Inbound_Monitor!$A$2:$Q$3</definedName>
    <definedName name="Z_D8A8B26C_8BA3_4AAB_ABC0_9ADE87BD42A7_.wvu.FilterData" localSheetId="1" hidden="1">Inbound_Monitor!$A$2:$Q$3</definedName>
    <definedName name="Z_D8A8B26C_8BA3_4AAB_ABC0_9ADE87BD42A7_.wvu.FilterData" localSheetId="0" hidden="1">Outbound_Monitor!$A$2:$W$3</definedName>
    <definedName name="Z_D8B73908_3945_4C06_8E7F_D7A87B444B55_.wvu.FilterData" localSheetId="1" hidden="1">Inbound_Monitor!$A$2:$Q$3</definedName>
    <definedName name="Z_D8B73908_3945_4C06_8E7F_D7A87B444B55_.wvu.FilterData" localSheetId="0" hidden="1">Outbound_Monitor!$A$2:$W$3</definedName>
    <definedName name="Z_D8B94FB6_17D7_4DB3_9DF0_BBFCA31AEF8D_.wvu.FilterData" localSheetId="1" hidden="1">Inbound_Monitor!$A$2:$Q$13</definedName>
    <definedName name="Z_D8B94FB6_17D7_4DB3_9DF0_BBFCA31AEF8D_.wvu.FilterData" localSheetId="0" hidden="1">Outbound_Monitor!$A$2:$X$16</definedName>
    <definedName name="Z_D8C2B7F0_BE9D_4D51_A673_D3FED48951DC_.wvu.FilterData" localSheetId="1" hidden="1">Inbound_Monitor!$A$2:$Q$3</definedName>
    <definedName name="Z_D8C2B7F0_BE9D_4D51_A673_D3FED48951DC_.wvu.FilterData" localSheetId="4" hidden="1">Schichtübergabe_Protokoll!$B$3:$N$3</definedName>
    <definedName name="Z_D8E0A91B_A6F7_4622_850D_BAE5788C7665_.wvu.FilterData" localSheetId="0" hidden="1">Outbound_Monitor!$A$2:$X$16</definedName>
    <definedName name="Z_D8E66BDB_F95A_4B64_817C_2C0BE0F44FAE_.wvu.FilterData" localSheetId="0" hidden="1">Outbound_Monitor!$A$2:$W$3</definedName>
    <definedName name="Z_D8E8620F_C412_44C7_B70C_F2907186123A_.wvu.FilterData" localSheetId="1" hidden="1">Inbound_Monitor!$A$2:$Q$13</definedName>
    <definedName name="Z_D8E8620F_C412_44C7_B70C_F2907186123A_.wvu.FilterData" localSheetId="0" hidden="1">Outbound_Monitor!$A$2:$W$3</definedName>
    <definedName name="Z_D8EE246C_1ADA_4DCF_B89B_9EFA6E87DC55_.wvu.FilterData" localSheetId="0" hidden="1">Outbound_Monitor!$A$2:$X$16</definedName>
    <definedName name="Z_D8F9D8D9_7FB6_4C22_94BF_5C67996A74F1_.wvu.FilterData" localSheetId="1" hidden="1">Inbound_Monitor!$A$2:$Q$3</definedName>
    <definedName name="Z_D8F9D8D9_7FB6_4C22_94BF_5C67996A74F1_.wvu.FilterData" localSheetId="0" hidden="1">Outbound_Monitor!$A$2:$W$3</definedName>
    <definedName name="Z_D8FFD0BF_1995_4B42_A30C_A3D716F50D4F_.wvu.FilterData" localSheetId="1" hidden="1">Inbound_Monitor!$A$2:$Q$3</definedName>
    <definedName name="Z_D8FFD0BF_1995_4B42_A30C_A3D716F50D4F_.wvu.FilterData" localSheetId="0" hidden="1">Outbound_Monitor!$A$2:$W$3</definedName>
    <definedName name="Z_D907B996_24B1_4AA0_9924_7C48767EB113_.wvu.FilterData" localSheetId="4" hidden="1">Schichtübergabe_Protokoll!$B$3:$N$3</definedName>
    <definedName name="Z_D90ACF40_B1AD_48D0_AE56_910BB1A930C2_.wvu.FilterData" localSheetId="0" hidden="1">Outbound_Monitor!$A$2:$W$3</definedName>
    <definedName name="Z_D916BCB1_E052_4182_95D6_ED490D70D518_.wvu.FilterData" localSheetId="1" hidden="1">Inbound_Monitor!$A$2:$Q$3</definedName>
    <definedName name="Z_D9182C49_2A99_4255_BD6A_C99603886AC8_.wvu.FilterData" localSheetId="0" hidden="1">Outbound_Monitor!$A$2:$X$16</definedName>
    <definedName name="Z_D9245D86_DFBA_49ED_AB09_6C8F494A0066_.wvu.FilterData" localSheetId="0" hidden="1">Outbound_Monitor!$A$2:$W$3</definedName>
    <definedName name="Z_D92900FE_EF49_4234_BB2D_77FB485440D1_.wvu.FilterData" localSheetId="0" hidden="1">Outbound_Monitor!$A$2:$W$3</definedName>
    <definedName name="Z_D9485894_4E72_45D0_ACE7_AFF06CFCE4CF_.wvu.FilterData" localSheetId="1" hidden="1">Inbound_Monitor!$A$2:$Q$13</definedName>
    <definedName name="Z_D9547D14_B801_4AC6_BE79_F5DC88946106_.wvu.FilterData" localSheetId="1" hidden="1">Inbound_Monitor!$A$2:$Q$3</definedName>
    <definedName name="Z_D9547D14_B801_4AC6_BE79_F5DC88946106_.wvu.FilterData" localSheetId="0" hidden="1">Outbound_Monitor!$A$2:$W$3</definedName>
    <definedName name="Z_D957ECFD_D9AF_4EE4_9426_C6BD3B7BC55A_.wvu.FilterData" localSheetId="1" hidden="1">Inbound_Monitor!$A$2:$Q$3</definedName>
    <definedName name="Z_D957ECFD_D9AF_4EE4_9426_C6BD3B7BC55A_.wvu.FilterData" localSheetId="0" hidden="1">Outbound_Monitor!$A$2:$W$3</definedName>
    <definedName name="Z_D957ECFD_D9AF_4EE4_9426_C6BD3B7BC55A_.wvu.FilterData" localSheetId="4" hidden="1">Schichtübergabe_Protokoll!$B$3:$N$3</definedName>
    <definedName name="Z_D9623230_2457_4B22_B189_C61F8F55F3EB_.wvu.FilterData" localSheetId="1" hidden="1">Inbound_Monitor!$A$2:$Q$3</definedName>
    <definedName name="Z_D9660C1F_BD6A_4617_A611_2CE7C41578DB_.wvu.FilterData" localSheetId="1" hidden="1">Inbound_Monitor!$A$2:$Q$3</definedName>
    <definedName name="Z_D9661F18_B399_4A56_8173_E513F133E84C_.wvu.FilterData" localSheetId="0" hidden="1">Outbound_Monitor!$A$2:$W$3</definedName>
    <definedName name="Z_D96B23B8_5053_4538_9F01_544D5FF9A392_.wvu.FilterData" localSheetId="0" hidden="1">Outbound_Monitor!$A$2:$W$3</definedName>
    <definedName name="Z_D9734147_D09A_45EF_9020_78EEE7DE64B7_.wvu.FilterData" localSheetId="0" hidden="1">Outbound_Monitor!$A$2:$W$3</definedName>
    <definedName name="Z_D9748220_E334_4612_A8D9_EFC101F5B0B2_.wvu.FilterData" localSheetId="1" hidden="1">Inbound_Monitor!$A$2:$Q$3</definedName>
    <definedName name="Z_D9748220_E334_4612_A8D9_EFC101F5B0B2_.wvu.FilterData" localSheetId="4" hidden="1">Schichtübergabe_Protokoll!$B$3:$N$3</definedName>
    <definedName name="Z_D976E3E6_DE2F_4D56_A44A_99BE7D45F9C7_.wvu.FilterData" localSheetId="1" hidden="1">Inbound_Monitor!$A$2:$Q$3</definedName>
    <definedName name="Z_D981E652_A1CA_425A_93C3_35F852526BFD_.wvu.FilterData" localSheetId="1" hidden="1">Inbound_Monitor!$A$2:$Q$13</definedName>
    <definedName name="Z_D981E652_A1CA_425A_93C3_35F852526BFD_.wvu.FilterData" localSheetId="0" hidden="1">Outbound_Monitor!$A$2:$W$3</definedName>
    <definedName name="Z_D98EE97C_48DE_45F4_80EB_6354C61286B0_.wvu.FilterData" localSheetId="0" hidden="1">Outbound_Monitor!$A$2:$W$3</definedName>
    <definedName name="Z_D99E4C6F_2A50_4862_9D02_8E7688C2EEDE_.wvu.FilterData" localSheetId="1" hidden="1">Inbound_Monitor!$A$2:$Q$2</definedName>
    <definedName name="Z_D99E4C6F_2A50_4862_9D02_8E7688C2EEDE_.wvu.FilterData" localSheetId="0" hidden="1">Outbound_Monitor!$A$2:$W$2</definedName>
    <definedName name="Z_D9A5D742_242D_4686_B5BB_56445E45D7A4_.wvu.FilterData" localSheetId="0" hidden="1">Outbound_Monitor!$A$2:$W$3</definedName>
    <definedName name="Z_D9A5D742_242D_4686_B5BB_56445E45D7A4_.wvu.FilterData" localSheetId="4" hidden="1">Schichtübergabe_Protokoll!$B$3:$N$3</definedName>
    <definedName name="Z_D9B658E2_DC83_4CD3_B817_52123452017F_.wvu.FilterData" localSheetId="1" hidden="1">Inbound_Monitor!$A$2:$Q$2</definedName>
    <definedName name="Z_D9B658E2_DC83_4CD3_B817_52123452017F_.wvu.FilterData" localSheetId="0" hidden="1">Outbound_Monitor!$A$2:$W$2</definedName>
    <definedName name="Z_D9CEB8C1_B25A_42E2_AB6F_C46D0E66387D_.wvu.FilterData" localSheetId="1" hidden="1">Inbound_Monitor!$A$2:$Q$3</definedName>
    <definedName name="Z_D9DF28D1_71FF_4323_8957_70A4103EF8F2_.wvu.FilterData" localSheetId="1" hidden="1">Inbound_Monitor!$A$2:$Q$3</definedName>
    <definedName name="Z_D9EFE7F1_A0E2_46D2_9D04_8D36C46C0A1C_.wvu.FilterData" localSheetId="1" hidden="1">Inbound_Monitor!$A$2:$Q$13</definedName>
    <definedName name="Z_D9EFE7F1_A0E2_46D2_9D04_8D36C46C0A1C_.wvu.FilterData" localSheetId="0" hidden="1">Outbound_Monitor!$A$2:$X$16</definedName>
    <definedName name="Z_D9F4F97D_72F8_4760_A5C9_FFF6FB0D33F4_.wvu.FilterData" localSheetId="0" hidden="1">Outbound_Monitor!$A$2:$W$3</definedName>
    <definedName name="Z_D9F4F97D_72F8_4760_A5C9_FFF6FB0D33F4_.wvu.FilterData" localSheetId="4" hidden="1">Schichtübergabe_Protokoll!$B$3:$N$3</definedName>
    <definedName name="Z_D9FA08BD_8C3D_4B33_B046_DD3D4EF3A47E_.wvu.FilterData" localSheetId="1" hidden="1">Inbound_Monitor!$A$2:$Q$13</definedName>
    <definedName name="Z_D9FDB3F8_DA26_48CF_AB9D_6DA940363CC2_.wvu.FilterData" localSheetId="0" hidden="1">Outbound_Monitor!$A$2:$W$3</definedName>
    <definedName name="Z_DA0876A1_04E5_474E_9D53_C1A24F873730_.wvu.FilterData" localSheetId="1" hidden="1">Inbound_Monitor!$A$2:$Q$3</definedName>
    <definedName name="Z_DA0E6E9F_BF1D_4D94_BC0D_8137B20DBE68_.wvu.FilterData" localSheetId="0" hidden="1">Outbound_Monitor!$A$2:$W$3</definedName>
    <definedName name="Z_DA0F43DF_B6C2_455C_A210_B28D7BE60689_.wvu.FilterData" localSheetId="1" hidden="1">Inbound_Monitor!$A$2:$Q$2</definedName>
    <definedName name="Z_DA0F43DF_B6C2_455C_A210_B28D7BE60689_.wvu.FilterData" localSheetId="0" hidden="1">Outbound_Monitor!$A$2:$W$2</definedName>
    <definedName name="Z_DA0F965A_9411_4AFA_9ED8_66B0C800E22D_.wvu.FilterData" localSheetId="0" hidden="1">Outbound_Monitor!$A$2:$W$3</definedName>
    <definedName name="Z_DA17CFD8_55DC_44E4_BF7D_08A699304515_.wvu.FilterData" localSheetId="1" hidden="1">Inbound_Monitor!$A$2:$Q$3</definedName>
    <definedName name="Z_DA1BB0C4_A880_4928_AD40_A383F3E9C8F8_.wvu.FilterData" localSheetId="1" hidden="1">Inbound_Monitor!$A$2:$Q$2</definedName>
    <definedName name="Z_DA1BB0C4_A880_4928_AD40_A383F3E9C8F8_.wvu.FilterData" localSheetId="0" hidden="1">Outbound_Monitor!$A$2:$W$2</definedName>
    <definedName name="Z_DA1BB656_259E_402E_AA3B_2B84D2B1C9CC_.wvu.FilterData" localSheetId="1" hidden="1">Inbound_Monitor!$A$2:$Q$13</definedName>
    <definedName name="Z_DA1F56D7_4B7F_462E_87C8_CC799488B48A_.wvu.FilterData" localSheetId="0" hidden="1">Outbound_Monitor!$A$2:$W$3</definedName>
    <definedName name="Z_DA2766D0_B3A6_4A5A_9830_5E5778238215_.wvu.FilterData" localSheetId="1" hidden="1">Inbound_Monitor!$A$2:$Q$13</definedName>
    <definedName name="Z_DA2766D0_B3A6_4A5A_9830_5E5778238215_.wvu.FilterData" localSheetId="0" hidden="1">Outbound_Monitor!$A$2:$X$16</definedName>
    <definedName name="Z_DA308236_6878_4FC3_A622_1F8BBA48793D_.wvu.FilterData" localSheetId="0" hidden="1">Outbound_Monitor!$A$2:$X$16</definedName>
    <definedName name="Z_DA30A386_8DF3_41E2_BB4C_9FAD28451744_.wvu.FilterData" localSheetId="1" hidden="1">Inbound_Monitor!$A$2:$Q$13</definedName>
    <definedName name="Z_DA30A386_8DF3_41E2_BB4C_9FAD28451744_.wvu.FilterData" localSheetId="0" hidden="1">Outbound_Monitor!$A$2:$X$16</definedName>
    <definedName name="Z_DA3186C2_58DB_4885_AD13_47E14688A3FF_.wvu.FilterData" localSheetId="0" hidden="1">Outbound_Monitor!$A$2:$W$3</definedName>
    <definedName name="Z_DA331617_5A26_4B86_8DA1_3B2F49827974_.wvu.FilterData" localSheetId="0" hidden="1">Outbound_Monitor!$A$2:$W$3</definedName>
    <definedName name="Z_DA349481_B4A4_483B_B260_4B8CA032DBBC_.wvu.FilterData" localSheetId="1" hidden="1">Inbound_Monitor!$A$2:$Q$2</definedName>
    <definedName name="Z_DA349481_B4A4_483B_B260_4B8CA032DBBC_.wvu.FilterData" localSheetId="0" hidden="1">Outbound_Monitor!$A$2:$W$2</definedName>
    <definedName name="Z_DA37E3F1_17EA_4C35_A454_DE24016A2D16_.wvu.FilterData" localSheetId="0" hidden="1">Outbound_Monitor!$A$2:$X$16</definedName>
    <definedName name="Z_DA485C4D_2102_467D_90A4_16A179F2050E_.wvu.FilterData" localSheetId="1" hidden="1">Inbound_Monitor!$A$2:$Q$3</definedName>
    <definedName name="Z_DA4E33DA_D67C_44D9_974E_17E2E573958D_.wvu.FilterData" localSheetId="0" hidden="1">Outbound_Monitor!$A$2:$W$3</definedName>
    <definedName name="Z_DA4E57A0_2375_40A9_86F7_51882C9A1C46_.wvu.FilterData" localSheetId="1" hidden="1">Inbound_Monitor!$A$2:$Q$3</definedName>
    <definedName name="Z_DA556CB7_BA8D_434C_9417_D028452D861C_.wvu.FilterData" localSheetId="0" hidden="1">Outbound_Monitor!$A$2:$W$3</definedName>
    <definedName name="Z_DA568034_A2EF_4CEE_AF6C_27F265D3835D_.wvu.FilterData" localSheetId="0" hidden="1">Outbound_Monitor!$A$2:$W$3</definedName>
    <definedName name="Z_DA593501_C308_4B44_A55E_0644B54CBDC2_.wvu.FilterData" localSheetId="0" hidden="1">Outbound_Monitor!$A$2:$X$16</definedName>
    <definedName name="Z_DA5C6B02_63F6_4E01_ACAD_F7FAA6B474FE_.wvu.FilterData" localSheetId="4" hidden="1">Schichtübergabe_Protokoll!$B$3:$N$3</definedName>
    <definedName name="Z_DA5E291E_8502_43D5_B84D_DDACEF661D92_.wvu.FilterData" localSheetId="1" hidden="1">Inbound_Monitor!$A$2:$Q$13</definedName>
    <definedName name="Z_DA5E291E_8502_43D5_B84D_DDACEF661D92_.wvu.FilterData" localSheetId="0" hidden="1">Outbound_Monitor!$A$2:$W$3</definedName>
    <definedName name="Z_DA70F2EF_E954_4AE7_A49B_55AC9420A09E_.wvu.FilterData" localSheetId="1" hidden="1">Inbound_Monitor!$A$2:$Q$3</definedName>
    <definedName name="Z_DA794BDC_7928_4235_A7BB_7F38E5A3413A_.wvu.FilterData" localSheetId="0" hidden="1">Outbound_Monitor!$A$2:$W$3</definedName>
    <definedName name="Z_DA996E9C_E7FE_4D9B_A651_20BB36AC08EE_.wvu.FilterData" localSheetId="0" hidden="1">Outbound_Monitor!$A$2:$W$3</definedName>
    <definedName name="Z_DAA1F4FA_4EED_4B54_BBCC_8C2096527919_.wvu.FilterData" localSheetId="1" hidden="1">Inbound_Monitor!$A$2:$Q$2</definedName>
    <definedName name="Z_DAA1F4FA_4EED_4B54_BBCC_8C2096527919_.wvu.FilterData" localSheetId="0" hidden="1">Outbound_Monitor!$A$2:$W$2</definedName>
    <definedName name="Z_DAA3513A_26A5_4107_91F0_112F9D4A1B85_.wvu.FilterData" localSheetId="1" hidden="1">Inbound_Monitor!$A$2:$Q$13</definedName>
    <definedName name="Z_DAA3513A_26A5_4107_91F0_112F9D4A1B85_.wvu.FilterData" localSheetId="0" hidden="1">Outbound_Monitor!$A$2:$X$16</definedName>
    <definedName name="Z_DAA669C4_2ED1_4FCF_BEE9_7D0B9573189E_.wvu.FilterData" localSheetId="0" hidden="1">Outbound_Monitor!$A$2:$W$3</definedName>
    <definedName name="Z_DAB5219F_75EA_467E_919B_4E50884F9AB8_.wvu.FilterData" localSheetId="1" hidden="1">Inbound_Monitor!$A$2:$Q$3</definedName>
    <definedName name="Z_DADE80E8_1F8C_43A7_AF42_09DE6956A3A5_.wvu.FilterData" localSheetId="1" hidden="1">Inbound_Monitor!$A$2:$Q$13</definedName>
    <definedName name="Z_DADE80E8_1F8C_43A7_AF42_09DE6956A3A5_.wvu.FilterData" localSheetId="0" hidden="1">Outbound_Monitor!$A$2:$X$16</definedName>
    <definedName name="Z_DAE47790_6539_49BB_88F6_79FFDD0CD705_.wvu.FilterData" localSheetId="1" hidden="1">Inbound_Monitor!$A$2:$Q$3</definedName>
    <definedName name="Z_DAE630FF_16C7_4BCB_B944_977634763BF6_.wvu.FilterData" localSheetId="0" hidden="1">Outbound_Monitor!$A$2:$W$3</definedName>
    <definedName name="Z_DAEC4318_DCD9_42A6_9CAF_C6CE75562582_.wvu.FilterData" localSheetId="1" hidden="1">Inbound_Monitor!$A$2:$Q$13</definedName>
    <definedName name="Z_DAF3944F_23EB_4657_9621_B4A211B4952D_.wvu.FilterData" localSheetId="1" hidden="1">Inbound_Monitor!$A$2:$Q$2</definedName>
    <definedName name="Z_DAF3944F_23EB_4657_9621_B4A211B4952D_.wvu.FilterData" localSheetId="0" hidden="1">Outbound_Monitor!$A$2:$W$2</definedName>
    <definedName name="Z_DB1253AD_AD3D_49BF_A9EA_17134B1346CA_.wvu.FilterData" localSheetId="0" hidden="1">Outbound_Monitor!$A$2:$W$3</definedName>
    <definedName name="Z_DB1A18C2_0446_4BEA_BD5A_B138D040F5E0_.wvu.FilterData" localSheetId="0" hidden="1">Outbound_Monitor!$A$2:$W$3</definedName>
    <definedName name="Z_DB2C6C48_758E_4B10_8782_41C62F70B25B_.wvu.FilterData" localSheetId="1" hidden="1">Inbound_Monitor!$A$2:$Q$3</definedName>
    <definedName name="Z_DB437952_0386_439D_86FB_277CD99C4EF5_.wvu.FilterData" localSheetId="1" hidden="1">Inbound_Monitor!$A$2:$Q$3</definedName>
    <definedName name="Z_DB466E7A_C0FC_481F_8D8F_2BB61ECC3061_.wvu.FilterData" localSheetId="1" hidden="1">Inbound_Monitor!$A$2:$Q$3</definedName>
    <definedName name="Z_DB4CA440_403A_4562_97CA_E64126325C8A_.wvu.FilterData" localSheetId="0" hidden="1">Outbound_Monitor!$A$2:$W$3</definedName>
    <definedName name="Z_DB5CC239_B937_47B4_AA7D_929205C13FAA_.wvu.FilterData" localSheetId="0" hidden="1">Outbound_Monitor!$A$2:$X$16</definedName>
    <definedName name="Z_DB60B9D4_392B_48B3_98F9_C22BB8000C84_.wvu.FilterData" localSheetId="0" hidden="1">Outbound_Monitor!$A$2:$X$16</definedName>
    <definedName name="Z_DB782FB6_96EC_41C0_9A62_3976E524A0EE_.wvu.FilterData" localSheetId="0" hidden="1">Outbound_Monitor!$A$2:$W$3</definedName>
    <definedName name="Z_DB835CF4_BBF9_4A50_8F35_FD5532462BFE_.wvu.FilterData" localSheetId="1" hidden="1">Inbound_Monitor!$A$2:$Q$13</definedName>
    <definedName name="Z_DB835CF4_BBF9_4A50_8F35_FD5532462BFE_.wvu.FilterData" localSheetId="0" hidden="1">Outbound_Monitor!$A$2:$W$3</definedName>
    <definedName name="Z_DB892C2A_4C07_4AB6_942D_81D3C25AE26F_.wvu.FilterData" localSheetId="0" hidden="1">Outbound_Monitor!$A$2:$W$3</definedName>
    <definedName name="Z_DB93FC24_8B89_41C4_9AD8_9CC638EDD81C_.wvu.FilterData" localSheetId="1" hidden="1">Inbound_Monitor!$A$2:$Q$13</definedName>
    <definedName name="Z_DB93FC24_8B89_41C4_9AD8_9CC638EDD81C_.wvu.FilterData" localSheetId="0" hidden="1">Outbound_Monitor!$A$2:$W$3</definedName>
    <definedName name="Z_DBA0DAA0_40EA_4B41_A9EB_00E7407E9C74_.wvu.FilterData" localSheetId="1" hidden="1">Inbound_Monitor!$A$2:$Q$3</definedName>
    <definedName name="Z_DBA1A6CB_2F66_4454_8D03_ACCE353F2C71_.wvu.FilterData" localSheetId="0" hidden="1">Outbound_Monitor!$A$2:$W$3</definedName>
    <definedName name="Z_DBA2C48D_2D47_4EA8_8D31_DBAD62BC857E_.wvu.FilterData" localSheetId="0" hidden="1">Outbound_Monitor!$A$2:$W$3</definedName>
    <definedName name="Z_DBA9EF05_0CD7_487A_86A0_3E42BF4BDDD7_.wvu.FilterData" localSheetId="1" hidden="1">Inbound_Monitor!$A$2:$Q$3</definedName>
    <definedName name="Z_DBB16FCD_7E57_4A0D_A50F_48E73E14D01C_.wvu.FilterData" localSheetId="1" hidden="1">Inbound_Monitor!$A$2:$Q$2</definedName>
    <definedName name="Z_DBB16FCD_7E57_4A0D_A50F_48E73E14D01C_.wvu.FilterData" localSheetId="0" hidden="1">Outbound_Monitor!$A$2:$W$2</definedName>
    <definedName name="Z_DBB76072_D119_4C09_8765_68547DEEADED_.wvu.FilterData" localSheetId="1" hidden="1">Inbound_Monitor!$A$2:$Q$13</definedName>
    <definedName name="Z_DBC28D20_B3EE_4604_ADDB_CC6FD52AF044_.wvu.FilterData" localSheetId="1" hidden="1">Inbound_Monitor!$A$2:$Q$13</definedName>
    <definedName name="Z_DBC28D20_B3EE_4604_ADDB_CC6FD52AF044_.wvu.FilterData" localSheetId="0" hidden="1">Outbound_Monitor!$A$3:$X$16</definedName>
    <definedName name="Z_DBCB898C_8B53_4AB2_975E_CC4EECF93ABC_.wvu.FilterData" localSheetId="0" hidden="1">Outbound_Monitor!$A$2:$W$3</definedName>
    <definedName name="Z_DBDD1383_1B3F_4777_B895_3C14F77BD544_.wvu.FilterData" localSheetId="1" hidden="1">Inbound_Monitor!$A$2:$Q$13</definedName>
    <definedName name="Z_DBDD1383_1B3F_4777_B895_3C14F77BD544_.wvu.FilterData" localSheetId="0" hidden="1">Outbound_Monitor!$A$2:$X$16</definedName>
    <definedName name="Z_DBDE42A4_BB5C_4293_BEB9_15A836885FF8_.wvu.FilterData" localSheetId="0" hidden="1">Outbound_Monitor!$A$2:$W$3</definedName>
    <definedName name="Z_DBEDEAA4_2F5F_4FF0_B606_A19FBFC8674B_.wvu.FilterData" localSheetId="0" hidden="1">Outbound_Monitor!$A$2:$W$3</definedName>
    <definedName name="Z_DBEF2CC8_9A1A_41E9_80DD_FBF702FF7267_.wvu.FilterData" localSheetId="1" hidden="1">Inbound_Monitor!$A$2:$Q$13</definedName>
    <definedName name="Z_DBF214AE_5A16_4647_8BF8_541137323D5B_.wvu.FilterData" localSheetId="1" hidden="1">Inbound_Monitor!$A$2:$Q$3</definedName>
    <definedName name="Z_DC04E00F_6C4E_4215_AB8A_2611A01362E9_.wvu.FilterData" localSheetId="0" hidden="1">Outbound_Monitor!$A$2:$W$3</definedName>
    <definedName name="Z_DC0DA852_C369_4CB9_8654_1A8C4B62CEB7_.wvu.FilterData" localSheetId="1" hidden="1">Inbound_Monitor!$A$2:$Q$13</definedName>
    <definedName name="Z_DC0DA852_C369_4CB9_8654_1A8C4B62CEB7_.wvu.FilterData" localSheetId="0" hidden="1">Outbound_Monitor!$A$2:$W$3</definedName>
    <definedName name="Z_DC123B23_72CE_46F1_A7E1_44B8257F2C0C_.wvu.FilterData" localSheetId="1" hidden="1">Inbound_Monitor!$A$2:$Q$13</definedName>
    <definedName name="Z_DC270C4E_8CF1_43D0_9EAA_DD580D691593_.wvu.FilterData" localSheetId="0" hidden="1">Outbound_Monitor!$A$2:$W$3</definedName>
    <definedName name="Z_DC272AA1_4646_46B2_98FA_C854274A3962_.wvu.FilterData" localSheetId="0" hidden="1">Outbound_Monitor!$A$2:$X$16</definedName>
    <definedName name="Z_DC2E5113_6A26_4414_8F98_CB1A6D9901BD_.wvu.FilterData" localSheetId="1" hidden="1">Inbound_Monitor!$A$2:$Q$2</definedName>
    <definedName name="Z_DC2E5113_6A26_4414_8F98_CB1A6D9901BD_.wvu.FilterData" localSheetId="0" hidden="1">Outbound_Monitor!$A$2:$W$2</definedName>
    <definedName name="Z_DC2F8FFE_31DC_41F6_A61B_884A513FE52B_.wvu.FilterData" localSheetId="1" hidden="1">Inbound_Monitor!$A$2:$Q$3</definedName>
    <definedName name="Z_DC49E29D_AD39_470C_904D_7861EB9D0175_.wvu.FilterData" localSheetId="1" hidden="1">Inbound_Monitor!$A$2:$Q$3</definedName>
    <definedName name="Z_DC49E29D_AD39_470C_904D_7861EB9D0175_.wvu.FilterData" localSheetId="0" hidden="1">Outbound_Monitor!$A$2:$W$3</definedName>
    <definedName name="Z_DC5F06F1_C458_49BE_A641_9CA47911B9F8_.wvu.FilterData" localSheetId="0" hidden="1">Outbound_Monitor!$A$2:$W$3</definedName>
    <definedName name="Z_DC63B979_BA9B_4591_8467_BCF9C553741A_.wvu.FilterData" localSheetId="1" hidden="1">Inbound_Monitor!$A$2:$Q$13</definedName>
    <definedName name="Z_DC6820F2_4016_42B6_8EC8_1779F0EEF89B_.wvu.FilterData" localSheetId="1" hidden="1">Inbound_Monitor!$A$2:$Q$2</definedName>
    <definedName name="Z_DC6820F2_4016_42B6_8EC8_1779F0EEF89B_.wvu.FilterData" localSheetId="0" hidden="1">Outbound_Monitor!$A$2:$W$2</definedName>
    <definedName name="Z_DC68A3E8_31AC_4D2E_94B4_B86954737FC8_.wvu.FilterData" localSheetId="0" hidden="1">Outbound_Monitor!$A$2:$W$3</definedName>
    <definedName name="Z_DC7614C2_3496_49C9_BD9C_E177EA2D4FAC_.wvu.FilterData" localSheetId="1" hidden="1">Inbound_Monitor!$A$2:$Q$3</definedName>
    <definedName name="Z_DC86C0F8_D941_4175_BB27_F2F71AF282F2_.wvu.FilterData" localSheetId="1" hidden="1">Inbound_Monitor!$A$2:$Q$3</definedName>
    <definedName name="Z_DC86C0F8_D941_4175_BB27_F2F71AF282F2_.wvu.FilterData" localSheetId="0" hidden="1">Outbound_Monitor!$A$2:$W$3</definedName>
    <definedName name="Z_DC973B48_CC08_417E_9919_83273FB2C7F9_.wvu.FilterData" localSheetId="1" hidden="1">Inbound_Monitor!$A$2:$Q$13</definedName>
    <definedName name="Z_DC973B48_CC08_417E_9919_83273FB2C7F9_.wvu.FilterData" localSheetId="0" hidden="1">Outbound_Monitor!$A$2:$W$3</definedName>
    <definedName name="Z_DC9977C8_DF7E_4CA4_9737_D9B543A7BEA7_.wvu.FilterData" localSheetId="0" hidden="1">Outbound_Monitor!$A$2:$X$16</definedName>
    <definedName name="Z_DCA057E1_D5A0_4D7A_8A12_ADF8B891D3E6_.wvu.FilterData" localSheetId="1" hidden="1">Inbound_Monitor!$A$2:$Q$13</definedName>
    <definedName name="Z_DCA057E1_D5A0_4D7A_8A12_ADF8B891D3E6_.wvu.FilterData" localSheetId="0" hidden="1">Outbound_Monitor!$A$2:$W$3</definedName>
    <definedName name="Z_DCA1EE11_57FC_45CD_9BC0_14BCA929E260_.wvu.FilterData" localSheetId="4" hidden="1">Schichtübergabe_Protokoll!$B$3:$N$3</definedName>
    <definedName name="Z_DCA7E7C1_077E_492D_B737_A6BF1B315BC1_.wvu.FilterData" localSheetId="0" hidden="1">Outbound_Monitor!$A$2:$W$3</definedName>
    <definedName name="Z_DCAB433E_B210_412A_80A6_027E18883B1A_.wvu.FilterData" localSheetId="1" hidden="1">Inbound_Monitor!$A$2:$Q$3</definedName>
    <definedName name="Z_DCAB433E_B210_412A_80A6_027E18883B1A_.wvu.FilterData" localSheetId="0" hidden="1">Outbound_Monitor!$A$2:$W$3</definedName>
    <definedName name="Z_DCACF4A5_AB25_44DA_BFA3_A1A60F171444_.wvu.FilterData" localSheetId="1" hidden="1">Inbound_Monitor!$A$2:$Q$3</definedName>
    <definedName name="Z_DCACF4A5_AB25_44DA_BFA3_A1A60F171444_.wvu.FilterData" localSheetId="0" hidden="1">Outbound_Monitor!$A$2:$W$3</definedName>
    <definedName name="Z_DCB7D787_02CE_46E5_BC43_7BA1119A6324_.wvu.FilterData" localSheetId="1" hidden="1">Inbound_Monitor!$A$2:$Q$13</definedName>
    <definedName name="Z_DCB7D787_02CE_46E5_BC43_7BA1119A6324_.wvu.FilterData" localSheetId="0" hidden="1">Outbound_Monitor!$A$2:$X$16</definedName>
    <definedName name="Z_DCBA36D8_8E64_4826_B08B_59289AC3C8D1_.wvu.FilterData" localSheetId="1" hidden="1">Inbound_Monitor!$A$2:$Q$2</definedName>
    <definedName name="Z_DCBA36D8_8E64_4826_B08B_59289AC3C8D1_.wvu.FilterData" localSheetId="0" hidden="1">Outbound_Monitor!$A$2:$W$2</definedName>
    <definedName name="Z_DCBD832D_5EC1_4D59_B674_8B2EFC91AB59_.wvu.FilterData" localSheetId="1" hidden="1">Inbound_Monitor!$A$2:$Q$13</definedName>
    <definedName name="Z_DCD30EC7_20DA_4302_82B5_4B2DDC13E03F_.wvu.FilterData" localSheetId="0" hidden="1">Outbound_Monitor!$A$2:$W$3</definedName>
    <definedName name="Z_DCE313AD_C3D8_4BE8_9E17_39CF38FA3928_.wvu.FilterData" localSheetId="0" hidden="1">Outbound_Monitor!$A$2:$W$3</definedName>
    <definedName name="Z_DCEA958F_AD42_479A_9578_F798322CDEC0_.wvu.FilterData" localSheetId="1" hidden="1">Inbound_Monitor!$A$2:$Q$3</definedName>
    <definedName name="Z_DCEDD69C_3BA6_468B_90C2_C943E2729017_.wvu.FilterData" localSheetId="1" hidden="1">Inbound_Monitor!$A$2:$Q$3</definedName>
    <definedName name="Z_DD0A5530_7790_407B_A742_DE1DDD8F2B70_.wvu.FilterData" localSheetId="1" hidden="1">Inbound_Monitor!$A$2:$Q$2</definedName>
    <definedName name="Z_DD0A5530_7790_407B_A742_DE1DDD8F2B70_.wvu.FilterData" localSheetId="0" hidden="1">Outbound_Monitor!$A$2:$W$2</definedName>
    <definedName name="Z_DD308DB0_4F9A_46EA_AAED_D9ABAFC4C885_.wvu.FilterData" localSheetId="0" hidden="1">Outbound_Monitor!$A$2:$W$3</definedName>
    <definedName name="Z_DD3353E6_EEC9_4861_AE59_87499EABA0FF_.wvu.FilterData" localSheetId="0" hidden="1">Outbound_Monitor!$A$2:$W$3</definedName>
    <definedName name="Z_DD4B504A_40FD_4EA3_A78C_0EF4B843F623_.wvu.FilterData" localSheetId="0" hidden="1">Outbound_Monitor!$A$2:$W$3</definedName>
    <definedName name="Z_DD4C0933_16EE_4069_91C2_2C56D7B48EC4_.wvu.FilterData" localSheetId="0" hidden="1">Outbound_Monitor!$A$2:$W$3</definedName>
    <definedName name="Z_DD6B4C0F_EDCD_4109_B5D7_13AACCF2D12D_.wvu.FilterData" localSheetId="1" hidden="1">Inbound_Monitor!$A$2:$Q$2</definedName>
    <definedName name="Z_DD6B4C0F_EDCD_4109_B5D7_13AACCF2D12D_.wvu.FilterData" localSheetId="0" hidden="1">Outbound_Monitor!$A$2:$W$2</definedName>
    <definedName name="Z_DD7E45F4_B3AD_446A_ADEB_EB7B6FF6BC05_.wvu.FilterData" localSheetId="0" hidden="1">Outbound_Monitor!$A$2:$X$16</definedName>
    <definedName name="Z_DDA8808C_8CA1_4B2C_A0E3_DEF53B550B0A_.wvu.FilterData" localSheetId="1" hidden="1">Inbound_Monitor!$A$2:$Q$3</definedName>
    <definedName name="Z_DDA8808C_8CA1_4B2C_A0E3_DEF53B550B0A_.wvu.FilterData" localSheetId="0" hidden="1">Outbound_Monitor!$A$2:$W$3</definedName>
    <definedName name="Z_DDB2D1C4_AF95_467E_88CE_9C91A6FB0117_.wvu.FilterData" localSheetId="1" hidden="1">Inbound_Monitor!$A$2:$Q$3</definedName>
    <definedName name="Z_DDB3C9EF_83C5_44D1_8206_5647B9834FB9_.wvu.FilterData" localSheetId="0" hidden="1">Outbound_Monitor!$A$2:$W$3</definedName>
    <definedName name="Z_DDD14E81_F652_418B_9C72_3F7A80233987_.wvu.FilterData" localSheetId="0" hidden="1">Outbound_Monitor!$A$2:$W$3</definedName>
    <definedName name="Z_DDDADCED_7605_45E8_993C_651EC13C980E_.wvu.FilterData" localSheetId="0" hidden="1">Outbound_Monitor!$A$2:$W$3</definedName>
    <definedName name="Z_DDE0949F_D0AA_40FF_B19C_0D6AD4BF9B9A_.wvu.FilterData" localSheetId="0" hidden="1">Outbound_Monitor!$A$2:$X$16</definedName>
    <definedName name="Z_DDE469BA_1C17_47B5_B41B_47CA4206E34C_.wvu.FilterData" localSheetId="1" hidden="1">Inbound_Monitor!$A$2:$Q$3</definedName>
    <definedName name="Z_DDE58FA0_3876_4933_BD69_E8FC53DD095E_.wvu.FilterData" localSheetId="0" hidden="1">Outbound_Monitor!$A$2:$X$16</definedName>
    <definedName name="Z_DDF585C2_DCB0_4231_8A90_35066AAAA90E_.wvu.FilterData" localSheetId="1" hidden="1">Inbound_Monitor!$A$2:$Q$3</definedName>
    <definedName name="Z_DE023162_C0F1_4CB4_905C_B2AA95D017E4_.wvu.FilterData" localSheetId="0" hidden="1">Outbound_Monitor!$A$2:$X$16</definedName>
    <definedName name="Z_DE05946E_C785_49FF_AE69_33632D5C92B1_.wvu.FilterData" localSheetId="1" hidden="1">Inbound_Monitor!$A$2:$Q$13</definedName>
    <definedName name="Z_DE05946E_C785_49FF_AE69_33632D5C92B1_.wvu.FilterData" localSheetId="0" hidden="1">Outbound_Monitor!$A$2:$X$16</definedName>
    <definedName name="Z_DE0A7C08_7096_42EA_A531_3F657EB331B4_.wvu.FilterData" localSheetId="0" hidden="1">Outbound_Monitor!$A$2:$W$3</definedName>
    <definedName name="Z_DE0D8DCB_5CF8_4FEC_AFA5_BF5AE14F15DF_.wvu.FilterData" localSheetId="0" hidden="1">Outbound_Monitor!$A$2:$X$16</definedName>
    <definedName name="Z_DE14F985_AEDF_4A62_9623_28A4D7996C84_.wvu.FilterData" localSheetId="0" hidden="1">Outbound_Monitor!$A$2:$W$3</definedName>
    <definedName name="Z_DE17829A_F50D_4F3F_AE43_81939B3C6887_.wvu.FilterData" localSheetId="0" hidden="1">Outbound_Monitor!$A$2:$W$3</definedName>
    <definedName name="Z_DE1CDC33_AEB9_4F74_A530_BE3EAB55D602_.wvu.FilterData" localSheetId="4" hidden="1">Schichtübergabe_Protokoll!$B$3:$N$3</definedName>
    <definedName name="Z_DE203801_10BA_4A7E_9A64_F9D3448C4B1B_.wvu.FilterData" localSheetId="1" hidden="1">Inbound_Monitor!$A$2:$Q$13</definedName>
    <definedName name="Z_DE203801_10BA_4A7E_9A64_F9D3448C4B1B_.wvu.FilterData" localSheetId="0" hidden="1">Outbound_Monitor!$A$2:$W$3</definedName>
    <definedName name="Z_DE25821C_9B34_42AC_ADCA_15620152F5A7_.wvu.FilterData" localSheetId="0" hidden="1">Outbound_Monitor!$A$2:$W$3</definedName>
    <definedName name="Z_DE3BB255_2649_46E8_A84E_242B11390C4B_.wvu.FilterData" localSheetId="1" hidden="1">Inbound_Monitor!$A$2:$Q$3</definedName>
    <definedName name="Z_DE4198B8_100B_4EC1_9495_6F9A6087EC29_.wvu.FilterData" localSheetId="1" hidden="1">Inbound_Monitor!$A$2:$Q$2</definedName>
    <definedName name="Z_DE4198B8_100B_4EC1_9495_6F9A6087EC29_.wvu.FilterData" localSheetId="0" hidden="1">Outbound_Monitor!$A$2:$W$2</definedName>
    <definedName name="Z_DE4CCDAB_135C_4196_A2FB_AF3279E155BD_.wvu.FilterData" localSheetId="4" hidden="1">Schichtübergabe_Protokoll!$B$3:$N$3</definedName>
    <definedName name="Z_DE6A30B4_094F_4EFD_8B9B_0F01F43E075C_.wvu.FilterData" localSheetId="1" hidden="1">Inbound_Monitor!$A$2:$Q$13</definedName>
    <definedName name="Z_DE6A30B4_094F_4EFD_8B9B_0F01F43E075C_.wvu.FilterData" localSheetId="0" hidden="1">Outbound_Monitor!$A$2:$X$16</definedName>
    <definedName name="Z_DE6F8130_4AC9_4BB0_8513_927EEBD8F094_.wvu.FilterData" localSheetId="0" hidden="1">Outbound_Monitor!$A$2:$W$3</definedName>
    <definedName name="Z_DE7B83CB_0276_4FE2_809E_023AC3AC4C24_.wvu.FilterData" localSheetId="1" hidden="1">Inbound_Monitor!$A$2:$Q$3</definedName>
    <definedName name="Z_DE8B3E65_9855_4008_A3B5_E163F8C0D189_.wvu.FilterData" localSheetId="1" hidden="1">Inbound_Monitor!$A$2:$Q$3</definedName>
    <definedName name="Z_DE955105_5B90_42B9_B2E8_D2BF90FB67AA_.wvu.FilterData" localSheetId="1" hidden="1">Inbound_Monitor!$A$2:$Q$3</definedName>
    <definedName name="Z_DE955105_5B90_42B9_B2E8_D2BF90FB67AA_.wvu.FilterData" localSheetId="0" hidden="1">Outbound_Monitor!$A$2:$W$3</definedName>
    <definedName name="Z_DE9CBE95_5F19_4F96_AC73_37A8CB8A943B_.wvu.FilterData" localSheetId="0" hidden="1">Outbound_Monitor!$A$2:$W$3</definedName>
    <definedName name="Z_DE9CBE95_5F19_4F96_AC73_37A8CB8A943B_.wvu.FilterData" localSheetId="4" hidden="1">Schichtübergabe_Protokoll!$B$3:$N$3</definedName>
    <definedName name="Z_DEB1C977_3E7E_49E1_8B6F_AEE15BACCDEB_.wvu.FilterData" localSheetId="1" hidden="1">Inbound_Monitor!$A$2:$Q$13</definedName>
    <definedName name="Z_DEB5E755_14CC_4891_BC85_C186A8A41092_.wvu.FilterData" localSheetId="0" hidden="1">Outbound_Monitor!$A$2:$W$3</definedName>
    <definedName name="Z_DEB93A61_C92B_450F_A015_FAB9B7582222_.wvu.FilterData" localSheetId="1" hidden="1">Inbound_Monitor!$A$2:$Q$2</definedName>
    <definedName name="Z_DEB93A61_C92B_450F_A015_FAB9B7582222_.wvu.FilterData" localSheetId="0" hidden="1">Outbound_Monitor!$A$2:$W$2</definedName>
    <definedName name="Z_DEC9F4C5_4524_4B49_B2AF_C97D5A27DD69_.wvu.FilterData" localSheetId="0" hidden="1">Outbound_Monitor!$A$2:$W$3</definedName>
    <definedName name="Z_DED3D328_C619_4D1D_9008_3955AB98538D_.wvu.FilterData" localSheetId="0" hidden="1">Outbound_Monitor!$A$2:$W$3</definedName>
    <definedName name="Z_DEFA4F70_900F_41D4_83C3_E15D430C094F_.wvu.FilterData" localSheetId="1" hidden="1">Inbound_Monitor!$A$2:$Q$3</definedName>
    <definedName name="Z_DEFB6CC0_642B_4D17_B77C_6E37C5BFFA19_.wvu.FilterData" localSheetId="1" hidden="1">Inbound_Monitor!$A$2:$Q$3</definedName>
    <definedName name="Z_DEFFC178_2464_40D1_9EA0_CFB8E1B762FB_.wvu.FilterData" localSheetId="1" hidden="1">Inbound_Monitor!$A$2:$Q$13</definedName>
    <definedName name="Z_DF1701A8_0D6F_460C_B1DE_2322EF15E48F_.wvu.FilterData" localSheetId="0" hidden="1">Outbound_Monitor!$A$2:$W$3</definedName>
    <definedName name="Z_DF18D744_B26F_4928_8D4D_AEF0F2534EC3_.wvu.FilterData" localSheetId="1" hidden="1">Inbound_Monitor!$A$2:$Q$13</definedName>
    <definedName name="Z_DF18D744_B26F_4928_8D4D_AEF0F2534EC3_.wvu.FilterData" localSheetId="0" hidden="1">Outbound_Monitor!$A$2:$W$3</definedName>
    <definedName name="Z_DF20B374_6F46_42B2_A063_5C9FC61677FC_.wvu.FilterData" localSheetId="1" hidden="1">Inbound_Monitor!$A$2:$Q$3</definedName>
    <definedName name="Z_DF361104_A3EE_4338_A956_FC19E2F80372_.wvu.FilterData" localSheetId="1" hidden="1">Inbound_Monitor!$A$2:$Q$13</definedName>
    <definedName name="Z_DF38751C_C30E_4E6A_B9C9_AF0425A936E8_.wvu.FilterData" localSheetId="0" hidden="1">Outbound_Monitor!$A$2:$X$16</definedName>
    <definedName name="Z_DF411D61_89DA_445C_8C36_4AB9A00FD20D_.wvu.FilterData" localSheetId="1" hidden="1">Inbound_Monitor!$A$2:$Q$13</definedName>
    <definedName name="Z_DF411D61_89DA_445C_8C36_4AB9A00FD20D_.wvu.FilterData" localSheetId="0" hidden="1">Outbound_Monitor!$A$2:$W$3</definedName>
    <definedName name="Z_DF54674E_4F1E_4EBA_8888_41EF1CF145E7_.wvu.FilterData" localSheetId="0" hidden="1">Outbound_Monitor!$A$2:$W$3</definedName>
    <definedName name="Z_DF5EC853_0067_42FE_91E8_5918F4EB4867_.wvu.FilterData" localSheetId="0" hidden="1">Outbound_Monitor!$A$2:$W$3</definedName>
    <definedName name="Z_DF67B383_3EA0_47E6_A8C9_D0D935F44E45_.wvu.FilterData" localSheetId="1" hidden="1">Inbound_Monitor!$A$2:$Q$2</definedName>
    <definedName name="Z_DF67B383_3EA0_47E6_A8C9_D0D935F44E45_.wvu.FilterData" localSheetId="0" hidden="1">Outbound_Monitor!$A$2:$W$2</definedName>
    <definedName name="Z_DF82674D_5971_49FA_9787_3D39717BF490_.wvu.FilterData" localSheetId="1" hidden="1">Inbound_Monitor!$A$2:$Q$13</definedName>
    <definedName name="Z_DF82674D_5971_49FA_9787_3D39717BF490_.wvu.FilterData" localSheetId="0" hidden="1">Outbound_Monitor!$A$2:$W$3</definedName>
    <definedName name="Z_DF8C203E_4426_40A4_A8C3_9203DB20A025_.wvu.FilterData" localSheetId="0" hidden="1">Outbound_Monitor!$A$2:$W$3</definedName>
    <definedName name="Z_DF94D6EA_0727_4364_9D49_5CDEB067C0ED_.wvu.FilterData" localSheetId="1" hidden="1">Inbound_Monitor!$A$2:$Q$3</definedName>
    <definedName name="Z_DF9B2E29_C811_41A9_B8B6_114EDF5D023A_.wvu.FilterData" localSheetId="1" hidden="1">Inbound_Monitor!$A$2:$Q$3</definedName>
    <definedName name="Z_DFA9BBE1_83DC_42F6_A1DD_4AAD9554D439_.wvu.FilterData" localSheetId="0" hidden="1">Outbound_Monitor!$A$2:$W$3</definedName>
    <definedName name="Z_DFB60F77_76DC_4A2E_BD9B_64B2DBDECC8E_.wvu.FilterData" localSheetId="0" hidden="1">Outbound_Monitor!$A$2:$W$3</definedName>
    <definedName name="Z_DFB93476_90F7_446A_89BA_2EE81520CBBF_.wvu.FilterData" localSheetId="0" hidden="1">Outbound_Monitor!$A$2:$X$16</definedName>
    <definedName name="Z_DFB97F3F_B774_4EF0_947F_A7D609A1DA51_.wvu.FilterData" localSheetId="0" hidden="1">Outbound_Monitor!$A$2:$W$3</definedName>
    <definedName name="Z_DFBC1C90_3A6D_41AB_9347_38C38D114FC3_.wvu.FilterData" localSheetId="4" hidden="1">Schichtübergabe_Protokoll!$B$3:$N$3</definedName>
    <definedName name="Z_DFCC2C9E_8BDF_49FE_B84A_7386C630615B_.wvu.FilterData" localSheetId="1" hidden="1">Inbound_Monitor!$A$2:$Q$2</definedName>
    <definedName name="Z_DFCC2C9E_8BDF_49FE_B84A_7386C630615B_.wvu.FilterData" localSheetId="0" hidden="1">Outbound_Monitor!$A$2:$W$2</definedName>
    <definedName name="Z_DFD913BC_E6F1_418E_B5FB_33D32CED35AF_.wvu.FilterData" localSheetId="4" hidden="1">Schichtübergabe_Protokoll!$B$3:$N$3</definedName>
    <definedName name="Z_DFEEBBBC_D599_4A6B_AFE8_9C842A6D6B6D_.wvu.FilterData" localSheetId="0" hidden="1">Outbound_Monitor!$A$2:$W$3</definedName>
    <definedName name="Z_E00B4686_32F6_4A40_BAE5_26E219967D28_.wvu.FilterData" localSheetId="0" hidden="1">Outbound_Monitor!$A$2:$W$3</definedName>
    <definedName name="Z_E00D2234_0B99_4269_9E5E_21100CD2B8FA_.wvu.FilterData" localSheetId="1" hidden="1">Inbound_Monitor!$A$2:$Q$13</definedName>
    <definedName name="Z_E00D2234_0B99_4269_9E5E_21100CD2B8FA_.wvu.FilterData" localSheetId="0" hidden="1">Outbound_Monitor!$A$2:$W$3</definedName>
    <definedName name="Z_E0119909_0DC6_4A9B_B018_E208732B3485_.wvu.FilterData" localSheetId="1" hidden="1">Inbound_Monitor!$A$2:$Q$3</definedName>
    <definedName name="Z_E03D4A47_CCE2_46D0_A89B_D18CA7613F6A_.wvu.FilterData" localSheetId="0" hidden="1">Outbound_Monitor!$A$2:$X$16</definedName>
    <definedName name="Z_E0417EA8_9D19_4418_98EE_E0F71110DEB6_.wvu.FilterData" localSheetId="0" hidden="1">Outbound_Monitor!$A$2:$W$3</definedName>
    <definedName name="Z_E048D82F_1EC8_4CD4_AD0D_EDCFCF6EAA36_.wvu.FilterData" localSheetId="1" hidden="1">Inbound_Monitor!$A$2:$Q$3</definedName>
    <definedName name="Z_E0587F74_2EF3_4E7D_998C_DDD8C443BE05_.wvu.FilterData" localSheetId="0" hidden="1">Outbound_Monitor!$A$2:$W$3</definedName>
    <definedName name="Z_E05D3547_EA36_4A37_B20C_BC89079BE48E_.wvu.FilterData" localSheetId="0" hidden="1">Outbound_Monitor!$A$2:$W$3</definedName>
    <definedName name="Z_E06D4EE0_2BF8_481B_A690_AEDCE101FBC3_.wvu.FilterData" localSheetId="1" hidden="1">Inbound_Monitor!$A$2:$Q$3</definedName>
    <definedName name="Z_E0734078_A604_4F25_ADF9_D7ED0843A1F5_.wvu.FilterData" localSheetId="1" hidden="1">Inbound_Monitor!$A$2:$Q$3</definedName>
    <definedName name="Z_E07BB678_1831_4EF1_8FB2_6DA953DA65B9_.wvu.FilterData" localSheetId="0" hidden="1">Outbound_Monitor!$A$2:$W$3</definedName>
    <definedName name="Z_E09EEEB1_55F1_42A4_B216_BBACC45A4676_.wvu.FilterData" localSheetId="1" hidden="1">Inbound_Monitor!$A$2:$Q$3</definedName>
    <definedName name="Z_E09EEEB1_55F1_42A4_B216_BBACC45A4676_.wvu.FilterData" localSheetId="0" hidden="1">Outbound_Monitor!$A$2:$W$3</definedName>
    <definedName name="Z_E0AA42EC_B019_4176_B2FB_CFDF9C72A07C_.wvu.FilterData" localSheetId="1" hidden="1">Inbound_Monitor!$A$2:$Q$13</definedName>
    <definedName name="Z_E0BFCC00_B4CF_4784_A86F_5D8474529261_.wvu.FilterData" localSheetId="0" hidden="1">Outbound_Monitor!$A$2:$W$3</definedName>
    <definedName name="Z_E0C1B806_C618_4317_AB63_1E7D7C7BCAA9_.wvu.FilterData" localSheetId="1" hidden="1">Inbound_Monitor!$A$2:$Q$13</definedName>
    <definedName name="Z_E0C1B806_C618_4317_AB63_1E7D7C7BCAA9_.wvu.FilterData" localSheetId="0" hidden="1">Outbound_Monitor!$A$2:$W$3</definedName>
    <definedName name="Z_E0C29159_F5EE_48D3_B375_A1ADF214EDD9_.wvu.FilterData" localSheetId="1" hidden="1">Inbound_Monitor!$A$2:$Q$13</definedName>
    <definedName name="Z_E0C29159_F5EE_48D3_B375_A1ADF214EDD9_.wvu.FilterData" localSheetId="0" hidden="1">Outbound_Monitor!$A$2:$X$16</definedName>
    <definedName name="Z_E0C7C705_F335_4661_BD75_FAF66B811466_.wvu.FilterData" localSheetId="1" hidden="1">Inbound_Monitor!$A$2:$Q$13</definedName>
    <definedName name="Z_E0D5FA81_5DA5_4A62_9378_7C936A923194_.wvu.FilterData" localSheetId="0" hidden="1">Outbound_Monitor!$A$2:$W$3</definedName>
    <definedName name="Z_E0D6AA2E_A843_41C5_A1E7_A04E9FC75D74_.wvu.FilterData" localSheetId="0" hidden="1">Outbound_Monitor!$A$2:$W$3</definedName>
    <definedName name="Z_E0E4BF1B_9D4E_43E5_A37E_2C7794ACBC58_.wvu.FilterData" localSheetId="1" hidden="1">Inbound_Monitor!$A$2:$Q$3</definedName>
    <definedName name="Z_E0E4BF1B_9D4E_43E5_A37E_2C7794ACBC58_.wvu.FilterData" localSheetId="0" hidden="1">Outbound_Monitor!$A$2:$W$3</definedName>
    <definedName name="Z_E0E528D1_5994_4FDC_A573_9FB54D5CC966_.wvu.FilterData" localSheetId="0" hidden="1">Outbound_Monitor!$A$2:$X$16</definedName>
    <definedName name="Z_E0EBB87B_C2E3_4A77_BA2C_B389F1F40757_.wvu.FilterData" localSheetId="0" hidden="1">Outbound_Monitor!$A$2:$X$16</definedName>
    <definedName name="Z_E0F61A60_F061_4E52_99D3_BAAA95F830A9_.wvu.FilterData" localSheetId="0" hidden="1">Outbound_Monitor!$A$2:$W$3</definedName>
    <definedName name="Z_E1095264_D4A9_43E6_BE49_3201FCACCD2B_.wvu.FilterData" localSheetId="0" hidden="1">Outbound_Monitor!$A$2:$W$3</definedName>
    <definedName name="Z_E10F99D7_22BB_4F9B_9444_928D4DF6CCB6_.wvu.FilterData" localSheetId="4" hidden="1">Schichtübergabe_Protokoll!$B$3:$N$3</definedName>
    <definedName name="Z_E112C499_BB22_4740_94C4_4F09FD98DE24_.wvu.FilterData" localSheetId="0" hidden="1">Outbound_Monitor!$A$2:$W$3</definedName>
    <definedName name="Z_E11A9C37_F7A0_4B62_8DB1_15378FF50341_.wvu.FilterData" localSheetId="1" hidden="1">Inbound_Monitor!$A$2:$Q$13</definedName>
    <definedName name="Z_E11A9C37_F7A0_4B62_8DB1_15378FF50341_.wvu.FilterData" localSheetId="0" hidden="1">Outbound_Monitor!$A$2:$W$3</definedName>
    <definedName name="Z_E122FC3B_0A42_4FAE_99BC_77DF3AB19A39_.wvu.FilterData" localSheetId="1" hidden="1">Inbound_Monitor!$A$2:$Q$2</definedName>
    <definedName name="Z_E122FC3B_0A42_4FAE_99BC_77DF3AB19A39_.wvu.FilterData" localSheetId="0" hidden="1">Outbound_Monitor!$A$2:$W$2</definedName>
    <definedName name="Z_E12A8A38_27B3_41BA_9D88_3174F39E9B7F_.wvu.FilterData" localSheetId="0" hidden="1">Outbound_Monitor!$A$2:$W$3</definedName>
    <definedName name="Z_E12EB013_782E_4F5C_B1AC_6CF6F913E967_.wvu.FilterData" localSheetId="1" hidden="1">Inbound_Monitor!$A$2:$Q$13</definedName>
    <definedName name="Z_E12EB013_782E_4F5C_B1AC_6CF6F913E967_.wvu.FilterData" localSheetId="0" hidden="1">Outbound_Monitor!$A$2:$X$16</definedName>
    <definedName name="Z_E12F2EC4_B104_4E55_864E_E9EA882DE546_.wvu.FilterData" localSheetId="1" hidden="1">Inbound_Monitor!$A$2:$Q$3</definedName>
    <definedName name="Z_E12F2EC4_B104_4E55_864E_E9EA882DE546_.wvu.FilterData" localSheetId="0" hidden="1">Outbound_Monitor!$A$2:$W$3</definedName>
    <definedName name="Z_E1315CEB_813A_4732_AA4A_CC95B945ABE5_.wvu.FilterData" localSheetId="0" hidden="1">Outbound_Monitor!$A$2:$W$3</definedName>
    <definedName name="Z_E1384930_3376_4A2E_8B68_FF3EA359BA06_.wvu.FilterData" localSheetId="1" hidden="1">Inbound_Monitor!$A$2:$Q$2</definedName>
    <definedName name="Z_E1384930_3376_4A2E_8B68_FF3EA359BA06_.wvu.FilterData" localSheetId="0" hidden="1">Outbound_Monitor!$A$2:$W$2</definedName>
    <definedName name="Z_E13DB23F_220B_45DE_B22C_EC7EF861A790_.wvu.FilterData" localSheetId="4" hidden="1">Schichtübergabe_Protokoll!$B$3:$N$3</definedName>
    <definedName name="Z_E141EE10_E320_4178_AE89_D09CD1CB15C3_.wvu.FilterData" localSheetId="0" hidden="1">Outbound_Monitor!$A$2:$W$3</definedName>
    <definedName name="Z_E148864B_6A6B_4B62_B14B_580B92D6D9E8_.wvu.FilterData" localSheetId="1" hidden="1">Inbound_Monitor!$A$2:$Q$3</definedName>
    <definedName name="Z_E14F9FEA_1E85_408E_8B88_2DAD596CF9DF_.wvu.FilterData" localSheetId="0" hidden="1">Outbound_Monitor!$A$2:$W$3</definedName>
    <definedName name="Z_E151786E_0673_4CAC_BD6A_6FF19862FE33_.wvu.FilterData" localSheetId="1" hidden="1">Inbound_Monitor!$A$2:$Q$3</definedName>
    <definedName name="Z_E16B1F60_503B_4420_ADBF_76B0C0A76B32_.wvu.FilterData" localSheetId="0" hidden="1">Outbound_Monitor!$A$2:$W$3</definedName>
    <definedName name="Z_E18049BE_9A7A_4DB0_866E_91A65053392B_.wvu.FilterData" localSheetId="0" hidden="1">Outbound_Monitor!$A$2:$W$3</definedName>
    <definedName name="Z_E18580CF_B1DC_4D92_B047_CE61516DFD31_.wvu.FilterData" localSheetId="1" hidden="1">Inbound_Monitor!$A$2:$Q$3</definedName>
    <definedName name="Z_E1868274_EC4D_4262_ACCF_A82EC4CE2C18_.wvu.FilterData" localSheetId="1" hidden="1">Inbound_Monitor!$A$2:$Q$3</definedName>
    <definedName name="Z_E188CC35_4EB5_4344_B8C1_906A8339062E_.wvu.FilterData" localSheetId="1" hidden="1">Inbound_Monitor!$A$2:$Q$3</definedName>
    <definedName name="Z_E189C08E_E6C5_4122_AA13_0AA890F392F0_.wvu.FilterData" localSheetId="0" hidden="1">Outbound_Monitor!$A$2:$W$3</definedName>
    <definedName name="Z_E189C08E_E6C5_4122_AA13_0AA890F392F0_.wvu.FilterData" localSheetId="4" hidden="1">Schichtübergabe_Protokoll!$B$3:$N$3</definedName>
    <definedName name="Z_E191E3D5_732C_4F4D_9B36_31971C94323A_.wvu.FilterData" localSheetId="0" hidden="1">Outbound_Monitor!$A$2:$W$3</definedName>
    <definedName name="Z_E1EBE07A_5DE3_42E1_82A7_9A8D76B0BE0D_.wvu.FilterData" localSheetId="0" hidden="1">Outbound_Monitor!$A$2:$W$3</definedName>
    <definedName name="Z_E1F53CE0_D40F_4280_B0C4_14E3799FC57E_.wvu.FilterData" localSheetId="0" hidden="1">Outbound_Monitor!$A$2:$W$3</definedName>
    <definedName name="Z_E1F8E95A_FA14_4BF3_97A5_74696A1F1E27_.wvu.FilterData" localSheetId="1" hidden="1">Inbound_Monitor!$A$2:$Q$3</definedName>
    <definedName name="Z_E1F8E95A_FA14_4BF3_97A5_74696A1F1E27_.wvu.FilterData" localSheetId="0" hidden="1">Outbound_Monitor!$A$2:$W$3</definedName>
    <definedName name="Z_E2018A64_2014_4655_BD67_F9205D5FB85D_.wvu.FilterData" localSheetId="0" hidden="1">Outbound_Monitor!$A$2:$X$3</definedName>
    <definedName name="Z_E2143553_1382_4AEE_9D34_570007880577_.wvu.FilterData" localSheetId="1" hidden="1">Inbound_Monitor!$A$2:$Q$13</definedName>
    <definedName name="Z_E2143553_1382_4AEE_9D34_570007880577_.wvu.FilterData" localSheetId="0" hidden="1">Outbound_Monitor!$A$2:$X$16</definedName>
    <definedName name="Z_E21A3F42_BD03_4678_9A50_97FC3E64439A_.wvu.FilterData" localSheetId="0" hidden="1">Outbound_Monitor!$A$2:$X$16</definedName>
    <definedName name="Z_E2274F5B_0708_40AE_B0DE_71319728EBFF_.wvu.FilterData" localSheetId="1" hidden="1">Inbound_Monitor!$A$2:$Q$3</definedName>
    <definedName name="Z_E22F51DB_E66D_4957_AB75_95EBA5DFDF57_.wvu.FilterData" localSheetId="1" hidden="1">Inbound_Monitor!$A$2:$Q$3</definedName>
    <definedName name="Z_E22F51DB_E66D_4957_AB75_95EBA5DFDF57_.wvu.FilterData" localSheetId="0" hidden="1">Outbound_Monitor!$A$2:$W$3</definedName>
    <definedName name="Z_E236DB56_78F0_4E5D_BDB4_EF070DB41527_.wvu.FilterData" localSheetId="0" hidden="1">Outbound_Monitor!$A$2:$W$3</definedName>
    <definedName name="Z_E23CB447_525D_475D_B37C_60A7C90A4320_.wvu.FilterData" localSheetId="0" hidden="1">Outbound_Monitor!$A$2:$W$3</definedName>
    <definedName name="Z_E23F09EE_E894_4F35_BC73_BD9A5B67603F_.wvu.FilterData" localSheetId="1" hidden="1">Inbound_Monitor!$A$2:$Q$13</definedName>
    <definedName name="Z_E23FE75B_1144_4290_A50F_A4419DDECBFC_.wvu.FilterData" localSheetId="1" hidden="1">Inbound_Monitor!$A$2:$Q$3</definedName>
    <definedName name="Z_E240292C_173A_4DCF_B4F8_D400349EB0E3_.wvu.FilterData" localSheetId="0" hidden="1">Outbound_Monitor!$A$2:$W$3</definedName>
    <definedName name="Z_E245F12F_1CD3_4759_A492_40AB6BF92E22_.wvu.FilterData" localSheetId="0" hidden="1">Outbound_Monitor!$A$2:$W$3</definedName>
    <definedName name="Z_E24CFDAF_7591_46DF_BBEE_F2043509D3A2_.wvu.FilterData" localSheetId="0" hidden="1">Outbound_Monitor!$A$2:$W$3</definedName>
    <definedName name="Z_E25F58BB_447C_45D8_A50A_527BE4F80463_.wvu.FilterData" localSheetId="0" hidden="1">Outbound_Monitor!$A$2:$W$3</definedName>
    <definedName name="Z_E27069E6_7F70_47BE_9E3C_91B39B47E20A_.wvu.FilterData" localSheetId="0" hidden="1">Outbound_Monitor!$A$2:$W$3</definedName>
    <definedName name="Z_E2977CBF_22AB_432F_9F29_3B12194C2D2C_.wvu.FilterData" localSheetId="0" hidden="1">Outbound_Monitor!$A$2:$W$3</definedName>
    <definedName name="Z_E2B7B29E_484B_4A41_BEF3_4EEA42E86AEA_.wvu.FilterData" localSheetId="1" hidden="1">Inbound_Monitor!$A$2:$Q$3</definedName>
    <definedName name="Z_E2C0114A_EADC_4BD5_AD29_2A202576C079_.wvu.FilterData" localSheetId="1" hidden="1">Inbound_Monitor!$A$2:$Q$13</definedName>
    <definedName name="Z_E2C55C3B_A55B_4B95_9896_E9DB155BB23E_.wvu.FilterData" localSheetId="0" hidden="1">Outbound_Monitor!$A$2:$W$3</definedName>
    <definedName name="Z_E2D2ACC2_910A_443E_A47F_16C461CD9261_.wvu.FilterData" localSheetId="1" hidden="1">Inbound_Monitor!$A$2:$Q$13</definedName>
    <definedName name="Z_E2D6FBB1_3FEA_468A_ABD9_55BF6E047C95_.wvu.FilterData" localSheetId="1" hidden="1">Inbound_Monitor!$A$2:$Q$13</definedName>
    <definedName name="Z_E2D6FBB1_3FEA_468A_ABD9_55BF6E047C95_.wvu.FilterData" localSheetId="0" hidden="1">Outbound_Monitor!$A$2:$X$16</definedName>
    <definedName name="Z_E2DB02A0_FA1E_407B_878D_ADE6B816D327_.wvu.FilterData" localSheetId="0" hidden="1">Outbound_Monitor!$A$2:$W$3</definedName>
    <definedName name="Z_E2DB227F_212D_4B8E_80E1_37B8AF7AB903_.wvu.FilterData" localSheetId="4" hidden="1">Schichtübergabe_Protokoll!$B$3:$N$3</definedName>
    <definedName name="Z_E3098A56_3DE0_4C32_BBBE_25AFC9D78252_.wvu.FilterData" localSheetId="1" hidden="1">Inbound_Monitor!$A$2:$Q$3</definedName>
    <definedName name="Z_E3098A56_3DE0_4C32_BBBE_25AFC9D78252_.wvu.FilterData" localSheetId="0" hidden="1">Outbound_Monitor!$A$2:$W$3</definedName>
    <definedName name="Z_E3115D1F_572D_4B6A_B24F_5F9620BB54D0_.wvu.FilterData" localSheetId="1" hidden="1">Inbound_Monitor!$A$2:$Q$2</definedName>
    <definedName name="Z_E3115D1F_572D_4B6A_B24F_5F9620BB54D0_.wvu.FilterData" localSheetId="0" hidden="1">Outbound_Monitor!$A$2:$W$2</definedName>
    <definedName name="Z_E3138751_21CD_4DF6_862B_9BB4050AD330_.wvu.FilterData" localSheetId="1" hidden="1">Inbound_Monitor!$A$2:$Q$3</definedName>
    <definedName name="Z_E32919C7_2056_41E1_A1FA_535EF56E628A_.wvu.FilterData" localSheetId="0" hidden="1">Outbound_Monitor!$A$2:$W$3</definedName>
    <definedName name="Z_E32946C3_CB66_4975_80C6_10805E1097DB_.wvu.FilterData" localSheetId="1" hidden="1">Inbound_Monitor!$A$2:$Q$13</definedName>
    <definedName name="Z_E32DF468_27F6_4AF7_B33D_5C75DC6C8DE2_.wvu.FilterData" localSheetId="1" hidden="1">Inbound_Monitor!$A$2:$Q$3</definedName>
    <definedName name="Z_E33AA3BC_361C_4104_B89C_EAE122943A40_.wvu.FilterData" localSheetId="1" hidden="1">Inbound_Monitor!$A$2:$Q$2</definedName>
    <definedName name="Z_E33AA3BC_361C_4104_B89C_EAE122943A40_.wvu.FilterData" localSheetId="0" hidden="1">Outbound_Monitor!$A$2:$W$2</definedName>
    <definedName name="Z_E347AA03_EAEA_4D5D_B0E9_9EED1736C767_.wvu.FilterData" localSheetId="1" hidden="1">Inbound_Monitor!$A$2:$Q$3</definedName>
    <definedName name="Z_E347AA03_EAEA_4D5D_B0E9_9EED1736C767_.wvu.FilterData" localSheetId="0" hidden="1">Outbound_Monitor!$A$2:$W$3</definedName>
    <definedName name="Z_E34868CE_DD26_47B3_833F_107AFE9C8263_.wvu.FilterData" localSheetId="1" hidden="1">Inbound_Monitor!$A$2:$Q$13</definedName>
    <definedName name="Z_E34DD9E0_8654_4413_92C6_5584BF274EC6_.wvu.FilterData" localSheetId="0" hidden="1">Outbound_Monitor!$A$2:$W$3</definedName>
    <definedName name="Z_E34F0CF9_6832_496E_8139_7B716754CB64_.wvu.FilterData" localSheetId="0" hidden="1">Outbound_Monitor!$A$2:$X$16</definedName>
    <definedName name="Z_E3557879_C505_4CC3_BE21_F37E6F84F2C4_.wvu.FilterData" localSheetId="0" hidden="1">Outbound_Monitor!$A$2:$W$3</definedName>
    <definedName name="Z_E35C57F5_71A3_4E66_808D_21AF0C1F3DFA_.wvu.FilterData" localSheetId="1" hidden="1">Inbound_Monitor!$A$2:$Q$13</definedName>
    <definedName name="Z_E35C57F5_71A3_4E66_808D_21AF0C1F3DFA_.wvu.FilterData" localSheetId="0" hidden="1">Outbound_Monitor!$A$2:$X$16</definedName>
    <definedName name="Z_E3679FE0_230D_43C9_9051_BB9CF2DECD62_.wvu.FilterData" localSheetId="1" hidden="1">Inbound_Monitor!$A$2:$Q$13</definedName>
    <definedName name="Z_E370595A_61DB_4A40_A695_C1B2B30313A5_.wvu.FilterData" localSheetId="0" hidden="1">Outbound_Monitor!$A$2:$W$3</definedName>
    <definedName name="Z_E375059F_994B_40C6_AC22_8DDA38A6E24D_.wvu.FilterData" localSheetId="1" hidden="1">Inbound_Monitor!$A$2:$Q$13</definedName>
    <definedName name="Z_E375059F_994B_40C6_AC22_8DDA38A6E24D_.wvu.FilterData" localSheetId="0" hidden="1">Outbound_Monitor!$A$2:$W$3</definedName>
    <definedName name="Z_E37F129B_8AAB_4CE7_B969_F84732785B94_.wvu.FilterData" localSheetId="1" hidden="1">Inbound_Monitor!$A$2:$Q$3</definedName>
    <definedName name="Z_E38C2B46_7947_46A5_8AC2_5F334E1DBCE3_.wvu.FilterData" localSheetId="0" hidden="1">Outbound_Monitor!$A$2:$W$3</definedName>
    <definedName name="Z_E38EB88C_A300_4151_B607_368A144E0952_.wvu.FilterData" localSheetId="0" hidden="1">Outbound_Monitor!$A$2:$W$3</definedName>
    <definedName name="Z_E38F67A5_FA8A_4D0F_A830_F8E219663AC7_.wvu.FilterData" localSheetId="1" hidden="1">Inbound_Monitor!$A$2:$Q$2</definedName>
    <definedName name="Z_E38F67A5_FA8A_4D0F_A830_F8E219663AC7_.wvu.FilterData" localSheetId="0" hidden="1">Outbound_Monitor!$A$2:$W$2</definedName>
    <definedName name="Z_E390FA15_BDD6_4592_B467_D50B898447EC_.wvu.FilterData" localSheetId="0" hidden="1">Outbound_Monitor!$A$2:$X$16</definedName>
    <definedName name="Z_E3A53381_415C_4204_A94C_151224ACA5D7_.wvu.FilterData" localSheetId="0" hidden="1">Outbound_Monitor!$A$2:$W$3</definedName>
    <definedName name="Z_E3AC7F70_FD72_475B_B275_A9E520FCF38E_.wvu.FilterData" localSheetId="0" hidden="1">Outbound_Monitor!$A$2:$W$3</definedName>
    <definedName name="Z_E3CF7E56_AA3F_40DE_9CEF_D22041BE05E3_.wvu.FilterData" localSheetId="0" hidden="1">Outbound_Monitor!$A$2:$W$3</definedName>
    <definedName name="Z_E3D42391_08AD_4414_AB74_31408D0CAF57_.wvu.Rows" localSheetId="3" hidden="1">'SDDS_Office (nicht nutzen)'!#REF!,'SDDS_Office (nicht nutzen)'!#REF!,'SDDS_Office (nicht nutzen)'!#REF!</definedName>
    <definedName name="Z_E3D83488_2E14_4500_BD01_4C702DCA884F_.wvu.FilterData" localSheetId="0" hidden="1">Outbound_Monitor!$A$2:$W$3</definedName>
    <definedName name="Z_E3DDF35F_BE8C_4556_BF1E_8CA6275B2AA0_.wvu.FilterData" localSheetId="0" hidden="1">Outbound_Monitor!$A$2:$X$16</definedName>
    <definedName name="Z_E3EC9070_2797_4195_A919_0DEB0E250AF3_.wvu.FilterData" localSheetId="1" hidden="1">Inbound_Monitor!$A$2:$Q$2</definedName>
    <definedName name="Z_E3EC9070_2797_4195_A919_0DEB0E250AF3_.wvu.FilterData" localSheetId="0" hidden="1">Outbound_Monitor!$A$2:$W$2</definedName>
    <definedName name="Z_E3F95A86_BA8C_491B_98A7_52B83D939762_.wvu.FilterData" localSheetId="0" hidden="1">Outbound_Monitor!$A$2:$W$3</definedName>
    <definedName name="Z_E416CF62_5106_45F6_AD7B_0EFED2B6DA52_.wvu.FilterData" localSheetId="0" hidden="1">Outbound_Monitor!$A$2:$W$3</definedName>
    <definedName name="Z_E41A2143_36B9_4C16_9EDE_D481EB128E2C_.wvu.FilterData" localSheetId="0" hidden="1">Outbound_Monitor!$A$2:$W$3</definedName>
    <definedName name="Z_E41F9C7F_0482_4213_B8B1_BE6CD9334F5D_.wvu.FilterData" localSheetId="1" hidden="1">Inbound_Monitor!$A$2:$Q$3</definedName>
    <definedName name="Z_E420D95B_937F_4F23_B852_56F493E5E498_.wvu.FilterData" localSheetId="0" hidden="1">Outbound_Monitor!$A$2:$W$3</definedName>
    <definedName name="Z_E42215B4_8FE1_418A_A9E9_98BA930799B7_.wvu.FilterData" localSheetId="1" hidden="1">Inbound_Monitor!$A$2:$Q$3</definedName>
    <definedName name="Z_E42215B4_8FE1_418A_A9E9_98BA930799B7_.wvu.FilterData" localSheetId="0" hidden="1">Outbound_Monitor!$A$2:$W$3</definedName>
    <definedName name="Z_E4249A4E_2A4F_43A6_A977_810F5ACCF752_.wvu.FilterData" localSheetId="1" hidden="1">Inbound_Monitor!$A$2:$Q$3</definedName>
    <definedName name="Z_E4249A4E_2A4F_43A6_A977_810F5ACCF752_.wvu.FilterData" localSheetId="0" hidden="1">Outbound_Monitor!$A$2:$W$3</definedName>
    <definedName name="Z_E431BC8B_7161_49E3_99B1_EBA0C82078A0_.wvu.FilterData" localSheetId="0" hidden="1">Outbound_Monitor!$A$2:$W$3</definedName>
    <definedName name="Z_E434BCA1_BBE3_4A1B_AFDA_E62CBA9BF786_.wvu.FilterData" localSheetId="0" hidden="1">Outbound_Monitor!$A$2:$W$3</definedName>
    <definedName name="Z_E44EDF07_2DED_4CC4_88FB_3DB04774137A_.wvu.FilterData" localSheetId="0" hidden="1">Outbound_Monitor!$A$2:$X$16</definedName>
    <definedName name="Z_E45C60E7_A4DD_4FAE_BA21_17A57E4319C0_.wvu.FilterData" localSheetId="0" hidden="1">Outbound_Monitor!$A$2:$W$3</definedName>
    <definedName name="Z_E45D9EF0_ED26_4FF4_A4E5_2F68E0067C7A_.wvu.FilterData" localSheetId="0" hidden="1">Outbound_Monitor!$A$2:$X$16</definedName>
    <definedName name="Z_E4699751_258C_4FB7_A39C_DF182983E2BB_.wvu.FilterData" localSheetId="1" hidden="1">Inbound_Monitor!$A$2:$Q$13</definedName>
    <definedName name="Z_E4699751_258C_4FB7_A39C_DF182983E2BB_.wvu.FilterData" localSheetId="0" hidden="1">Outbound_Monitor!$A$2:$W$3</definedName>
    <definedName name="Z_E47E2501_AE1C_48F8_BDC6_75282426E805_.wvu.FilterData" localSheetId="0" hidden="1">Outbound_Monitor!$A$2:$W$3</definedName>
    <definedName name="Z_E47FA9DD_F939_4046_B5A4_EE24B15E2C4D_.wvu.FilterData" localSheetId="1" hidden="1">Inbound_Monitor!$A$2:$Q$3</definedName>
    <definedName name="Z_E47FA9DD_F939_4046_B5A4_EE24B15E2C4D_.wvu.FilterData" localSheetId="0" hidden="1">Outbound_Monitor!$A$2:$W$3</definedName>
    <definedName name="Z_E480C993_DDEB_4F8D_B48B_34CE2C277C52_.wvu.FilterData" localSheetId="1" hidden="1">Inbound_Monitor!$A$2:$Q$13</definedName>
    <definedName name="Z_E482CFAF_6F6B_405C_8A61_D89B9814D5BC_.wvu.FilterData" localSheetId="1" hidden="1">Inbound_Monitor!$A$2:$Q$3</definedName>
    <definedName name="Z_E486AD1C_F78A_4CFA_A8AA_3E4532AF1E15_.wvu.FilterData" localSheetId="1" hidden="1">Inbound_Monitor!$A$2:$Q$13</definedName>
    <definedName name="Z_E48E89EA_A0E9_4445_8A54_58439D6F4FA4_.wvu.FilterData" localSheetId="1" hidden="1">Inbound_Monitor!$A$2:$Q$3</definedName>
    <definedName name="Z_E48E89EA_A0E9_4445_8A54_58439D6F4FA4_.wvu.FilterData" localSheetId="0" hidden="1">Outbound_Monitor!$A$2:$W$3</definedName>
    <definedName name="Z_E48FC1A8_D9B5_4DCA_8A46_8989E69681D2_.wvu.FilterData" localSheetId="1" hidden="1">Inbound_Monitor!$A$2:$Q$13</definedName>
    <definedName name="Z_E48FC1A8_D9B5_4DCA_8A46_8989E69681D2_.wvu.FilterData" localSheetId="0" hidden="1">Outbound_Monitor!$A$2:$X$16</definedName>
    <definedName name="Z_E48FD15D_59A1_4E1F_8319_B97525EE7378_.wvu.FilterData" localSheetId="1" hidden="1">Inbound_Monitor!$A$2:$Q$13</definedName>
    <definedName name="Z_E49551F7_8F01_456D_A2C3_33031FB236B3_.wvu.FilterData" localSheetId="0" hidden="1">Outbound_Monitor!$A$2:$W$3</definedName>
    <definedName name="Z_E49648F7_9045_4432_9D13_11E88E7223C5_.wvu.FilterData" localSheetId="0" hidden="1">Outbound_Monitor!$A$2:$W$3</definedName>
    <definedName name="Z_E4ABF566_2914_4C6D_BFB4_D7DA074040A2_.wvu.FilterData" localSheetId="0" hidden="1">Outbound_Monitor!$A$2:$W$3</definedName>
    <definedName name="Z_E4ACDBA8_A4B5_4FDB_8E23_A8E40CF16D53_.wvu.FilterData" localSheetId="1" hidden="1">Inbound_Monitor!$A$2:$Q$2</definedName>
    <definedName name="Z_E4ACDBA8_A4B5_4FDB_8E23_A8E40CF16D53_.wvu.FilterData" localSheetId="0" hidden="1">Outbound_Monitor!$A$2:$W$2</definedName>
    <definedName name="Z_E4B1D9AC_F511_4A97_AD52_B2B71BF37B35_.wvu.FilterData" localSheetId="0" hidden="1">Outbound_Monitor!$A$2:$W$3</definedName>
    <definedName name="Z_E4BB7B40_DE54_4FB1_89C2_0E80602FCA6E_.wvu.FilterData" localSheetId="1" hidden="1">Inbound_Monitor!$A$2:$Q$3</definedName>
    <definedName name="Z_E4BB7B40_DE54_4FB1_89C2_0E80602FCA6E_.wvu.FilterData" localSheetId="0" hidden="1">Outbound_Monitor!$A$2:$W$3</definedName>
    <definedName name="Z_E4BD6320_8622_40A9_8931_D4151DF615E4_.wvu.FilterData" localSheetId="1" hidden="1">Inbound_Monitor!$A$2:$Q$3</definedName>
    <definedName name="Z_E4C41214_6032_4233_B36E_457D03887490_.wvu.FilterData" localSheetId="1" hidden="1">Inbound_Monitor!$A$2:$Q$13</definedName>
    <definedName name="Z_E4C41214_6032_4233_B36E_457D03887490_.wvu.FilterData" localSheetId="0" hidden="1">Outbound_Monitor!$A$2:$X$16</definedName>
    <definedName name="Z_E4C97399_95B1_4BC5_AAD7_57E7E3440AB7_.wvu.FilterData" localSheetId="0" hidden="1">Outbound_Monitor!$A$2:$W$3</definedName>
    <definedName name="Z_E4D9B0FF_3E52_4023_A482_6524B1132D50_.wvu.FilterData" localSheetId="0" hidden="1">Outbound_Monitor!$A$2:$W$3</definedName>
    <definedName name="Z_E4FF8CE9_B79E_4172_95FF_F2E5B0E2A740_.wvu.FilterData" localSheetId="1" hidden="1">Inbound_Monitor!$A$2:$Q$3</definedName>
    <definedName name="Z_E4FF8CE9_B79E_4172_95FF_F2E5B0E2A740_.wvu.FilterData" localSheetId="0" hidden="1">Outbound_Monitor!$A$2:$W$3</definedName>
    <definedName name="Z_E5010736_6866_4BA7_8FAE_AF7DF75D530A_.wvu.FilterData" localSheetId="0" hidden="1">Outbound_Monitor!$A$2:$W$3</definedName>
    <definedName name="Z_E5024944_FDE7_453D_A0A9_8FCCA65EED62_.wvu.FilterData" localSheetId="0" hidden="1">Outbound_Monitor!$A$2:$W$3</definedName>
    <definedName name="Z_E51CBCF6_B8EA_47EC_9374_C8AE241E8D8A_.wvu.FilterData" localSheetId="0" hidden="1">Outbound_Monitor!$A$2:$X$16</definedName>
    <definedName name="Z_E52416FC_C4B9_49FB_888B_07FE70F254FC_.wvu.FilterData" localSheetId="1" hidden="1">Inbound_Monitor!$A$2:$Q$3</definedName>
    <definedName name="Z_E531331A_047B_43F0_A44A_532A9DD87721_.wvu.FilterData" localSheetId="1" hidden="1">Inbound_Monitor!$A$2:$Q$2</definedName>
    <definedName name="Z_E531331A_047B_43F0_A44A_532A9DD87721_.wvu.FilterData" localSheetId="0" hidden="1">Outbound_Monitor!$A$2:$W$2</definedName>
    <definedName name="Z_E5594440_6B85_4235_AD24_F536E9F82C28_.wvu.FilterData" localSheetId="0" hidden="1">Outbound_Monitor!$A$2:$W$3</definedName>
    <definedName name="Z_E56A54D6_9AE2_45EC_AA2A_9AD065367D65_.wvu.FilterData" localSheetId="0" hidden="1">Outbound_Monitor!$A$2:$W$3</definedName>
    <definedName name="Z_E57290C1_46A2_423A_8D75_77E8463952A2_.wvu.FilterData" localSheetId="1" hidden="1">Inbound_Monitor!$A$2:$Q$13</definedName>
    <definedName name="Z_E57290C1_46A2_423A_8D75_77E8463952A2_.wvu.FilterData" localSheetId="0" hidden="1">Outbound_Monitor!$A$2:$W$3</definedName>
    <definedName name="Z_E574122B_047E_4211_91C0_16B860C2FC26_.wvu.FilterData" localSheetId="1" hidden="1">Inbound_Monitor!$A$2:$Q$2</definedName>
    <definedName name="Z_E574122B_047E_4211_91C0_16B860C2FC26_.wvu.FilterData" localSheetId="0" hidden="1">Outbound_Monitor!$A$2:$W$2</definedName>
    <definedName name="Z_E575AA4E_0717_40D9_A90D_0F5E4765ADA0_.wvu.FilterData" localSheetId="1" hidden="1">Inbound_Monitor!$A$2:$Q$3</definedName>
    <definedName name="Z_E5857668_3213_4F51_9083_FCCDCD10009F_.wvu.FilterData" localSheetId="0" hidden="1">Outbound_Monitor!$A$2:$W$3</definedName>
    <definedName name="Z_E5861019_7D08_4625_AAB4_9B8B8A63F0FD_.wvu.FilterData" localSheetId="1" hidden="1">Inbound_Monitor!$A$2:$Q$3</definedName>
    <definedName name="Z_E58FD6C2_71D1_4554_B30A_0F06B14CCE3F_.wvu.FilterData" localSheetId="0" hidden="1">Outbound_Monitor!$A$2:$W$3</definedName>
    <definedName name="Z_E598693D_6EAF_4092_B162_6D88EFE80CE7_.wvu.FilterData" localSheetId="1" hidden="1">Inbound_Monitor!$A$2:$Q$3</definedName>
    <definedName name="Z_E5C5C942_C157_42EF_BBF3_1D067C7B98F2_.wvu.FilterData" localSheetId="0" hidden="1">Outbound_Monitor!$A$2:$X$16</definedName>
    <definedName name="Z_E5CABF79_8753_42EB_87CF_BD0B503A1CB3_.wvu.FilterData" localSheetId="0" hidden="1">Outbound_Monitor!$A$2:$W$3</definedName>
    <definedName name="Z_E5CC44DF_1567_4641_9920_FD983D1B51EA_.wvu.FilterData" localSheetId="0" hidden="1">Outbound_Monitor!$A$2:$W$3</definedName>
    <definedName name="Z_E5D33D26_E855_4331_A19C_80A255C57B16_.wvu.FilterData" localSheetId="1" hidden="1">Inbound_Monitor!$A$2:$Q$13</definedName>
    <definedName name="Z_E5D33D26_E855_4331_A19C_80A255C57B16_.wvu.FilterData" localSheetId="0" hidden="1">Outbound_Monitor!$A$2:$W$3</definedName>
    <definedName name="Z_E5D5A98E_2735_405C_AE8F_CAC99E9ACCDE_.wvu.FilterData" localSheetId="0" hidden="1">Outbound_Monitor!$A$2:$W$3</definedName>
    <definedName name="Z_E5DAFE83_91D1_4EE0_B6ED_5BF0981E30FF_.wvu.FilterData" localSheetId="0" hidden="1">Outbound_Monitor!$A$2:$W$3</definedName>
    <definedName name="Z_E5E5E605_08E3_463C_A70E_6D4446FA5536_.wvu.FilterData" localSheetId="1" hidden="1">Inbound_Monitor!$A$2:$Q$3</definedName>
    <definedName name="Z_E5E703AA_F71F_43F8_9F4B_8446E92E7829_.wvu.FilterData" localSheetId="1" hidden="1">Inbound_Monitor!$A$2:$Q$13</definedName>
    <definedName name="Z_E5EBA5C7_BA64_4695_B78A_63F978A6A629_.wvu.FilterData" localSheetId="0" hidden="1">Outbound_Monitor!$A$2:$W$3</definedName>
    <definedName name="Z_E5F564F3_C439_454B_80FB_B96292677FE0_.wvu.FilterData" localSheetId="0" hidden="1">Outbound_Monitor!$A$2:$W$3</definedName>
    <definedName name="Z_E603C617_F2F3_4DBC_94CA_98858DF1727B_.wvu.FilterData" localSheetId="0" hidden="1">Outbound_Monitor!$A$2:$W$3</definedName>
    <definedName name="Z_E60BA7AE_A2C6_44B6_A646_3DE5B8612150_.wvu.FilterData" localSheetId="0" hidden="1">Outbound_Monitor!$A$2:$W$3</definedName>
    <definedName name="Z_E6293C70_D0B2_42DA_B613_BB15D8493EEE_.wvu.FilterData" localSheetId="1" hidden="1">Inbound_Monitor!$A$2:$Q$3</definedName>
    <definedName name="Z_E6293C70_D0B2_42DA_B613_BB15D8493EEE_.wvu.FilterData" localSheetId="0" hidden="1">Outbound_Monitor!$A$2:$W$3</definedName>
    <definedName name="Z_E62B12DD_7D37_42B9_ADD2_695E4EEB16AD_.wvu.FilterData" localSheetId="1" hidden="1">Inbound_Monitor!$A$2:$Q$2</definedName>
    <definedName name="Z_E62B12DD_7D37_42B9_ADD2_695E4EEB16AD_.wvu.FilterData" localSheetId="0" hidden="1">Outbound_Monitor!$A$2:$W$2</definedName>
    <definedName name="Z_E6351310_547B_49CE_9BAC_BA3F70E8AC66_.wvu.FilterData" localSheetId="1" hidden="1">Inbound_Monitor!$A$2:$Q$13</definedName>
    <definedName name="Z_E6351310_547B_49CE_9BAC_BA3F70E8AC66_.wvu.FilterData" localSheetId="0" hidden="1">Outbound_Monitor!$A$2:$W$3</definedName>
    <definedName name="Z_E637D875_530F_4E39_9931_050F6C1F4943_.wvu.FilterData" localSheetId="1" hidden="1">Inbound_Monitor!$A$2:$Q$3</definedName>
    <definedName name="Z_E63D3669_2A43_4850_BDCF_781A8093F521_.wvu.FilterData" localSheetId="0" hidden="1">Outbound_Monitor!$A$2:$X$16</definedName>
    <definedName name="Z_E6449642_5D67_40FA_8135_D9D4FD266AD3_.wvu.FilterData" localSheetId="0" hidden="1">Outbound_Monitor!$A$2:$X$16</definedName>
    <definedName name="Z_E64730E8_C203_4A6B_84C6_8A5D6B464141_.wvu.FilterData" localSheetId="1" hidden="1">Inbound_Monitor!$A$2:$Q$3</definedName>
    <definedName name="Z_E64730E8_C203_4A6B_84C6_8A5D6B464141_.wvu.FilterData" localSheetId="0" hidden="1">Outbound_Monitor!$A$2:$W$3</definedName>
    <definedName name="Z_E648BA2D_8543_4691_ACC3_6E09B29A6F27_.wvu.FilterData" localSheetId="0" hidden="1">Outbound_Monitor!$A$2:$W$3</definedName>
    <definedName name="Z_E652A33E_386F_4D4D_8204_B88EBFF8BBC3_.wvu.FilterData" localSheetId="1" hidden="1">Inbound_Monitor!$A$2:$Q$3</definedName>
    <definedName name="Z_E652A33E_386F_4D4D_8204_B88EBFF8BBC3_.wvu.FilterData" localSheetId="0" hidden="1">Outbound_Monitor!$A$2:$W$3</definedName>
    <definedName name="Z_E652FA4D_B5FB_420D_B03B_C0D34F250BFB_.wvu.FilterData" localSheetId="0" hidden="1">Outbound_Monitor!$A$2:$W$3</definedName>
    <definedName name="Z_E65B9BC2_D1DF_4D07_938D_E42959498D0E_.wvu.FilterData" localSheetId="0" hidden="1">Outbound_Monitor!$A$2:$W$3</definedName>
    <definedName name="Z_E66D4672_572B_4785_AFF0_50386535483A_.wvu.FilterData" localSheetId="1" hidden="1">Inbound_Monitor!$A$2:$Q$3</definedName>
    <definedName name="Z_E67A6803_2B75_4939_A6D4_232B3DB92F34_.wvu.FilterData" localSheetId="1" hidden="1">Inbound_Monitor!$A$2:$Q$13</definedName>
    <definedName name="Z_E67A6803_2B75_4939_A6D4_232B3DB92F34_.wvu.FilterData" localSheetId="0" hidden="1">Outbound_Monitor!$A$2:$X$16</definedName>
    <definedName name="Z_E6841B3F_81A2_44D7_9C49_7392EBF8346B_.wvu.FilterData" localSheetId="1" hidden="1">Inbound_Monitor!$A$2:$Q$3</definedName>
    <definedName name="Z_E6841B3F_81A2_44D7_9C49_7392EBF8346B_.wvu.FilterData" localSheetId="0" hidden="1">Outbound_Monitor!$A$2:$W$3</definedName>
    <definedName name="Z_E686490C_EDE8_4176_B6D8_8AB132CCC1D7_.wvu.FilterData" localSheetId="1" hidden="1">Inbound_Monitor!$A$2:$Q$13</definedName>
    <definedName name="Z_E686490C_EDE8_4176_B6D8_8AB132CCC1D7_.wvu.FilterData" localSheetId="0" hidden="1">Outbound_Monitor!$A$2:$W$3</definedName>
    <definedName name="Z_E69CF868_0837_4FA7_85CC_1FD2D3DE57DD_.wvu.FilterData" localSheetId="0" hidden="1">Outbound_Monitor!$A$2:$X$16</definedName>
    <definedName name="Z_E6A0AA82_2D28_47E4_9CA5_3139D0C757A5_.wvu.FilterData" localSheetId="0" hidden="1">Outbound_Monitor!$A$2:$W$3</definedName>
    <definedName name="Z_E6A168FC_E75E_46B7_9C28_2BA4B68A774A_.wvu.FilterData" localSheetId="1" hidden="1">Inbound_Monitor!$A$2:$Q$3</definedName>
    <definedName name="Z_E6A9DC89_9E73_4C15_8994_A8A1FD5D3BA6_.wvu.FilterData" localSheetId="0" hidden="1">Outbound_Monitor!$A$2:$W$3</definedName>
    <definedName name="Z_E6B5532C_CF75_42B2_B911_3EF6DE86EB8A_.wvu.FilterData" localSheetId="1" hidden="1">Inbound_Monitor!$A$2:$Q$13</definedName>
    <definedName name="Z_E6B5532C_CF75_42B2_B911_3EF6DE86EB8A_.wvu.FilterData" localSheetId="0" hidden="1">Outbound_Monitor!$A$2:$X$16</definedName>
    <definedName name="Z_E6BD93BC_0153_43AB_8A30_86A685242D99_.wvu.FilterData" localSheetId="1" hidden="1">Inbound_Monitor!$A$2:$Q$3</definedName>
    <definedName name="Z_E6E2C0F2_D808_4947_BC2D_9BF52FD936CA_.wvu.FilterData" localSheetId="1" hidden="1">Inbound_Monitor!$A$2:$Q$3</definedName>
    <definedName name="Z_E6E2C0F2_D808_4947_BC2D_9BF52FD936CA_.wvu.FilterData" localSheetId="0" hidden="1">Outbound_Monitor!$A$2:$W$3</definedName>
    <definedName name="Z_E6E656E5_26D1_46FA_8B41_2A2FB15EF15E_.wvu.FilterData" localSheetId="0" hidden="1">Outbound_Monitor!$A$2:$X$16</definedName>
    <definedName name="Z_E6EE8333_E3FF_4D7D_B7F0_68142C6657D6_.wvu.FilterData" localSheetId="1" hidden="1">Inbound_Monitor!$A$2:$Q$2</definedName>
    <definedName name="Z_E6EE8333_E3FF_4D7D_B7F0_68142C6657D6_.wvu.FilterData" localSheetId="0" hidden="1">Outbound_Monitor!$A$2:$W$2</definedName>
    <definedName name="Z_E6F64E15_4202_440B_8DDB_C5622FF9A15D_.wvu.FilterData" localSheetId="1" hidden="1">Inbound_Monitor!$A$2:$Q$3</definedName>
    <definedName name="Z_E6F6FE17_934E_44D3_9B0A_CD6D46346E75_.wvu.FilterData" localSheetId="0" hidden="1">Outbound_Monitor!$A$2:$W$3</definedName>
    <definedName name="Z_E709035F_0CB9_4F0A_B91C_7285DC5994F0_.wvu.FilterData" localSheetId="0" hidden="1">Outbound_Monitor!$A$2:$W$3</definedName>
    <definedName name="Z_E70FB092_97BF_4266_A99D_006BC36335A5_.wvu.FilterData" localSheetId="1" hidden="1">Inbound_Monitor!$A$2:$Q$13</definedName>
    <definedName name="Z_E70FB092_97BF_4266_A99D_006BC36335A5_.wvu.FilterData" localSheetId="0" hidden="1">Outbound_Monitor!$A$2:$W$3</definedName>
    <definedName name="Z_E71133C8_A84B_4FD6_A718_2B83E49B8650_.wvu.FilterData" localSheetId="1" hidden="1">Inbound_Monitor!$A$2:$Q$2</definedName>
    <definedName name="Z_E71133C8_A84B_4FD6_A718_2B83E49B8650_.wvu.FilterData" localSheetId="0" hidden="1">Outbound_Monitor!$A$2:$W$2</definedName>
    <definedName name="Z_E720F6C1_2D55_449E_BE6C_76FA8AB2FA64_.wvu.FilterData" localSheetId="1" hidden="1">Inbound_Monitor!$A$2:$Q$3</definedName>
    <definedName name="Z_E720F6C1_2D55_449E_BE6C_76FA8AB2FA64_.wvu.FilterData" localSheetId="0" hidden="1">Outbound_Monitor!$A$2:$W$3</definedName>
    <definedName name="Z_E727AD98_4541_4FFD_B45C_0A2F8ECB62BD_.wvu.FilterData" localSheetId="1" hidden="1">Inbound_Monitor!$A$2:$Q$3</definedName>
    <definedName name="Z_E72D0A5F_31CC_4A9D_A4C2_F10E27059030_.wvu.FilterData" localSheetId="1" hidden="1">Inbound_Monitor!$A$2:$Q$3</definedName>
    <definedName name="Z_E72FC2C2_6B17_448A_9B9A_EAEC1F217CC4_.wvu.FilterData" localSheetId="0" hidden="1">Outbound_Monitor!$A$2:$W$3</definedName>
    <definedName name="Z_E736DE1F_A753_4FAA_9921_B3C05B857CAC_.wvu.FilterData" localSheetId="0" hidden="1">Outbound_Monitor!$A$2:$W$3</definedName>
    <definedName name="Z_E7405041_D223_4B41_8272_82B2DDC5F569_.wvu.FilterData" localSheetId="1" hidden="1">Inbound_Monitor!$A$2:$Q$2</definedName>
    <definedName name="Z_E7405041_D223_4B41_8272_82B2DDC5F569_.wvu.FilterData" localSheetId="0" hidden="1">Outbound_Monitor!$A$2:$W$2</definedName>
    <definedName name="Z_E742EF53_4D7F_437C_9DDA_3249B7854C7B_.wvu.FilterData" localSheetId="1" hidden="1">Inbound_Monitor!$A$2:$Q$3</definedName>
    <definedName name="Z_E742EF53_4D7F_437C_9DDA_3249B7854C7B_.wvu.FilterData" localSheetId="0" hidden="1">Outbound_Monitor!$A$2:$W$3</definedName>
    <definedName name="Z_E746569E_2B22_4326_84FB_0A943CC4CE04_.wvu.FilterData" localSheetId="1" hidden="1">Inbound_Monitor!$A$2:$Q$2</definedName>
    <definedName name="Z_E746569E_2B22_4326_84FB_0A943CC4CE04_.wvu.FilterData" localSheetId="0" hidden="1">Outbound_Monitor!$A$2:$W$2</definedName>
    <definedName name="Z_E748DD8F_A589_44A1_B5A5_4E582A158835_.wvu.FilterData" localSheetId="1" hidden="1">Inbound_Monitor!$A$2:$Q$3</definedName>
    <definedName name="Z_E754E8B1_7A09_41B4_83CD_87ACDF970A2A_.wvu.FilterData" localSheetId="0" hidden="1">Outbound_Monitor!$A$2:$W$3</definedName>
    <definedName name="Z_E759FEAD_FFA1_4572_874E_C6C3B3D9C916_.wvu.FilterData" localSheetId="0" hidden="1">Outbound_Monitor!$A$2:$X$16</definedName>
    <definedName name="Z_E76E5E54_4213_4C26_9FB7_D20B075AFDE0_.wvu.FilterData" localSheetId="1" hidden="1">Inbound_Monitor!$A$2:$Q$3</definedName>
    <definedName name="Z_E76E5E54_4213_4C26_9FB7_D20B075AFDE0_.wvu.FilterData" localSheetId="0" hidden="1">Outbound_Monitor!$A$2:$W$3</definedName>
    <definedName name="Z_E76F3E49_BA4D_4006_BDB5_574FE041F365_.wvu.FilterData" localSheetId="0" hidden="1">Outbound_Monitor!$A$2:$W$3</definedName>
    <definedName name="Z_E77F6274_3804_4A60_B0F8_DCF6E1ADD795_.wvu.FilterData" localSheetId="1" hidden="1">Inbound_Monitor!$A$2:$Q$2</definedName>
    <definedName name="Z_E77F6274_3804_4A60_B0F8_DCF6E1ADD795_.wvu.FilterData" localSheetId="0" hidden="1">Outbound_Monitor!$A$2:$W$2</definedName>
    <definedName name="Z_E77F7B79_D276_4E12_A6AE_1D6851D8023A_.wvu.FilterData" localSheetId="0" hidden="1">Outbound_Monitor!$A$2:$W$3</definedName>
    <definedName name="Z_E78B4DCE_11BF_4C4B_8B6A_FA86C6EBA228_.wvu.FilterData" localSheetId="1" hidden="1">Inbound_Monitor!$A$2:$Q$2</definedName>
    <definedName name="Z_E78B4DCE_11BF_4C4B_8B6A_FA86C6EBA228_.wvu.FilterData" localSheetId="0" hidden="1">Outbound_Monitor!$A$2:$W$2</definedName>
    <definedName name="Z_E79D14FB_457C_4863_B165_72AF74A42F84_.wvu.FilterData" localSheetId="1" hidden="1">Inbound_Monitor!$A$2:$Q$3</definedName>
    <definedName name="Z_E7AFE449_957B_4113_A89F_C912B7DE0D04_.wvu.FilterData" localSheetId="0" hidden="1">Outbound_Monitor!$A$2:$W$3</definedName>
    <definedName name="Z_E7B25772_E752_4171_8FAE_E0595BD5BB2D_.wvu.FilterData" localSheetId="0" hidden="1">Outbound_Monitor!$A$2:$W$3</definedName>
    <definedName name="Z_E7D7F858_3BE7_4A0F_99CB_1A8A90B0F1DF_.wvu.FilterData" localSheetId="1" hidden="1">Inbound_Monitor!$A$2:$Q$13</definedName>
    <definedName name="Z_E7DE2E64_0CCF_46DF_B084_00425D59F01C_.wvu.FilterData" localSheetId="0" hidden="1">Outbound_Monitor!$A$2:$W$3</definedName>
    <definedName name="Z_E7E34DBF_5501_4BEF_995E_ABB197AC71EC_.wvu.FilterData" localSheetId="0" hidden="1">Outbound_Monitor!$A$2:$W$3</definedName>
    <definedName name="Z_E7ED6DF3_BA4D_4057_B264_2BD51E4D55FA_.wvu.FilterData" localSheetId="1" hidden="1">Inbound_Monitor!$A$2:$Q$3</definedName>
    <definedName name="Z_E7F29C40_3B48_42B1_B2B0_CDE08CDEE398_.wvu.FilterData" localSheetId="1" hidden="1">Inbound_Monitor!$A$2:$Q$3</definedName>
    <definedName name="Z_E813135F_060F_41FD_A005_5B59A714401F_.wvu.FilterData" localSheetId="1" hidden="1">Inbound_Monitor!$A$2:$Q$3</definedName>
    <definedName name="Z_E813135F_060F_41FD_A005_5B59A714401F_.wvu.FilterData" localSheetId="0" hidden="1">Outbound_Monitor!$A$2:$W$3</definedName>
    <definedName name="Z_E81B2B54_7503_4B31_8CD6_D6E0B7DA237C_.wvu.FilterData" localSheetId="1" hidden="1">Inbound_Monitor!$A$2:$Q$3</definedName>
    <definedName name="Z_E839C4EB_C241_4685_8D0C_A698D42B3985_.wvu.FilterData" localSheetId="1" hidden="1">Inbound_Monitor!$A$2:$Q$13</definedName>
    <definedName name="Z_E839C4EB_C241_4685_8D0C_A698D42B3985_.wvu.FilterData" localSheetId="0" hidden="1">Outbound_Monitor!$A$2:$X$16</definedName>
    <definedName name="Z_E83D23F0_7618_4941_936C_73F145023CCD_.wvu.FilterData" localSheetId="1" hidden="1">Inbound_Monitor!$A$2:$Q$2</definedName>
    <definedName name="Z_E83D23F0_7618_4941_936C_73F145023CCD_.wvu.FilterData" localSheetId="0" hidden="1">Outbound_Monitor!$A$2:$W$2</definedName>
    <definedName name="Z_E85C477F_5CD5_4994_98E4_3D1B74EA77C6_.wvu.FilterData" localSheetId="1" hidden="1">Inbound_Monitor!$A$2:$Q$2</definedName>
    <definedName name="Z_E85C477F_5CD5_4994_98E4_3D1B74EA77C6_.wvu.FilterData" localSheetId="0" hidden="1">Outbound_Monitor!$A$2:$W$2</definedName>
    <definedName name="Z_E864E3EE_002F_4B10_92BA_90B5BCF36BF7_.wvu.FilterData" localSheetId="0" hidden="1">Outbound_Monitor!$A$2:$X$16</definedName>
    <definedName name="Z_E8689FA4_D347_4EBA_8B24_7790E26A6D31_.wvu.FilterData" localSheetId="0" hidden="1">Outbound_Monitor!$A$2:$W$3</definedName>
    <definedName name="Z_E86BCDA1_D65E_4272_AC00_EE56928EC776_.wvu.FilterData" localSheetId="0" hidden="1">Outbound_Monitor!$A$2:$W$3</definedName>
    <definedName name="Z_E873737C_6125_4529_871E_522577B712A4_.wvu.FilterData" localSheetId="1" hidden="1">Inbound_Monitor!$A$2:$Q$3</definedName>
    <definedName name="Z_E878D173_980E_4903_8006_373B2BFA4690_.wvu.FilterData" localSheetId="1" hidden="1">Inbound_Monitor!$A$2:$Q$3</definedName>
    <definedName name="Z_E87A7F56_1D3F_4242_92BF_0666442C0BDA_.wvu.FilterData" localSheetId="1" hidden="1">Inbound_Monitor!$A$2:$Q$3</definedName>
    <definedName name="Z_E87A7F56_1D3F_4242_92BF_0666442C0BDA_.wvu.FilterData" localSheetId="0" hidden="1">Outbound_Monitor!$A$2:$W$3</definedName>
    <definedName name="Z_E88064CC_38BE_49FF_92F2_FA507040760D_.wvu.FilterData" localSheetId="1" hidden="1">Inbound_Monitor!$A$2:$Q$3</definedName>
    <definedName name="Z_E88064CC_38BE_49FF_92F2_FA507040760D_.wvu.FilterData" localSheetId="4" hidden="1">Schichtübergabe_Protokoll!$B$3:$N$3</definedName>
    <definedName name="Z_E8888FE5_3B09_4305_AF49_2A69F52914B5_.wvu.FilterData" localSheetId="0" hidden="1">Outbound_Monitor!$A$2:$W$3</definedName>
    <definedName name="Z_E8BF1D66_CACF_4274_8F17_B233F75FC9C6_.wvu.FilterData" localSheetId="0" hidden="1">Outbound_Monitor!$A$2:$X$16</definedName>
    <definedName name="Z_E8C93915_5024_4742_8DB6_B346123BB3C8_.wvu.FilterData" localSheetId="1" hidden="1">Inbound_Monitor!$A$2:$Q$13</definedName>
    <definedName name="Z_E8C93915_5024_4742_8DB6_B346123BB3C8_.wvu.FilterData" localSheetId="0" hidden="1">Outbound_Monitor!$A$2:$W$3</definedName>
    <definedName name="Z_E8C93915_5024_4742_8DB6_B346123BB3C8_.wvu.FilterData" localSheetId="4" hidden="1">Schichtübergabe_Protokoll!$B$3:$N$3</definedName>
    <definedName name="Z_E8E3D8CF_0836_4A87_8DF8_E0A7113B3218_.wvu.FilterData" localSheetId="1" hidden="1">Inbound_Monitor!$A$2:$Q$13</definedName>
    <definedName name="Z_E9060EA8_F78F_43FF_9507_AEB5A11108A3_.wvu.FilterData" localSheetId="0" hidden="1">Outbound_Monitor!$A$2:$X$16</definedName>
    <definedName name="Z_E913D318_78CB_4CAC_81E4_0742E6500E0B_.wvu.FilterData" localSheetId="0" hidden="1">Outbound_Monitor!$A$2:$X$16</definedName>
    <definedName name="Z_E918FCE7_400D_4A70_8F94_BC3840198DFE_.wvu.FilterData" localSheetId="0" hidden="1">Outbound_Monitor!$A$2:$W$3</definedName>
    <definedName name="Z_E919F4D6_86EE_40CA_B71A_4D59AA22A269_.wvu.FilterData" localSheetId="1" hidden="1">Inbound_Monitor!$A$2:$Q$3</definedName>
    <definedName name="Z_E92321F9_3406_4B7B_B961_CA47F0A49E31_.wvu.FilterData" localSheetId="0" hidden="1">Outbound_Monitor!$A$2:$W$3</definedName>
    <definedName name="Z_E924AD19_E2DC_4AE1_9F08_D22D6BBB6455_.wvu.FilterData" localSheetId="1" hidden="1">Inbound_Monitor!$A$2:$Q$13</definedName>
    <definedName name="Z_E92AC11E_5659_4DCB_9DEB_9370713A158B_.wvu.FilterData" localSheetId="0" hidden="1">Outbound_Monitor!$A$2:$X$16</definedName>
    <definedName name="Z_E92B23B7_9649_4444_A665_17A09DFA5DFC_.wvu.FilterData" localSheetId="0" hidden="1">Outbound_Monitor!$A$2:$W$3</definedName>
    <definedName name="Z_E93E49E3_F3E8_43FA_8854_AE7C19E7793F_.wvu.FilterData" localSheetId="1" hidden="1">Inbound_Monitor!$A$2:$Q$3</definedName>
    <definedName name="Z_E94F7816_643B_4295_AF4E_D5831AC779ED_.wvu.FilterData" localSheetId="0" hidden="1">Outbound_Monitor!$A$2:$W$3</definedName>
    <definedName name="Z_E962B155_4A59_488C_BC25_66F97CC51B52_.wvu.FilterData" localSheetId="0" hidden="1">Outbound_Monitor!$A$2:$W$3</definedName>
    <definedName name="Z_E9675B64_FAE1_41B2_B0D0_08CDDE106262_.wvu.FilterData" localSheetId="1" hidden="1">Inbound_Monitor!$A$2:$Q$13</definedName>
    <definedName name="Z_E974D945_1837_4758_8684_FFF921D233A1_.wvu.FilterData" localSheetId="1" hidden="1">Inbound_Monitor!$A$2:$Q$3</definedName>
    <definedName name="Z_E97E990A_FF07_4B96_B10B_3523DD117377_.wvu.FilterData" localSheetId="1" hidden="1">Inbound_Monitor!$A$2:$Q$13</definedName>
    <definedName name="Z_E987B8B2_7CF9_487F_8528_F4EE12E20409_.wvu.FilterData" localSheetId="0" hidden="1">Outbound_Monitor!$A$2:$W$3</definedName>
    <definedName name="Z_E98AA099_5D76_4992_9E05_D1F0D026AB7A_.wvu.FilterData" localSheetId="0" hidden="1">Outbound_Monitor!$A$2:$W$3</definedName>
    <definedName name="Z_E98C0506_834C_46BD_8C43_B1EA9376E0F9_.wvu.FilterData" localSheetId="0" hidden="1">Outbound_Monitor!$A$2:$X$16</definedName>
    <definedName name="Z_E9909D6B_93D9_4D71_808D_38AD1A860930_.wvu.FilterData" localSheetId="1" hidden="1">Inbound_Monitor!$A$2:$Q$13</definedName>
    <definedName name="Z_E990F5B3_998F_459E_AB95_81140340CA2A_.wvu.FilterData" localSheetId="0" hidden="1">Outbound_Monitor!$A$2:$W$3</definedName>
    <definedName name="Z_E990F5B3_998F_459E_AB95_81140340CA2A_.wvu.FilterData" localSheetId="4" hidden="1">Schichtübergabe_Protokoll!$B$3:$N$3</definedName>
    <definedName name="Z_E9A9C0D7_5F97_4DDE_8B61_B253E5C14359_.wvu.FilterData" localSheetId="1" hidden="1">Inbound_Monitor!$A$2:$Q$13</definedName>
    <definedName name="Z_E9FB83D5_8317_4307_B524_3FE08DD30F8F_.wvu.FilterData" localSheetId="0" hidden="1">Outbound_Monitor!$A$2:$W$3</definedName>
    <definedName name="Z_E9FBFF4A_A7D5_409F_B67B_5E335C4DBA25_.wvu.FilterData" localSheetId="0" hidden="1">Outbound_Monitor!$A$2:$W$3</definedName>
    <definedName name="Z_E9FD4223_6135_4C7F_B82A_DC974592B515_.wvu.FilterData" localSheetId="1" hidden="1">Inbound_Monitor!$A$2:$Q$3</definedName>
    <definedName name="Z_E9FD4223_6135_4C7F_B82A_DC974592B515_.wvu.FilterData" localSheetId="0" hidden="1">Outbound_Monitor!$A$2:$W$3</definedName>
    <definedName name="Z_EA03FED9_7BEA_40B0_BA7C_E71AB2415F71_.wvu.FilterData" localSheetId="1" hidden="1">Inbound_Monitor!$A$2:$Q$13</definedName>
    <definedName name="Z_EA083621_6310_4293_AC76_6A93FCAA0478_.wvu.FilterData" localSheetId="0" hidden="1">Outbound_Monitor!$A$2:$W$3</definedName>
    <definedName name="Z_EA09D1B9_0303_4568_ACAB_912C5C136905_.wvu.FilterData" localSheetId="0" hidden="1">Outbound_Monitor!$A$2:$W$3</definedName>
    <definedName name="Z_EA167F1E_2B22_4E92_B9C3_E96859A5C1BE_.wvu.FilterData" localSheetId="1" hidden="1">Inbound_Monitor!$A$2:$Q$13</definedName>
    <definedName name="Z_EA167F1E_2B22_4E92_B9C3_E96859A5C1BE_.wvu.FilterData" localSheetId="0" hidden="1">Outbound_Monitor!$A$2:$X$16</definedName>
    <definedName name="Z_EA18D7DB_9E54_468B_A057_C90F0D9CB12E_.wvu.FilterData" localSheetId="0" hidden="1">Outbound_Monitor!$A$2:$W$3</definedName>
    <definedName name="Z_EA3A0AA3_4540_4EC3_A427_6A251543E5D2_.wvu.FilterData" localSheetId="0" hidden="1">Outbound_Monitor!$A$2:$W$3</definedName>
    <definedName name="Z_EA3AEEC7_4C8F_44E4_8CAC_90DDA1F0F1B6_.wvu.FilterData" localSheetId="1" hidden="1">Inbound_Monitor!$A$2:$Q$13</definedName>
    <definedName name="Z_EA4612CE_D3C3_4D84_9E40_393D1EF1BB4A_.wvu.FilterData" localSheetId="0" hidden="1">Outbound_Monitor!$A$2:$W$3</definedName>
    <definedName name="Z_EA58D85C_2119_4BDE_95EC_2A2BCACDD376_.wvu.FilterData" localSheetId="1" hidden="1">Inbound_Monitor!$A$2:$Q$13</definedName>
    <definedName name="Z_EA58D85C_2119_4BDE_95EC_2A2BCACDD376_.wvu.FilterData" localSheetId="0" hidden="1">Outbound_Monitor!$A$2:$X$16</definedName>
    <definedName name="Z_EA625E6E_345F_4667_BD66_F9A8455AB68C_.wvu.FilterData" localSheetId="0" hidden="1">Outbound_Monitor!$A$2:$W$3</definedName>
    <definedName name="Z_EA84B3E3_9567_438E_A766_858D849955D3_.wvu.FilterData" localSheetId="1" hidden="1">Inbound_Monitor!$A$2:$Q$2</definedName>
    <definedName name="Z_EA84B3E3_9567_438E_A766_858D849955D3_.wvu.FilterData" localSheetId="0" hidden="1">Outbound_Monitor!$A$2:$W$2</definedName>
    <definedName name="Z_EA8C90D3_DA4A_43EE_BA25_166BA70EDD2A_.wvu.FilterData" localSheetId="1" hidden="1">Inbound_Monitor!$A$2:$Q$13</definedName>
    <definedName name="Z_EA8C90D3_DA4A_43EE_BA25_166BA70EDD2A_.wvu.FilterData" localSheetId="0" hidden="1">Outbound_Monitor!$A$2:$X$16</definedName>
    <definedName name="Z_EA9A0E96_266C_4277_94F8_977E127EC3E2_.wvu.FilterData" localSheetId="1" hidden="1">Inbound_Monitor!$A$2:$Q$3</definedName>
    <definedName name="Z_EAAD6D82_B833_4882_9AA1_BC325BF1FA6C_.wvu.FilterData" localSheetId="1" hidden="1">Inbound_Monitor!$A$2:$Q$2</definedName>
    <definedName name="Z_EAAD6D82_B833_4882_9AA1_BC325BF1FA6C_.wvu.FilterData" localSheetId="0" hidden="1">Outbound_Monitor!$A$2:$W$2</definedName>
    <definedName name="Z_EAAF9A31_5EA8_4A32_ACB1_9AFD8B8CB527_.wvu.FilterData" localSheetId="1" hidden="1">Inbound_Monitor!$A$2:$Q$13</definedName>
    <definedName name="Z_EAB47059_E0AF_4438_9DA2_2C6E21A9BCCD_.wvu.FilterData" localSheetId="1" hidden="1">Inbound_Monitor!$A$2:$Q$13</definedName>
    <definedName name="Z_EAB548FA_032F_4EA9_813A_FEA71C90C8E2_.wvu.FilterData" localSheetId="0" hidden="1">Outbound_Monitor!$A$2:$W$3</definedName>
    <definedName name="Z_EAB5F305_3FCD_49E4_82F3_75FF12833228_.wvu.FilterData" localSheetId="1" hidden="1">Inbound_Monitor!$A$2:$Q$3</definedName>
    <definedName name="Z_EAC1205E_3079_4CEC_940F_221925A26C5A_.wvu.FilterData" localSheetId="1" hidden="1">Inbound_Monitor!$A$2:$Q$2</definedName>
    <definedName name="Z_EAC1205E_3079_4CEC_940F_221925A26C5A_.wvu.FilterData" localSheetId="0" hidden="1">Outbound_Monitor!$A$2:$W$2</definedName>
    <definedName name="Z_EAC42A90_9F4F_4A7B_A5AC_E8112A33AD74_.wvu.FilterData" localSheetId="1" hidden="1">Inbound_Monitor!$A$2:$Q$13</definedName>
    <definedName name="Z_EAC42A90_9F4F_4A7B_A5AC_E8112A33AD74_.wvu.FilterData" localSheetId="0" hidden="1">Outbound_Monitor!$A$2:$X$16</definedName>
    <definedName name="Z_EAC46A29_318C_429B_99E9_AAB579C2F46F_.wvu.FilterData" localSheetId="0" hidden="1">Outbound_Monitor!$A$2:$X$16</definedName>
    <definedName name="Z_EAC5530B_8A10_4D9A_AD64_9300CC47EADC_.wvu.FilterData" localSheetId="1" hidden="1">Inbound_Monitor!$A$2:$Q$2</definedName>
    <definedName name="Z_EAC5530B_8A10_4D9A_AD64_9300CC47EADC_.wvu.FilterData" localSheetId="0" hidden="1">Outbound_Monitor!$A$2:$W$2</definedName>
    <definedName name="Z_EAD4BFBC_1CEA_4CB6_85B2_6DBF4B239B50_.wvu.FilterData" localSheetId="1" hidden="1">Inbound_Monitor!$A$2:$Q$2</definedName>
    <definedName name="Z_EAD4BFBC_1CEA_4CB6_85B2_6DBF4B239B50_.wvu.FilterData" localSheetId="0" hidden="1">Outbound_Monitor!$A$2:$W$2</definedName>
    <definedName name="Z_EADA282C_8F73_4998_A89F_C1ADE0B5196A_.wvu.FilterData" localSheetId="0" hidden="1">Outbound_Monitor!$A$2:$W$3</definedName>
    <definedName name="Z_EAE5965F_E70A_46B8_96A9_9B38DD1E2FBB_.wvu.FilterData" localSheetId="1" hidden="1">Inbound_Monitor!$A$2:$Q$13</definedName>
    <definedName name="Z_EAE5DA78_E6BA_49DF_95C1_7D37880DF648_.wvu.FilterData" localSheetId="0" hidden="1">Outbound_Monitor!$A$2:$W$3</definedName>
    <definedName name="Z_EAEB1BA0_68B3_4013_8617_8170B96A35B3_.wvu.FilterData" localSheetId="1" hidden="1">Inbound_Monitor!$A$2:$Q$2</definedName>
    <definedName name="Z_EAEB1BA0_68B3_4013_8617_8170B96A35B3_.wvu.FilterData" localSheetId="0" hidden="1">Outbound_Monitor!$A$2:$W$2</definedName>
    <definedName name="Z_EAED899C_F76A_4A16_A0C8_8FA7D06A14BE_.wvu.FilterData" localSheetId="1" hidden="1">Inbound_Monitor!$A$2:$Q$2</definedName>
    <definedName name="Z_EAED899C_F76A_4A16_A0C8_8FA7D06A14BE_.wvu.FilterData" localSheetId="0" hidden="1">Outbound_Monitor!$A$2:$W$2</definedName>
    <definedName name="Z_EAF9371E_778A_4066_994D_11DA99171C78_.wvu.FilterData" localSheetId="1" hidden="1">Inbound_Monitor!$A$2:$Q$13</definedName>
    <definedName name="Z_EAF9371E_778A_4066_994D_11DA99171C78_.wvu.FilterData" localSheetId="0" hidden="1">Outbound_Monitor!$A$2:$W$3</definedName>
    <definedName name="Z_EB00530D_6E78_465D_93E7_6E6221883D24_.wvu.FilterData" localSheetId="1" hidden="1">Inbound_Monitor!$A$2:$Q$2</definedName>
    <definedName name="Z_EB00530D_6E78_465D_93E7_6E6221883D24_.wvu.FilterData" localSheetId="0" hidden="1">Outbound_Monitor!$A$2:$W$2</definedName>
    <definedName name="Z_EB00C6D9_1C49_4BC0_BBD4_73FB8588C3DA_.wvu.FilterData" localSheetId="0" hidden="1">Outbound_Monitor!$A$2:$W$3</definedName>
    <definedName name="Z_EB04E960_9EBE_4D8B_9A15_EDEA5F88B083_.wvu.FilterData" localSheetId="0" hidden="1">Outbound_Monitor!$A$2:$W$3</definedName>
    <definedName name="Z_EB083CAE_AFD1_45AD_A803_538B38F2B4E3_.wvu.FilterData" localSheetId="1" hidden="1">Inbound_Monitor!$A$2:$Q$3</definedName>
    <definedName name="Z_EB0F0E96_1C46_4ECA_AC66_B5B58FB5D71B_.wvu.FilterData" localSheetId="0" hidden="1">Outbound_Monitor!$A$2:$W$3</definedName>
    <definedName name="Z_EB12CEDF_44FA_4FFF_B088_28ECE16660F8_.wvu.FilterData" localSheetId="0" hidden="1">Outbound_Monitor!$A$2:$W$3</definedName>
    <definedName name="Z_EB22DF6D_3AD0_4118_B631_A01C83CC2AD6_.wvu.FilterData" localSheetId="0" hidden="1">Outbound_Monitor!$A$2:$W$3</definedName>
    <definedName name="Z_EB23B427_F99C_4728_9B9C_0BEFCACEE56F_.wvu.FilterData" localSheetId="0" hidden="1">Outbound_Monitor!$A$2:$W$3</definedName>
    <definedName name="Z_EB30B5A5_FEB4_4281_B8AD_0816A2F0C02E_.wvu.FilterData" localSheetId="0" hidden="1">Outbound_Monitor!$A$2:$W$3</definedName>
    <definedName name="Z_EB3B4C64_FFE0_47A2_B294_E5F243CFA2B2_.wvu.FilterData" localSheetId="1" hidden="1">Inbound_Monitor!$A$2:$Q$2</definedName>
    <definedName name="Z_EB3B4C64_FFE0_47A2_B294_E5F243CFA2B2_.wvu.FilterData" localSheetId="0" hidden="1">Outbound_Monitor!$A$2:$W$2</definedName>
    <definedName name="Z_EB470EAF_4B5A_4DE1_A5B7_CAEE84A93CA4_.wvu.FilterData" localSheetId="1" hidden="1">Inbound_Monitor!$A$2:$Q$3</definedName>
    <definedName name="Z_EB470EAF_4B5A_4DE1_A5B7_CAEE84A93CA4_.wvu.FilterData" localSheetId="0" hidden="1">Outbound_Monitor!$A$2:$W$3</definedName>
    <definedName name="Z_EB520128_E2E0_4965_B65F_244CBBCCBF4F_.wvu.FilterData" localSheetId="1" hidden="1">Inbound_Monitor!$A$2:$Q$13</definedName>
    <definedName name="Z_EB520128_E2E0_4965_B65F_244CBBCCBF4F_.wvu.FilterData" localSheetId="0" hidden="1">Outbound_Monitor!$A$2:$W$3</definedName>
    <definedName name="Z_EB6753AA_4C1D_41ED_A7D7_5184B489C43C_.wvu.FilterData" localSheetId="0" hidden="1">Outbound_Monitor!$A$2:$W$3</definedName>
    <definedName name="Z_EB6DFE98_4433_4B0E_99D6_1AFF37E8638A_.wvu.FilterData" localSheetId="0" hidden="1">Outbound_Monitor!$A$2:$X$16</definedName>
    <definedName name="Z_EB73CF1F_5702_431B_8C6A_E795A7F4D47E_.wvu.FilterData" localSheetId="1" hidden="1">Inbound_Monitor!$A$2:$Q$13</definedName>
    <definedName name="Z_EB73CF1F_5702_431B_8C6A_E795A7F4D47E_.wvu.FilterData" localSheetId="0" hidden="1">Outbound_Monitor!$A$2:$W$3</definedName>
    <definedName name="Z_EB7946FF_B9EC_499B_9E2D_747905BE177B_.wvu.FilterData" localSheetId="1" hidden="1">Inbound_Monitor!$A$2:$Q$3</definedName>
    <definedName name="Z_EB7FB815_5799_4807_A1BC_61F160B38257_.wvu.FilterData" localSheetId="0" hidden="1">Outbound_Monitor!$A$2:$W$3</definedName>
    <definedName name="Z_EB824D0F_43EF_46C9_85EE_2D781C387C25_.wvu.FilterData" localSheetId="0" hidden="1">Outbound_Monitor!$A$2:$W$3</definedName>
    <definedName name="Z_EB835C0A_B236_4E23_BE21_7C371A225666_.wvu.FilterData" localSheetId="0" hidden="1">Outbound_Monitor!$A$2:$W$3</definedName>
    <definedName name="Z_EB84EB84_2421_4B59_B7DB_880A682B1274_.wvu.FilterData" localSheetId="0" hidden="1">Outbound_Monitor!$A$2:$W$3</definedName>
    <definedName name="Z_EB93F7A2_AE4E_4BAB_A820_7A5D003B6577_.wvu.FilterData" localSheetId="0" hidden="1">Outbound_Monitor!$A$2:$W$3</definedName>
    <definedName name="Z_EBA789EC_0BF0_406A_BA46_B716CB58C283_.wvu.FilterData" localSheetId="0" hidden="1">Outbound_Monitor!$A$2:$W$3</definedName>
    <definedName name="Z_EBB3926C_8E05_4268_8D79_8E6712E4BBA5_.wvu.FilterData" localSheetId="0" hidden="1">Outbound_Monitor!$A$2:$W$3</definedName>
    <definedName name="Z_EBBE2D1A_173D_4DE3_AFEF_1C92F2E3C5A0_.wvu.FilterData" localSheetId="0" hidden="1">Outbound_Monitor!$A$2:$W$3</definedName>
    <definedName name="Z_EBC6EBD0_0F0D_411A_BDE9_A1BE1D65B916_.wvu.FilterData" localSheetId="0" hidden="1">Outbound_Monitor!$A$2:$W$3</definedName>
    <definedName name="Z_EBCA31A4_A03A_488A_A86B_B4413EACE69D_.wvu.FilterData" localSheetId="0" hidden="1">Outbound_Monitor!$A$2:$X$16</definedName>
    <definedName name="Z_EBD3AEC5_A7B4_4D9A_A95F_D24CE0602B4B_.wvu.FilterData" localSheetId="1" hidden="1">Inbound_Monitor!$A$2:$Q$3</definedName>
    <definedName name="Z_EBDBE46F_4B78_4754_BA29_50CC226EC72F_.wvu.FilterData" localSheetId="1" hidden="1">Inbound_Monitor!$A$2:$Q$13</definedName>
    <definedName name="Z_EBEC651C_1156_4883_BB5F_1C5F7FD07B45_.wvu.FilterData" localSheetId="0" hidden="1">Outbound_Monitor!$A$2:$X$16</definedName>
    <definedName name="Z_EBF5A7CB_D952_4232_A3B1_65A1E0DBE04D_.wvu.FilterData" localSheetId="0" hidden="1">Outbound_Monitor!$A$2:$W$3</definedName>
    <definedName name="Z_EBF74CA6_BC4A_492C_8B8E_DB025ABEE7DC_.wvu.Cols" localSheetId="1" hidden="1">Inbound_Monitor!#REF!</definedName>
    <definedName name="Z_EBF74CA6_BC4A_492C_8B8E_DB025ABEE7DC_.wvu.Cols" localSheetId="0" hidden="1">Outbound_Monitor!#REF!</definedName>
    <definedName name="Z_EBF74CA6_BC4A_492C_8B8E_DB025ABEE7DC_.wvu.FilterData" localSheetId="1" hidden="1">Inbound_Monitor!$A$2:$Q$3</definedName>
    <definedName name="Z_EBF74CA6_BC4A_492C_8B8E_DB025ABEE7DC_.wvu.FilterData" localSheetId="0" hidden="1">Outbound_Monitor!$A$2:$W$3</definedName>
    <definedName name="Z_EBF74CA6_BC4A_492C_8B8E_DB025ABEE7DC_.wvu.FilterData" localSheetId="4" hidden="1">Schichtübergabe_Protokoll!$B$3:$N$3</definedName>
    <definedName name="Z_EBF949BA_1DF0_4D4C_8EA2_665FB666654E_.wvu.FilterData" localSheetId="1" hidden="1">Inbound_Monitor!$A$2:$Q$13</definedName>
    <definedName name="Z_EBF949BA_1DF0_4D4C_8EA2_665FB666654E_.wvu.FilterData" localSheetId="0" hidden="1">Outbound_Monitor!$A$2:$X$16</definedName>
    <definedName name="Z_EBFCFC81_BD30_4CDF_A0E5_C04134E994A3_.wvu.FilterData" localSheetId="0" hidden="1">Outbound_Monitor!$A$2:$X$16</definedName>
    <definedName name="Z_EBFD851A_B1D7_4C4C_9A9C_B657E374E94E_.wvu.FilterData" localSheetId="0" hidden="1">Outbound_Monitor!$A$2:$X$16</definedName>
    <definedName name="Z_EC2A0876_036D_4A73_A2F9_68CE80498717_.wvu.FilterData" localSheetId="0" hidden="1">Outbound_Monitor!$A$2:$W$3</definedName>
    <definedName name="Z_EC2C2730_4D00_4FDB_9993_C6F11347C9DD_.wvu.FilterData" localSheetId="1" hidden="1">Inbound_Monitor!$A$2:$Q$3</definedName>
    <definedName name="Z_EC50B39B_0204_4A70_BC0C_3526556BB3B0_.wvu.FilterData" localSheetId="0" hidden="1">Outbound_Monitor!$A$3:$X$16</definedName>
    <definedName name="Z_EC53A6D8_D264_4AC8_AC8E_90F3E22AE38C_.wvu.FilterData" localSheetId="1" hidden="1">Inbound_Monitor!$A$2:$Q$3</definedName>
    <definedName name="Z_EC53A6D8_D264_4AC8_AC8E_90F3E22AE38C_.wvu.FilterData" localSheetId="0" hidden="1">Outbound_Monitor!$A$2:$W$3</definedName>
    <definedName name="Z_EC53A6D8_D264_4AC8_AC8E_90F3E22AE38C_.wvu.FilterData" localSheetId="4" hidden="1">Schichtübergabe_Protokoll!$B$3:$N$3</definedName>
    <definedName name="Z_EC756FA8_3D94_4D22_AFAF_085F228D49D1_.wvu.FilterData" localSheetId="0" hidden="1">Outbound_Monitor!$A$2:$W$3</definedName>
    <definedName name="Z_EC7E9EA4_47D6_4959_AA96_B63C1FE3988D_.wvu.FilterData" localSheetId="0" hidden="1">Outbound_Monitor!$A$2:$W$3</definedName>
    <definedName name="Z_EC9AB9C7_3D9B_4066_8CE2_83688E5CC6A8_.wvu.FilterData" localSheetId="0" hidden="1">Outbound_Monitor!$A$2:$W$3</definedName>
    <definedName name="Z_ECA572A5_FC85_42D8_8155_BDCD8B851372_.wvu.FilterData" localSheetId="0" hidden="1">Outbound_Monitor!$A$2:$W$3</definedName>
    <definedName name="Z_ECADCEE6_2079_4514_A5DC_196271459509_.wvu.FilterData" localSheetId="0" hidden="1">Outbound_Monitor!$A$2:$X$16</definedName>
    <definedName name="Z_ECC7CE76_4FDD_4678_9A89_927697D61DF3_.wvu.FilterData" localSheetId="1" hidden="1">Inbound_Monitor!$A$2:$Q$3</definedName>
    <definedName name="Z_ECC84886_3AC0_457E_A163_0BF71B862894_.wvu.FilterData" localSheetId="1" hidden="1">Inbound_Monitor!$A$2:$Q$3</definedName>
    <definedName name="Z_ECC84886_3AC0_457E_A163_0BF71B862894_.wvu.FilterData" localSheetId="0" hidden="1">Outbound_Monitor!$A$2:$W$3</definedName>
    <definedName name="Z_ECD88898_93E4_462A_8B03_685EAE419B23_.wvu.FilterData" localSheetId="1" hidden="1">Inbound_Monitor!$A$2:$Q$13</definedName>
    <definedName name="Z_ECD88898_93E4_462A_8B03_685EAE419B23_.wvu.FilterData" localSheetId="0" hidden="1">Outbound_Monitor!$A$2:$X$16</definedName>
    <definedName name="Z_ECDEED7E_375A_4B2D_A6F5_FAE21E807232_.wvu.FilterData" localSheetId="1" hidden="1">Inbound_Monitor!$A$2:$Q$13</definedName>
    <definedName name="Z_ECE062D7_655C_4606_AF34_29A0C94E8296_.wvu.FilterData" localSheetId="1" hidden="1">Inbound_Monitor!$A$2:$Q$13</definedName>
    <definedName name="Z_ECE7EA8F_C38D_4FC4_9218_662BDCA9D625_.wvu.FilterData" localSheetId="0" hidden="1">Outbound_Monitor!$A$2:$W$3</definedName>
    <definedName name="Z_ECFD7469_93B2_4658_B94A_EA765D49D8F9_.wvu.FilterData" localSheetId="0" hidden="1">Outbound_Monitor!$A$2:$X$16</definedName>
    <definedName name="Z_ED00C31B_99C8_4C25_BB8A_F697A096D8F8_.wvu.FilterData" localSheetId="1" hidden="1">Inbound_Monitor!$A$2:$Q$2</definedName>
    <definedName name="Z_ED00C31B_99C8_4C25_BB8A_F697A096D8F8_.wvu.FilterData" localSheetId="0" hidden="1">Outbound_Monitor!$A$2:$W$2</definedName>
    <definedName name="Z_ED243947_37C2_4A52_BB77_A5E1BC552F5A_.wvu.FilterData" localSheetId="0" hidden="1">Outbound_Monitor!$A$2:$W$3</definedName>
    <definedName name="Z_ED317E69_FA85_4837_AF7A_9F05ED3676EA_.wvu.FilterData" localSheetId="1" hidden="1">Inbound_Monitor!$A$2:$Q$3</definedName>
    <definedName name="Z_ED374336_5670_464D_B859_7F2D54C58E16_.wvu.FilterData" localSheetId="1" hidden="1">Inbound_Monitor!$A$2:$Q$13</definedName>
    <definedName name="Z_ED43CCD4_ED33_4B41_9E05_17A8FBAB5215_.wvu.FilterData" localSheetId="0" hidden="1">Outbound_Monitor!$A$2:$W$3</definedName>
    <definedName name="Z_ED4C94F1_DF0B_4DE1_94DA_2DFF9338A4C3_.wvu.FilterData" localSheetId="0" hidden="1">Outbound_Monitor!$A$2:$X$16</definedName>
    <definedName name="Z_ED50F893_5BF2_41D9_B7B9_1A4132FB4866_.wvu.FilterData" localSheetId="0" hidden="1">Outbound_Monitor!$A$2:$W$3</definedName>
    <definedName name="Z_ED57C2D5_D4CB_45BF_9F42_563240740EE6_.wvu.FilterData" localSheetId="0" hidden="1">Outbound_Monitor!$A$2:$W$3</definedName>
    <definedName name="Z_ED63671E_C009_44E2_83DC_6AA7EE4B3AA3_.wvu.FilterData" localSheetId="1" hidden="1">Inbound_Monitor!$A$2:$Q$13</definedName>
    <definedName name="Z_ED68D50A_DBD6_4C15_A3F6_DEEE5FEB0D83_.wvu.FilterData" localSheetId="0" hidden="1">Outbound_Monitor!$A$2:$W$3</definedName>
    <definedName name="Z_ED8211B9_43F8_4893_B968_77F353A6965A_.wvu.FilterData" localSheetId="1" hidden="1">Inbound_Monitor!$A$2:$Q$13</definedName>
    <definedName name="Z_ED82B00C_9981_490B_BA3D_D89A066E0E77_.wvu.FilterData" localSheetId="1" hidden="1">Inbound_Monitor!$A$2:$Q$3</definedName>
    <definedName name="Z_ED8DA3F0_16F7_466F_AC92_DA81217872BC_.wvu.FilterData" localSheetId="0" hidden="1">Outbound_Monitor!$A$2:$W$3</definedName>
    <definedName name="Z_ED9F41C6_EE1C_4DA5_9CCC_D7E4FCA34E9A_.wvu.FilterData" localSheetId="1" hidden="1">Inbound_Monitor!$A$2:$Q$13</definedName>
    <definedName name="Z_ED9F41C6_EE1C_4DA5_9CCC_D7E4FCA34E9A_.wvu.FilterData" localSheetId="4" hidden="1">Schichtübergabe_Protokoll!$B$3:$N$3</definedName>
    <definedName name="Z_EDA02A33_9D3F_4BE3_9989_9C511F0619C7_.wvu.FilterData" localSheetId="0" hidden="1">Outbound_Monitor!$A$2:$W$3</definedName>
    <definedName name="Z_EDA082C7_247D_4163_9AA8_FAD1220EEE67_.wvu.FilterData" localSheetId="0" hidden="1">Outbound_Monitor!$A$2:$W$3</definedName>
    <definedName name="Z_EDA29983_A456_4A8D_9D9F_C902996FA955_.wvu.FilterData" localSheetId="1" hidden="1">Inbound_Monitor!$A$2:$Q$13</definedName>
    <definedName name="Z_EDA29983_A456_4A8D_9D9F_C902996FA955_.wvu.FilterData" localSheetId="0" hidden="1">Outbound_Monitor!$A$2:$W$3</definedName>
    <definedName name="Z_EDBCA68B_BA2F_432E_99BB_924658D06437_.wvu.FilterData" localSheetId="1" hidden="1">Inbound_Monitor!$A$2:$Q$3</definedName>
    <definedName name="Z_EDBCA68B_BA2F_432E_99BB_924658D06437_.wvu.FilterData" localSheetId="0" hidden="1">Outbound_Monitor!$A$2:$W$3</definedName>
    <definedName name="Z_EDBE7904_98D1_49DF_A4DF_2EEBC58904D3_.wvu.FilterData" localSheetId="0" hidden="1">Outbound_Monitor!$A$2:$W$3</definedName>
    <definedName name="Z_EDCC3B59_6477_4E74_8E80_4AE3A276CA67_.wvu.FilterData" localSheetId="0" hidden="1">Outbound_Monitor!$A$2:$X$16</definedName>
    <definedName name="Z_EDCE4799_B58D_44F0_B838_433776C6CF10_.wvu.FilterData" localSheetId="1" hidden="1">Inbound_Monitor!$A$2:$Q$3</definedName>
    <definedName name="Z_EDD36215_0779_473B_A9A7_E68F0FD7AACB_.wvu.FilterData" localSheetId="0" hidden="1">Outbound_Monitor!$A$2:$X$16</definedName>
    <definedName name="Z_EDDE21E6_1AD8_4834_BA78_B0596E08C736_.wvu.FilterData" localSheetId="1" hidden="1">Inbound_Monitor!$A$2:$Q$3</definedName>
    <definedName name="Z_EDDE21E6_1AD8_4834_BA78_B0596E08C736_.wvu.FilterData" localSheetId="0" hidden="1">Outbound_Monitor!$A$2:$W$3</definedName>
    <definedName name="Z_EDE65A9F_C200_48B1_98A1_979D5F8273AF_.wvu.FilterData" localSheetId="1" hidden="1">Inbound_Monitor!$A$2:$Q$3</definedName>
    <definedName name="Z_EDEDAB4F_AEAE_4C13_98BE_3444CBDB6C87_.wvu.FilterData" localSheetId="1" hidden="1">Inbound_Monitor!$A$2:$Q$3</definedName>
    <definedName name="Z_EDF0F299_8FC8_4C54_A3D2_66F2335CBF19_.wvu.FilterData" localSheetId="0" hidden="1">Outbound_Monitor!$A$2:$W$3</definedName>
    <definedName name="Z_EDF89A3D_D99D_480E_80DB_92F8909F3CF7_.wvu.FilterData" localSheetId="0" hidden="1">Outbound_Monitor!$A$2:$X$16</definedName>
    <definedName name="Z_EE0562FE_8B41_4475_9246_978B3E683B49_.wvu.FilterData" localSheetId="1" hidden="1">Inbound_Monitor!$A$2:$Q$13</definedName>
    <definedName name="Z_EE0562FE_8B41_4475_9246_978B3E683B49_.wvu.FilterData" localSheetId="0" hidden="1">Outbound_Monitor!$A$2:$W$3</definedName>
    <definedName name="Z_EE1D2254_1775_4DD4_8E4F_9CB8C12F651F_.wvu.FilterData" localSheetId="1" hidden="1">Inbound_Monitor!$A$2:$Q$13</definedName>
    <definedName name="Z_EE1D2254_1775_4DD4_8E4F_9CB8C12F651F_.wvu.FilterData" localSheetId="0" hidden="1">Outbound_Monitor!$A$2:$W$3</definedName>
    <definedName name="Z_EE281917_AE27_445A_A0AF_E31CAF134B53_.wvu.FilterData" localSheetId="1" hidden="1">Inbound_Monitor!$A$2:$Q$2</definedName>
    <definedName name="Z_EE281917_AE27_445A_A0AF_E31CAF134B53_.wvu.FilterData" localSheetId="0" hidden="1">Outbound_Monitor!$A$2:$W$2</definedName>
    <definedName name="Z_EE29D5AD_F49B_482D_9252_9B86B7D23D84_.wvu.FilterData" localSheetId="0" hidden="1">Outbound_Monitor!$A$2:$W$3</definedName>
    <definedName name="Z_EE2F9B04_0E1D_4D00_9022_DC24938D8957_.wvu.FilterData" localSheetId="0" hidden="1">Outbound_Monitor!$A$2:$X$16</definedName>
    <definedName name="Z_EE459D0E_5B1B_4C83_839F_B30FF5EE4EB3_.wvu.FilterData" localSheetId="1" hidden="1">Inbound_Monitor!$A$2:$Q$3</definedName>
    <definedName name="Z_EE503E51_A823_4A29_B163_A54DBD0D0455_.wvu.FilterData" localSheetId="0" hidden="1">Outbound_Monitor!$A$2:$X$16</definedName>
    <definedName name="Z_EE5D9812_2D84_45DD_A941_89B3AB783B9E_.wvu.FilterData" localSheetId="1" hidden="1">Inbound_Monitor!$A$2:$Q$2</definedName>
    <definedName name="Z_EE5D9812_2D84_45DD_A941_89B3AB783B9E_.wvu.FilterData" localSheetId="0" hidden="1">Outbound_Monitor!$A$2:$W$2</definedName>
    <definedName name="Z_EE8BD426_7DBD_4AA6_95AF_77F9F7CEA01D_.wvu.FilterData" localSheetId="1" hidden="1">Inbound_Monitor!$A$2:$Q$13</definedName>
    <definedName name="Z_EE8BD426_7DBD_4AA6_95AF_77F9F7CEA01D_.wvu.FilterData" localSheetId="0" hidden="1">Outbound_Monitor!$A$2:$W$3</definedName>
    <definedName name="Z_EE91A047_371A_4DAC_BEF1_4C943B627152_.wvu.FilterData" localSheetId="0" hidden="1">Outbound_Monitor!$A$2:$W$3</definedName>
    <definedName name="Z_EE95E506_3144_4176_B98E_9502458B93C0_.wvu.FilterData" localSheetId="1" hidden="1">Inbound_Monitor!$A$2:$Q$13</definedName>
    <definedName name="Z_EE95E506_3144_4176_B98E_9502458B93C0_.wvu.FilterData" localSheetId="0" hidden="1">Outbound_Monitor!$A$2:$X$16</definedName>
    <definedName name="Z_EEA39556_D6EF_4558_8C84_236D5D139029_.wvu.FilterData" localSheetId="0" hidden="1">Outbound_Monitor!$A$2:$W$3</definedName>
    <definedName name="Z_EEA7A911_CB88_4C5E_9901_68AC4E048768_.wvu.FilterData" localSheetId="1" hidden="1">Inbound_Monitor!$A$2:$Q$3</definedName>
    <definedName name="Z_EEAF6137_FB32_4EC6_9AB0_028B43F8C6CC_.wvu.FilterData" localSheetId="1" hidden="1">Inbound_Monitor!$A$2:$Q$13</definedName>
    <definedName name="Z_EEAF6137_FB32_4EC6_9AB0_028B43F8C6CC_.wvu.FilterData" localSheetId="0" hidden="1">Outbound_Monitor!$A$2:$W$3</definedName>
    <definedName name="Z_EEB3BCFE_26EB_423F_B148_37F15E41106B_.wvu.FilterData" localSheetId="4" hidden="1">Schichtübergabe_Protokoll!$B$3:$N$3</definedName>
    <definedName name="Z_EEB7B398_5181_4884_A7F2_62D8E7DBFF87_.wvu.FilterData" localSheetId="1" hidden="1">Inbound_Monitor!$A$2:$Q$13</definedName>
    <definedName name="Z_EEB7B398_5181_4884_A7F2_62D8E7DBFF87_.wvu.FilterData" localSheetId="0" hidden="1">Outbound_Monitor!$A$2:$W$3</definedName>
    <definedName name="Z_EED98D41_A69E_49CE_8DA5_5D70D1F6E562_.wvu.FilterData" localSheetId="1" hidden="1">Inbound_Monitor!$A$2:$Q$3</definedName>
    <definedName name="Z_EED98D41_A69E_49CE_8DA5_5D70D1F6E562_.wvu.FilterData" localSheetId="0" hidden="1">Outbound_Monitor!$A$2:$W$3</definedName>
    <definedName name="Z_EEE4685E_D6E9_4FCD_927B_0CCF26B80084_.wvu.FilterData" localSheetId="1" hidden="1">Inbound_Monitor!$A$2:$Q$13</definedName>
    <definedName name="Z_EEE4685E_D6E9_4FCD_927B_0CCF26B80084_.wvu.FilterData" localSheetId="0" hidden="1">Outbound_Monitor!$A$2:$X$16</definedName>
    <definedName name="Z_EEE6B061_FDE8_4906_91CF_B55D797105A1_.wvu.FilterData" localSheetId="0" hidden="1">Outbound_Monitor!$A$2:$W$3</definedName>
    <definedName name="Z_EEEDEE74_3235_4B4E_9A49_9ED0C2731321_.wvu.FilterData" localSheetId="1" hidden="1">Inbound_Monitor!$A$2:$Q$3</definedName>
    <definedName name="Z_EEF1400E_1619_449D_941E_770538217900_.wvu.FilterData" localSheetId="0" hidden="1">Outbound_Monitor!$A$2:$W$3</definedName>
    <definedName name="Z_EEFC622D_A2E4_4F7E_A171_15D5CD6D2303_.wvu.FilterData" localSheetId="1" hidden="1">Inbound_Monitor!$A$2:$Q$2</definedName>
    <definedName name="Z_EEFC622D_A2E4_4F7E_A171_15D5CD6D2303_.wvu.FilterData" localSheetId="0" hidden="1">Outbound_Monitor!$A$2:$W$2</definedName>
    <definedName name="Z_EF014E44_2B9F_4B6D_846D_1605D4B2B8C9_.wvu.FilterData" localSheetId="0" hidden="1">Outbound_Monitor!$A$2:$W$3</definedName>
    <definedName name="Z_EF0DF585_9C99_4A44_904A_FE9D24935903_.wvu.FilterData" localSheetId="0" hidden="1">Outbound_Monitor!$A$2:$W$3</definedName>
    <definedName name="Z_EF21A43F_BC6F_42B2_B900_DAE7F20AB592_.wvu.FilterData" localSheetId="0" hidden="1">Outbound_Monitor!$A$2:$X$16</definedName>
    <definedName name="Z_EF345C73_5C2C_4055_A248_7EFC40177EBE_.wvu.FilterData" localSheetId="1" hidden="1">Inbound_Monitor!$A$2:$Q$13</definedName>
    <definedName name="Z_EF345C73_5C2C_4055_A248_7EFC40177EBE_.wvu.FilterData" localSheetId="0" hidden="1">Outbound_Monitor!$A$2:$X$16</definedName>
    <definedName name="Z_EF3F9E8D_7759_405C_85F8_DE6DBE66B7E1_.wvu.FilterData" localSheetId="0" hidden="1">Outbound_Monitor!$A$2:$W$3</definedName>
    <definedName name="Z_EF437328_D174_4B01_943A_78917057FE4F_.wvu.FilterData" localSheetId="1" hidden="1">Inbound_Monitor!$A$2:$Q$3</definedName>
    <definedName name="Z_EF437328_D174_4B01_943A_78917057FE4F_.wvu.FilterData" localSheetId="0" hidden="1">Outbound_Monitor!$A$2:$W$3</definedName>
    <definedName name="Z_EF49A627_0CD8_479A_931A_D3B10ECE94BB_.wvu.FilterData" localSheetId="1" hidden="1">Inbound_Monitor!$A$2:$Q$3</definedName>
    <definedName name="Z_EF49A627_0CD8_479A_931A_D3B10ECE94BB_.wvu.FilterData" localSheetId="0" hidden="1">Outbound_Monitor!$A$2:$W$3</definedName>
    <definedName name="Z_EF581CB0_FFEE_4BC7_96FE_24ABB943CDE0_.wvu.FilterData" localSheetId="1" hidden="1">Inbound_Monitor!$A$2:$Q$3</definedName>
    <definedName name="Z_EF581CB0_FFEE_4BC7_96FE_24ABB943CDE0_.wvu.FilterData" localSheetId="0" hidden="1">Outbound_Monitor!$A$2:$W$3</definedName>
    <definedName name="Z_EF581CB0_FFEE_4BC7_96FE_24ABB943CDE0_.wvu.FilterData" localSheetId="4" hidden="1">Schichtübergabe_Protokoll!$B$3:$N$3</definedName>
    <definedName name="Z_EF647513_3ECE_4312_A08B_F36DF23A3B15_.wvu.FilterData" localSheetId="1" hidden="1">Inbound_Monitor!$A$2:$Q$3</definedName>
    <definedName name="Z_EF647513_3ECE_4312_A08B_F36DF23A3B15_.wvu.FilterData" localSheetId="0" hidden="1">Outbound_Monitor!$A$2:$W$3</definedName>
    <definedName name="Z_EF647513_3ECE_4312_A08B_F36DF23A3B15_.wvu.FilterData" localSheetId="4" hidden="1">Schichtübergabe_Protokoll!$B$3:$N$3</definedName>
    <definedName name="Z_EF67FDFA_20E9_4700_BAD1_14C32A75E8C4_.wvu.FilterData" localSheetId="0" hidden="1">Outbound_Monitor!$A$2:$W$3</definedName>
    <definedName name="Z_EF6AEC07_6BBF_4C19_91FD_9ABB04B77948_.wvu.FilterData" localSheetId="1" hidden="1">Inbound_Monitor!$A$2:$Q$3</definedName>
    <definedName name="Z_EF721547_1236_41FB_AA56_E495A629CED2_.wvu.FilterData" localSheetId="0" hidden="1">Outbound_Monitor!$A$2:$W$3</definedName>
    <definedName name="Z_EF726322_E2DB_4C64_99BB_C6577B031B44_.wvu.FilterData" localSheetId="1" hidden="1">Inbound_Monitor!$A$2:$Q$3</definedName>
    <definedName name="Z_EF726322_E2DB_4C64_99BB_C6577B031B44_.wvu.FilterData" localSheetId="0" hidden="1">Outbound_Monitor!$1:$3</definedName>
    <definedName name="Z_EF7433B4_987A_42A5_B8ED_4BE81AE0C712_.wvu.FilterData" localSheetId="1" hidden="1">Inbound_Monitor!$A$2:$Q$2</definedName>
    <definedName name="Z_EF7433B4_987A_42A5_B8ED_4BE81AE0C712_.wvu.FilterData" localSheetId="0" hidden="1">Outbound_Monitor!$A$2:$W$2</definedName>
    <definedName name="Z_EF7FD935_83EB_4B01_9973_3731434D88DF_.wvu.FilterData" localSheetId="1" hidden="1">Inbound_Monitor!$A$2:$Q$3</definedName>
    <definedName name="Z_EF86F769_F315_4C16_A6E4_702BAABE58AD_.wvu.FilterData" localSheetId="1" hidden="1">Inbound_Monitor!$A$2:$Q$3</definedName>
    <definedName name="Z_EF86F769_F315_4C16_A6E4_702BAABE58AD_.wvu.FilterData" localSheetId="0" hidden="1">Outbound_Monitor!$A$2:$W$3</definedName>
    <definedName name="Z_EF8BF841_F214_40EE_B499_573503B7C781_.wvu.FilterData" localSheetId="0" hidden="1">Outbound_Monitor!$A$2:$W$3</definedName>
    <definedName name="Z_EFA47722_6373_4A2F_ABC4_7E83D1B91A60_.wvu.FilterData" localSheetId="0" hidden="1">Outbound_Monitor!$A$2:$W$3</definedName>
    <definedName name="Z_EFA537B9_4B14_4558_AE86_81689D32BAC6_.wvu.FilterData" localSheetId="1" hidden="1">Inbound_Monitor!$A$2:$Q$3</definedName>
    <definedName name="Z_EFA537B9_4B14_4558_AE86_81689D32BAC6_.wvu.FilterData" localSheetId="0" hidden="1">Outbound_Monitor!$A$2:$W$3</definedName>
    <definedName name="Z_EFB625B8_0BD1_4B8B_AEE1_8832DF72E95F_.wvu.FilterData" localSheetId="1" hidden="1">Inbound_Monitor!$A$2:$Q$13</definedName>
    <definedName name="Z_EFB625B8_0BD1_4B8B_AEE1_8832DF72E95F_.wvu.FilterData" localSheetId="0" hidden="1">Outbound_Monitor!$A$2:$W$3</definedName>
    <definedName name="Z_EFD82941_39AB_41A6_88CD_782516254C10_.wvu.FilterData" localSheetId="1" hidden="1">Inbound_Monitor!$A$2:$Q$13</definedName>
    <definedName name="Z_EFDD3244_963D_41AD_BAC1_A6BC2E3ABC79_.wvu.FilterData" localSheetId="1" hidden="1">Inbound_Monitor!$A$2:$Q$3</definedName>
    <definedName name="Z_EFDD3244_963D_41AD_BAC1_A6BC2E3ABC79_.wvu.FilterData" localSheetId="0" hidden="1">Outbound_Monitor!$A$2:$W$3</definedName>
    <definedName name="Z_EFFCB3D7_8840_4A42_8663_24AD2D8549AE_.wvu.FilterData" localSheetId="1" hidden="1">Inbound_Monitor!$A$2:$Q$13</definedName>
    <definedName name="Z_EFFCB3D7_8840_4A42_8663_24AD2D8549AE_.wvu.FilterData" localSheetId="0" hidden="1">Outbound_Monitor!$A$2:$W$3</definedName>
    <definedName name="Z_EFFEB6F7_1ED7_48C8_9D82_993CFBB3F862_.wvu.FilterData" localSheetId="0" hidden="1">Outbound_Monitor!$A$2:$W$3</definedName>
    <definedName name="Z_F0009ED5_237E_41AE_B056_0AA46DCD3EDE_.wvu.FilterData" localSheetId="0" hidden="1">Outbound_Monitor!$A$2:$W$3</definedName>
    <definedName name="Z_F0039B23_64B9_45D9_B0D6_F175C8D849DD_.wvu.FilterData" localSheetId="0" hidden="1">Outbound_Monitor!$A$2:$W$3</definedName>
    <definedName name="Z_F01077A3_A1E8_409F_812F_A5FBEAC712FD_.wvu.FilterData" localSheetId="0" hidden="1">Outbound_Monitor!$A$2:$W$3</definedName>
    <definedName name="Z_F0120CC0_8D34_4973_8B42_84C33751CB8C_.wvu.FilterData" localSheetId="0" hidden="1">Outbound_Monitor!$A$2:$X$16</definedName>
    <definedName name="Z_F017899D_6DAD_41FD_A00E_B8E9910A8680_.wvu.FilterData" localSheetId="1" hidden="1">Inbound_Monitor!$A$2:$Q$3</definedName>
    <definedName name="Z_F03FC387_79D5_49BD_8C3B_CA726E46272E_.wvu.FilterData" localSheetId="1" hidden="1">Inbound_Monitor!$A$2:$Q$3</definedName>
    <definedName name="Z_F04B999D_ADC9_4EAC_9A28_2121496A304B_.wvu.FilterData" localSheetId="1" hidden="1">Inbound_Monitor!$A$2:$Q$3</definedName>
    <definedName name="Z_F04CD515_543D_4780_972E_2A1224EB6CB8_.wvu.FilterData" localSheetId="1" hidden="1">Inbound_Monitor!$A$2:$Q$3</definedName>
    <definedName name="Z_F04CD515_543D_4780_972E_2A1224EB6CB8_.wvu.FilterData" localSheetId="0" hidden="1">Outbound_Monitor!$A$2:$W$3</definedName>
    <definedName name="Z_F0523D14_9BF7_41DD_8CC4_875553CA54A3_.wvu.FilterData" localSheetId="1" hidden="1">Inbound_Monitor!$A$2:$Q$13</definedName>
    <definedName name="Z_F0523D14_9BF7_41DD_8CC4_875553CA54A3_.wvu.FilterData" localSheetId="0" hidden="1">Outbound_Monitor!$A$2:$W$3</definedName>
    <definedName name="Z_F05DA537_FD2C_4ED8_90C3_911C1BBAF625_.wvu.FilterData" localSheetId="0" hidden="1">Outbound_Monitor!$A$2:$X$16</definedName>
    <definedName name="Z_F0632D7B_87F5_4697_B03A_2961D3D8F08C_.wvu.FilterData" localSheetId="1" hidden="1">Inbound_Monitor!$A$2:$Q$13</definedName>
    <definedName name="Z_F0632D7B_87F5_4697_B03A_2961D3D8F08C_.wvu.FilterData" localSheetId="0" hidden="1">Outbound_Monitor!$A$2:$W$3</definedName>
    <definedName name="Z_F078E3B6_64F1_4FFF_8394_BE0E1DB5E580_.wvu.FilterData" localSheetId="0" hidden="1">Outbound_Monitor!$A$2:$W$3</definedName>
    <definedName name="Z_F08D338F_2F0A_4363_BD85_279E1ECA477A_.wvu.FilterData" localSheetId="0" hidden="1">Outbound_Monitor!$A$2:$W$3</definedName>
    <definedName name="Z_F097683C_C647_4127_89FE_93D903FD685D_.wvu.FilterData" localSheetId="1" hidden="1">Inbound_Monitor!$A$2:$Q$3</definedName>
    <definedName name="Z_F0A8A478_AA60_4F07_A3C1_491DB67D1CB8_.wvu.FilterData" localSheetId="0" hidden="1">Outbound_Monitor!$A$2:$W$3</definedName>
    <definedName name="Z_F0A8A478_AA60_4F07_A3C1_491DB67D1CB8_.wvu.FilterData" localSheetId="4" hidden="1">Schichtübergabe_Protokoll!$B$3:$N$3</definedName>
    <definedName name="Z_F0B6D436_46F9_4F36_8CBE_B190EF65A0D8_.wvu.FilterData" localSheetId="0" hidden="1">Outbound_Monitor!$A$2:$W$3</definedName>
    <definedName name="Z_F0B7C555_DF82_4AE1_A7B1_0A8D01AE6FE5_.wvu.FilterData" localSheetId="1" hidden="1">Inbound_Monitor!$A$2:$Q$13</definedName>
    <definedName name="Z_F0BBDCE4_7EDC_4B72_9529_4B689AB74961_.wvu.FilterData" localSheetId="0" hidden="1">Outbound_Monitor!$A$2:$W$3</definedName>
    <definedName name="Z_F0BFDE66_E4AD_4A37_A4D4_BF4E20E9E0EF_.wvu.FilterData" localSheetId="4" hidden="1">Schichtübergabe_Protokoll!$B$3:$N$3</definedName>
    <definedName name="Z_F0C754AC_C47B_459B_8A8D_0DB739D9C98E_.wvu.FilterData" localSheetId="1" hidden="1">Inbound_Monitor!$A$2:$Q$13</definedName>
    <definedName name="Z_F0C754AC_C47B_459B_8A8D_0DB739D9C98E_.wvu.FilterData" localSheetId="0" hidden="1">Outbound_Monitor!$A$2:$W$3</definedName>
    <definedName name="Z_F0C84076_6C21_47A5_ADAE_5260B3788887_.wvu.FilterData" localSheetId="1" hidden="1">Inbound_Monitor!$A$2:$Q$3</definedName>
    <definedName name="Z_F0DFCED8_C030_4471_BE54_DAD4C51B9711_.wvu.Rows" localSheetId="3" hidden="1">'SDDS_Office (nicht nutzen)'!#REF!,'SDDS_Office (nicht nutzen)'!#REF!</definedName>
    <definedName name="Z_F0E01D07_4EAC_42EE_A30D_78957BBC50D8_.wvu.FilterData" localSheetId="0" hidden="1">Outbound_Monitor!$A$2:$W$3</definedName>
    <definedName name="Z_F0E9452D_FA92_4BEA_9AC2_C5609FEC7C0D_.wvu.FilterData" localSheetId="1" hidden="1">Inbound_Monitor!$A$2:$Q$13</definedName>
    <definedName name="Z_F0E9936B_3A52_4FEA_BFD7_9A5AF9461310_.wvu.FilterData" localSheetId="1" hidden="1">Inbound_Monitor!$A$2:$Q$13</definedName>
    <definedName name="Z_F0E9936B_3A52_4FEA_BFD7_9A5AF9461310_.wvu.FilterData" localSheetId="0" hidden="1">Outbound_Monitor!$A$2:$W$3</definedName>
    <definedName name="Z_F0EF18CF_055E_4194_AF0B_8567458518F5_.wvu.FilterData" localSheetId="0" hidden="1">Outbound_Monitor!$A$2:$W$3</definedName>
    <definedName name="Z_F1049CC9_7C1E_4449_84F1_B5D7D8DD6DC3_.wvu.FilterData" localSheetId="1" hidden="1">Inbound_Monitor!$A$2:$Q$3</definedName>
    <definedName name="Z_F1049CC9_7C1E_4449_84F1_B5D7D8DD6DC3_.wvu.FilterData" localSheetId="0" hidden="1">Outbound_Monitor!$A$2:$W$3</definedName>
    <definedName name="Z_F106001E_26F0_4D38_A150_C30924145799_.wvu.FilterData" localSheetId="0" hidden="1">Outbound_Monitor!$A$2:$X$16</definedName>
    <definedName name="Z_F114C5F1_B120_45FE_A89D_E56EDEDE08A2_.wvu.FilterData" localSheetId="1" hidden="1">Inbound_Monitor!$A$2:$Q$13</definedName>
    <definedName name="Z_F1169326_8B82_4DC0_8C4B_341032C0A622_.wvu.FilterData" localSheetId="0" hidden="1">Outbound_Monitor!$A$2:$W$3</definedName>
    <definedName name="Z_F1175F5F_6381_4FE3_BD62_119C43A77992_.wvu.FilterData" localSheetId="0" hidden="1">Outbound_Monitor!$A$2:$W$3</definedName>
    <definedName name="Z_F11B655D_FBAF_43E6_9590_53DE79FBF084_.wvu.FilterData" localSheetId="0" hidden="1">Outbound_Monitor!$A$2:$X$16</definedName>
    <definedName name="Z_F120EE2C_80AA_4DE3_A2C8_B558CFEC6F6A_.wvu.FilterData" localSheetId="1" hidden="1">Inbound_Monitor!$A$2:$Q$2</definedName>
    <definedName name="Z_F120EE2C_80AA_4DE3_A2C8_B558CFEC6F6A_.wvu.FilterData" localSheetId="0" hidden="1">Outbound_Monitor!$A$2:$W$2</definedName>
    <definedName name="Z_F12859A9_83A7_492B_A670_78487D53DB8D_.wvu.FilterData" localSheetId="0" hidden="1">Outbound_Monitor!$A$2:$W$3</definedName>
    <definedName name="Z_F13F8B13_9214_4A6F_8B1C_EC95DB31A121_.wvu.FilterData" localSheetId="1" hidden="1">Inbound_Monitor!$A$2:$Q$3</definedName>
    <definedName name="Z_F1468560_C3A2_43A6_996F_73CAB279D74B_.wvu.FilterData" localSheetId="0" hidden="1">Outbound_Monitor!$A$2:$W$3</definedName>
    <definedName name="Z_F1503E78_E25E_4733_B7C4_33B69B7F206E_.wvu.FilterData" localSheetId="1" hidden="1">Inbound_Monitor!$A$2:$Q$3</definedName>
    <definedName name="Z_F1503E78_E25E_4733_B7C4_33B69B7F206E_.wvu.FilterData" localSheetId="0" hidden="1">Outbound_Monitor!$A$2:$W$3</definedName>
    <definedName name="Z_F16AD605_912B_47A1_A21D_DC63B21144DA_.wvu.FilterData" localSheetId="0" hidden="1">Outbound_Monitor!$A$2:$W$3</definedName>
    <definedName name="Z_F16DFA64_F561_4C67_8644_57175BB1389A_.wvu.FilterData" localSheetId="1" hidden="1">Inbound_Monitor!$A$2:$Q$3</definedName>
    <definedName name="Z_F16DFA64_F561_4C67_8644_57175BB1389A_.wvu.FilterData" localSheetId="0" hidden="1">Outbound_Monitor!$A$2:$W$3</definedName>
    <definedName name="Z_F16F720F_009D_414B_A092_D4A26BBE9AC0_.wvu.FilterData" localSheetId="0" hidden="1">Outbound_Monitor!$A$2:$W$3</definedName>
    <definedName name="Z_F17AA9A1_D607_4BDE_8F26_C90E45414911_.wvu.FilterData" localSheetId="1" hidden="1">Inbound_Monitor!$A$2:$Q$13</definedName>
    <definedName name="Z_F1865BFE_A114_4F9F_A26B_AFC691FB9640_.wvu.FilterData" localSheetId="0" hidden="1">Outbound_Monitor!$A$2:$W$3</definedName>
    <definedName name="Z_F199BFD7_1011_4885_9AC3_99B0F480DE15_.wvu.FilterData" localSheetId="0" hidden="1">Outbound_Monitor!$A$2:$W$3</definedName>
    <definedName name="Z_F19ACD55_06F6_485F_AD3C_2E7542185C82_.wvu.FilterData" localSheetId="1" hidden="1">Inbound_Monitor!$A$2:$Q$2</definedName>
    <definedName name="Z_F19ACD55_06F6_485F_AD3C_2E7542185C82_.wvu.FilterData" localSheetId="0" hidden="1">Outbound_Monitor!$A$2:$W$2</definedName>
    <definedName name="Z_F1A06694_9D9F_47D0_AC68_C903F371DBDA_.wvu.FilterData" localSheetId="4" hidden="1">Schichtübergabe_Protokoll!$B$3:$N$3</definedName>
    <definedName name="Z_F1B1FA32_0FEB_4B65_9D1C_BADD25828F5B_.wvu.FilterData" localSheetId="0" hidden="1">Outbound_Monitor!$A$2:$W$3</definedName>
    <definedName name="Z_F1BDFD72_8D80_4FC9_969B_E70F50FD5E77_.wvu.FilterData" localSheetId="0" hidden="1">Outbound_Monitor!$A$2:$W$3</definedName>
    <definedName name="Z_F1C7F800_ADD7_4C16_8DE5_3FCA3BC6C851_.wvu.FilterData" localSheetId="4" hidden="1">Schichtübergabe_Protokoll!$B$3:$N$3</definedName>
    <definedName name="Z_F1C8095A_49D1_4E36_8AB2_EBA4C27B7DE5_.wvu.FilterData" localSheetId="1" hidden="1">Inbound_Monitor!$A$2:$Q$3</definedName>
    <definedName name="Z_F1C8095A_49D1_4E36_8AB2_EBA4C27B7DE5_.wvu.FilterData" localSheetId="0" hidden="1">Outbound_Monitor!$A$2:$W$3</definedName>
    <definedName name="Z_F1D06713_818C_48A4_A28B_C334909CC9AD_.wvu.FilterData" localSheetId="0" hidden="1">Outbound_Monitor!$A$2:$X$3</definedName>
    <definedName name="Z_F1E280AA_1CDF_4908_85D9_F3E2D9AFC725_.wvu.FilterData" localSheetId="1" hidden="1">Inbound_Monitor!$A$2:$Q$13</definedName>
    <definedName name="Z_F1EABF35_8363_4184_8086_F3152378ED5C_.wvu.FilterData" localSheetId="0" hidden="1">Outbound_Monitor!$A$2:$W$3</definedName>
    <definedName name="Z_F1F72AA7_6A7F_46E2_9E52_5C19C0E4A3EF_.wvu.FilterData" localSheetId="0" hidden="1">Outbound_Monitor!$A$2:$W$3</definedName>
    <definedName name="Z_F20C7056_BFE8_45F9_97BA_C1EB865EE765_.wvu.FilterData" localSheetId="1" hidden="1">Inbound_Monitor!$A$2:$Q$2</definedName>
    <definedName name="Z_F20C7056_BFE8_45F9_97BA_C1EB865EE765_.wvu.FilterData" localSheetId="0" hidden="1">Outbound_Monitor!$A$2:$W$2</definedName>
    <definedName name="Z_F210F32D_484F_423B_8E32_8A408E841122_.wvu.FilterData" localSheetId="1" hidden="1">Inbound_Monitor!$A$2:$Q$13</definedName>
    <definedName name="Z_F210F32D_484F_423B_8E32_8A408E841122_.wvu.FilterData" localSheetId="0" hidden="1">Outbound_Monitor!$A$2:$W$3</definedName>
    <definedName name="Z_F2115621_B24C_4F1C_9D61_C52C28B5AF2C_.wvu.FilterData" localSheetId="0" hidden="1">Outbound_Monitor!$A$2:$W$3</definedName>
    <definedName name="Z_F21213CB_AD0A_4227_8F2E_DB7526AE2B17_.wvu.FilterData" localSheetId="1" hidden="1">Inbound_Monitor!$A$2:$Q$13</definedName>
    <definedName name="Z_F21213CB_AD0A_4227_8F2E_DB7526AE2B17_.wvu.FilterData" localSheetId="0" hidden="1">Outbound_Monitor!$A$2:$W$3</definedName>
    <definedName name="Z_F2169A15_9699_4F75_B3CA_FD02329369E2_.wvu.FilterData" localSheetId="0" hidden="1">Outbound_Monitor!$A$2:$X$16</definedName>
    <definedName name="Z_F22A05F1_D8F7_4885_91BD_E63242F88DE6_.wvu.FilterData" localSheetId="1" hidden="1">Inbound_Monitor!$A$2:$Q$3</definedName>
    <definedName name="Z_F22CA967_CF93_433E_A3F7_7BF3C9E200AA_.wvu.FilterData" localSheetId="0" hidden="1">Outbound_Monitor!$A$2:$W$3</definedName>
    <definedName name="Z_F238BB53_591C_49EA_9053_A61AD4FD1A8F_.wvu.FilterData" localSheetId="1" hidden="1">Inbound_Monitor!$A$2:$Q$2</definedName>
    <definedName name="Z_F238BB53_591C_49EA_9053_A61AD4FD1A8F_.wvu.FilterData" localSheetId="0" hidden="1">Outbound_Monitor!$A$2:$W$2</definedName>
    <definedName name="Z_F23B2FF5_0BCE_43E3_9DC3_F6E53517F820_.wvu.FilterData" localSheetId="1" hidden="1">Inbound_Monitor!$A$2:$Q$3</definedName>
    <definedName name="Z_F244F153_16C1_4BCB_9D6D_965E2E376B62_.wvu.FilterData" localSheetId="1" hidden="1">Inbound_Monitor!$A$2:$Q$3</definedName>
    <definedName name="Z_F254B197_79C9_4945_A8C0_E513D66068A5_.wvu.FilterData" localSheetId="0" hidden="1">Outbound_Monitor!$A$2:$W$3</definedName>
    <definedName name="Z_F25EE5B0_A1BA_4A9B_A2C7_2D4484D42E08_.wvu.FilterData" localSheetId="1" hidden="1">Inbound_Monitor!$A$2:$Q$2</definedName>
    <definedName name="Z_F25EE5B0_A1BA_4A9B_A2C7_2D4484D42E08_.wvu.FilterData" localSheetId="0" hidden="1">Outbound_Monitor!$A$2:$W$2</definedName>
    <definedName name="Z_F2699F59_A348_43A3_83E1_9597896A33B4_.wvu.FilterData" localSheetId="0" hidden="1">Outbound_Monitor!$A$2:$W$3</definedName>
    <definedName name="Z_F26F6B6F_CDA0_4453_8F90_E33B882D79C9_.wvu.FilterData" localSheetId="1" hidden="1">Inbound_Monitor!$A$2:$Q$3</definedName>
    <definedName name="Z_F26F6B6F_CDA0_4453_8F90_E33B882D79C9_.wvu.FilterData" localSheetId="4" hidden="1">Schichtübergabe_Protokoll!$B$3:$N$3</definedName>
    <definedName name="Z_F26F9601_890E_48D5_B730_EB2F5B42F7F2_.wvu.FilterData" localSheetId="1" hidden="1">Inbound_Monitor!$A$2:$Q$3</definedName>
    <definedName name="Z_F27DB35D_09FC_4B65_9975_891E978BFC00_.wvu.FilterData" localSheetId="1" hidden="1">Inbound_Monitor!$A$2:$Q$13</definedName>
    <definedName name="Z_F2844B64_1597_4392_9EC4_2CE6068FAA45_.wvu.FilterData" localSheetId="0" hidden="1">Outbound_Monitor!$A$2:$W$3</definedName>
    <definedName name="Z_F28CEA49_0DBF_4CA7_A6AE_513822996278_.wvu.FilterData" localSheetId="0" hidden="1">Outbound_Monitor!$A$2:$W$3</definedName>
    <definedName name="Z_F2A90991_A3F5_451E_AB66_72AAA29C5F68_.wvu.FilterData" localSheetId="0" hidden="1">Outbound_Monitor!$A$2:$X$16</definedName>
    <definedName name="Z_F2B30641_C6BE_498B_A31E_7FDD83F3B5B1_.wvu.FilterData" localSheetId="0" hidden="1">Outbound_Monitor!$A$2:$W$3</definedName>
    <definedName name="Z_F2B8C791_A9FE_4C4A_BED3_B72926E71A33_.wvu.FilterData" localSheetId="0" hidden="1">Outbound_Monitor!$A$2:$W$3</definedName>
    <definedName name="Z_F2C19B7C_FBD7_4294_BD4A_CCC3D01E273D_.wvu.FilterData" localSheetId="1" hidden="1">Inbound_Monitor!$A$2:$Q$3</definedName>
    <definedName name="Z_F2C62E96_2A20_4EFB_83DF_AE2BFFD65BD8_.wvu.FilterData" localSheetId="1" hidden="1">Inbound_Monitor!$A$2:$Q$3</definedName>
    <definedName name="Z_F2C9A254_0E6F_4E33_9E03_60D2622AEBE5_.wvu.FilterData" localSheetId="0" hidden="1">Outbound_Monitor!$A$3:$X$16</definedName>
    <definedName name="Z_F2CE2CA5_B260_49E1_95FA_1309F47C8BF4_.wvu.FilterData" localSheetId="0" hidden="1">Outbound_Monitor!$A$2:$W$3</definedName>
    <definedName name="Z_F2E0A2F8_90C7_45A3_BA24_6013CCAC9808_.wvu.FilterData" localSheetId="1" hidden="1">Inbound_Monitor!$A$2:$Q$13</definedName>
    <definedName name="Z_F2E23F8D_0D91_473B_BDFD_50CA6B71FCA7_.wvu.FilterData" localSheetId="0" hidden="1">Outbound_Monitor!$A$2:$W$3</definedName>
    <definedName name="Z_F2EA75A4_78D9_4393_8544_7076B69A37FC_.wvu.FilterData" localSheetId="1" hidden="1">Inbound_Monitor!$A$2:$Q$3</definedName>
    <definedName name="Z_F2EA75A4_78D9_4393_8544_7076B69A37FC_.wvu.FilterData" localSheetId="0" hidden="1">Outbound_Monitor!$A$2:$W$3</definedName>
    <definedName name="Z_F2EFBF95_36D7_4708_85E6_77117782C929_.wvu.FilterData" localSheetId="0" hidden="1">Outbound_Monitor!$A$2:$W$3</definedName>
    <definedName name="Z_F2F60FA7_5B25_4695_900B_C5007370CCBE_.wvu.FilterData" localSheetId="0" hidden="1">Outbound_Monitor!$A$2:$W$3</definedName>
    <definedName name="Z_F3071102_2669_4D40_A0E5_5F610C908C78_.wvu.FilterData" localSheetId="0" hidden="1">Outbound_Monitor!$A$2:$W$3</definedName>
    <definedName name="Z_F3191185_7E4F_4F15_86FB_22DFC3BBC849_.wvu.FilterData" localSheetId="0" hidden="1">Outbound_Monitor!$A$2:$W$3</definedName>
    <definedName name="Z_F3192D06_D6F3_431B_A376_3D862A5824A5_.wvu.FilterData" localSheetId="0" hidden="1">Outbound_Monitor!$A$2:$X$16</definedName>
    <definedName name="Z_F319DD37_137C_4776_AE03_28A8387C41A2_.wvu.FilterData" localSheetId="1" hidden="1">Inbound_Monitor!$A$2:$Q$3</definedName>
    <definedName name="Z_F32C1A36_1A2B_47CF_BBA8_5598139CA26A_.wvu.FilterData" localSheetId="1" hidden="1">Inbound_Monitor!$A$2:$Q$13</definedName>
    <definedName name="Z_F32FD53E_22AD_409C_B23C_11F1A42A0F5A_.wvu.FilterData" localSheetId="0" hidden="1">Outbound_Monitor!$A$2:$W$3</definedName>
    <definedName name="Z_F33359B5_9CB8_4064_BE7B_DC4EA1E02F09_.wvu.FilterData" localSheetId="0" hidden="1">Outbound_Monitor!$A$2:$W$3</definedName>
    <definedName name="Z_F334A6E1_B3F7_4194_9F08_3EDEB2C469F7_.wvu.FilterData" localSheetId="1" hidden="1">Inbound_Monitor!$A$2:$Q$2</definedName>
    <definedName name="Z_F334A6E1_B3F7_4194_9F08_3EDEB2C469F7_.wvu.FilterData" localSheetId="0" hidden="1">Outbound_Monitor!$A$2:$W$2</definedName>
    <definedName name="Z_F342F446_6A5D_4D0E_9AB4_591965A75F4F_.wvu.FilterData" localSheetId="1" hidden="1">Inbound_Monitor!$A$2:$Q$2</definedName>
    <definedName name="Z_F342F446_6A5D_4D0E_9AB4_591965A75F4F_.wvu.FilterData" localSheetId="0" hidden="1">Outbound_Monitor!$A$2:$W$2</definedName>
    <definedName name="Z_F3445186_CA35_444B_BFA1_44D777E253F5_.wvu.FilterData" localSheetId="1" hidden="1">Inbound_Monitor!$A$2:$Q$3</definedName>
    <definedName name="Z_F3445186_CA35_444B_BFA1_44D777E253F5_.wvu.FilterData" localSheetId="0" hidden="1">Outbound_Monitor!$A$2:$W$3</definedName>
    <definedName name="Z_F3452C8A_6A52_4650_B055_E23AAC73D11F_.wvu.FilterData" localSheetId="1" hidden="1">Inbound_Monitor!$A$2:$Q$13</definedName>
    <definedName name="Z_F349E671_A723_413A_9CA4_32A43071308A_.wvu.FilterData" localSheetId="1" hidden="1">Inbound_Monitor!$A$2:$Q$3</definedName>
    <definedName name="Z_F34C9399_DE3F_437A_9029_0E6244FA5753_.wvu.FilterData" localSheetId="1" hidden="1">Inbound_Monitor!$A$2:$Q$3</definedName>
    <definedName name="Z_F34F8ED3_CF8A_496C_87C0_7E7A514E460B_.wvu.FilterData" localSheetId="0" hidden="1">Outbound_Monitor!$A$2:$W$3</definedName>
    <definedName name="Z_F3555845_DEDD_452A_AE30_329555EA0CE7_.wvu.FilterData" localSheetId="1" hidden="1">Inbound_Monitor!$A$2:$Q$3</definedName>
    <definedName name="Z_F35FACCF_08DE_4BE8_B0FE_EB14A544A437_.wvu.FilterData" localSheetId="1" hidden="1">Inbound_Monitor!$A$2:$Q$3</definedName>
    <definedName name="Z_F362368D_525F_4006_BA0E_6E554E7B9B4C_.wvu.FilterData" localSheetId="0" hidden="1">Outbound_Monitor!$A$2:$X$16</definedName>
    <definedName name="Z_F36C527F_6132_418B_A53B_39A18CA76615_.wvu.FilterData" localSheetId="0" hidden="1">Outbound_Monitor!$A$2:$W$3</definedName>
    <definedName name="Z_F3862E61_E67F_4BEB_AC41_02C6F28048C7_.wvu.FilterData" localSheetId="0" hidden="1">Outbound_Monitor!$A$2:$W$3</definedName>
    <definedName name="Z_F39EC975_82B6_40E5_9946_CDA5505B9AB3_.wvu.FilterData" localSheetId="1" hidden="1">Inbound_Monitor!$A$2:$Q$13</definedName>
    <definedName name="Z_F3AFF1F3_CD2E_4FA3_9C90_C078C40803C5_.wvu.FilterData" localSheetId="0" hidden="1">Outbound_Monitor!$A$2:$W$3</definedName>
    <definedName name="Z_F3C9351E_2A7D_45BB_8A24_C3D038A2C0D5_.wvu.FilterData" localSheetId="1" hidden="1">Inbound_Monitor!$A$2:$Q$13</definedName>
    <definedName name="Z_F3C9351E_2A7D_45BB_8A24_C3D038A2C0D5_.wvu.FilterData" localSheetId="0" hidden="1">Outbound_Monitor!$A$2:$W$3</definedName>
    <definedName name="Z_F3CCD87B_3FD5_4FF9_8871_F7971AAF9297_.wvu.FilterData" localSheetId="0" hidden="1">Outbound_Monitor!$A$2:$W$3</definedName>
    <definedName name="Z_F3D32C09_74E2_4A8C_8E8E_A7045897A923_.wvu.FilterData" localSheetId="0" hidden="1">Outbound_Monitor!$A$2:$W$3</definedName>
    <definedName name="Z_F3D47797_9D1D_4231_9181_3D0018A8BA60_.wvu.FilterData" localSheetId="1" hidden="1">Inbound_Monitor!$A$2:$Q$2</definedName>
    <definedName name="Z_F3D47797_9D1D_4231_9181_3D0018A8BA60_.wvu.FilterData" localSheetId="0" hidden="1">Outbound_Monitor!$A$2:$W$2</definedName>
    <definedName name="Z_F3D5EF4E_28F7_421C_925A_BF3715D2AB2C_.wvu.FilterData" localSheetId="0" hidden="1">Outbound_Monitor!$A$2:$W$3</definedName>
    <definedName name="Z_F3D7F155_3A41_4F74_A788_CFC229F731C3_.wvu.FilterData" localSheetId="0" hidden="1">Outbound_Monitor!$A$2:$X$3</definedName>
    <definedName name="Z_F3DD04D4_CFAC_4722_B065_F6D11E452DA0_.wvu.FilterData" localSheetId="0" hidden="1">Outbound_Monitor!$A$2:$W$3</definedName>
    <definedName name="Z_F3EAE3A6_5C8F_4424_BB7C_FB56A9661C23_.wvu.FilterData" localSheetId="0" hidden="1">Outbound_Monitor!$A$2:$W$3</definedName>
    <definedName name="Z_F3EB5096_D0AB_4546_9C83_D5C79B887FF9_.wvu.FilterData" localSheetId="0" hidden="1">Outbound_Monitor!$A$2:$W$3</definedName>
    <definedName name="Z_F3F80918_B9A9_4D7B_BB54_3D13BB717A81_.wvu.FilterData" localSheetId="0" hidden="1">Outbound_Monitor!$A$2:$W$3</definedName>
    <definedName name="Z_F3F90A47_B380_49EF_BB62_5319C42FE3D5_.wvu.FilterData" localSheetId="0" hidden="1">Outbound_Monitor!$A$2:$W$3</definedName>
    <definedName name="Z_F40560B9_879C_44DE_96B1_739429E20D39_.wvu.FilterData" localSheetId="1" hidden="1">Inbound_Monitor!$A$2:$Q$13</definedName>
    <definedName name="Z_F4081820_021C_4DAE_8625_E30678E4532E_.wvu.FilterData" localSheetId="1" hidden="1">Inbound_Monitor!$A$2:$Q$3</definedName>
    <definedName name="Z_F4105BD7_DE45_42C2_824A_68539D90E31D_.wvu.FilterData" localSheetId="0" hidden="1">Outbound_Monitor!$A$2:$W$3</definedName>
    <definedName name="Z_F4153BCD_536D_45D2_A25B_996DFCB42EC5_.wvu.FilterData" localSheetId="0" hidden="1">Outbound_Monitor!$A$2:$X$16</definedName>
    <definedName name="Z_F417E754_6854_4688_9FDC_32F3B1617C31_.wvu.FilterData" localSheetId="1" hidden="1">Inbound_Monitor!$A$2:$Q$2</definedName>
    <definedName name="Z_F417E754_6854_4688_9FDC_32F3B1617C31_.wvu.FilterData" localSheetId="0" hidden="1">Outbound_Monitor!$A$2:$W$2</definedName>
    <definedName name="Z_F418C403_0D45_4FCA_834B_E1023C2523B3_.wvu.FilterData" localSheetId="0" hidden="1">Outbound_Monitor!$A$2:$W$3</definedName>
    <definedName name="Z_F41C9462_E817_4B40_BA21_0141954A4E74_.wvu.FilterData" localSheetId="1" hidden="1">Inbound_Monitor!$A$2:$Q$3</definedName>
    <definedName name="Z_F41C9462_E817_4B40_BA21_0141954A4E74_.wvu.FilterData" localSheetId="0" hidden="1">Outbound_Monitor!$A$2:$W$3</definedName>
    <definedName name="Z_F442B324_DC33_4673_9E5F_57A840170F91_.wvu.FilterData" localSheetId="1" hidden="1">Inbound_Monitor!$A$2:$Q$3</definedName>
    <definedName name="Z_F4465F9B_7970_41E6_98DD_91A3E9961222_.wvu.FilterData" localSheetId="0" hidden="1">Outbound_Monitor!$A$2:$X$16</definedName>
    <definedName name="Z_F449B8FD_1464_4A42_B710_EBB99077D76E_.wvu.FilterData" localSheetId="0" hidden="1">Outbound_Monitor!$A$2:$W$3</definedName>
    <definedName name="Z_F452B474_F7DB_4A07_BE48_FBDE1CF886DD_.wvu.FilterData" localSheetId="0" hidden="1">Outbound_Monitor!$A$2:$W$3</definedName>
    <definedName name="Z_F45AADAA_74FE_4F98_9E78_C8AC970F397A_.wvu.FilterData" localSheetId="0" hidden="1">Outbound_Monitor!$A$2:$W$3</definedName>
    <definedName name="Z_F460E7C6_7CA2_4D20_896B_2C9D7A93775A_.wvu.FilterData" localSheetId="0" hidden="1">Outbound_Monitor!$A$2:$W$3</definedName>
    <definedName name="Z_F46FC7C9_2B97_4A5C_8FC4_71BBD4EF03A9_.wvu.FilterData" localSheetId="0" hidden="1">Outbound_Monitor!$A$2:$W$3</definedName>
    <definedName name="Z_F47EBEAB_5443_4A64_A9E5_E131226E2DE2_.wvu.FilterData" localSheetId="0" hidden="1">Outbound_Monitor!$A$2:$W$3</definedName>
    <definedName name="Z_F48F2381_A179_4AE7_9604_46E8416BB0D5_.wvu.FilterData" localSheetId="1" hidden="1">Inbound_Monitor!$A$2:$Q$13</definedName>
    <definedName name="Z_F48F2381_A179_4AE7_9604_46E8416BB0D5_.wvu.FilterData" localSheetId="0" hidden="1">Outbound_Monitor!$A$2:$W$3</definedName>
    <definedName name="Z_F496B4B2_75E7_4F2B_B809_68D310A0AD5A_.wvu.FilterData" localSheetId="0" hidden="1">Outbound_Monitor!$A$2:$W$3</definedName>
    <definedName name="Z_F4B5A673_B36D_4B98_B3EA_4B44D93C5182_.wvu.FilterData" localSheetId="1" hidden="1">Inbound_Monitor!$A$2:$Q$2</definedName>
    <definedName name="Z_F4B5A673_B36D_4B98_B3EA_4B44D93C5182_.wvu.FilterData" localSheetId="0" hidden="1">Outbound_Monitor!$A$2:$W$2</definedName>
    <definedName name="Z_F4C0722B_4CDF_4D45_9032_0436376D8C6A_.wvu.FilterData" localSheetId="0" hidden="1">Outbound_Monitor!$A$2:$X$16</definedName>
    <definedName name="Z_F4C10245_4515_4FF0_880E_FA582BFA4859_.wvu.FilterData" localSheetId="0" hidden="1">Outbound_Monitor!$A$2:$W$3</definedName>
    <definedName name="Z_F4C280E3_2C8A_4A80_960F_1AA14113E7AA_.wvu.FilterData" localSheetId="0" hidden="1">Outbound_Monitor!$A$2:$W$3</definedName>
    <definedName name="Z_F4D76C5C_0A02_4ED4_A4F4_70ADB7352522_.wvu.FilterData" localSheetId="1" hidden="1">Inbound_Monitor!$A$2:$Q$13</definedName>
    <definedName name="Z_F4D76C5C_0A02_4ED4_A4F4_70ADB7352522_.wvu.FilterData" localSheetId="0" hidden="1">Outbound_Monitor!$A$2:$W$3</definedName>
    <definedName name="Z_F4DA927C_8619_4D30_8197_2D5224AA6C11_.wvu.FilterData" localSheetId="0" hidden="1">Outbound_Monitor!$A$2:$W$3</definedName>
    <definedName name="Z_F4E39F1E_E6BF_4326_896C_4976FDA4FD84_.wvu.FilterData" localSheetId="1" hidden="1">Inbound_Monitor!$A$2:$Q$3</definedName>
    <definedName name="Z_F4EA4431_879F_4D47_98F1_7E78BA008D18_.wvu.FilterData" localSheetId="1" hidden="1">Inbound_Monitor!$A$2:$Q$3</definedName>
    <definedName name="Z_F4F030EE_E81B_4B4E_90AC_6EE5064B9467_.wvu.FilterData" localSheetId="0" hidden="1">Outbound_Monitor!$A$2:$W$3</definedName>
    <definedName name="Z_F4F4DC8F_5143_47A8_AC6D_5B140ED24DED_.wvu.FilterData" localSheetId="0" hidden="1">Outbound_Monitor!$A$2:$W$3</definedName>
    <definedName name="Z_F505A4FA_EA43_46AC_AC25_A7389B22CF1D_.wvu.FilterData" localSheetId="1" hidden="1">Inbound_Monitor!$A$2:$Q$3</definedName>
    <definedName name="Z_F512E7C5_1B5F_4433_84E0_DF9CCCAF98BB_.wvu.FilterData" localSheetId="0" hidden="1">Outbound_Monitor!$A$2:$W$3</definedName>
    <definedName name="Z_F5157B74_4D9B_445C_A4A4_805FA9E5163E_.wvu.FilterData" localSheetId="1" hidden="1">Inbound_Monitor!$A$2:$Q$3</definedName>
    <definedName name="Z_F5157B74_4D9B_445C_A4A4_805FA9E5163E_.wvu.FilterData" localSheetId="0" hidden="1">Outbound_Monitor!$A$2:$W$3</definedName>
    <definedName name="Z_F527B6B9_5E20_4078_B4BB_912A8013EB10_.wvu.FilterData" localSheetId="0" hidden="1">Outbound_Monitor!$A$2:$W$3</definedName>
    <definedName name="Z_F55D2A1F_9F0F_43AD_A9B4_585104A41060_.wvu.FilterData" localSheetId="1" hidden="1">Inbound_Monitor!$A$2:$Q$3</definedName>
    <definedName name="Z_F5769495_685A_4661_B576_D2525E43610D_.wvu.FilterData" localSheetId="1" hidden="1">Inbound_Monitor!$A$2:$Q$13</definedName>
    <definedName name="Z_F5769495_685A_4661_B576_D2525E43610D_.wvu.FilterData" localSheetId="0" hidden="1">Outbound_Monitor!$A$2:$X$16</definedName>
    <definedName name="Z_F5769495_685A_4661_B576_D2525E43610D_.wvu.FilterData" localSheetId="4" hidden="1">Schichtübergabe_Protokoll!$B$3:$N$3</definedName>
    <definedName name="Z_F586DA7E_A4D5_4FA0_B10E_20D3F0DCF9AA_.wvu.FilterData" localSheetId="0" hidden="1">Outbound_Monitor!$A$2:$W$3</definedName>
    <definedName name="Z_F58A9A60_E8E1_4554_8164_FADDD0AADD0A_.wvu.FilterData" localSheetId="1" hidden="1">Inbound_Monitor!$A$2:$Q$13</definedName>
    <definedName name="Z_F58B5073_7F53_4243_AD14_7789DCE7015B_.wvu.FilterData" localSheetId="0" hidden="1">Outbound_Monitor!$A$2:$W$3</definedName>
    <definedName name="Z_F59032AE_77A4_4E1D_B457_6100B16097FA_.wvu.FilterData" localSheetId="0" hidden="1">Outbound_Monitor!$A$2:$W$3</definedName>
    <definedName name="Z_F59032AE_77A4_4E1D_B457_6100B16097FA_.wvu.FilterData" localSheetId="4" hidden="1">Schichtübergabe_Protokoll!$B$3:$N$3</definedName>
    <definedName name="Z_F59208C7_8A97_4DC0_BC10_010BCA2F3B28_.wvu.FilterData" localSheetId="0" hidden="1">Outbound_Monitor!$A$2:$X$16</definedName>
    <definedName name="Z_F5A87FFC_E555_46F3_BCE0_C667747783D3_.wvu.FilterData" localSheetId="0" hidden="1">Outbound_Monitor!$A$2:$W$3</definedName>
    <definedName name="Z_F5B20C76_3074_4175_8D6A_4275F8016AC9_.wvu.FilterData" localSheetId="0" hidden="1">Outbound_Monitor!$A$2:$W$3</definedName>
    <definedName name="Z_F5B8C883_B68C_44A8_81DA_6547C53813F4_.wvu.FilterData" localSheetId="0" hidden="1">Outbound_Monitor!$A$2:$W$3</definedName>
    <definedName name="Z_F5BAC7FC_048D_449F_ABB0_BCB6157D2AED_.wvu.FilterData" localSheetId="0" hidden="1">Outbound_Monitor!$A$2:$W$3</definedName>
    <definedName name="Z_F5C83571_3E7A_4CAE_BDBD_9111DE6EF0DF_.wvu.FilterData" localSheetId="1" hidden="1">Inbound_Monitor!$A$2:$Q$3</definedName>
    <definedName name="Z_F5C83571_3E7A_4CAE_BDBD_9111DE6EF0DF_.wvu.FilterData" localSheetId="0" hidden="1">Outbound_Monitor!$A$2:$W$3</definedName>
    <definedName name="Z_F5C9E0C3_74BC_4A63_AB7A_B24240292E88_.wvu.FilterData" localSheetId="1" hidden="1">Inbound_Monitor!$A$2:$Q$3</definedName>
    <definedName name="Z_F5C9E0C3_74BC_4A63_AB7A_B24240292E88_.wvu.FilterData" localSheetId="0" hidden="1">Outbound_Monitor!$A$2:$W$3</definedName>
    <definedName name="Z_F5D26741_5EF0_488E_9842_049FF4107E70_.wvu.FilterData" localSheetId="1" hidden="1">Inbound_Monitor!$A$2:$Q$3</definedName>
    <definedName name="Z_F5D33BB7_9317_4E51_BB96_E6F41993073D_.wvu.FilterData" localSheetId="1" hidden="1">Inbound_Monitor!$A$2:$Q$13</definedName>
    <definedName name="Z_F5D33BB7_9317_4E51_BB96_E6F41993073D_.wvu.FilterData" localSheetId="0" hidden="1">Outbound_Monitor!$A$2:$W$3</definedName>
    <definedName name="Z_F5D89131_CB60_44DA_8DD1_31536BFE6DF6_.wvu.FilterData" localSheetId="0" hidden="1">Outbound_Monitor!$A$2:$W$3</definedName>
    <definedName name="Z_F5DD546E_587C_4793_96E7_2E9B9B8FA388_.wvu.FilterData" localSheetId="0" hidden="1">Outbound_Monitor!$A$2:$X$16</definedName>
    <definedName name="Z_F5EDE4EC_595E_498F_8D17_B80FEBD38AA5_.wvu.FilterData" localSheetId="1" hidden="1">Inbound_Monitor!$A$2:$Q$13</definedName>
    <definedName name="Z_F5EDE4EC_595E_498F_8D17_B80FEBD38AA5_.wvu.FilterData" localSheetId="0" hidden="1">Outbound_Monitor!$A$2:$W$3</definedName>
    <definedName name="Z_F5EE9A2E_577E_497E_839A_C3AEA1E48CDA_.wvu.FilterData" localSheetId="1" hidden="1">Inbound_Monitor!$A$2:$Q$2</definedName>
    <definedName name="Z_F5EE9A2E_577E_497E_839A_C3AEA1E48CDA_.wvu.FilterData" localSheetId="0" hidden="1">Outbound_Monitor!$A$2:$W$2</definedName>
    <definedName name="Z_F5EFDC30_D982_4BB5_8DA4_B86F7BF413CB_.wvu.FilterData" localSheetId="0" hidden="1">Outbound_Monitor!$A$2:$W$3</definedName>
    <definedName name="Z_F60D5D21_EC11_4961_B0F0_3D96B67F6787_.wvu.FilterData" localSheetId="0" hidden="1">Outbound_Monitor!$A$2:$W$3</definedName>
    <definedName name="Z_F60E2281_6062_4E66_81AC_A59918CE5E7A_.wvu.FilterData" localSheetId="1" hidden="1">Inbound_Monitor!$A$2:$Q$3</definedName>
    <definedName name="Z_F623AB9B_F714_476B_BACA_97FA5C4B6669_.wvu.FilterData" localSheetId="1" hidden="1">Inbound_Monitor!$A$2:$Q$13</definedName>
    <definedName name="Z_F623AB9B_F714_476B_BACA_97FA5C4B6669_.wvu.FilterData" localSheetId="0" hidden="1">Outbound_Monitor!$A$2:$W$3</definedName>
    <definedName name="Z_F63ED90E_030A_4DA6_A5D4_11444A63D3C7_.wvu.FilterData" localSheetId="1" hidden="1">Inbound_Monitor!$A$2:$Q$13</definedName>
    <definedName name="Z_F65D21DE_4318_43BC_9FB6_612C71C933D3_.wvu.FilterData" localSheetId="1" hidden="1">Inbound_Monitor!$A$2:$Q$2</definedName>
    <definedName name="Z_F65D21DE_4318_43BC_9FB6_612C71C933D3_.wvu.FilterData" localSheetId="0" hidden="1">Outbound_Monitor!$A$2:$W$2</definedName>
    <definedName name="Z_F65ED8A2_EF33_45A3_B9E9_7F98F9B5CC0E_.wvu.FilterData" localSheetId="0" hidden="1">Outbound_Monitor!#REF!</definedName>
    <definedName name="Z_F66D938B_AEDB_498A_8113_8F2CFA5B07E2_.wvu.FilterData" localSheetId="1" hidden="1">Inbound_Monitor!$A$2:$Q$3</definedName>
    <definedName name="Z_F6749AA4_3690_4654_97A9_EB8354250FF1_.wvu.FilterData" localSheetId="0" hidden="1">Outbound_Monitor!$A$2:$W$3</definedName>
    <definedName name="Z_F689970D_85A3_46B7_A284_FBDBA3347EF9_.wvu.FilterData" localSheetId="1" hidden="1">Inbound_Monitor!$A$2:$Q$3</definedName>
    <definedName name="Z_F689970D_85A3_46B7_A284_FBDBA3347EF9_.wvu.FilterData" localSheetId="0" hidden="1">Outbound_Monitor!$A$2:$W$3</definedName>
    <definedName name="Z_F68B4F59_8BF5_4D3C_B4EE_5D9BFFE881A6_.wvu.FilterData" localSheetId="0" hidden="1">Outbound_Monitor!$A$2:$X$16</definedName>
    <definedName name="Z_F68F21C8_AED3_4522_A701_87F75D3D9784_.wvu.FilterData" localSheetId="4" hidden="1">Schichtübergabe_Protokoll!$B$3:$N$3</definedName>
    <definedName name="Z_F68F2BD3_34D7_4853_9BDE_B70997AFFE40_.wvu.FilterData" localSheetId="1" hidden="1">Inbound_Monitor!$A$2:$Q$13</definedName>
    <definedName name="Z_F68F2BD3_34D7_4853_9BDE_B70997AFFE40_.wvu.FilterData" localSheetId="0" hidden="1">Outbound_Monitor!$A$2:$W$3</definedName>
    <definedName name="Z_F693967C_CD7C_4E13_A52B_13F90F761B99_.wvu.FilterData" localSheetId="0" hidden="1">Outbound_Monitor!$A$2:$X$16</definedName>
    <definedName name="Z_F6957FE8_CC26_4A69_A229_E2B5AC56F9BF_.wvu.FilterData" localSheetId="1" hidden="1">Inbound_Monitor!$A$2:$Q$3</definedName>
    <definedName name="Z_F69FBEA7_CD53_4E6B_83E4_E2A7A9142808_.wvu.FilterData" localSheetId="0" hidden="1">Outbound_Monitor!$A$2:$W$3</definedName>
    <definedName name="Z_F6A1ABCE_38CD_44A8_9A6B_0836C00F49D7_.wvu.FilterData" localSheetId="1" hidden="1">Inbound_Monitor!$A$2:$Q$13</definedName>
    <definedName name="Z_F6A1ABCE_38CD_44A8_9A6B_0836C00F49D7_.wvu.FilterData" localSheetId="0" hidden="1">Outbound_Monitor!$A$2:$W$3</definedName>
    <definedName name="Z_F6A77AB6_E7F2_4D65_A414_06B56B5F907E_.wvu.FilterData" localSheetId="0" hidden="1">Outbound_Monitor!$A$2:$W$3</definedName>
    <definedName name="Z_F6AC6A9B_EAD5_4F56_9719_969279187255_.wvu.FilterData" localSheetId="0" hidden="1">Outbound_Monitor!$A$2:$W$3</definedName>
    <definedName name="Z_F6B2AD38_A315_4E80_94DF_890524353CE1_.wvu.FilterData" localSheetId="1" hidden="1">Inbound_Monitor!$A$2:$Q$3</definedName>
    <definedName name="Z_F6BA6902_7A41_46C3_82E6_F42A107D7D11_.wvu.FilterData" localSheetId="1" hidden="1">Inbound_Monitor!$A$2:$Q$3</definedName>
    <definedName name="Z_F6C44B5C_BFA4_4EDA_975B_69F061631F3E_.wvu.FilterData" localSheetId="1" hidden="1">Inbound_Monitor!$A$2:$Q$13</definedName>
    <definedName name="Z_F6C44B5C_BFA4_4EDA_975B_69F061631F3E_.wvu.FilterData" localSheetId="0" hidden="1">Outbound_Monitor!$A$2:$X$16</definedName>
    <definedName name="Z_F6CE0DB4_6931_486A_B0F6_A364660395D6_.wvu.FilterData" localSheetId="0" hidden="1">Outbound_Monitor!$A$2:$W$3</definedName>
    <definedName name="Z_F6CF9DA2_0EBA_4AA7_9CE2_3727D7A76B5B_.wvu.FilterData" localSheetId="1" hidden="1">Inbound_Monitor!$A$2:$Q$13</definedName>
    <definedName name="Z_F6EB4EDD_F06B_4A65_8037_6625A7C4DBBF_.wvu.FilterData" localSheetId="1" hidden="1">Inbound_Monitor!$A$2:$Q$3</definedName>
    <definedName name="Z_F6EC8DCA_E783_4745_BBE1_C9223B9A93B8_.wvu.FilterData" localSheetId="1" hidden="1">Inbound_Monitor!$A$2:$Q$13</definedName>
    <definedName name="Z_F6EC8DCA_E783_4745_BBE1_C9223B9A93B8_.wvu.FilterData" localSheetId="0" hidden="1">Outbound_Monitor!$A$2:$X$16</definedName>
    <definedName name="Z_F6F216B5_1D27_43D1_B341_146D1B1881A9_.wvu.FilterData" localSheetId="0" hidden="1">Outbound_Monitor!$A$2:$W$3</definedName>
    <definedName name="Z_F6FAA95B_164C_4D07_AC9F_342AFC2C3B54_.wvu.FilterData" localSheetId="1" hidden="1">Inbound_Monitor!$A$2:$Q$2</definedName>
    <definedName name="Z_F6FAA95B_164C_4D07_AC9F_342AFC2C3B54_.wvu.FilterData" localSheetId="0" hidden="1">Outbound_Monitor!$A$2:$W$2</definedName>
    <definedName name="Z_F6FDF9B9_26BB_40E9_813A_2BC91B139F06_.wvu.FilterData" localSheetId="1" hidden="1">Inbound_Monitor!$A$2:$Q$13</definedName>
    <definedName name="Z_F70F69E3_9AF7_4BB7_8694_29EE59B22BD1_.wvu.FilterData" localSheetId="0" hidden="1">Outbound_Monitor!$A$2:$W$3</definedName>
    <definedName name="Z_F7167754_6CCB_430C_B823_188673EA350B_.wvu.FilterData" localSheetId="1" hidden="1">Inbound_Monitor!$A$2:$Q$3</definedName>
    <definedName name="Z_F7167754_6CCB_430C_B823_188673EA350B_.wvu.FilterData" localSheetId="0" hidden="1">Outbound_Monitor!$A$2:$W$3</definedName>
    <definedName name="Z_F71D1D5A_5DA6_45A2_A37D_67F613E81219_.wvu.FilterData" localSheetId="0" hidden="1">Outbound_Monitor!$A$2:$W$3</definedName>
    <definedName name="Z_F7210B1C_0450_4248_96AC_71EFA2A63B35_.wvu.FilterData" localSheetId="1" hidden="1">Inbound_Monitor!$A$2:$Q$3</definedName>
    <definedName name="Z_F7215F4B_0640_4653_9D15_484ACC3E3F56_.wvu.FilterData" localSheetId="4" hidden="1">Schichtübergabe_Protokoll!$B$3:$N$3</definedName>
    <definedName name="Z_F724C51D_125B_47F2_B0F9_926CB605C5C2_.wvu.FilterData" localSheetId="0" hidden="1">Outbound_Monitor!$A$2:$W$3</definedName>
    <definedName name="Z_F737825D_DA20_4D82_BD9F_55E69BB805C6_.wvu.FilterData" localSheetId="0" hidden="1">Outbound_Monitor!$A$2:$X$16</definedName>
    <definedName name="Z_F746ADC4_3E3A_4E5D_AEA7_52D21AD42BB2_.wvu.FilterData" localSheetId="1" hidden="1">Inbound_Monitor!$A$2:$Q$13</definedName>
    <definedName name="Z_F746ADC4_3E3A_4E5D_AEA7_52D21AD42BB2_.wvu.FilterData" localSheetId="0" hidden="1">Outbound_Monitor!$A$2:$W$3</definedName>
    <definedName name="Z_F74A6BB6_F74A_43E5_9A28_F988B76D3FA3_.wvu.FilterData" localSheetId="1" hidden="1">Inbound_Monitor!$A$2:$Q$3</definedName>
    <definedName name="Z_F74DD7E6_8E12_48C0_96D0_7D324F8E1934_.wvu.FilterData" localSheetId="1" hidden="1">Inbound_Monitor!$A$2:$Q$2</definedName>
    <definedName name="Z_F74DD7E6_8E12_48C0_96D0_7D324F8E1934_.wvu.FilterData" localSheetId="0" hidden="1">Outbound_Monitor!$A$2:$W$2</definedName>
    <definedName name="Z_F7522DED_E205_40ED_AB6F_363B7F39ADE0_.wvu.FilterData" localSheetId="0" hidden="1">Outbound_Monitor!$A$2:$W$3</definedName>
    <definedName name="Z_F79DF46F_6DAF_4A20_8517_09F3BB4E2C61_.wvu.FilterData" localSheetId="0" hidden="1">Outbound_Monitor!$A$2:$X$16</definedName>
    <definedName name="Z_F79EE6AD_9E86_415E_995A_2DC2AC6D1F6D_.wvu.FilterData" localSheetId="1" hidden="1">Inbound_Monitor!$A$2:$Q$3</definedName>
    <definedName name="Z_F79EE6AD_9E86_415E_995A_2DC2AC6D1F6D_.wvu.FilterData" localSheetId="0" hidden="1">Outbound_Monitor!$A$2:$W$3</definedName>
    <definedName name="Z_F7A74D93_2223_40E2_BFCB_69A51FE36E9E_.wvu.FilterData" localSheetId="1" hidden="1">Inbound_Monitor!$A$2:$Q$3</definedName>
    <definedName name="Z_F7A929E1_E394_4201_A9E7_BE08C4FD4468_.wvu.FilterData" localSheetId="1" hidden="1">Inbound_Monitor!$A$2:$Q$2</definedName>
    <definedName name="Z_F7A929E1_E394_4201_A9E7_BE08C4FD4468_.wvu.FilterData" localSheetId="0" hidden="1">Outbound_Monitor!$A$2:$W$2</definedName>
    <definedName name="Z_F7AB8BCD_3019_45A3_9A55_377CCE535229_.wvu.FilterData" localSheetId="1" hidden="1">Inbound_Monitor!$A$2:$Q$3</definedName>
    <definedName name="Z_F7AB8BCD_3019_45A3_9A55_377CCE535229_.wvu.FilterData" localSheetId="0" hidden="1">Outbound_Monitor!$A$2:$X$3</definedName>
    <definedName name="Z_F7BA9E2A_D588_49FB_9348_13DFE2ED0AD5_.wvu.FilterData" localSheetId="4" hidden="1">Schichtübergabe_Protokoll!$B$3:$N$3</definedName>
    <definedName name="Z_F7BD33BE_CB24_4FFD_BE3A_08DFB2FF1BBB_.wvu.FilterData" localSheetId="1" hidden="1">Inbound_Monitor!$A$2:$Q$2</definedName>
    <definedName name="Z_F7BD33BE_CB24_4FFD_BE3A_08DFB2FF1BBB_.wvu.FilterData" localSheetId="0" hidden="1">Outbound_Monitor!$A$2:$W$2</definedName>
    <definedName name="Z_F7BD6FBD_291D_41B1_B360_57CED70F1B93_.wvu.FilterData" localSheetId="0" hidden="1">Outbound_Monitor!$A$2:$W$3</definedName>
    <definedName name="Z_F7C4BDC5_938D_4C0C_B0B7_0A2BAC54DD9F_.wvu.FilterData" localSheetId="1" hidden="1">Inbound_Monitor!$A$2:$Q$13</definedName>
    <definedName name="Z_F7C4BDC5_938D_4C0C_B0B7_0A2BAC54DD9F_.wvu.FilterData" localSheetId="0" hidden="1">Outbound_Monitor!$A$3:$X$16</definedName>
    <definedName name="Z_F7C4BDC5_938D_4C0C_B0B7_0A2BAC54DD9F_.wvu.FilterData" localSheetId="4" hidden="1">Schichtübergabe_Protokoll!$B$3:$N$3</definedName>
    <definedName name="Z_F7C4BDC5_938D_4C0C_B0B7_0A2BAC54DD9F_.wvu.Rows" localSheetId="0" hidden="1">Outbound_Monitor!#REF!</definedName>
    <definedName name="Z_F7C640A3_9E9E_425C_9FA7_7CFEB219F273_.wvu.FilterData" localSheetId="0" hidden="1">Outbound_Monitor!$A$2:$W$3</definedName>
    <definedName name="Z_F7CC4DD3_2874_4287_AFBA_8C7DCC42D8BE_.wvu.FilterData" localSheetId="1" hidden="1">Inbound_Monitor!$A$2:$Q$13</definedName>
    <definedName name="Z_F7CC4DD3_2874_4287_AFBA_8C7DCC42D8BE_.wvu.FilterData" localSheetId="0" hidden="1">Outbound_Monitor!$A$2:$W$3</definedName>
    <definedName name="Z_F7D14563_B358_4634_8147_0D82AC41A0C0_.wvu.FilterData" localSheetId="0" hidden="1">Outbound_Monitor!$A$2:$W$3</definedName>
    <definedName name="Z_F7D66170_8E66_493D_8C0D_5DAFF63ECADB_.wvu.FilterData" localSheetId="0" hidden="1">Outbound_Monitor!$A$2:$X$16</definedName>
    <definedName name="Z_F7FDC3C6_9B69_44BE_8237_FF86DCE49B6C_.wvu.FilterData" localSheetId="1" hidden="1">Inbound_Monitor!$A$2:$Q$3</definedName>
    <definedName name="Z_F8018C30_13EB_4B07_AFB9_23F2184234B2_.wvu.FilterData" localSheetId="1" hidden="1">Inbound_Monitor!$A$2:$Q$13</definedName>
    <definedName name="Z_F8018C30_13EB_4B07_AFB9_23F2184234B2_.wvu.FilterData" localSheetId="0" hidden="1">Outbound_Monitor!$A$2:$W$3</definedName>
    <definedName name="Z_F805BA71_A52B_46C5_870C_6092F6F5A2A9_.wvu.FilterData" localSheetId="1" hidden="1">Inbound_Monitor!$A$2:$Q$13</definedName>
    <definedName name="Z_F805BA71_A52B_46C5_870C_6092F6F5A2A9_.wvu.FilterData" localSheetId="0" hidden="1">Outbound_Monitor!$A$2:$X$16</definedName>
    <definedName name="Z_F808C407_C5C2_454C_B978_FF7885497364_.wvu.FilterData" localSheetId="0" hidden="1">Outbound_Monitor!$A$2:$X$16</definedName>
    <definedName name="Z_F81727E9_B4A2_4426_94E4_2A114C2D3133_.wvu.FilterData" localSheetId="0" hidden="1">Outbound_Monitor!$A$2:$X$16</definedName>
    <definedName name="Z_F81A0BAF_0D51_4296_A339_6A425322F761_.wvu.FilterData" localSheetId="0" hidden="1">Outbound_Monitor!$A$2:$W$3</definedName>
    <definedName name="Z_F824CA63_95FB_451A_A0F3_A86F5F883D3D_.wvu.FilterData" localSheetId="1" hidden="1">Inbound_Monitor!$A$2:$Q$13</definedName>
    <definedName name="Z_F824CA63_95FB_451A_A0F3_A86F5F883D3D_.wvu.FilterData" localSheetId="0" hidden="1">Outbound_Monitor!$A$2:$W$3</definedName>
    <definedName name="Z_F834C440_886C_42C6_8C75_51766686F8FC_.wvu.FilterData" localSheetId="1" hidden="1">Inbound_Monitor!$A$2:$Q$2</definedName>
    <definedName name="Z_F834C440_886C_42C6_8C75_51766686F8FC_.wvu.FilterData" localSheetId="0" hidden="1">Outbound_Monitor!$A$2:$W$2</definedName>
    <definedName name="Z_F84A5261_759D_46C4_AFE0_49C3DB911BD3_.wvu.FilterData" localSheetId="0" hidden="1">Outbound_Monitor!$A$2:$W$3</definedName>
    <definedName name="Z_F85B8050_6DFE_44D2_A633_C852F72D41BB_.wvu.FilterData" localSheetId="0" hidden="1">Outbound_Monitor!$A$2:$W$3</definedName>
    <definedName name="Z_F85CFD90_AA66_407D_AE2C_69BADB3DD243_.wvu.FilterData" localSheetId="0" hidden="1">Outbound_Monitor!$A$2:$W$3</definedName>
    <definedName name="Z_F862C149_7EB5_4F4A_966F_CFD057AD0CAB_.wvu.FilterData" localSheetId="4" hidden="1">Schichtübergabe_Protokoll!$B$3:$N$3</definedName>
    <definedName name="Z_F8728139_B9BC_4738_980D_9C81EEF96C30_.wvu.FilterData" localSheetId="0" hidden="1">Outbound_Monitor!$A$2:$W$3</definedName>
    <definedName name="Z_F88436E8_88FF_4D01_A0F7_61800437B25B_.wvu.FilterData" localSheetId="0" hidden="1">Outbound_Monitor!$A$2:$W$3</definedName>
    <definedName name="Z_F8A8DD88_B7EE_4A4D_BF39_4931F9A28F55_.wvu.FilterData" localSheetId="0" hidden="1">Outbound_Monitor!$A$2:$W$3</definedName>
    <definedName name="Z_F8A8DD88_B7EE_4A4D_BF39_4931F9A28F55_.wvu.FilterData" localSheetId="4" hidden="1">Schichtübergabe_Protokoll!$B$3:$N$3</definedName>
    <definedName name="Z_F8AA3E88_04B9_41BE_93F2_648691AC6644_.wvu.FilterData" localSheetId="1" hidden="1">Inbound_Monitor!$A$2:$Q$3</definedName>
    <definedName name="Z_F8AAA676_9097_45BB_8987_287B6BE69513_.wvu.FilterData" localSheetId="1" hidden="1">Inbound_Monitor!$A$2:$Q$3</definedName>
    <definedName name="Z_F8AFDF50_766A_4573_81A8_EFF25DADBD3A_.wvu.FilterData" localSheetId="1" hidden="1">Inbound_Monitor!$A$2:$Q$3</definedName>
    <definedName name="Z_F8B999A4_2AE7_48FD_A9D0_59F7A520EC37_.wvu.FilterData" localSheetId="1" hidden="1">Inbound_Monitor!$A$2:$Q$13</definedName>
    <definedName name="Z_F8BD72E6_0D96_447E_9BB9_86336FDDB029_.wvu.FilterData" localSheetId="0" hidden="1">Outbound_Monitor!$A$2:$W$3</definedName>
    <definedName name="Z_F8C02A5E_C534_4D80_8D6B_EDBD3C67974E_.wvu.FilterData" localSheetId="1" hidden="1">Inbound_Monitor!$A$2:$Q$3</definedName>
    <definedName name="Z_F8C72C90_26D5_411A_BBBA_21CA0C3C85D4_.wvu.FilterData" localSheetId="0" hidden="1">Outbound_Monitor!$A$2:$W$3</definedName>
    <definedName name="Z_F8D21BD7_32CB_49F9_93F7_FE312328ABFB_.wvu.FilterData" localSheetId="0" hidden="1">Outbound_Monitor!$A$2:$X$16</definedName>
    <definedName name="Z_F8D56F99_255C_456C_B6BC_0C47895B0246_.wvu.FilterData" localSheetId="0" hidden="1">Outbound_Monitor!$A$2:$W$3</definedName>
    <definedName name="Z_F8D76C7F_1EF5_466E_989A_91769F96C6B1_.wvu.FilterData" localSheetId="1" hidden="1">Inbound_Monitor!$A$2:$Q$13</definedName>
    <definedName name="Z_F8DA6B14_193D_4E99_BB6D_EBE208D40C69_.wvu.FilterData" localSheetId="0" hidden="1">Outbound_Monitor!$A$2:$W$3</definedName>
    <definedName name="Z_F8DA995D_F327_4CEC_BCEF_4E8D4096D3D2_.wvu.FilterData" localSheetId="1" hidden="1">Inbound_Monitor!$A$2:$Q$3</definedName>
    <definedName name="Z_F8DF8A33_20BB_4321_AAC1_470E3B2F2E29_.wvu.FilterData" localSheetId="1" hidden="1">Inbound_Monitor!$A$2:$Q$13</definedName>
    <definedName name="Z_F8DF8A33_20BB_4321_AAC1_470E3B2F2E29_.wvu.FilterData" localSheetId="0" hidden="1">Outbound_Monitor!$A$2:$X$16</definedName>
    <definedName name="Z_F9113555_7DE5_4D58_9941_17B8BAFB922F_.wvu.FilterData" localSheetId="1" hidden="1">Inbound_Monitor!$A$2:$Q$13</definedName>
    <definedName name="Z_F9113555_7DE5_4D58_9941_17B8BAFB922F_.wvu.FilterData" localSheetId="0" hidden="1">Outbound_Monitor!$A$2:$W$3</definedName>
    <definedName name="Z_F91A196A_1A66_4AFA_9028_F7E3EF77B12F_.wvu.FilterData" localSheetId="1" hidden="1">Inbound_Monitor!$A$2:$Q$13</definedName>
    <definedName name="Z_F925D7D6_E20E_4B9B_9F0F_C69814767C37_.wvu.FilterData" localSheetId="0" hidden="1">Outbound_Monitor!$A$2:$W$3</definedName>
    <definedName name="Z_F9307D42_9540_4B62_A860_A2A927A695E9_.wvu.FilterData" localSheetId="1" hidden="1">Inbound_Monitor!$A$2:$Q$13</definedName>
    <definedName name="Z_F9307D42_9540_4B62_A860_A2A927A695E9_.wvu.FilterData" localSheetId="0" hidden="1">Outbound_Monitor!$A$2:$W$3</definedName>
    <definedName name="Z_F93437DB_2253_4A1D_BDBA_2C0D4935B3DF_.wvu.FilterData" localSheetId="0" hidden="1">Outbound_Monitor!$A$2:$W$3</definedName>
    <definedName name="Z_F9367CE9_E4E3_465E_B6A2_295E04FBDF81_.wvu.FilterData" localSheetId="0" hidden="1">Outbound_Monitor!$A$2:$W$3</definedName>
    <definedName name="Z_F9384825_E296_46E7_AFE6_3686A55C3194_.wvu.FilterData" localSheetId="1" hidden="1">Inbound_Monitor!$A$2:$Q$3</definedName>
    <definedName name="Z_F939D142_DEA4_407E_84FE_3796040047F0_.wvu.FilterData" localSheetId="0" hidden="1">Outbound_Monitor!$A$2:$W$3</definedName>
    <definedName name="Z_F9470A38_3FE2_448A_A27F_B0BF9024BFEC_.wvu.FilterData" localSheetId="1" hidden="1">Inbound_Monitor!$A$2:$Q$2</definedName>
    <definedName name="Z_F9470A38_3FE2_448A_A27F_B0BF9024BFEC_.wvu.FilterData" localSheetId="0" hidden="1">Outbound_Monitor!$A$2:$W$2</definedName>
    <definedName name="Z_F94937E9_3A94_46FB_867B_21F316BE1720_.wvu.FilterData" localSheetId="1" hidden="1">Inbound_Monitor!$A$2:$Q$13</definedName>
    <definedName name="Z_F94937E9_3A94_46FB_867B_21F316BE1720_.wvu.FilterData" localSheetId="0" hidden="1">Outbound_Monitor!$A$2:$X$16</definedName>
    <definedName name="Z_F949777C_E73A_484C_BACF_3566725C54E8_.wvu.FilterData" localSheetId="0" hidden="1">Outbound_Monitor!$A$2:$X$16</definedName>
    <definedName name="Z_F94ECAE2_DA1F_4C05_92DE_9A064CCD951E_.wvu.FilterData" localSheetId="1" hidden="1">Inbound_Monitor!$A$2:$Q$3</definedName>
    <definedName name="Z_F94ECAE2_DA1F_4C05_92DE_9A064CCD951E_.wvu.FilterData" localSheetId="0" hidden="1">Outbound_Monitor!$A$2:$W$3</definedName>
    <definedName name="Z_F9512EE0_818D_4F0B_96C6_7E3E5FCD4A24_.wvu.FilterData" localSheetId="0" hidden="1">Outbound_Monitor!$A$2:$W$3</definedName>
    <definedName name="Z_F9541282_5FDC_4828_A7C4_C087153BB51D_.wvu.FilterData" localSheetId="0" hidden="1">Outbound_Monitor!$A$2:$X$16</definedName>
    <definedName name="Z_F96132F9_D402_4A37_9B2E_052C06A46600_.wvu.FilterData" localSheetId="1" hidden="1">Inbound_Monitor!$A$2:$Q$2</definedName>
    <definedName name="Z_F96132F9_D402_4A37_9B2E_052C06A46600_.wvu.FilterData" localSheetId="0" hidden="1">Outbound_Monitor!$A$2:$W$2</definedName>
    <definedName name="Z_F961C612_114B_4637_9082_5FFFD876F34A_.wvu.FilterData" localSheetId="0" hidden="1">Outbound_Monitor!$A$2:$X$16</definedName>
    <definedName name="Z_F9860E61_D973_4069_8112_AAB11ADEF76A_.wvu.FilterData" localSheetId="0" hidden="1">Outbound_Monitor!$A$2:$W$3</definedName>
    <definedName name="Z_F989F49A_3AF9_4527_8F3D_90AC21468ACD_.wvu.FilterData" localSheetId="1" hidden="1">Inbound_Monitor!$A$2:$Q$3</definedName>
    <definedName name="Z_F98AAC2F_F892_4CC3_9B86_A64B99C4FC90_.wvu.FilterData" localSheetId="0" hidden="1">Outbound_Monitor!$A$2:$W$3</definedName>
    <definedName name="Z_F9930F25_C32C_4C25_8EBD_30B3C4032B51_.wvu.FilterData" localSheetId="0" hidden="1">Outbound_Monitor!$A$2:$W$3</definedName>
    <definedName name="Z_F9990426_B17A_4527_A76F_3E47223300B4_.wvu.FilterData" localSheetId="0" hidden="1">Outbound_Monitor!$A$2:$W$3</definedName>
    <definedName name="Z_F99B5237_A3F8_4254_A5DA_3A84362AE0AC_.wvu.FilterData" localSheetId="0" hidden="1">Outbound_Monitor!$A$2:$X$16</definedName>
    <definedName name="Z_F9A66241_D412_426E_9272_E98CBFD0AAD4_.wvu.FilterData" localSheetId="1" hidden="1">Inbound_Monitor!$A$2:$Q$3</definedName>
    <definedName name="Z_F9A66241_D412_426E_9272_E98CBFD0AAD4_.wvu.FilterData" localSheetId="0" hidden="1">Outbound_Monitor!$A$2:$W$3</definedName>
    <definedName name="Z_F9AD4607_9F74_4D23_B7D4_F32A0BB7E0F2_.wvu.FilterData" localSheetId="0" hidden="1">Outbound_Monitor!$A$2:$W$3</definedName>
    <definedName name="Z_F9B08F46_3183_4847_9C73_0FFDDA53293B_.wvu.FilterData" localSheetId="0" hidden="1">Outbound_Monitor!$A$2:$W$3</definedName>
    <definedName name="Z_F9CB42F8_043E_41C5_BED3_4DCF2796EDD0_.wvu.FilterData" localSheetId="1" hidden="1">Inbound_Monitor!$A$2:$Q$13</definedName>
    <definedName name="Z_F9CB42F8_043E_41C5_BED3_4DCF2796EDD0_.wvu.FilterData" localSheetId="0" hidden="1">Outbound_Monitor!$A$2:$X$16</definedName>
    <definedName name="Z_F9D314F1_6CCD_480E_9C95_65E01DD351BC_.wvu.FilterData" localSheetId="0" hidden="1">Outbound_Monitor!$A$2:$W$3</definedName>
    <definedName name="Z_F9EACF38_5488_45A5_AA00_B6DAB7FA86D2_.wvu.FilterData" localSheetId="1" hidden="1">Inbound_Monitor!$A$2:$Q$13</definedName>
    <definedName name="Z_F9EACF38_5488_45A5_AA00_B6DAB7FA86D2_.wvu.FilterData" localSheetId="0" hidden="1">Outbound_Monitor!$A$2:$W$3</definedName>
    <definedName name="Z_F9F4AC24_2A2E_4176_96F7_B3A6293315B3_.wvu.FilterData" localSheetId="0" hidden="1">Outbound_Monitor!$A$2:$W$3</definedName>
    <definedName name="Z_F9F5C748_66D7_4733_8365_87A54370FFA1_.wvu.FilterData" localSheetId="1" hidden="1">Inbound_Monitor!$A$2:$Q$13</definedName>
    <definedName name="Z_F9F5C748_66D7_4733_8365_87A54370FFA1_.wvu.FilterData" localSheetId="0" hidden="1">Outbound_Monitor!$A$2:$X$16</definedName>
    <definedName name="Z_F9FB778C_CB07_49DF_A41B_05088F6EBA69_.wvu.FilterData" localSheetId="1" hidden="1">Inbound_Monitor!$A$2:$Q$3</definedName>
    <definedName name="Z_F9FB778C_CB07_49DF_A41B_05088F6EBA69_.wvu.FilterData" localSheetId="0" hidden="1">Outbound_Monitor!$A$2:$W$3</definedName>
    <definedName name="Z_FA02ADA5_7B7C_4AEC_9C3E_5564DE6A1D91_.wvu.FilterData" localSheetId="1" hidden="1">Inbound_Monitor!$A$2:$Q$13</definedName>
    <definedName name="Z_FA0A9631_1176_4856_A3DF_DAE00B3EF4CA_.wvu.FilterData" localSheetId="0" hidden="1">Outbound_Monitor!$A$2:$W$3</definedName>
    <definedName name="Z_FA0F25DC_68D1_444C_969B_1EE2A908E8A8_.wvu.FilterData" localSheetId="1" hidden="1">Inbound_Monitor!$A$2:$Q$2</definedName>
    <definedName name="Z_FA0F25DC_68D1_444C_969B_1EE2A908E8A8_.wvu.FilterData" localSheetId="0" hidden="1">Outbound_Monitor!$A$2:$W$2</definedName>
    <definedName name="Z_FA1B51B4_A0C7_4AC9_A652_027859789337_.wvu.FilterData" localSheetId="0" hidden="1">Outbound_Monitor!$A$2:$W$3</definedName>
    <definedName name="Z_FA2DA513_0011_4582_93D2_EA3A8A2DFFBD_.wvu.FilterData" localSheetId="0" hidden="1">Outbound_Monitor!$A$2:$W$3</definedName>
    <definedName name="Z_FA3001B8_F143_4F31_8071_E1377EE88462_.wvu.FilterData" localSheetId="1" hidden="1">Inbound_Monitor!$A$2:$Q$2</definedName>
    <definedName name="Z_FA3001B8_F143_4F31_8071_E1377EE88462_.wvu.FilterData" localSheetId="0" hidden="1">Outbound_Monitor!$A$2:$W$2</definedName>
    <definedName name="Z_FA37EFC4_449F_4942_91FC_394EC6095F91_.wvu.FilterData" localSheetId="1" hidden="1">Inbound_Monitor!$A$2:$Q$13</definedName>
    <definedName name="Z_FA391774_BE1B_4F4C_A11F_B04F5C2D66BD_.wvu.FilterData" localSheetId="0" hidden="1">Outbound_Monitor!$A$2:$W$3</definedName>
    <definedName name="Z_FA4147EE_4852_447D_B824_96D7952CD206_.wvu.FilterData" localSheetId="1" hidden="1">Inbound_Monitor!$A$2:$Q$3</definedName>
    <definedName name="Z_FA44AC77_F584_4099_B92C_CCCC26B57F2A_.wvu.FilterData" localSheetId="1" hidden="1">Inbound_Monitor!$A$2:$Q$3</definedName>
    <definedName name="Z_FA49338B_C8F9_46E9_A632_8F56B0FFE4DC_.wvu.FilterData" localSheetId="0" hidden="1">Outbound_Monitor!$A$2:$W$3</definedName>
    <definedName name="Z_FA53ECE6_C0FF_46BB_BD09_CABA5717398F_.wvu.FilterData" localSheetId="0" hidden="1">Outbound_Monitor!$A$2:$X$16</definedName>
    <definedName name="Z_FA568D62_4F0F_476A_8DE5_E496D649C5B1_.wvu.FilterData" localSheetId="1" hidden="1">Inbound_Monitor!$A$2:$Q$3</definedName>
    <definedName name="Z_FA568D62_4F0F_476A_8DE5_E496D649C5B1_.wvu.FilterData" localSheetId="0" hidden="1">Outbound_Monitor!$A$2:$W$3</definedName>
    <definedName name="Z_FA5B8729_9D44_4ADE_8343_41DF43DD4F36_.wvu.FilterData" localSheetId="0" hidden="1">Outbound_Monitor!$A$2:$W$3</definedName>
    <definedName name="Z_FA60417A_6B97_43A3_A166_D84AD98EBBDF_.wvu.FilterData" localSheetId="1" hidden="1">Inbound_Monitor!$A$2:$Q$2</definedName>
    <definedName name="Z_FA60417A_6B97_43A3_A166_D84AD98EBBDF_.wvu.FilterData" localSheetId="0" hidden="1">Outbound_Monitor!$A$2:$W$2</definedName>
    <definedName name="Z_FA73D488_B351_4F56_870A_87E63CD95281_.wvu.FilterData" localSheetId="0" hidden="1">Outbound_Monitor!$A$2:$W$3</definedName>
    <definedName name="Z_FA99102C_9240_426E_84FD_CBD826EB46C3_.wvu.FilterData" localSheetId="0" hidden="1">Outbound_Monitor!$A$2:$X$16</definedName>
    <definedName name="Z_FA9C7E59_E550_41BB_B9ED_9912A421D175_.wvu.FilterData" localSheetId="0" hidden="1">Outbound_Monitor!$A$2:$W$3</definedName>
    <definedName name="Z_FAA34049_4818_4CE1_AAD6_E4542594BA53_.wvu.FilterData" localSheetId="1" hidden="1">Inbound_Monitor!$A$2:$Q$3</definedName>
    <definedName name="Z_FAA3F2DD_4DBF_4F31_9F4F_DC26C7DAA152_.wvu.FilterData" localSheetId="0" hidden="1">Outbound_Monitor!$A$2:$W$3</definedName>
    <definedName name="Z_FAACAD83_1437_4DD8_8902_0743E8A791C4_.wvu.FilterData" localSheetId="0" hidden="1">Outbound_Monitor!$A$2:$W$3</definedName>
    <definedName name="Z_FAB96E58_2B2D_4B7C_A2AB_9FCB8661C167_.wvu.FilterData" localSheetId="1" hidden="1">Inbound_Monitor!$A$2:$Q$2</definedName>
    <definedName name="Z_FAB96E58_2B2D_4B7C_A2AB_9FCB8661C167_.wvu.FilterData" localSheetId="0" hidden="1">Outbound_Monitor!$A$2:$W$2</definedName>
    <definedName name="Z_FABB8210_BE15_48D3_B07C_7A669B8F9B9F_.wvu.FilterData" localSheetId="1" hidden="1">Inbound_Monitor!$A$2:$Q$2</definedName>
    <definedName name="Z_FABB8210_BE15_48D3_B07C_7A669B8F9B9F_.wvu.FilterData" localSheetId="0" hidden="1">Outbound_Monitor!$A$2:$W$2</definedName>
    <definedName name="Z_FAC75532_BD46_4A67_A907_8D9644120311_.wvu.FilterData" localSheetId="1" hidden="1">Inbound_Monitor!$A$2:$Q$3</definedName>
    <definedName name="Z_FACDF064_8DA1_4894_A5B7_A89A77B37107_.wvu.FilterData" localSheetId="1" hidden="1">Inbound_Monitor!$A$2:$Q$3</definedName>
    <definedName name="Z_FACF97C4_7293_428E_99C4_0C308CF3F2A5_.wvu.FilterData" localSheetId="1" hidden="1">Inbound_Monitor!$A$2:$Q$13</definedName>
    <definedName name="Z_FAD2EF0E_ABCE_433D_9F8B_B269BA824AA7_.wvu.FilterData" localSheetId="1" hidden="1">Inbound_Monitor!$A$2:$Q$3</definedName>
    <definedName name="Z_FADCB276_5F4B_49A3_93B6_04B87B6505B6_.wvu.FilterData" localSheetId="0" hidden="1">Outbound_Monitor!$A$2:$W$3</definedName>
    <definedName name="Z_FAE31D51_3FB1_4D4E_BEF6_1B75A3B77EAE_.wvu.FilterData" localSheetId="0" hidden="1">Outbound_Monitor!$A$2:$W$3</definedName>
    <definedName name="Z_FAEC6117_BCF8_4544_838F_4A6C642D25FF_.wvu.FilterData" localSheetId="0" hidden="1">Outbound_Monitor!$A$2:$W$3</definedName>
    <definedName name="Z_FAF85240_BD51_4866_8DE5_CF27EF2D0A81_.wvu.FilterData" localSheetId="0" hidden="1">Outbound_Monitor!$A$2:$W$3</definedName>
    <definedName name="Z_FB030547_4008_4903_BC4E_FB5C84F1E1E6_.wvu.FilterData" localSheetId="0" hidden="1">Outbound_Monitor!$A$2:$W$3</definedName>
    <definedName name="Z_FB076E48_1277_4991_AD28_56BA559A71F1_.wvu.FilterData" localSheetId="0" hidden="1">Outbound_Monitor!$A$2:$W$3</definedName>
    <definedName name="Z_FB0B1FDE_19C6_419B_A615_43BD9EF9F0A7_.wvu.FilterData" localSheetId="1" hidden="1">Inbound_Monitor!$A$2:$Q$3</definedName>
    <definedName name="Z_FB0EBF80_6EC0_4379_88DA_0A828A70CDDB_.wvu.FilterData" localSheetId="1" hidden="1">Inbound_Monitor!$A$2:$Q$3</definedName>
    <definedName name="Z_FB0EBF80_6EC0_4379_88DA_0A828A70CDDB_.wvu.FilterData" localSheetId="4" hidden="1">Schichtübergabe_Protokoll!$B$3:$N$3</definedName>
    <definedName name="Z_FB182BAC_A0A4_4393_A1CB_DF7EC4B92CCD_.wvu.FilterData" localSheetId="0" hidden="1">Outbound_Monitor!$A$2:$W$3</definedName>
    <definedName name="Z_FB1944F8_7B85_4D7E_B35D_D9C6115B9016_.wvu.FilterData" localSheetId="1" hidden="1">Inbound_Monitor!$A$2:$Q$3</definedName>
    <definedName name="Z_FB1944F8_7B85_4D7E_B35D_D9C6115B9016_.wvu.FilterData" localSheetId="0" hidden="1">Outbound_Monitor!$A$2:$W$3</definedName>
    <definedName name="Z_FB28D0EC_AA42_423C_889B_03E9BD4E41AD_.wvu.FilterData" localSheetId="0" hidden="1">Outbound_Monitor!$A$2:$W$3</definedName>
    <definedName name="Z_FB2ADF3A_CB0F_4BC5_9D32_1B3B329A2C7B_.wvu.FilterData" localSheetId="0" hidden="1">Outbound_Monitor!$A$2:$W$3</definedName>
    <definedName name="Z_FB3DE8BB_1BA4_4AEB_8952_97CE3C5F957C_.wvu.FilterData" localSheetId="1" hidden="1">Inbound_Monitor!$A$2:$Q$2</definedName>
    <definedName name="Z_FB3DE8BB_1BA4_4AEB_8952_97CE3C5F957C_.wvu.FilterData" localSheetId="0" hidden="1">Outbound_Monitor!$A$2:$W$2</definedName>
    <definedName name="Z_FB3FEF0F_9C45_4C00_8EC5_04C402B6B0D1_.wvu.FilterData" localSheetId="0" hidden="1">Outbound_Monitor!$A$2:$W$3</definedName>
    <definedName name="Z_FB4FB085_7FA9_4D4A_9498_EDA90678B0FC_.wvu.FilterData" localSheetId="0" hidden="1">Outbound_Monitor!$A$2:$W$3</definedName>
    <definedName name="Z_FB5BE77E_6650_4CD9_ADDB_B37F4DC3441A_.wvu.FilterData" localSheetId="0" hidden="1">Outbound_Monitor!$A$2:$W$3</definedName>
    <definedName name="Z_FB69D4FA_4057_49F4_9EFE_E3FE12A5949E_.wvu.FilterData" localSheetId="0" hidden="1">Outbound_Monitor!$A$2:$X$16</definedName>
    <definedName name="Z_FB7D8F4A_00F1_4FAC_BEE4_ED058499EED3_.wvu.FilterData" localSheetId="0" hidden="1">Outbound_Monitor!$A$2:$X$16</definedName>
    <definedName name="Z_FB81B92D_79EF_4935_A777_66E761746ECE_.wvu.FilterData" localSheetId="1" hidden="1">Inbound_Monitor!$A$2:$Q$3</definedName>
    <definedName name="Z_FB939ADC_FAB3_4D73_9D53_482F0EEA493A_.wvu.FilterData" localSheetId="1" hidden="1">Inbound_Monitor!$A$2:$Q$13</definedName>
    <definedName name="Z_FB939ADC_FAB3_4D73_9D53_482F0EEA493A_.wvu.FilterData" localSheetId="0" hidden="1">Outbound_Monitor!$A$2:$X$16</definedName>
    <definedName name="Z_FBA50AFF_F94D_42E9_9C93_1F4403278D87_.wvu.FilterData" localSheetId="1" hidden="1">Inbound_Monitor!$A$2:$Q$3</definedName>
    <definedName name="Z_FBA9A3B0_8FE1_4516_A8F3_9831C7BF5FD3_.wvu.FilterData" localSheetId="1" hidden="1">Inbound_Monitor!$A$2:$Q$3</definedName>
    <definedName name="Z_FBC0B338_8AB0_4AE5_9347_972BAD6AE101_.wvu.FilterData" localSheetId="0" hidden="1">Outbound_Monitor!$A$2:$W$3</definedName>
    <definedName name="Z_FBC27971_53C5_4CD1_805D_3E85DC332DE6_.wvu.FilterData" localSheetId="0" hidden="1">Outbound_Monitor!$A$2:$W$3</definedName>
    <definedName name="Z_FBD82B84_23A0_4629_A240_23EDBDBC30B4_.wvu.FilterData" localSheetId="0" hidden="1">Outbound_Monitor!$A$2:$W$3</definedName>
    <definedName name="Z_FBECBBA7_9BBD_42B1_AB89_43192CFC15F9_.wvu.FilterData" localSheetId="1" hidden="1">Inbound_Monitor!$A$2:$Q$3</definedName>
    <definedName name="Z_FBEFD265_15BE_42C2_B69B_FEE4CE2A6B62_.wvu.FilterData" localSheetId="1" hidden="1">Inbound_Monitor!$A$2:$Q$13</definedName>
    <definedName name="Z_FBF9BA7C_A8F0_4293_BC7D_0546B09539E3_.wvu.FilterData" localSheetId="0" hidden="1">Outbound_Monitor!$A$2:$W$3</definedName>
    <definedName name="Z_FC0DC630_B71A_4F16_A23D_28CFED64C6BF_.wvu.FilterData" localSheetId="0" hidden="1">Outbound_Monitor!$A$2:$W$3</definedName>
    <definedName name="Z_FC0EF669_115C_4A5D_9101_5299B4FA8B34_.wvu.FilterData" localSheetId="1" hidden="1">Inbound_Monitor!$A$2:$Q$3</definedName>
    <definedName name="Z_FC15F4C8_705D_48B2_BA2F_CB9F0104C899_.wvu.FilterData" localSheetId="1" hidden="1">Inbound_Monitor!$A$2:$Q$3</definedName>
    <definedName name="Z_FC2A1823_A07E_4857_A58D_FFA1E21306DD_.wvu.FilterData" localSheetId="1" hidden="1">Inbound_Monitor!$A$2:$Q$13</definedName>
    <definedName name="Z_FC2A1823_A07E_4857_A58D_FFA1E21306DD_.wvu.FilterData" localSheetId="0" hidden="1">Outbound_Monitor!$A$2:$W$3</definedName>
    <definedName name="Z_FC33BBCB_E119_4E66_A647_58FD91828569_.wvu.FilterData" localSheetId="0" hidden="1">Outbound_Monitor!$A$2:$W$3</definedName>
    <definedName name="Z_FC3512BE_5221_4FB0_BD9F_2882C3484B9D_.wvu.FilterData" localSheetId="1" hidden="1">Inbound_Monitor!$A$2:$Q$3</definedName>
    <definedName name="Z_FC3F1AC1_94D5_4169_8B8C_8928D24EC430_.wvu.FilterData" localSheetId="1" hidden="1">Inbound_Monitor!$A$2:$Q$3</definedName>
    <definedName name="Z_FC42B228_5179_49F8_8B75_7A67F5547032_.wvu.FilterData" localSheetId="4" hidden="1">Schichtübergabe_Protokoll!$B$3:$N$3</definedName>
    <definedName name="Z_FC456CE9_D34B_474A_B3E4_B148C7EC2EDC_.wvu.FilterData" localSheetId="0" hidden="1">Outbound_Monitor!$A$2:$W$3</definedName>
    <definedName name="Z_FC5D1C3B_4524_49FF_B17B_B8351AF32E9B_.wvu.FilterData" localSheetId="0" hidden="1">Outbound_Monitor!$A$2:$X$16</definedName>
    <definedName name="Z_FC7701A3_D355_4533_8986_BCC88AB2733E_.wvu.FilterData" localSheetId="1" hidden="1">Inbound_Monitor!$A$2:$Q$3</definedName>
    <definedName name="Z_FC771F19_728B_4856_AF3F_20AE79E08B95_.wvu.FilterData" localSheetId="1" hidden="1">Inbound_Monitor!$A$2:$Q$3</definedName>
    <definedName name="Z_FC866B6D_B9A5_4438_A745_32A8686187AF_.wvu.FilterData" localSheetId="0" hidden="1">Outbound_Monitor!$A$2:$W$3</definedName>
    <definedName name="Z_FC92E1E5_A0C7_4242_A533_2B14CE2C6AAC_.wvu.FilterData" localSheetId="1" hidden="1">Inbound_Monitor!$A$2:$Q$2</definedName>
    <definedName name="Z_FC92E1E5_A0C7_4242_A533_2B14CE2C6AAC_.wvu.FilterData" localSheetId="0" hidden="1">Outbound_Monitor!$A$2:$W$2</definedName>
    <definedName name="Z_FC96F60E_2415_4B56_8B69_1B991F8BE68D_.wvu.FilterData" localSheetId="1" hidden="1">Inbound_Monitor!$A$2:$Q$3</definedName>
    <definedName name="Z_FC9765C6_F3DE_4C1C_9696_5DE392CBF4F3_.wvu.FilterData" localSheetId="1" hidden="1">Inbound_Monitor!$A$2:$Q$13</definedName>
    <definedName name="Z_FC9765C6_F3DE_4C1C_9696_5DE392CBF4F3_.wvu.FilterData" localSheetId="0" hidden="1">Outbound_Monitor!$A$2:$W$3</definedName>
    <definedName name="Z_FCA34CDC_D3AB_4143_8FF8_F56C27F31878_.wvu.FilterData" localSheetId="1" hidden="1">Inbound_Monitor!$A$2:$Q$13</definedName>
    <definedName name="Z_FCA86C0B_5F62_4308_AD72_34625CF72BC6_.wvu.FilterData" localSheetId="1" hidden="1">Inbound_Monitor!$A$2:$Q$3</definedName>
    <definedName name="Z_FCBA59CA_968E_4B32_9406_13E6C4270D3B_.wvu.FilterData" localSheetId="1" hidden="1">Inbound_Monitor!$A$2:$Q$3</definedName>
    <definedName name="Z_FCD4F592_5C60_45A5_9BC5_7CD4A9A59332_.wvu.FilterData" localSheetId="1" hidden="1">Inbound_Monitor!$A$2:$Q$2</definedName>
    <definedName name="Z_FCD4F592_5C60_45A5_9BC5_7CD4A9A59332_.wvu.FilterData" localSheetId="0" hidden="1">Outbound_Monitor!$A$2:$W$2</definedName>
    <definedName name="Z_FCD9EF09_ADD2_4328_BCE8_C25116D56270_.wvu.FilterData" localSheetId="0" hidden="1">Outbound_Monitor!$A$2:$W$3</definedName>
    <definedName name="Z_FCE06D2A_CFFB_4017_8BEF_36C16C1A9E2D_.wvu.FilterData" localSheetId="1" hidden="1">Inbound_Monitor!$A$2:$Q$3</definedName>
    <definedName name="Z_FCE494F7_D577_48F7_8F73_A9EE430B1083_.wvu.FilterData" localSheetId="0" hidden="1">Outbound_Monitor!$A$2:$W$3</definedName>
    <definedName name="Z_FD00EAF2_D3F6_48CE_96D5_BA72EA0731A9_.wvu.FilterData" localSheetId="1" hidden="1">Inbound_Monitor!$A$2:$Q$13</definedName>
    <definedName name="Z_FD00EAF2_D3F6_48CE_96D5_BA72EA0731A9_.wvu.FilterData" localSheetId="0" hidden="1">Outbound_Monitor!$A$2:$W$3</definedName>
    <definedName name="Z_FD13B171_7E2E_4AA7_963A_5B2951C13EEB_.wvu.FilterData" localSheetId="0" hidden="1">Outbound_Monitor!$A$2:$W$3</definedName>
    <definedName name="Z_FD1ACDA6_01DE_4A40_8683_7C7F19152069_.wvu.FilterData" localSheetId="1" hidden="1">Inbound_Monitor!$A$2:$Q$3</definedName>
    <definedName name="Z_FD1B4CF3_8AF1_4330_994C_4291DB4D71E6_.wvu.FilterData" localSheetId="0" hidden="1">Outbound_Monitor!$A$2:$W$3</definedName>
    <definedName name="Z_FD2C34A1_58A7_4942_9F56_3957F8B34F54_.wvu.FilterData" localSheetId="0" hidden="1">Outbound_Monitor!$A$2:$W$3</definedName>
    <definedName name="Z_FD369F5E_BD68_4B94_9F85_E7734CCEB2BC_.wvu.FilterData" localSheetId="0" hidden="1">Outbound_Monitor!#REF!</definedName>
    <definedName name="Z_FD3E682C_1B79_4261_A3C1_82E303811389_.wvu.FilterData" localSheetId="0" hidden="1">Outbound_Monitor!$A$2:$W$3</definedName>
    <definedName name="Z_FD3F5248_175C_452F_8297_DFF26E1F99CB_.wvu.FilterData" localSheetId="1" hidden="1">Inbound_Monitor!$A$2:$Q$3</definedName>
    <definedName name="Z_FD3FD4C6_EE0C_40ED_82E0_1038E64AE186_.wvu.FilterData" localSheetId="0" hidden="1">Outbound_Monitor!$A$2:$X$16</definedName>
    <definedName name="Z_FD4376B4_59A8_4503_BAC5_1EB898CE7D8E_.wvu.FilterData" localSheetId="1" hidden="1">Inbound_Monitor!$A$2:$Q$2</definedName>
    <definedName name="Z_FD4376B4_59A8_4503_BAC5_1EB898CE7D8E_.wvu.FilterData" localSheetId="0" hidden="1">Outbound_Monitor!$A$2:$W$2</definedName>
    <definedName name="Z_FD6550E3_0D98_4ACD_A210_C0E18861C236_.wvu.FilterData" localSheetId="1" hidden="1">Inbound_Monitor!$A$2:$Q$3</definedName>
    <definedName name="Z_FD75167C_CBDD_4308_BD1A_0366DB09A525_.wvu.FilterData" localSheetId="0" hidden="1">Outbound_Monitor!$A$2:$X$16</definedName>
    <definedName name="Z_FD75960A_835A_423F_A4AA_BFB0817650AA_.wvu.FilterData" localSheetId="1" hidden="1">Inbound_Monitor!$A$2:$Q$3</definedName>
    <definedName name="Z_FD78C60E_604B_44FE_A32D_6533C38DCEC3_.wvu.FilterData" localSheetId="1" hidden="1">Inbound_Monitor!$A$2:$Q$13</definedName>
    <definedName name="Z_FD78C60E_604B_44FE_A32D_6533C38DCEC3_.wvu.FilterData" localSheetId="0" hidden="1">Outbound_Monitor!$A$2:$W$3</definedName>
    <definedName name="Z_FD79C33C_FF21_4D4E_B8BC_923CEE1031DE_.wvu.FilterData" localSheetId="1" hidden="1">Inbound_Monitor!$A$2:$Q$13</definedName>
    <definedName name="Z_FD79C33C_FF21_4D4E_B8BC_923CEE1031DE_.wvu.FilterData" localSheetId="0" hidden="1">Outbound_Monitor!$A$2:$W$3</definedName>
    <definedName name="Z_FD7B1367_179E_4066_9EC3_6ABA87289BA7_.wvu.FilterData" localSheetId="1" hidden="1">Inbound_Monitor!$A$2:$Q$13</definedName>
    <definedName name="Z_FD7B1367_179E_4066_9EC3_6ABA87289BA7_.wvu.FilterData" localSheetId="0" hidden="1">Outbound_Monitor!$A$2:$W$3</definedName>
    <definedName name="Z_FD81E06E_9A75_45E2_8A73_84AC733B8735_.wvu.FilterData" localSheetId="1" hidden="1">Inbound_Monitor!$A$2:$Q$3</definedName>
    <definedName name="Z_FD81E06E_9A75_45E2_8A73_84AC733B8735_.wvu.FilterData" localSheetId="0" hidden="1">Outbound_Monitor!$A$2:$W$3</definedName>
    <definedName name="Z_FD8AB5F5_27DF_4FCF_93B4_1D9D5EE82B7D_.wvu.FilterData" localSheetId="1" hidden="1">Inbound_Monitor!$A$2:$Q$3</definedName>
    <definedName name="Z_FD91B803_88FF_47BA_9071_1C647FE7BD0E_.wvu.FilterData" localSheetId="0" hidden="1">Outbound_Monitor!$A$2:$W$3</definedName>
    <definedName name="Z_FDA9A5B7_53D5_460D_A71A_6721243578D8_.wvu.FilterData" localSheetId="1" hidden="1">Inbound_Monitor!$A$2:$Q$13</definedName>
    <definedName name="Z_FDA9A5B7_53D5_460D_A71A_6721243578D8_.wvu.FilterData" localSheetId="0" hidden="1">Outbound_Monitor!$A$2:$W$3</definedName>
    <definedName name="Z_FDB5F72C_BF73_4E8B_BE80_43D426B4B1A6_.wvu.FilterData" localSheetId="1" hidden="1">Inbound_Monitor!$A$2:$Q$2</definedName>
    <definedName name="Z_FDB5F72C_BF73_4E8B_BE80_43D426B4B1A6_.wvu.FilterData" localSheetId="0" hidden="1">Outbound_Monitor!$A$2:$W$2</definedName>
    <definedName name="Z_FDC92AC6_3390_4D7E_812D_65CC47BDA24F_.wvu.FilterData" localSheetId="1" hidden="1">Inbound_Monitor!$A$2:$Q$3</definedName>
    <definedName name="Z_FDCBB70D_125F_402C_B073_8471D613F090_.wvu.FilterData" localSheetId="1" hidden="1">Inbound_Monitor!$A$2:$Q$3</definedName>
    <definedName name="Z_FDD4C468_9744_4636_8F30_D8094BF0F1FA_.wvu.FilterData" localSheetId="1" hidden="1">Inbound_Monitor!$A$2:$Q$3</definedName>
    <definedName name="Z_FDDA8351_4290_400A_82D5_511AF4BEDBBB_.wvu.FilterData" localSheetId="1" hidden="1">Inbound_Monitor!$A$2:$Q$3</definedName>
    <definedName name="Z_FDE459DC_C86C_4DAA_BA4E_54959C62ED0A_.wvu.FilterData" localSheetId="1" hidden="1">Inbound_Monitor!$A$2:$Q$3</definedName>
    <definedName name="Z_FDE459DC_C86C_4DAA_BA4E_54959C62ED0A_.wvu.FilterData" localSheetId="4" hidden="1">Schichtübergabe_Protokoll!$B$3:$N$3</definedName>
    <definedName name="Z_FDEE631D_BCF8_45A6_98DD_A8BC2B9A2C1B_.wvu.FilterData" localSheetId="1" hidden="1">Inbound_Monitor!$A$2:$Q$3</definedName>
    <definedName name="Z_FDEE631D_BCF8_45A6_98DD_A8BC2B9A2C1B_.wvu.FilterData" localSheetId="0" hidden="1">Outbound_Monitor!$A$2:$W$3</definedName>
    <definedName name="Z_FDF6DE57_B972_4A46_9AA1_3CB07B2728A6_.wvu.FilterData" localSheetId="1" hidden="1">Inbound_Monitor!$A$2:$Q$3</definedName>
    <definedName name="Z_FE04C6ED_2658_44DE_A1DE_6F7DEAA38A7B_.wvu.FilterData" localSheetId="1" hidden="1">Inbound_Monitor!$A$2:$Q$3</definedName>
    <definedName name="Z_FE11CAE9_8A22_45E4_8A3A_BD5B7260AB46_.wvu.FilterData" localSheetId="1" hidden="1">Inbound_Monitor!$A$2:$Q$3</definedName>
    <definedName name="Z_FE1275C6_2CB4_4EBC_8D14_9D835941D678_.wvu.FilterData" localSheetId="0" hidden="1">Outbound_Monitor!$A$2:$X$16</definedName>
    <definedName name="Z_FE199736_7E63_48CF_8630_88AD795D129A_.wvu.FilterData" localSheetId="1" hidden="1">Inbound_Monitor!$A$2:$Q$13</definedName>
    <definedName name="Z_FE199736_7E63_48CF_8630_88AD795D129A_.wvu.FilterData" localSheetId="0" hidden="1">Outbound_Monitor!$A$2:$X$16</definedName>
    <definedName name="Z_FE1C4FE5_77D0_494F_9491_9A12A00465CE_.wvu.FilterData" localSheetId="0" hidden="1">Outbound_Monitor!$A$2:$W$3</definedName>
    <definedName name="Z_FE346EC9_D964_45A2_9A26_F0D0F46BCCD7_.wvu.FilterData" localSheetId="1" hidden="1">Inbound_Monitor!$A$2:$Q$13</definedName>
    <definedName name="Z_FE346EC9_D964_45A2_9A26_F0D0F46BCCD7_.wvu.FilterData" localSheetId="0" hidden="1">Outbound_Monitor!$A$2:$W$3</definedName>
    <definedName name="Z_FE37F696_A233_4920_AC06_19CBD4738DCB_.wvu.FilterData" localSheetId="1" hidden="1">Inbound_Monitor!$A$2:$Q$13</definedName>
    <definedName name="Z_FE37F696_A233_4920_AC06_19CBD4738DCB_.wvu.FilterData" localSheetId="0" hidden="1">Outbound_Monitor!$A$2:$W$3</definedName>
    <definedName name="Z_FE3E58B9_F9E8_496C_9115_B389BADF9FF8_.wvu.FilterData" localSheetId="0" hidden="1">Outbound_Monitor!$A$2:$W$3</definedName>
    <definedName name="Z_FE41FC1F_7C9C_4CA7_8510_9D97490CD35F_.wvu.FilterData" localSheetId="0" hidden="1">Outbound_Monitor!$A$2:$W$3</definedName>
    <definedName name="Z_FE4C6316_3CDA_4962_AB8D_21F8A44C1913_.wvu.FilterData" localSheetId="1" hidden="1">Inbound_Monitor!$A$2:$Q$13</definedName>
    <definedName name="Z_FE4C6316_3CDA_4962_AB8D_21F8A44C1913_.wvu.FilterData" localSheetId="0" hidden="1">Outbound_Monitor!$A$2:$W$3</definedName>
    <definedName name="Z_FE4CF9EE_5849_43B7_8F5F_413F0B824F0D_.wvu.FilterData" localSheetId="0" hidden="1">Outbound_Monitor!$A$2:$W$3</definedName>
    <definedName name="Z_FE5B7893_9711_4F94_B298_D6CF9713FF26_.wvu.FilterData" localSheetId="0" hidden="1">Outbound_Monitor!$A$2:$W$3</definedName>
    <definedName name="Z_FE673F62_6D4D_4806_BD50_5087B40B57EF_.wvu.FilterData" localSheetId="1" hidden="1">Inbound_Monitor!$A$2:$Q$3</definedName>
    <definedName name="Z_FE673F62_6D4D_4806_BD50_5087B40B57EF_.wvu.FilterData" localSheetId="0" hidden="1">Outbound_Monitor!$A$2:$W$3</definedName>
    <definedName name="Z_FE889C38_D39A_42C0_9B95_C3DE0BDF504A_.wvu.FilterData" localSheetId="1" hidden="1">Inbound_Monitor!$A$2:$Q$13</definedName>
    <definedName name="Z_FE889C38_D39A_42C0_9B95_C3DE0BDF504A_.wvu.FilterData" localSheetId="0" hidden="1">Outbound_Monitor!$A$2:$X$16</definedName>
    <definedName name="Z_FE8A7FEF_915A_4EF2_9FDB_7B0218575908_.wvu.FilterData" localSheetId="1" hidden="1">Inbound_Monitor!$A$2:$Q$3</definedName>
    <definedName name="Z_FE8C328C_4537_4F4F_99C0_2AC954B87106_.wvu.FilterData" localSheetId="1" hidden="1">Inbound_Monitor!$A$2:$Q$3</definedName>
    <definedName name="Z_FEAF1EBC_8822_4F97_9619_02ADD5A8FE91_.wvu.FilterData" localSheetId="1" hidden="1">Inbound_Monitor!$A$2:$Q$2</definedName>
    <definedName name="Z_FEAF1EBC_8822_4F97_9619_02ADD5A8FE91_.wvu.FilterData" localSheetId="0" hidden="1">Outbound_Monitor!$A$2:$W$2</definedName>
    <definedName name="Z_FEC7DC88_428A_4136_A43D_C1D701F39A86_.wvu.FilterData" localSheetId="0" hidden="1">Outbound_Monitor!$A$2:$W$3</definedName>
    <definedName name="Z_FED97708_2502_4476_84B7_ADB6273EC923_.wvu.FilterData" localSheetId="0" hidden="1">Outbound_Monitor!$A$2:$W$3</definedName>
    <definedName name="Z_FEDE2CC7_ADD5_439B_8099_8EAC02168764_.wvu.FilterData" localSheetId="0" hidden="1">Outbound_Monitor!$A$2:$W$3</definedName>
    <definedName name="Z_FEE233C3_2225_4636_BF24_ACBB9F6E442A_.wvu.FilterData" localSheetId="1" hidden="1">Inbound_Monitor!$A$2:$Q$3</definedName>
    <definedName name="Z_FEE3F79C_7D00_4793_8C8F_379325718349_.wvu.FilterData" localSheetId="1" hidden="1">Inbound_Monitor!$A$2:$Q$3</definedName>
    <definedName name="Z_FEE3F79C_7D00_4793_8C8F_379325718349_.wvu.FilterData" localSheetId="0" hidden="1">Outbound_Monitor!$A$2:$W$3</definedName>
    <definedName name="Z_FEE4A22F_7184_4B32_9B3B_8B702220E132_.wvu.FilterData" localSheetId="0" hidden="1">Outbound_Monitor!$A$2:$W$3</definedName>
    <definedName name="Z_FEF6B5C8_1C15_450F_897E_2F7F0B2530C7_.wvu.FilterData" localSheetId="0" hidden="1">Outbound_Monitor!$A$2:$W$3</definedName>
    <definedName name="Z_FEFA85AA_EBDE_4480_AD5E_871527483657_.wvu.FilterData" localSheetId="0" hidden="1">Outbound_Monitor!$A$2:$W$3</definedName>
    <definedName name="Z_FEFDBCFB_B492_496D_8635_579312D37863_.wvu.FilterData" localSheetId="0" hidden="1">Outbound_Monitor!$A$2:$X$3</definedName>
    <definedName name="Z_FF054E1F_3C20_4625_A54B_EE761340D8B3_.wvu.FilterData" localSheetId="1" hidden="1">Inbound_Monitor!$A$2:$Q$3</definedName>
    <definedName name="Z_FF133C6D_7FC2_4CD8_A17A_6937C9384D5C_.wvu.FilterData" localSheetId="0" hidden="1">Outbound_Monitor!$A$2:$W$3</definedName>
    <definedName name="Z_FF23700D_80EA_4682_8874_12C49EB5705A_.wvu.FilterData" localSheetId="1" hidden="1">Inbound_Monitor!$A$2:$Q$13</definedName>
    <definedName name="Z_FF23700D_80EA_4682_8874_12C49EB5705A_.wvu.FilterData" localSheetId="0" hidden="1">Outbound_Monitor!$A$2:$W$3</definedName>
    <definedName name="Z_FF23E5D0_488E_430E_8512_3FE0C3EDE1D9_.wvu.FilterData" localSheetId="0" hidden="1">Outbound_Monitor!$A$2:$W$3</definedName>
    <definedName name="Z_FF309780_5F40_48F4_BBB1_C49096751D0B_.wvu.FilterData" localSheetId="1" hidden="1">Inbound_Monitor!$A$2:$Q$13</definedName>
    <definedName name="Z_FF4A7126_EEBD_4CB7_B9EA_B16D5D298463_.wvu.FilterData" localSheetId="0" hidden="1">Outbound_Monitor!$A$2:$X$16</definedName>
    <definedName name="Z_FF4C93EB_2187_4EA7_BE4C_074AA24FC49A_.wvu.FilterData" localSheetId="1" hidden="1">Inbound_Monitor!$A$2:$Q$3</definedName>
    <definedName name="Z_FF4C93EB_2187_4EA7_BE4C_074AA24FC49A_.wvu.FilterData" localSheetId="0" hidden="1">Outbound_Monitor!$A$2:$W$3</definedName>
    <definedName name="Z_FF51915C_7FFA_4517_9A62_C80172D55654_.wvu.FilterData" localSheetId="1" hidden="1">Inbound_Monitor!$A$2:$Q$2</definedName>
    <definedName name="Z_FF51915C_7FFA_4517_9A62_C80172D55654_.wvu.FilterData" localSheetId="0" hidden="1">Outbound_Monitor!$A$2:$W$2</definedName>
    <definedName name="Z_FF5B206C_33A6_464C_9563_2950F544E68B_.wvu.FilterData" localSheetId="0" hidden="1">Outbound_Monitor!$A$2:$W$3</definedName>
    <definedName name="Z_FF63CC56_88D7_4266_AD26_71D51F596F6D_.wvu.FilterData" localSheetId="1" hidden="1">Inbound_Monitor!$A$2:$Q$3</definedName>
    <definedName name="Z_FF7419A1_73C5_4806_A8F1_BF2ADDB33A6A_.wvu.FilterData" localSheetId="1" hidden="1">Inbound_Monitor!$A$2:$Q$2</definedName>
    <definedName name="Z_FF7419A1_73C5_4806_A8F1_BF2ADDB33A6A_.wvu.FilterData" localSheetId="0" hidden="1">Outbound_Monitor!$A$2:$W$2</definedName>
    <definedName name="Z_FF755022_626F_4990_BFD6_BC56E0C8B835_.wvu.FilterData" localSheetId="1" hidden="1">Inbound_Monitor!$A$2:$Q$3</definedName>
    <definedName name="Z_FF755022_626F_4990_BFD6_BC56E0C8B835_.wvu.FilterData" localSheetId="0" hidden="1">Outbound_Monitor!$A$2:$W$3</definedName>
    <definedName name="Z_FF755022_626F_4990_BFD6_BC56E0C8B835_.wvu.FilterData" localSheetId="4" hidden="1">Schichtübergabe_Protokoll!$B$3:$N$3</definedName>
    <definedName name="Z_FF77D9B6_A55C_49BA_B732_C00012153DEF_.wvu.FilterData" localSheetId="0" hidden="1">Outbound_Monitor!$A$2:$W$3</definedName>
    <definedName name="Z_FF80E395_F212_492E_ACA2_BCEB01D20B29_.wvu.FilterData" localSheetId="1" hidden="1">Inbound_Monitor!$A$2:$Q$13</definedName>
    <definedName name="Z_FF80E395_F212_492E_ACA2_BCEB01D20B29_.wvu.FilterData" localSheetId="0" hidden="1">Outbound_Monitor!$A$2:$X$16</definedName>
    <definedName name="Z_FF837293_8725_4020_B5B1_D7135C588497_.wvu.FilterData" localSheetId="0" hidden="1">Outbound_Monitor!$A$2:$W$3</definedName>
    <definedName name="Z_FF9B8F4A_6E9A_498B_A846_9300F890263C_.wvu.FilterData" localSheetId="1" hidden="1">Inbound_Monitor!$A$2:$Q$13</definedName>
    <definedName name="Z_FF9B8F4A_6E9A_498B_A846_9300F890263C_.wvu.FilterData" localSheetId="0" hidden="1">Outbound_Monitor!$A$2:$W$3</definedName>
    <definedName name="Z_FFA70A66_F6C7_4CAD_8191_4E2DC3A5C531_.wvu.FilterData" localSheetId="1" hidden="1">Inbound_Monitor!$A$2:$Q$2</definedName>
    <definedName name="Z_FFA70A66_F6C7_4CAD_8191_4E2DC3A5C531_.wvu.FilterData" localSheetId="0" hidden="1">Outbound_Monitor!$A$2:$W$2</definedName>
    <definedName name="Z_FFB0FDE5_3A40_4B01_BCC1_089C96DCD51E_.wvu.FilterData" localSheetId="1" hidden="1">Inbound_Monitor!$A$2:$Q$3</definedName>
    <definedName name="Z_FFB0FDE5_3A40_4B01_BCC1_089C96DCD51E_.wvu.FilterData" localSheetId="0" hidden="1">Outbound_Monitor!$A$2:$W$3</definedName>
    <definedName name="Z_FFBF8CA6_376E_4AA1_B378_E08EE5F5A457_.wvu.FilterData" localSheetId="0" hidden="1">Outbound_Monitor!$A$2:$W$3</definedName>
    <definedName name="Z_FFC346C6_A556_44DA_A1EF_12E84075ECA3_.wvu.FilterData" localSheetId="0" hidden="1">Outbound_Monitor!$A$2:$W$3</definedName>
    <definedName name="Z_FFC960CA_FF87_411B_93F8_D0A21E17EF02_.wvu.FilterData" localSheetId="1" hidden="1">Inbound_Monitor!$A$2:$Q$3</definedName>
    <definedName name="Z_FFCCDC02_8045_47CB_AEC1_BF08CB3644B2_.wvu.FilterData" localSheetId="0" hidden="1">Outbound_Monitor!$A$2:$W$3</definedName>
    <definedName name="Z_FFD4985D_B01F_49E4_94A3_CBA99232EC74_.wvu.FilterData" localSheetId="1" hidden="1">Inbound_Monitor!$A$2:$Q$3</definedName>
    <definedName name="Z_FFDAA0D8_C31D_422E_82BC_A38D08D2392A_.wvu.FilterData" localSheetId="1" hidden="1">Inbound_Monitor!$A$2:$Q$13</definedName>
    <definedName name="Z_FFDAA0D8_C31D_422E_82BC_A38D08D2392A_.wvu.FilterData" localSheetId="0" hidden="1">Outbound_Monitor!$A$2:$W$3</definedName>
    <definedName name="Z_FFDAD945_5D3E_4141_8D70_EC4B06D9D3CB_.wvu.FilterData" localSheetId="1" hidden="1">Inbound_Monitor!$A$2:$Q$13</definedName>
    <definedName name="Z_FFDAD945_5D3E_4141_8D70_EC4B06D9D3CB_.wvu.FilterData" localSheetId="0" hidden="1">Outbound_Monitor!$A$2:$X$16</definedName>
    <definedName name="Z_FFDB91FF_1BAF_411B_93A6_FD9E2C605334_.wvu.FilterData" localSheetId="0" hidden="1">Outbound_Monitor!$A$2:$W$3</definedName>
    <definedName name="Z_FFDD2F1E_7A2A_4D09_903B_7ED50F9D4355_.wvu.FilterData" localSheetId="0" hidden="1">Outbound_Monitor!$A$2:$W$3</definedName>
    <definedName name="Z_FFDDF988_1AC4_43D1_8970_130D3C88362F_.wvu.FilterData" localSheetId="1" hidden="1">Inbound_Monitor!$A$2:$Q$2</definedName>
    <definedName name="Z_FFDDF988_1AC4_43D1_8970_130D3C88362F_.wvu.FilterData" localSheetId="0" hidden="1">Outbound_Monitor!$A$2:$W$2</definedName>
  </definedNames>
  <calcPr calcId="191029"/>
  <customWorkbookViews>
    <customWorkbookView name="Kerstin Tauber - Persönliche Ansicht" guid="{4259091D-D0F3-4F37-BEA1-28A56DCE2CAB}" mergeInterval="0" personalView="1" maximized="1" xWindow="-8" yWindow="-8" windowWidth="1936" windowHeight="1056" tabRatio="715" activeSheetId="4"/>
    <customWorkbookView name="Joshua Izquierdo (External) - Personal View" guid="{8A2A5520-166E-4A1F-8192-130B81C2F742}" mergeInterval="0" personalView="1" maximized="1" xWindow="-8" yWindow="-8" windowWidth="1936" windowHeight="1056" tabRatio="715" activeSheetId="4"/>
    <customWorkbookView name="Ronny Ittner (External) - Persönliche Ansicht" guid="{5553B17F-5E38-459F-9E7B-3B8FB8EDA0E9}" mergeInterval="0" personalView="1" maximized="1" xWindow="1912" yWindow="-8" windowWidth="1936" windowHeight="1056" tabRatio="715" activeSheetId="3"/>
    <customWorkbookView name="Ralf Brigulla - Persönliche Ansicht" guid="{8678D424-961C-4F18-8B8A-3E6706CDCB42}" mergeInterval="0" personalView="1" maximized="1" xWindow="-8" yWindow="-8" windowWidth="1936" windowHeight="1056" tabRatio="715" activeSheetId="4"/>
    <customWorkbookView name="Hans Taubenreuther - Persönliche Ansicht" guid="{3AB35397-189E-4694-8731-466CEBD9E15E}" mergeInterval="0" personalView="1" maximized="1" xWindow="-8" yWindow="-8" windowWidth="1382" windowHeight="744" tabRatio="715" activeSheetId="4"/>
    <customWorkbookView name="Enrico Götz (External) - Personal View" guid="{46754859-9E9B-4D72-AEF3-49F03F505BFF}" mergeInterval="0" personalView="1" maximized="1" xWindow="-8" yWindow="-8" windowWidth="1382" windowHeight="744" tabRatio="715" activeSheetId="3"/>
    <customWorkbookView name="Nico Hirschmann - Persönliche Ansicht" guid="{7BFB684F-1C8B-41A8-B2FF-C44E52241A9E}" mergeInterval="0" personalView="1" maximized="1" xWindow="-1928" yWindow="-8" windowWidth="1936" windowHeight="1056" tabRatio="715" activeSheetId="4"/>
    <customWorkbookView name="Joshua Izquierdo (External) - Persönliche Ansicht" guid="{F5769495-685A-4661-B576-D2525E43610D}" mergeInterval="0" personalView="1" maximized="1" xWindow="-8" yWindow="-8" windowWidth="1936" windowHeight="1056" tabRatio="715" activeSheetId="3"/>
    <customWorkbookView name="Sercan Duruk (External) - Persönliche Ansicht" guid="{A894FC21-9B62-4923-9AEA-28336F4A24F0}" mergeInterval="0" personalView="1" maximized="1" xWindow="-1928" yWindow="-8" windowWidth="1936" windowHeight="1056" tabRatio="715" activeSheetId="4"/>
    <customWorkbookView name="Jana Decker - Persönliche Ansicht" guid="{CC0660E8-37C1-40F5-AEDF-5B63360C20C7}" mergeInterval="0" personalView="1" yWindow="24" windowWidth="1936" windowHeight="1056" tabRatio="715" activeSheetId="4"/>
    <customWorkbookView name="Michael Wolert - Persönliche Ansicht" guid="{3117843E-4833-4777-B7C9-9650C2E61F22}" mergeInterval="0" personalView="1" maximized="1" xWindow="1912" yWindow="-8" windowWidth="1936" windowHeight="1056" tabRatio="715" activeSheetId="3"/>
    <customWorkbookView name="Uwe Opitz (External) - Persönliche Ansicht" guid="{AB2C7187-5A96-446F-B354-D7063F47A089}" mergeInterval="0" personalView="1" maximized="1" xWindow="-1928" yWindow="-8" windowWidth="1936" windowHeight="1056" tabRatio="715" activeSheetId="4"/>
    <customWorkbookView name="Martin Wolf - Persönliche Ansicht" guid="{E8C93915-5024-4742-8DB6-B346123BB3C8}" mergeInterval="0" personalView="1" maximized="1" xWindow="-8" yWindow="-8" windowWidth="1936" windowHeight="1056" tabRatio="715" activeSheetId="4"/>
    <customWorkbookView name="Roman Krag (External) - Persönliche Ansicht" guid="{859A76EE-6449-413C-B30A-0094CDDE977F}" mergeInterval="0" personalView="1" maximized="1" xWindow="-8" yWindow="-8" windowWidth="1382" windowHeight="744" tabRatio="715" activeSheetId="4"/>
    <customWorkbookView name="Valentin Lomakin - Personal View" guid="{39714219-A5D3-4014-9125-5359C513171F}" mergeInterval="0" personalView="1" maximized="1" xWindow="-8" yWindow="-8" windowWidth="1382" windowHeight="744" tabRatio="658" activeSheetId="3"/>
    <customWorkbookView name="Christian Hammann - Personal View" guid="{99C1F600-3221-4159-9738-C8FA339A6F16}" mergeInterval="0" personalView="1" maximized="1" xWindow="-8" yWindow="-8" windowWidth="1936" windowHeight="1056" tabRatio="715" activeSheetId="4"/>
    <customWorkbookView name="Aleksa Hadzi-Ristic - Persönliche Ansicht" guid="{1EEB3DE9-1D73-4812-83A7-DCA1466BE783}" autoUpdate="1" mergeInterval="15" personalView="1" xWindow="181" yWindow="144" windowWidth="1366" windowHeight="728" tabRatio="715" activeSheetId="4"/>
    <customWorkbookView name="Stefan Biener - Persönliche Ansicht" guid="{561021F1-64B8-4FE2-B640-82B8FA990848}" mergeInterval="0" personalView="1" maximized="1" xWindow="-8" yWindow="-8" windowWidth="1382" windowHeight="744" tabRatio="715" activeSheetId="4"/>
    <customWorkbookView name="Tobias Twork - Persönliche Ansicht" guid="{A569235B-BC9F-42BA-B62B-8158EA8F3130}" mergeInterval="0" personalView="1" maximized="1" xWindow="-8" yWindow="-8" windowWidth="1936" windowHeight="1176" activeSheetId="3"/>
    <customWorkbookView name="Tobias Ulitschka - Persönliche Ansicht" guid="{B0DC83C8-18ED-4304-A12D-8222A145327D}" mergeInterval="0" personalView="1" maximized="1" xWindow="1912" yWindow="-8" windowWidth="1936" windowHeight="1056" tabRatio="716" activeSheetId="2"/>
    <customWorkbookView name="Christopher Pamperin - Persönliche Ansicht" guid="{CACFF423-21D1-49C7-8D16-F47AC796CCA1}" mergeInterval="0" personalView="1" maximized="1" xWindow="-8" yWindow="-8" windowWidth="1936" windowHeight="1176" tabRatio="716" activeSheetId="4"/>
    <customWorkbookView name="Matthias Kastl - Persönliche Ansicht" guid="{C176B95D-5070-4E7D-A381-43EB087113B9}" mergeInterval="0" personalView="1" maximized="1" xWindow="1358" yWindow="-8" windowWidth="1936" windowHeight="1176" tabRatio="716" activeSheetId="4"/>
    <customWorkbookView name="Michael Kress - Persönliche Ansicht" guid="{09D34335-39BD-433C-AD93-C6863F2FBFD9}" mergeInterval="0" personalView="1" maximized="1" xWindow="-1928" yWindow="-8" windowWidth="1936" windowHeight="1056" tabRatio="716" activeSheetId="4"/>
    <customWorkbookView name="Rossano Nisio - Persönliche Ansicht" guid="{EBF74CA6-BC4A-492C-8B8E-DB025ABEE7DC}" mergeInterval="0" personalView="1" maximized="1" xWindow="-8" yWindow="-8" windowWidth="1936" windowHeight="1176" tabRatio="716" activeSheetId="4"/>
    <customWorkbookView name="Norbert Zimmermann - Persönliche Ansicht" guid="{440CD2AA-AA39-4131-97EA-B5C6818F6B4F}" mergeInterval="0" personalView="1" maximized="1" xWindow="1358" yWindow="-8" windowWidth="1936" windowHeight="1176" tabRatio="716" activeSheetId="2"/>
    <customWorkbookView name="Yassmien Bahgat - Persönliche Ansicht" guid="{4C0D3DF9-1755-441A-A09D-DCAF9D3ECEB3}" mergeInterval="0" personalView="1" maximized="1" xWindow="-8" yWindow="-8" windowWidth="1936" windowHeight="1056" tabRatio="716" activeSheetId="2"/>
    <customWorkbookView name="Markus Giestl - Persönliche Ansicht" guid="{04F0F035-2413-4E25-863C-B99C06B944CE}" mergeInterval="0" personalView="1" maximized="1" xWindow="1358" yWindow="-8" windowWidth="1936" windowHeight="1056" tabRatio="716" activeSheetId="1"/>
    <customWorkbookView name="Michael Pachelbel - Persönliche Ansicht" guid="{604F3432-CA08-4655-B951-781160798B8F}" mergeInterval="0" personalView="1" maximized="1" xWindow="-8" yWindow="-8" windowWidth="1936" windowHeight="1056" tabRatio="716" activeSheetId="4"/>
    <customWorkbookView name="Michael Voit - Persönliche Ansicht" guid="{90C1EDED-32DF-4477-A20B-4ADBCA3D9E8C}" autoUpdate="1" mergeInterval="5" personalView="1" maximized="1" xWindow="-8" yWindow="-8" windowWidth="1936" windowHeight="1176" tabRatio="764" activeSheetId="4"/>
    <customWorkbookView name="K24 SMD Display - Personal View" guid="{9C96C90A-0FC7-4163-BC1D-37D9343F061E}" mergeInterval="0" personalView="1" maximized="1" xWindow="-8" yWindow="-1088" windowWidth="1936" windowHeight="1056" activeSheetId="1"/>
    <customWorkbookView name="Harald Schmitt - Persönliche Ansicht" guid="{D390EFE9-912C-4209-8B3B-83BD40D974C7}" mergeInterval="0" personalView="1" maximized="1" xWindow="1352" yWindow="-8" windowWidth="1296" windowHeight="776" activeSheetId="2"/>
    <customWorkbookView name="L24 SMD Display - Personal View" guid="{339B7256-91AC-4B40-91F8-C7EBC80DDB67}" mergeInterval="0" personalView="1" maximized="1" xWindow="-8" yWindow="-8" windowWidth="1936" windowHeight="1056" activeSheetId="2"/>
    <customWorkbookView name="Andreas Schmitt - Persönliche Ansicht" guid="{11F87A2D-624F-4520-AA11-42C94D86C4E2}" autoUpdate="1" mergeInterval="15" personalView="1" maximized="1" xWindow="-8" yWindow="-8" windowWidth="1936" windowHeight="1176" tabRatio="764" activeSheetId="1"/>
    <customWorkbookView name="Florian Hufnagel - Persönliche Ansicht" guid="{09DE1194-3AAB-42E0-A76D-DDF32F1E39B7}" mergeInterval="0" personalView="1" maximized="1" xWindow="1912" yWindow="-8" windowWidth="1936" windowHeight="1176" tabRatio="764" activeSheetId="3"/>
    <customWorkbookView name="Sven Weschenfelder - Persönliche Ansicht" guid="{159AA83F-8DF2-4277-A669-902C9AC20AC1}" mergeInterval="0" personalView="1" maximized="1" xWindow="-1928" yWindow="-133" windowWidth="1936" windowHeight="1155" tabRatio="716" activeSheetId="4"/>
    <customWorkbookView name="Markus Sporrer - Persönliche Ansicht" guid="{4DC50F96-4A68-4660-B46C-8F9ED72D7141}" mergeInterval="0" personalView="1" maximized="1" xWindow="1912" yWindow="-8" windowWidth="1936" windowHeight="1056" tabRatio="716" activeSheetId="1"/>
    <customWorkbookView name="IP2B LCDisplay - Personal View" guid="{6136412F-82DF-441B-B7C9-FF92D8397EBB}" mergeInterval="0" personalView="1" maximized="1" xWindow="-9" yWindow="-9" windowWidth="1938" windowHeight="1168" tabRatio="716" activeSheetId="2"/>
    <customWorkbookView name="Daniel Baldauf - Persönliche Ansicht" guid="{5127DA54-534D-4F06-BCD8-5C1B021AD3E2}" mergeInterval="0" personalView="1" maximized="1" xWindow="1912" yWindow="186" windowWidth="1936" windowHeight="1056" tabRatio="716" activeSheetId="4"/>
    <customWorkbookView name="Denis Kollert - Persönliche Ansicht" guid="{043624C2-16A5-4D36-A14E-D5C68997D8BB}" mergeInterval="0" personalView="1" maximized="1" xWindow="-8" yWindow="-8" windowWidth="1936" windowHeight="1056" tabRatio="716" activeSheetId="3"/>
    <customWorkbookView name="Markus Schlereth - Persönliche Ansicht" guid="{3DB152C2-6535-4A2B-B910-DBEE64881738}" mergeInterval="0" personalView="1" maximized="1" xWindow="1912" yWindow="-8" windowWidth="1936" windowHeight="1186" tabRatio="716" activeSheetId="2"/>
    <customWorkbookView name="Michael Greim - Persönliche Ansicht" guid="{262312F2-7F2B-4330-A41E-23BD1F99D6E0}" mergeInterval="0" personalView="1" maximized="1" xWindow="1912" yWindow="-8" windowWidth="1936" windowHeight="1176" tabRatio="715" activeSheetId="4"/>
    <customWorkbookView name="Thorsten Kreusel (External) - Persönliche Ansicht" guid="{83F528CF-0EB0-448F-A134-FC0A4AE93D61}" mergeInterval="0" personalView="1" maximized="1" xWindow="-8" yWindow="-8" windowWidth="1382" windowHeight="744" tabRatio="715" activeSheetId="3"/>
    <customWorkbookView name="Magdalena Schmidt - Persönliche Ansicht" guid="{4DEBCDA2-AD48-4242-A2C2-0D34C03BCEDF}" mergeInterval="0" personalView="1" maximized="1" xWindow="-8" yWindow="-8" windowWidth="1936" windowHeight="1056" activeSheetId="1"/>
    <customWorkbookView name="Christian Hammann - Persönliche Ansicht" guid="{11E0DF8F-1F3E-458C-AFF0-F06D7C733F39}" mergeInterval="0" personalView="1" maximized="1" xWindow="1912" yWindow="-6" windowWidth="1936" windowHeight="1056" tabRatio="715" activeSheetId="4"/>
    <customWorkbookView name="Valentin Lomakin - Persönliche Ansicht" guid="{1EDAE053-F030-42D5-B05D-E8B32E176EAC}" mergeInterval="0" personalView="1" maximized="1" xWindow="-8" yWindow="-8" windowWidth="1382" windowHeight="744" tabRatio="680" activeSheetId="3"/>
    <customWorkbookView name="Lucas Buchin (External) - Persönliche Ansicht" guid="{797A356B-9844-480F-9B78-76C80E692EAB}" mergeInterval="0" personalView="1" maximized="1" xWindow="-8" yWindow="-8" windowWidth="1936" windowHeight="1056" tabRatio="715" activeSheetId="4"/>
    <customWorkbookView name="Uwe Opitz (External) - Personal View" guid="{1FFB1A3D-D8A0-4A54-B731-DF26CF2F2B94}" mergeInterval="0" personalView="1" maximized="1" xWindow="-8" yWindow="-8" windowWidth="1936" windowHeight="1056" tabRatio="715" activeSheetId="3"/>
    <customWorkbookView name="Alma Pema (External) - Persönliche Ansicht" guid="{F7C4BDC5-938D-4C0C-B0B7-0A2BAC54DD9F}" mergeInterval="0" personalView="1" maximized="1" xWindow="-8" yWindow="-8" windowWidth="1936" windowHeight="1056" tabRatio="715" activeSheetId="4"/>
    <customWorkbookView name="Stefan Braunersreuther - Persönliche Ansicht" guid="{A9394557-FCE9-432F-BF03-170DE4B28F03}" mergeInterval="0" personalView="1" maximized="1" xWindow="-8" yWindow="-8" windowWidth="1936" windowHeight="1176" tabRatio="715" activeSheetId="4"/>
    <customWorkbookView name="Lucas Buchin (External) - Personal View" guid="{4F7CB51A-553F-442C-9E5D-87682F826BE3}" mergeInterval="0" personalView="1" maximized="1" xWindow="-8" yWindow="-8" windowWidth="1936" windowHeight="1056" tabRatio="715"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453" i="4" l="1"/>
  <c r="W454" i="4"/>
  <c r="W455" i="4"/>
  <c r="W456" i="4"/>
  <c r="W457" i="4"/>
  <c r="W470" i="4"/>
  <c r="U470" i="4"/>
  <c r="T470" i="4"/>
  <c r="A470" i="4"/>
  <c r="P330" i="3"/>
  <c r="W440" i="4"/>
  <c r="W441" i="4"/>
  <c r="W442" i="4"/>
  <c r="W443" i="4"/>
  <c r="W444" i="4"/>
  <c r="W445" i="4"/>
  <c r="W446" i="4"/>
  <c r="W447" i="4"/>
  <c r="W448" i="4"/>
  <c r="W449" i="4"/>
  <c r="A318" i="3"/>
  <c r="W450" i="4"/>
  <c r="T447" i="4"/>
  <c r="U447" i="4"/>
  <c r="A447" i="4"/>
  <c r="W427" i="4"/>
  <c r="W428" i="4"/>
  <c r="W429" i="4"/>
  <c r="W430" i="4"/>
  <c r="W431" i="4"/>
  <c r="W432" i="4"/>
  <c r="W433" i="4"/>
  <c r="W412" i="4" l="1"/>
  <c r="W413" i="4"/>
  <c r="W414" i="4"/>
  <c r="W415" i="4"/>
  <c r="W416" i="4"/>
  <c r="W417" i="4"/>
  <c r="W418" i="4"/>
  <c r="W419" i="4"/>
  <c r="W434" i="4"/>
  <c r="U434" i="4"/>
  <c r="T434" i="4"/>
  <c r="A434" i="4"/>
  <c r="W421" i="4"/>
  <c r="T421" i="4"/>
  <c r="U421" i="4"/>
  <c r="A421" i="4"/>
  <c r="W420" i="4" l="1"/>
  <c r="U420" i="4"/>
  <c r="T420" i="4"/>
  <c r="A420" i="4"/>
  <c r="W409" i="4"/>
  <c r="U409" i="4"/>
  <c r="T409" i="4"/>
  <c r="A409" i="4"/>
  <c r="W407" i="4" l="1"/>
  <c r="U407" i="4"/>
  <c r="T407" i="4"/>
  <c r="A407" i="4"/>
  <c r="A274" i="3"/>
  <c r="W385" i="4" l="1"/>
  <c r="U385" i="4"/>
  <c r="T385" i="4"/>
  <c r="A385" i="4"/>
  <c r="W373" i="4" l="1"/>
  <c r="U373" i="4"/>
  <c r="T373" i="4"/>
  <c r="A373" i="4"/>
  <c r="T352" i="4" l="1"/>
  <c r="U354" i="4"/>
  <c r="W353" i="4"/>
  <c r="W354" i="4"/>
  <c r="U353" i="4"/>
  <c r="U355" i="4"/>
  <c r="T353" i="4"/>
  <c r="T354" i="4"/>
  <c r="A353" i="4"/>
  <c r="A354" i="4"/>
  <c r="W343" i="4"/>
  <c r="W344" i="4"/>
  <c r="W345" i="4"/>
  <c r="W346" i="4"/>
  <c r="W347" i="4"/>
  <c r="W348" i="4"/>
  <c r="W349" i="4"/>
  <c r="W350" i="4"/>
  <c r="U362" i="4"/>
  <c r="T362" i="4"/>
  <c r="A362" i="4"/>
  <c r="A349" i="4"/>
  <c r="U349" i="4"/>
  <c r="T349" i="4"/>
  <c r="W362" i="4" l="1"/>
  <c r="W351" i="4"/>
  <c r="U351" i="4"/>
  <c r="T351" i="4"/>
  <c r="A351" i="4"/>
  <c r="P242" i="3"/>
  <c r="W330" i="4"/>
  <c r="U330" i="4"/>
  <c r="T330" i="4"/>
  <c r="A330" i="4"/>
  <c r="A323" i="4"/>
  <c r="W321" i="4" l="1"/>
  <c r="W290" i="4" l="1"/>
  <c r="W291" i="4"/>
  <c r="W292" i="4"/>
  <c r="W293" i="4"/>
  <c r="W294" i="4"/>
  <c r="W295" i="4"/>
  <c r="W296" i="4"/>
  <c r="W297" i="4"/>
  <c r="W298" i="4"/>
  <c r="A297" i="4" l="1"/>
  <c r="W285" i="4" l="1"/>
  <c r="W274" i="4" l="1"/>
  <c r="W275" i="4"/>
  <c r="W276" i="4"/>
  <c r="W277" i="4"/>
  <c r="T267" i="4" l="1"/>
  <c r="U267" i="4"/>
  <c r="W267" i="4"/>
  <c r="T266" i="4"/>
  <c r="A267" i="4"/>
  <c r="W257" i="4"/>
  <c r="W264" i="4"/>
  <c r="W265" i="4"/>
  <c r="W266" i="4"/>
  <c r="W268" i="4"/>
  <c r="W269" i="4"/>
  <c r="W270" i="4"/>
  <c r="W271" i="4"/>
  <c r="W251" i="4"/>
  <c r="W252" i="4"/>
  <c r="W253" i="4"/>
  <c r="W254" i="4"/>
  <c r="W238" i="4"/>
  <c r="W239" i="4"/>
  <c r="W240" i="4"/>
  <c r="W241" i="4"/>
  <c r="W242" i="4"/>
  <c r="U257" i="4"/>
  <c r="T257" i="4"/>
  <c r="A257" i="4"/>
  <c r="W258" i="4"/>
  <c r="U258" i="4"/>
  <c r="T258" i="4"/>
  <c r="W232" i="4"/>
  <c r="T232" i="4"/>
  <c r="U232" i="4"/>
  <c r="A232" i="4"/>
  <c r="A231" i="4"/>
  <c r="T231" i="4"/>
  <c r="U231" i="4"/>
  <c r="W206" i="4"/>
  <c r="W207" i="4"/>
  <c r="W208" i="4"/>
  <c r="W209" i="4"/>
  <c r="W210" i="4"/>
  <c r="W211" i="4"/>
  <c r="W212" i="4"/>
  <c r="W213" i="4"/>
  <c r="W214" i="4"/>
  <c r="W215" i="4"/>
  <c r="W223" i="4"/>
  <c r="T223" i="4"/>
  <c r="U223" i="4"/>
  <c r="A223" i="4"/>
  <c r="W196" i="4"/>
  <c r="W197" i="4"/>
  <c r="W198" i="4"/>
  <c r="W199" i="4"/>
  <c r="W200" i="4"/>
  <c r="W201" i="4"/>
  <c r="W202" i="4"/>
  <c r="W203" i="4"/>
  <c r="W188" i="4"/>
  <c r="W189" i="4"/>
  <c r="W190" i="4"/>
  <c r="W191" i="4"/>
  <c r="W192" i="4"/>
  <c r="W193" i="4"/>
  <c r="W231" i="4" l="1"/>
  <c r="U199" i="4"/>
  <c r="T199" i="4"/>
  <c r="A199" i="4"/>
  <c r="A197" i="4"/>
  <c r="A198" i="4"/>
  <c r="A200" i="4"/>
  <c r="A201" i="4"/>
  <c r="A202" i="4"/>
  <c r="A203" i="4"/>
  <c r="A204" i="4"/>
  <c r="A205" i="4"/>
  <c r="A206" i="4"/>
  <c r="A207" i="4"/>
  <c r="A208" i="4"/>
  <c r="A209" i="4"/>
  <c r="A210" i="4"/>
  <c r="A211" i="4"/>
  <c r="A212" i="4"/>
  <c r="A213" i="4"/>
  <c r="A214" i="4"/>
  <c r="A215" i="4"/>
  <c r="A216" i="4"/>
  <c r="A217" i="4"/>
  <c r="A218" i="4"/>
  <c r="A219" i="4"/>
  <c r="A220" i="4"/>
  <c r="A221" i="4"/>
  <c r="A222" i="4"/>
  <c r="A224" i="4"/>
  <c r="A225" i="4"/>
  <c r="A226" i="4"/>
  <c r="A227" i="4"/>
  <c r="A228" i="4"/>
  <c r="A229" i="4"/>
  <c r="A230" i="4"/>
  <c r="A233" i="4"/>
  <c r="A234" i="4"/>
  <c r="A235" i="4"/>
  <c r="A236" i="4"/>
  <c r="A237" i="4"/>
  <c r="A238" i="4"/>
  <c r="A239" i="4"/>
  <c r="A240" i="4"/>
  <c r="A241" i="4"/>
  <c r="A242" i="4"/>
  <c r="A243" i="4"/>
  <c r="A244" i="4"/>
  <c r="A245" i="4"/>
  <c r="A246" i="4"/>
  <c r="A247" i="4"/>
  <c r="A248" i="4"/>
  <c r="A249" i="4"/>
  <c r="A250" i="4"/>
  <c r="A251" i="4"/>
  <c r="A252" i="4"/>
  <c r="A253" i="4"/>
  <c r="A254" i="4"/>
  <c r="A255" i="4"/>
  <c r="A256" i="4"/>
  <c r="A259" i="4"/>
  <c r="A260" i="4"/>
  <c r="A261" i="4"/>
  <c r="A262" i="4"/>
  <c r="A263" i="4"/>
  <c r="A264" i="4"/>
  <c r="A265" i="4"/>
  <c r="A266"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4" i="4"/>
  <c r="A325" i="4"/>
  <c r="A326" i="4"/>
  <c r="A327" i="4"/>
  <c r="A328" i="4"/>
  <c r="A329" i="4"/>
  <c r="A331" i="4"/>
  <c r="A332" i="4"/>
  <c r="A333" i="4"/>
  <c r="A334" i="4"/>
  <c r="A335" i="4"/>
  <c r="A336" i="4"/>
  <c r="A337" i="4"/>
  <c r="A338" i="4"/>
  <c r="A339" i="4"/>
  <c r="A340" i="4"/>
  <c r="A341" i="4"/>
  <c r="A342" i="4"/>
  <c r="A343" i="4"/>
  <c r="A344" i="4"/>
  <c r="A345" i="4"/>
  <c r="A346" i="4"/>
  <c r="A347" i="4"/>
  <c r="A348" i="4"/>
  <c r="A350" i="4"/>
  <c r="A352" i="4"/>
  <c r="A355" i="4"/>
  <c r="A356" i="4"/>
  <c r="A357" i="4"/>
  <c r="A358" i="4"/>
  <c r="A359" i="4"/>
  <c r="A360" i="4"/>
  <c r="A361" i="4"/>
  <c r="A363" i="4"/>
  <c r="A364" i="4"/>
  <c r="A365" i="4"/>
  <c r="A366" i="4"/>
  <c r="A367" i="4"/>
  <c r="A368" i="4"/>
  <c r="A369" i="4"/>
  <c r="A370" i="4"/>
  <c r="A371" i="4"/>
  <c r="A372" i="4"/>
  <c r="A374" i="4"/>
  <c r="A375" i="4"/>
  <c r="A376" i="4"/>
  <c r="A377" i="4"/>
  <c r="A378" i="4"/>
  <c r="A379" i="4"/>
  <c r="A380" i="4"/>
  <c r="A381" i="4"/>
  <c r="A382" i="4"/>
  <c r="A383" i="4"/>
  <c r="A384" i="4"/>
  <c r="A386" i="4"/>
  <c r="A387" i="4"/>
  <c r="A388" i="4"/>
  <c r="A389" i="4"/>
  <c r="A390" i="4"/>
  <c r="A391" i="4"/>
  <c r="A392" i="4"/>
  <c r="A393" i="4"/>
  <c r="A394" i="4"/>
  <c r="A395" i="4"/>
  <c r="A396" i="4"/>
  <c r="A397" i="4"/>
  <c r="A398" i="4"/>
  <c r="A399" i="4"/>
  <c r="A400" i="4"/>
  <c r="A401" i="4"/>
  <c r="A402" i="4"/>
  <c r="A403" i="4"/>
  <c r="A404" i="4"/>
  <c r="A405" i="4"/>
  <c r="A406" i="4"/>
  <c r="A408" i="4"/>
  <c r="A410" i="4"/>
  <c r="A411" i="4"/>
  <c r="A412" i="4"/>
  <c r="A413" i="4"/>
  <c r="A414" i="4"/>
  <c r="A415" i="4"/>
  <c r="A416" i="4"/>
  <c r="A417" i="4"/>
  <c r="A418" i="4"/>
  <c r="A419" i="4"/>
  <c r="A422" i="4"/>
  <c r="A423" i="4"/>
  <c r="A424" i="4"/>
  <c r="A425" i="4"/>
  <c r="A426" i="4"/>
  <c r="A427" i="4"/>
  <c r="A428" i="4"/>
  <c r="A429" i="4"/>
  <c r="A430" i="4"/>
  <c r="A431" i="4"/>
  <c r="A432" i="4"/>
  <c r="A433" i="4"/>
  <c r="A435" i="4"/>
  <c r="A436" i="4"/>
  <c r="A437" i="4"/>
  <c r="A438" i="4"/>
  <c r="A439" i="4"/>
  <c r="A440" i="4"/>
  <c r="A441" i="4"/>
  <c r="A442" i="4"/>
  <c r="A443" i="4"/>
  <c r="A444" i="4"/>
  <c r="A445" i="4"/>
  <c r="A446" i="4"/>
  <c r="A448" i="4"/>
  <c r="A449" i="4"/>
  <c r="A450" i="4"/>
  <c r="A451" i="4"/>
  <c r="A452" i="4"/>
  <c r="A453" i="4"/>
  <c r="A454" i="4"/>
  <c r="A455" i="4"/>
  <c r="A456" i="4"/>
  <c r="A457" i="4"/>
  <c r="A458" i="4"/>
  <c r="A459" i="4"/>
  <c r="A460" i="4"/>
  <c r="A461" i="4"/>
  <c r="A462" i="4"/>
  <c r="A463" i="4"/>
  <c r="A464" i="4"/>
  <c r="A465" i="4"/>
  <c r="A466" i="4"/>
  <c r="A467" i="4"/>
  <c r="A468" i="4"/>
  <c r="A469"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W174" i="4"/>
  <c r="U174" i="4"/>
  <c r="U175" i="4"/>
  <c r="T174" i="4"/>
  <c r="T175" i="4"/>
  <c r="A174" i="4"/>
  <c r="A196" i="4" l="1"/>
  <c r="A195" i="4"/>
  <c r="W175" i="4" l="1"/>
  <c r="W176" i="4"/>
  <c r="W177" i="4"/>
  <c r="W178" i="4"/>
  <c r="W179" i="4"/>
  <c r="W180" i="4"/>
  <c r="W181" i="4"/>
  <c r="W163" i="4" l="1"/>
  <c r="W164" i="4"/>
  <c r="W165" i="4"/>
  <c r="W166" i="4"/>
  <c r="W167" i="4"/>
  <c r="W168" i="4"/>
  <c r="W169" i="4"/>
  <c r="A187" i="4"/>
  <c r="T187" i="4"/>
  <c r="U187" i="4"/>
  <c r="W187" i="4"/>
  <c r="A184" i="4"/>
  <c r="T184" i="4"/>
  <c r="U184" i="4"/>
  <c r="W184" i="4"/>
  <c r="A194" i="4"/>
  <c r="A193" i="4"/>
  <c r="A192" i="4"/>
  <c r="A191" i="4"/>
  <c r="A190" i="4"/>
  <c r="A189" i="4"/>
  <c r="A188" i="4"/>
  <c r="A186" i="4"/>
  <c r="A185" i="4"/>
  <c r="A183" i="4"/>
  <c r="A182" i="4"/>
  <c r="A181" i="4"/>
  <c r="A180" i="4"/>
  <c r="A178" i="4"/>
  <c r="A175" i="4"/>
  <c r="W144" i="4"/>
  <c r="W145" i="4"/>
  <c r="W146" i="4"/>
  <c r="W147" i="4"/>
  <c r="W148" i="4"/>
  <c r="W149" i="4"/>
  <c r="W150" i="4"/>
  <c r="W151" i="4"/>
  <c r="W152" i="4"/>
  <c r="W153" i="4"/>
  <c r="W154" i="4"/>
  <c r="W129" i="4" l="1"/>
  <c r="W130" i="4"/>
  <c r="W131" i="4"/>
  <c r="W132" i="4"/>
  <c r="W133" i="4"/>
  <c r="W134" i="4"/>
  <c r="W135" i="4"/>
  <c r="W140" i="4" l="1"/>
  <c r="W141" i="4"/>
  <c r="W142" i="4"/>
  <c r="U134" i="4"/>
  <c r="T134" i="4"/>
  <c r="A134" i="4"/>
  <c r="W116" i="4"/>
  <c r="W117" i="4"/>
  <c r="W118" i="4"/>
  <c r="W119" i="4"/>
  <c r="W120" i="4"/>
  <c r="A133"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6" i="4"/>
  <c r="A177" i="4"/>
  <c r="W113" i="4" l="1"/>
  <c r="U113" i="4"/>
  <c r="T113" i="4"/>
  <c r="A113" i="4"/>
  <c r="W114" i="4" l="1"/>
  <c r="T114" i="4"/>
  <c r="U114" i="4"/>
  <c r="A114" i="4"/>
  <c r="W93" i="4" l="1"/>
  <c r="W94" i="4"/>
  <c r="W95" i="4"/>
  <c r="W96" i="4"/>
  <c r="W97" i="4"/>
  <c r="W98" i="4"/>
  <c r="W99" i="4"/>
  <c r="W100" i="4"/>
  <c r="W84" i="4"/>
  <c r="W85" i="4"/>
  <c r="W86" i="4"/>
  <c r="W87" i="4"/>
  <c r="W88" i="4"/>
  <c r="W89" i="4"/>
  <c r="U94" i="4" l="1"/>
  <c r="T94" i="4"/>
  <c r="A94" i="4"/>
  <c r="W78" i="4" l="1"/>
  <c r="W79" i="4"/>
  <c r="W80" i="4"/>
  <c r="W81" i="4"/>
  <c r="W82" i="4"/>
  <c r="W83" i="4"/>
  <c r="A90" i="4" l="1"/>
  <c r="T90" i="4"/>
  <c r="U90" i="4"/>
  <c r="W90" i="4"/>
  <c r="T83" i="4"/>
  <c r="U83" i="4"/>
  <c r="A83" i="4"/>
  <c r="W71" i="4" l="1"/>
  <c r="W72" i="4"/>
  <c r="W68" i="4"/>
  <c r="A70" i="4"/>
  <c r="A69" i="4"/>
  <c r="A68" i="4"/>
  <c r="A71" i="4"/>
  <c r="T68" i="4"/>
  <c r="U68" i="4"/>
  <c r="T46" i="4"/>
  <c r="U46" i="4"/>
  <c r="W46" i="4"/>
  <c r="T49" i="4"/>
  <c r="U49" i="4"/>
  <c r="T50" i="4"/>
  <c r="U50" i="4"/>
  <c r="U40" i="4"/>
  <c r="T40" i="4"/>
  <c r="A40" i="4"/>
  <c r="W50" i="4" l="1"/>
  <c r="W49" i="4"/>
  <c r="W40" i="4"/>
  <c r="W16" i="4"/>
  <c r="W17" i="4"/>
  <c r="W18" i="4"/>
  <c r="W19" i="4"/>
  <c r="W20" i="4"/>
  <c r="W21" i="4"/>
  <c r="W22" i="4"/>
  <c r="W23" i="4"/>
  <c r="W24" i="4"/>
  <c r="W25" i="4"/>
  <c r="W26" i="4"/>
  <c r="W27" i="4"/>
  <c r="W28" i="4"/>
  <c r="W29" i="4"/>
  <c r="W30" i="4"/>
  <c r="W31" i="4"/>
  <c r="W32" i="4"/>
  <c r="W33" i="4"/>
  <c r="W34" i="4"/>
  <c r="W15" i="4"/>
  <c r="U17" i="4"/>
  <c r="A22" i="4" l="1"/>
  <c r="A21" i="4"/>
  <c r="A20" i="4"/>
  <c r="A19" i="4"/>
  <c r="A18" i="4"/>
  <c r="A17" i="4"/>
  <c r="U22" i="4"/>
  <c r="U21" i="4"/>
  <c r="U20" i="4"/>
  <c r="U19" i="4"/>
  <c r="U18" i="4"/>
  <c r="T22" i="4"/>
  <c r="T21" i="4"/>
  <c r="T20" i="4"/>
  <c r="T19" i="4"/>
  <c r="T18" i="4"/>
  <c r="T17" i="4"/>
  <c r="P626" i="3"/>
  <c r="P625" i="3"/>
  <c r="P624" i="3"/>
  <c r="P623" i="3"/>
  <c r="P622" i="3"/>
  <c r="P621" i="3"/>
  <c r="P620" i="3"/>
  <c r="P619" i="3"/>
  <c r="P618" i="3"/>
  <c r="P617" i="3"/>
  <c r="P616" i="3"/>
  <c r="P615" i="3"/>
  <c r="P614" i="3"/>
  <c r="P613" i="3"/>
  <c r="P612" i="3"/>
  <c r="P611" i="3"/>
  <c r="P610" i="3"/>
  <c r="P609" i="3"/>
  <c r="P608" i="3"/>
  <c r="P607" i="3"/>
  <c r="P606" i="3"/>
  <c r="P605" i="3"/>
  <c r="P604" i="3"/>
  <c r="P603" i="3"/>
  <c r="P602" i="3"/>
  <c r="P601" i="3"/>
  <c r="P600" i="3"/>
  <c r="P599" i="3"/>
  <c r="P598" i="3"/>
  <c r="P597" i="3"/>
  <c r="P596" i="3"/>
  <c r="O626" i="3"/>
  <c r="O625" i="3"/>
  <c r="O624" i="3"/>
  <c r="O623" i="3"/>
  <c r="O622" i="3"/>
  <c r="O621" i="3"/>
  <c r="O620" i="3"/>
  <c r="O619" i="3"/>
  <c r="O618" i="3"/>
  <c r="O617" i="3"/>
  <c r="O616" i="3"/>
  <c r="O615" i="3"/>
  <c r="O614" i="3"/>
  <c r="O613" i="3"/>
  <c r="O612" i="3"/>
  <c r="O611" i="3"/>
  <c r="O610" i="3"/>
  <c r="O609" i="3"/>
  <c r="O608" i="3"/>
  <c r="O607" i="3"/>
  <c r="O606" i="3"/>
  <c r="O605" i="3"/>
  <c r="O604" i="3"/>
  <c r="O603" i="3"/>
  <c r="O602" i="3"/>
  <c r="O601" i="3"/>
  <c r="O600" i="3"/>
  <c r="O599" i="3"/>
  <c r="O598" i="3"/>
  <c r="O597" i="3"/>
  <c r="O596" i="3"/>
  <c r="O595" i="3"/>
  <c r="O594" i="3"/>
  <c r="O593" i="3"/>
  <c r="O592" i="3"/>
  <c r="O591" i="3"/>
  <c r="O590" i="3"/>
  <c r="O589" i="3"/>
  <c r="O588" i="3"/>
  <c r="O587" i="3"/>
  <c r="O586" i="3"/>
  <c r="O585" i="3"/>
  <c r="O584" i="3"/>
  <c r="O583" i="3"/>
  <c r="O582" i="3"/>
  <c r="O581" i="3"/>
  <c r="O580" i="3"/>
  <c r="O579" i="3"/>
  <c r="O578" i="3"/>
  <c r="O577" i="3"/>
  <c r="O576" i="3"/>
  <c r="O575" i="3"/>
  <c r="O574" i="3"/>
  <c r="O573" i="3"/>
  <c r="O572" i="3"/>
  <c r="O571" i="3"/>
  <c r="O570" i="3"/>
  <c r="O569" i="3"/>
  <c r="O568" i="3"/>
  <c r="O567" i="3"/>
  <c r="O566" i="3"/>
  <c r="O565" i="3"/>
  <c r="O564" i="3"/>
  <c r="O563" i="3"/>
  <c r="O562" i="3"/>
  <c r="O561" i="3"/>
  <c r="O560" i="3"/>
  <c r="O559" i="3"/>
  <c r="O558" i="3"/>
  <c r="O557" i="3"/>
  <c r="O556" i="3"/>
  <c r="O555" i="3"/>
  <c r="O554" i="3"/>
  <c r="O553" i="3"/>
  <c r="O552" i="3"/>
  <c r="O551" i="3"/>
  <c r="O550" i="3"/>
  <c r="O549" i="3"/>
  <c r="O548" i="3"/>
  <c r="O547" i="3"/>
  <c r="O546" i="3"/>
  <c r="O545" i="3"/>
  <c r="O544" i="3"/>
  <c r="O543" i="3"/>
  <c r="O542" i="3"/>
  <c r="O541" i="3"/>
  <c r="O540" i="3"/>
  <c r="O539" i="3"/>
  <c r="O538" i="3"/>
  <c r="O537" i="3"/>
  <c r="O536" i="3"/>
  <c r="O535" i="3"/>
  <c r="O534" i="3"/>
  <c r="O533" i="3"/>
  <c r="O532" i="3"/>
  <c r="O531" i="3"/>
  <c r="O530" i="3"/>
  <c r="O529" i="3"/>
  <c r="O528" i="3"/>
  <c r="O527" i="3"/>
  <c r="O526" i="3"/>
  <c r="O525" i="3"/>
  <c r="O524" i="3"/>
  <c r="O523" i="3"/>
  <c r="O522" i="3"/>
  <c r="O521" i="3"/>
  <c r="O520" i="3"/>
  <c r="O519" i="3"/>
  <c r="O518" i="3"/>
  <c r="O517" i="3"/>
  <c r="O516" i="3"/>
  <c r="O515" i="3"/>
  <c r="O514" i="3"/>
  <c r="O513" i="3"/>
  <c r="O512" i="3"/>
  <c r="O511" i="3"/>
  <c r="O510" i="3"/>
  <c r="O509" i="3"/>
  <c r="O508" i="3"/>
  <c r="O507" i="3"/>
  <c r="O506" i="3"/>
  <c r="O505" i="3"/>
  <c r="O504" i="3"/>
  <c r="O503" i="3"/>
  <c r="O502" i="3"/>
  <c r="O501" i="3"/>
  <c r="O500" i="3"/>
  <c r="O499" i="3"/>
  <c r="O498" i="3"/>
  <c r="O497" i="3"/>
  <c r="O496" i="3"/>
  <c r="O495" i="3"/>
  <c r="O494" i="3"/>
  <c r="O493" i="3"/>
  <c r="O492" i="3"/>
  <c r="O491" i="3"/>
  <c r="O490" i="3"/>
  <c r="O489" i="3"/>
  <c r="O488" i="3"/>
  <c r="O487" i="3"/>
  <c r="O486" i="3"/>
  <c r="O485" i="3"/>
  <c r="O484" i="3"/>
  <c r="O483" i="3"/>
  <c r="O482" i="3"/>
  <c r="O481" i="3"/>
  <c r="O480" i="3"/>
  <c r="O479" i="3"/>
  <c r="O478" i="3"/>
  <c r="O477" i="3"/>
  <c r="O476" i="3"/>
  <c r="O475" i="3"/>
  <c r="O474" i="3"/>
  <c r="O473" i="3"/>
  <c r="O472" i="3"/>
  <c r="O471" i="3"/>
  <c r="O470" i="3"/>
  <c r="O469" i="3"/>
  <c r="O468" i="3"/>
  <c r="O467" i="3"/>
  <c r="O466" i="3"/>
  <c r="O465" i="3"/>
  <c r="O464" i="3"/>
  <c r="O463" i="3"/>
  <c r="O462" i="3"/>
  <c r="O461" i="3"/>
  <c r="O460" i="3"/>
  <c r="O459" i="3"/>
  <c r="O458" i="3"/>
  <c r="O457" i="3"/>
  <c r="O456" i="3"/>
  <c r="O455" i="3"/>
  <c r="O454" i="3"/>
  <c r="O453" i="3"/>
  <c r="O452" i="3"/>
  <c r="O451" i="3"/>
  <c r="O450" i="3"/>
  <c r="O449" i="3"/>
  <c r="O448" i="3"/>
  <c r="O447" i="3"/>
  <c r="O446" i="3"/>
  <c r="O445" i="3"/>
  <c r="O444" i="3"/>
  <c r="O443" i="3"/>
  <c r="O442" i="3"/>
  <c r="O441" i="3"/>
  <c r="O440" i="3"/>
  <c r="O439" i="3"/>
  <c r="O438" i="3"/>
  <c r="O437" i="3"/>
  <c r="O436" i="3"/>
  <c r="O435" i="3"/>
  <c r="O434" i="3"/>
  <c r="O433" i="3"/>
  <c r="O432" i="3"/>
  <c r="O431" i="3"/>
  <c r="O430" i="3"/>
  <c r="O429" i="3"/>
  <c r="O428" i="3"/>
  <c r="O427" i="3"/>
  <c r="O426" i="3"/>
  <c r="O425" i="3"/>
  <c r="O424" i="3"/>
  <c r="O423" i="3"/>
  <c r="O422" i="3"/>
  <c r="O421" i="3"/>
  <c r="O420" i="3"/>
  <c r="O419" i="3"/>
  <c r="O418" i="3"/>
  <c r="O417" i="3"/>
  <c r="O416" i="3"/>
  <c r="O415" i="3"/>
  <c r="O414" i="3"/>
  <c r="O413" i="3"/>
  <c r="O412" i="3"/>
  <c r="O411" i="3"/>
  <c r="O410" i="3"/>
  <c r="O409" i="3"/>
  <c r="O408" i="3"/>
  <c r="O407" i="3"/>
  <c r="O406" i="3"/>
  <c r="O405" i="3"/>
  <c r="O404" i="3"/>
  <c r="O403" i="3"/>
  <c r="O402" i="3"/>
  <c r="O401" i="3"/>
  <c r="O400" i="3"/>
  <c r="O399" i="3"/>
  <c r="O398" i="3"/>
  <c r="O397" i="3"/>
  <c r="O396" i="3"/>
  <c r="O395" i="3"/>
  <c r="O394" i="3"/>
  <c r="O393" i="3"/>
  <c r="O392" i="3"/>
  <c r="O391" i="3"/>
  <c r="O390" i="3"/>
  <c r="O389" i="3"/>
  <c r="O388" i="3"/>
  <c r="O387" i="3"/>
  <c r="O386" i="3"/>
  <c r="O385" i="3"/>
  <c r="O384" i="3"/>
  <c r="O383" i="3"/>
  <c r="O382" i="3"/>
  <c r="O381" i="3"/>
  <c r="O380" i="3"/>
  <c r="O379" i="3"/>
  <c r="O378" i="3"/>
  <c r="O377" i="3"/>
  <c r="O376" i="3"/>
  <c r="O375" i="3"/>
  <c r="O374" i="3"/>
  <c r="O373" i="3"/>
  <c r="O372" i="3"/>
  <c r="O371" i="3"/>
  <c r="O370" i="3"/>
  <c r="O369" i="3"/>
  <c r="O368" i="3"/>
  <c r="O367" i="3"/>
  <c r="O366" i="3"/>
  <c r="O365" i="3"/>
  <c r="O364" i="3"/>
  <c r="O363" i="3"/>
  <c r="O362" i="3"/>
  <c r="O361" i="3"/>
  <c r="O360" i="3"/>
  <c r="O359" i="3"/>
  <c r="O358" i="3"/>
  <c r="O357" i="3"/>
  <c r="O356" i="3"/>
  <c r="O355" i="3"/>
  <c r="O354" i="3"/>
  <c r="O353" i="3"/>
  <c r="O352" i="3"/>
  <c r="O351" i="3"/>
  <c r="O350" i="3"/>
  <c r="O349" i="3"/>
  <c r="O348" i="3"/>
  <c r="O347" i="3"/>
  <c r="O346" i="3"/>
  <c r="O345" i="3"/>
  <c r="O344" i="3"/>
  <c r="O343" i="3"/>
  <c r="O342" i="3"/>
  <c r="O341" i="3"/>
  <c r="O340" i="3"/>
  <c r="O339" i="3"/>
  <c r="O338" i="3"/>
  <c r="O337" i="3"/>
  <c r="O336" i="3"/>
  <c r="O335" i="3"/>
  <c r="O334" i="3"/>
  <c r="O333" i="3"/>
  <c r="O332" i="3"/>
  <c r="O331" i="3"/>
  <c r="O330" i="3"/>
  <c r="O329" i="3"/>
  <c r="O328" i="3"/>
  <c r="O327" i="3"/>
  <c r="O326" i="3"/>
  <c r="O325" i="3"/>
  <c r="O324" i="3"/>
  <c r="O323" i="3"/>
  <c r="O322" i="3"/>
  <c r="O321" i="3"/>
  <c r="O320" i="3"/>
  <c r="O319" i="3"/>
  <c r="O318" i="3"/>
  <c r="O317" i="3"/>
  <c r="O316" i="3"/>
  <c r="O315" i="3"/>
  <c r="O314" i="3"/>
  <c r="O313" i="3"/>
  <c r="O312" i="3"/>
  <c r="O311" i="3"/>
  <c r="O310" i="3"/>
  <c r="O309" i="3"/>
  <c r="O308" i="3"/>
  <c r="O307" i="3"/>
  <c r="O306" i="3"/>
  <c r="O305" i="3"/>
  <c r="O304" i="3"/>
  <c r="O303" i="3"/>
  <c r="O302" i="3"/>
  <c r="O301" i="3"/>
  <c r="O300" i="3"/>
  <c r="O299" i="3"/>
  <c r="O298" i="3"/>
  <c r="O297" i="3"/>
  <c r="O296" i="3"/>
  <c r="O295" i="3"/>
  <c r="O294" i="3"/>
  <c r="O293" i="3"/>
  <c r="O292" i="3"/>
  <c r="O291" i="3"/>
  <c r="O290" i="3"/>
  <c r="O289" i="3"/>
  <c r="O288" i="3"/>
  <c r="O287" i="3"/>
  <c r="O286" i="3"/>
  <c r="O285" i="3"/>
  <c r="O284" i="3"/>
  <c r="O283" i="3"/>
  <c r="O282" i="3"/>
  <c r="O281" i="3"/>
  <c r="O280" i="3"/>
  <c r="O279" i="3"/>
  <c r="O278" i="3"/>
  <c r="O277" i="3"/>
  <c r="O276" i="3"/>
  <c r="O275" i="3"/>
  <c r="O274" i="3"/>
  <c r="O273" i="3"/>
  <c r="O272" i="3"/>
  <c r="O271" i="3"/>
  <c r="O270" i="3"/>
  <c r="O269" i="3"/>
  <c r="O268" i="3"/>
  <c r="O267" i="3"/>
  <c r="O266" i="3"/>
  <c r="O265" i="3"/>
  <c r="O264" i="3"/>
  <c r="O263" i="3"/>
  <c r="O262" i="3"/>
  <c r="O261" i="3"/>
  <c r="O260" i="3"/>
  <c r="O259" i="3"/>
  <c r="O258" i="3"/>
  <c r="O257" i="3"/>
  <c r="O256" i="3"/>
  <c r="O255" i="3"/>
  <c r="O254" i="3"/>
  <c r="O253" i="3"/>
  <c r="O252" i="3"/>
  <c r="O251" i="3"/>
  <c r="O250" i="3"/>
  <c r="O249" i="3"/>
  <c r="O248" i="3"/>
  <c r="O247" i="3"/>
  <c r="O246" i="3"/>
  <c r="O245" i="3"/>
  <c r="O244" i="3"/>
  <c r="O243" i="3"/>
  <c r="O242" i="3"/>
  <c r="O241" i="3"/>
  <c r="O240" i="3"/>
  <c r="O239" i="3"/>
  <c r="O238" i="3"/>
  <c r="O237" i="3"/>
  <c r="O236" i="3"/>
  <c r="O235" i="3"/>
  <c r="O234" i="3"/>
  <c r="O233" i="3"/>
  <c r="O232" i="3"/>
  <c r="O231" i="3"/>
  <c r="O230" i="3"/>
  <c r="O229" i="3"/>
  <c r="O228" i="3"/>
  <c r="O227" i="3"/>
  <c r="W887" i="4"/>
  <c r="W886" i="4"/>
  <c r="W885" i="4"/>
  <c r="W884" i="4"/>
  <c r="W881" i="4"/>
  <c r="W880" i="4"/>
  <c r="W879" i="4"/>
  <c r="W878" i="4"/>
  <c r="W877" i="4"/>
  <c r="W873" i="4"/>
  <c r="W872" i="4"/>
  <c r="W871" i="4"/>
  <c r="W870" i="4"/>
  <c r="W869" i="4"/>
  <c r="W868" i="4"/>
  <c r="W867" i="4"/>
  <c r="W866" i="4"/>
  <c r="W865" i="4"/>
  <c r="W861" i="4"/>
  <c r="W860" i="4"/>
  <c r="W859" i="4"/>
  <c r="W858" i="4"/>
  <c r="W857" i="4"/>
  <c r="W856" i="4"/>
  <c r="W855" i="4"/>
  <c r="W854" i="4"/>
  <c r="W853" i="4"/>
  <c r="W852" i="4"/>
  <c r="W848" i="4"/>
  <c r="W847" i="4"/>
  <c r="W846" i="4"/>
  <c r="W845" i="4"/>
  <c r="W844" i="4"/>
  <c r="W843" i="4"/>
  <c r="W842" i="4"/>
  <c r="W841" i="4"/>
  <c r="W840" i="4"/>
  <c r="W836" i="4"/>
  <c r="W835" i="4"/>
  <c r="W834" i="4"/>
  <c r="W833" i="4"/>
  <c r="W832" i="4"/>
  <c r="W831" i="4"/>
  <c r="W830" i="4"/>
  <c r="W829" i="4"/>
  <c r="W828" i="4"/>
  <c r="W824" i="4"/>
  <c r="W823" i="4"/>
  <c r="W822" i="4"/>
  <c r="W821" i="4"/>
  <c r="W820" i="4"/>
  <c r="W819" i="4"/>
  <c r="W818" i="4"/>
  <c r="W817" i="4"/>
  <c r="W816" i="4"/>
  <c r="W815" i="4"/>
  <c r="W811" i="4"/>
  <c r="W810" i="4"/>
  <c r="W809" i="4"/>
  <c r="W808" i="4"/>
  <c r="W807" i="4"/>
  <c r="W806" i="4"/>
  <c r="W805" i="4"/>
  <c r="W804" i="4"/>
  <c r="W803" i="4"/>
  <c r="W799" i="4"/>
  <c r="W798" i="4"/>
  <c r="W797" i="4"/>
  <c r="W796" i="4"/>
  <c r="W795" i="4"/>
  <c r="W794" i="4"/>
  <c r="W793" i="4"/>
  <c r="W792" i="4"/>
  <c r="W791" i="4"/>
  <c r="W787" i="4"/>
  <c r="W786" i="4"/>
  <c r="W785" i="4"/>
  <c r="W784" i="4"/>
  <c r="W783" i="4"/>
  <c r="W782" i="4"/>
  <c r="W781" i="4"/>
  <c r="W780" i="4"/>
  <c r="W779" i="4"/>
  <c r="W778" i="4"/>
  <c r="W774" i="4"/>
  <c r="W773" i="4"/>
  <c r="W772" i="4"/>
  <c r="W771" i="4"/>
  <c r="W770" i="4"/>
  <c r="W769" i="4"/>
  <c r="W768" i="4"/>
  <c r="W767" i="4"/>
  <c r="W766" i="4"/>
  <c r="W762" i="4"/>
  <c r="W761" i="4"/>
  <c r="W760" i="4"/>
  <c r="W759" i="4"/>
  <c r="W758" i="4"/>
  <c r="W757" i="4"/>
  <c r="W756" i="4"/>
  <c r="W755" i="4"/>
  <c r="W754" i="4"/>
  <c r="W750" i="4"/>
  <c r="W749" i="4"/>
  <c r="W748" i="4"/>
  <c r="W747" i="4"/>
  <c r="W746" i="4"/>
  <c r="W745" i="4"/>
  <c r="W744" i="4"/>
  <c r="W743" i="4"/>
  <c r="W742" i="4"/>
  <c r="W741" i="4"/>
  <c r="W737" i="4"/>
  <c r="W736" i="4"/>
  <c r="W735" i="4"/>
  <c r="W734" i="4"/>
  <c r="W733" i="4"/>
  <c r="W732" i="4"/>
  <c r="W731" i="4"/>
  <c r="W730" i="4"/>
  <c r="W729" i="4"/>
  <c r="W725" i="4"/>
  <c r="W724" i="4"/>
  <c r="W723" i="4"/>
  <c r="W722" i="4"/>
  <c r="W721" i="4"/>
  <c r="W720" i="4"/>
  <c r="W719" i="4"/>
  <c r="W718" i="4"/>
  <c r="W717" i="4"/>
  <c r="W713" i="4"/>
  <c r="W712" i="4"/>
  <c r="W711" i="4"/>
  <c r="W710" i="4"/>
  <c r="W709" i="4"/>
  <c r="W708" i="4"/>
  <c r="W707" i="4"/>
  <c r="W706" i="4"/>
  <c r="W705" i="4"/>
  <c r="W704" i="4"/>
  <c r="W700" i="4"/>
  <c r="W699" i="4"/>
  <c r="W698" i="4"/>
  <c r="W697" i="4"/>
  <c r="W696" i="4"/>
  <c r="W695" i="4"/>
  <c r="W694" i="4"/>
  <c r="W693" i="4"/>
  <c r="W692" i="4"/>
  <c r="W688" i="4"/>
  <c r="W687" i="4"/>
  <c r="W686" i="4"/>
  <c r="W685" i="4"/>
  <c r="W684" i="4"/>
  <c r="W683" i="4"/>
  <c r="W682" i="4"/>
  <c r="W681" i="4"/>
  <c r="W680" i="4"/>
  <c r="W676" i="4"/>
  <c r="W675" i="4"/>
  <c r="W674" i="4"/>
  <c r="W673" i="4"/>
  <c r="W672" i="4"/>
  <c r="W671" i="4"/>
  <c r="W670" i="4"/>
  <c r="W669" i="4"/>
  <c r="W668" i="4"/>
  <c r="W667" i="4"/>
  <c r="W663" i="4"/>
  <c r="W662" i="4"/>
  <c r="W661" i="4"/>
  <c r="W660" i="4"/>
  <c r="W659" i="4"/>
  <c r="W658" i="4"/>
  <c r="W657" i="4"/>
  <c r="W656" i="4"/>
  <c r="W655" i="4"/>
  <c r="W651" i="4"/>
  <c r="W650" i="4"/>
  <c r="W649" i="4"/>
  <c r="W648" i="4"/>
  <c r="W647" i="4"/>
  <c r="W646" i="4"/>
  <c r="W645" i="4"/>
  <c r="W644" i="4"/>
  <c r="W643" i="4"/>
  <c r="W639" i="4"/>
  <c r="W638" i="4"/>
  <c r="W637" i="4"/>
  <c r="W636" i="4"/>
  <c r="W635" i="4"/>
  <c r="W634" i="4"/>
  <c r="W633" i="4"/>
  <c r="W632" i="4"/>
  <c r="W631" i="4"/>
  <c r="W630" i="4"/>
  <c r="W626" i="4"/>
  <c r="W625" i="4"/>
  <c r="W624" i="4"/>
  <c r="W623" i="4"/>
  <c r="W622" i="4"/>
  <c r="W621" i="4"/>
  <c r="W620" i="4"/>
  <c r="W619" i="4"/>
  <c r="W618" i="4"/>
  <c r="W614" i="4"/>
  <c r="W613" i="4"/>
  <c r="W612" i="4"/>
  <c r="W611" i="4"/>
  <c r="W610" i="4"/>
  <c r="W609" i="4"/>
  <c r="W608" i="4"/>
  <c r="W607" i="4"/>
  <c r="W606" i="4"/>
  <c r="W602" i="4"/>
  <c r="W601" i="4"/>
  <c r="W600" i="4"/>
  <c r="W599" i="4"/>
  <c r="W598" i="4"/>
  <c r="W597" i="4"/>
  <c r="W596" i="4"/>
  <c r="W595" i="4"/>
  <c r="W594" i="4"/>
  <c r="W593" i="4"/>
  <c r="W589" i="4"/>
  <c r="W588" i="4"/>
  <c r="W587" i="4"/>
  <c r="W586" i="4"/>
  <c r="W585" i="4"/>
  <c r="W584" i="4"/>
  <c r="W583" i="4"/>
  <c r="W582" i="4"/>
  <c r="W581" i="4"/>
  <c r="W577" i="4"/>
  <c r="W576" i="4"/>
  <c r="W575" i="4"/>
  <c r="W574" i="4"/>
  <c r="W573" i="4"/>
  <c r="W572" i="4"/>
  <c r="W571" i="4"/>
  <c r="W570" i="4"/>
  <c r="W569" i="4"/>
  <c r="W565" i="4"/>
  <c r="W564" i="4"/>
  <c r="W563" i="4"/>
  <c r="W562" i="4"/>
  <c r="W561" i="4"/>
  <c r="W560" i="4"/>
  <c r="W559" i="4"/>
  <c r="W558" i="4"/>
  <c r="W557" i="4"/>
  <c r="W556" i="4"/>
  <c r="W552" i="4"/>
  <c r="W551" i="4"/>
  <c r="W550" i="4"/>
  <c r="W549" i="4"/>
  <c r="W548" i="4"/>
  <c r="W547" i="4"/>
  <c r="W546" i="4"/>
  <c r="W545" i="4"/>
  <c r="W544" i="4"/>
  <c r="W540" i="4"/>
  <c r="W539" i="4"/>
  <c r="W538" i="4"/>
  <c r="W537" i="4"/>
  <c r="W536" i="4"/>
  <c r="W535" i="4"/>
  <c r="W534" i="4"/>
  <c r="W533" i="4"/>
  <c r="W532" i="4"/>
  <c r="W528" i="4"/>
  <c r="W527" i="4"/>
  <c r="W526" i="4"/>
  <c r="W525" i="4"/>
  <c r="W524" i="4"/>
  <c r="W523" i="4"/>
  <c r="W522" i="4"/>
  <c r="W521" i="4"/>
  <c r="W520" i="4"/>
  <c r="W519" i="4"/>
  <c r="W515" i="4"/>
  <c r="W514" i="4"/>
  <c r="W513" i="4"/>
  <c r="W512" i="4"/>
  <c r="W511" i="4"/>
  <c r="W510" i="4"/>
  <c r="W509" i="4"/>
  <c r="W508" i="4"/>
  <c r="W507" i="4"/>
  <c r="W503" i="4"/>
  <c r="W502" i="4"/>
  <c r="W501" i="4"/>
  <c r="W500" i="4"/>
  <c r="W499" i="4"/>
  <c r="W498" i="4"/>
  <c r="W497" i="4"/>
  <c r="W496" i="4"/>
  <c r="W495" i="4"/>
  <c r="W491" i="4"/>
  <c r="W490" i="4"/>
  <c r="W489" i="4"/>
  <c r="W488" i="4"/>
  <c r="W487" i="4"/>
  <c r="W486" i="4"/>
  <c r="W485" i="4"/>
  <c r="W484" i="4"/>
  <c r="W483" i="4"/>
  <c r="W482" i="4"/>
  <c r="W478" i="4"/>
  <c r="W477" i="4"/>
  <c r="W476" i="4"/>
  <c r="W475" i="4"/>
  <c r="W474" i="4"/>
  <c r="W473" i="4"/>
  <c r="W472" i="4"/>
  <c r="W471" i="4"/>
  <c r="W469" i="4"/>
  <c r="W465" i="4"/>
  <c r="W464" i="4"/>
  <c r="W463" i="4"/>
  <c r="W462" i="4"/>
  <c r="W461" i="4"/>
  <c r="W460" i="4"/>
  <c r="W459" i="4"/>
  <c r="W458" i="4"/>
  <c r="U887" i="4"/>
  <c r="U886" i="4"/>
  <c r="U885" i="4"/>
  <c r="U884" i="4"/>
  <c r="U883" i="4"/>
  <c r="U882" i="4"/>
  <c r="U881" i="4"/>
  <c r="U880" i="4"/>
  <c r="U879" i="4"/>
  <c r="U878" i="4"/>
  <c r="U877" i="4"/>
  <c r="U876" i="4"/>
  <c r="U875" i="4"/>
  <c r="U874" i="4"/>
  <c r="U873" i="4"/>
  <c r="U872" i="4"/>
  <c r="U871" i="4"/>
  <c r="U870" i="4"/>
  <c r="U869" i="4"/>
  <c r="U868" i="4"/>
  <c r="U867" i="4"/>
  <c r="U866" i="4"/>
  <c r="U865" i="4"/>
  <c r="U864" i="4"/>
  <c r="U863" i="4"/>
  <c r="U862" i="4"/>
  <c r="U861" i="4"/>
  <c r="U860" i="4"/>
  <c r="U859" i="4"/>
  <c r="U858" i="4"/>
  <c r="U857" i="4"/>
  <c r="U856" i="4"/>
  <c r="U855" i="4"/>
  <c r="U854" i="4"/>
  <c r="U853" i="4"/>
  <c r="U852" i="4"/>
  <c r="U851" i="4"/>
  <c r="U850" i="4"/>
  <c r="U849" i="4"/>
  <c r="U848" i="4"/>
  <c r="U847" i="4"/>
  <c r="U846" i="4"/>
  <c r="U845" i="4"/>
  <c r="U844" i="4"/>
  <c r="U843" i="4"/>
  <c r="U842" i="4"/>
  <c r="U841" i="4"/>
  <c r="U840" i="4"/>
  <c r="U839" i="4"/>
  <c r="U838" i="4"/>
  <c r="U837" i="4"/>
  <c r="U836" i="4"/>
  <c r="U835" i="4"/>
  <c r="U834" i="4"/>
  <c r="U833" i="4"/>
  <c r="U832" i="4"/>
  <c r="U831" i="4"/>
  <c r="U830" i="4"/>
  <c r="U829" i="4"/>
  <c r="U828" i="4"/>
  <c r="U827" i="4"/>
  <c r="U826" i="4"/>
  <c r="U825" i="4"/>
  <c r="U824" i="4"/>
  <c r="U823" i="4"/>
  <c r="U822" i="4"/>
  <c r="U821" i="4"/>
  <c r="U820" i="4"/>
  <c r="U819" i="4"/>
  <c r="U818" i="4"/>
  <c r="U817" i="4"/>
  <c r="U816" i="4"/>
  <c r="U815" i="4"/>
  <c r="U814" i="4"/>
  <c r="U813" i="4"/>
  <c r="U812" i="4"/>
  <c r="U811" i="4"/>
  <c r="U810" i="4"/>
  <c r="U809" i="4"/>
  <c r="U808" i="4"/>
  <c r="U807" i="4"/>
  <c r="U806" i="4"/>
  <c r="U805" i="4"/>
  <c r="U804" i="4"/>
  <c r="U803" i="4"/>
  <c r="U802" i="4"/>
  <c r="U801" i="4"/>
  <c r="U800" i="4"/>
  <c r="U799" i="4"/>
  <c r="U798" i="4"/>
  <c r="U797" i="4"/>
  <c r="U796" i="4"/>
  <c r="U795" i="4"/>
  <c r="U794" i="4"/>
  <c r="U793" i="4"/>
  <c r="U792" i="4"/>
  <c r="U791" i="4"/>
  <c r="U790" i="4"/>
  <c r="U789" i="4"/>
  <c r="U788" i="4"/>
  <c r="U787" i="4"/>
  <c r="U786" i="4"/>
  <c r="U785" i="4"/>
  <c r="U784" i="4"/>
  <c r="U783" i="4"/>
  <c r="U782" i="4"/>
  <c r="U781" i="4"/>
  <c r="U780" i="4"/>
  <c r="U779" i="4"/>
  <c r="U778" i="4"/>
  <c r="U777" i="4"/>
  <c r="U776" i="4"/>
  <c r="U775" i="4"/>
  <c r="U774" i="4"/>
  <c r="U773" i="4"/>
  <c r="U772" i="4"/>
  <c r="U771" i="4"/>
  <c r="U770" i="4"/>
  <c r="U769" i="4"/>
  <c r="U768" i="4"/>
  <c r="U767" i="4"/>
  <c r="U766" i="4"/>
  <c r="U765" i="4"/>
  <c r="U764" i="4"/>
  <c r="U763" i="4"/>
  <c r="U762" i="4"/>
  <c r="U761" i="4"/>
  <c r="U760" i="4"/>
  <c r="U759" i="4"/>
  <c r="U758" i="4"/>
  <c r="U757" i="4"/>
  <c r="U756" i="4"/>
  <c r="U755" i="4"/>
  <c r="U754" i="4"/>
  <c r="U753" i="4"/>
  <c r="U752" i="4"/>
  <c r="U751" i="4"/>
  <c r="U750" i="4"/>
  <c r="U749" i="4"/>
  <c r="U748" i="4"/>
  <c r="U747" i="4"/>
  <c r="U746" i="4"/>
  <c r="U745" i="4"/>
  <c r="U744" i="4"/>
  <c r="U743" i="4"/>
  <c r="U742" i="4"/>
  <c r="U741" i="4"/>
  <c r="U740" i="4"/>
  <c r="U739" i="4"/>
  <c r="U738" i="4"/>
  <c r="U737" i="4"/>
  <c r="U736" i="4"/>
  <c r="U735" i="4"/>
  <c r="U734" i="4"/>
  <c r="U733" i="4"/>
  <c r="U732" i="4"/>
  <c r="U731" i="4"/>
  <c r="U730" i="4"/>
  <c r="U729" i="4"/>
  <c r="U728" i="4"/>
  <c r="U727" i="4"/>
  <c r="U726" i="4"/>
  <c r="U725" i="4"/>
  <c r="U724" i="4"/>
  <c r="U723" i="4"/>
  <c r="U722" i="4"/>
  <c r="U721" i="4"/>
  <c r="U720" i="4"/>
  <c r="U719" i="4"/>
  <c r="U718" i="4"/>
  <c r="U717" i="4"/>
  <c r="U716" i="4"/>
  <c r="U715" i="4"/>
  <c r="U714" i="4"/>
  <c r="U713" i="4"/>
  <c r="U712" i="4"/>
  <c r="U711" i="4"/>
  <c r="U710" i="4"/>
  <c r="U709" i="4"/>
  <c r="U708" i="4"/>
  <c r="U707" i="4"/>
  <c r="U706" i="4"/>
  <c r="U705" i="4"/>
  <c r="U704" i="4"/>
  <c r="U703" i="4"/>
  <c r="U702" i="4"/>
  <c r="U701" i="4"/>
  <c r="U700" i="4"/>
  <c r="U699" i="4"/>
  <c r="U698" i="4"/>
  <c r="U697" i="4"/>
  <c r="U696" i="4"/>
  <c r="U695" i="4"/>
  <c r="U694" i="4"/>
  <c r="U693" i="4"/>
  <c r="U692" i="4"/>
  <c r="U691" i="4"/>
  <c r="U690" i="4"/>
  <c r="U689" i="4"/>
  <c r="U688" i="4"/>
  <c r="U687" i="4"/>
  <c r="U686" i="4"/>
  <c r="U685" i="4"/>
  <c r="U684" i="4"/>
  <c r="U683" i="4"/>
  <c r="U682" i="4"/>
  <c r="U681" i="4"/>
  <c r="U680" i="4"/>
  <c r="U679" i="4"/>
  <c r="U678" i="4"/>
  <c r="U677" i="4"/>
  <c r="U676" i="4"/>
  <c r="U675" i="4"/>
  <c r="U674" i="4"/>
  <c r="U673" i="4"/>
  <c r="U672" i="4"/>
  <c r="U671" i="4"/>
  <c r="U670" i="4"/>
  <c r="U669" i="4"/>
  <c r="U668" i="4"/>
  <c r="U667" i="4"/>
  <c r="U666" i="4"/>
  <c r="U665" i="4"/>
  <c r="U664" i="4"/>
  <c r="U663" i="4"/>
  <c r="U662" i="4"/>
  <c r="U661" i="4"/>
  <c r="U660" i="4"/>
  <c r="U659" i="4"/>
  <c r="U658" i="4"/>
  <c r="U657" i="4"/>
  <c r="U656" i="4"/>
  <c r="U655" i="4"/>
  <c r="U654" i="4"/>
  <c r="U653" i="4"/>
  <c r="U652" i="4"/>
  <c r="U651" i="4"/>
  <c r="U650" i="4"/>
  <c r="U649" i="4"/>
  <c r="U648" i="4"/>
  <c r="U647" i="4"/>
  <c r="U646" i="4"/>
  <c r="U645" i="4"/>
  <c r="U644" i="4"/>
  <c r="U643" i="4"/>
  <c r="U642" i="4"/>
  <c r="U641" i="4"/>
  <c r="U640" i="4"/>
  <c r="U639" i="4"/>
  <c r="U638" i="4"/>
  <c r="U637" i="4"/>
  <c r="U636" i="4"/>
  <c r="U635" i="4"/>
  <c r="U634" i="4"/>
  <c r="U633" i="4"/>
  <c r="U632" i="4"/>
  <c r="U631" i="4"/>
  <c r="U630" i="4"/>
  <c r="U629" i="4"/>
  <c r="U628" i="4"/>
  <c r="U627" i="4"/>
  <c r="U626" i="4"/>
  <c r="U625" i="4"/>
  <c r="U624" i="4"/>
  <c r="U623" i="4"/>
  <c r="U622" i="4"/>
  <c r="U621" i="4"/>
  <c r="U620" i="4"/>
  <c r="U619" i="4"/>
  <c r="U618" i="4"/>
  <c r="U617" i="4"/>
  <c r="U616" i="4"/>
  <c r="U615" i="4"/>
  <c r="U614" i="4"/>
  <c r="U613" i="4"/>
  <c r="U612" i="4"/>
  <c r="U611" i="4"/>
  <c r="U610" i="4"/>
  <c r="U609" i="4"/>
  <c r="U608" i="4"/>
  <c r="U607" i="4"/>
  <c r="U606" i="4"/>
  <c r="U605" i="4"/>
  <c r="U604" i="4"/>
  <c r="U603" i="4"/>
  <c r="U602" i="4"/>
  <c r="U601" i="4"/>
  <c r="U600" i="4"/>
  <c r="U599" i="4"/>
  <c r="U598" i="4"/>
  <c r="U597" i="4"/>
  <c r="U596" i="4"/>
  <c r="U595" i="4"/>
  <c r="U594" i="4"/>
  <c r="U593" i="4"/>
  <c r="U592" i="4"/>
  <c r="U591" i="4"/>
  <c r="U590" i="4"/>
  <c r="U589" i="4"/>
  <c r="U588" i="4"/>
  <c r="U587" i="4"/>
  <c r="U586" i="4"/>
  <c r="U585" i="4"/>
  <c r="U584" i="4"/>
  <c r="U583" i="4"/>
  <c r="U582" i="4"/>
  <c r="U581" i="4"/>
  <c r="U580" i="4"/>
  <c r="U579" i="4"/>
  <c r="U578" i="4"/>
  <c r="U577" i="4"/>
  <c r="U576" i="4"/>
  <c r="U575" i="4"/>
  <c r="U574" i="4"/>
  <c r="U573" i="4"/>
  <c r="U572" i="4"/>
  <c r="U571" i="4"/>
  <c r="U570" i="4"/>
  <c r="U569" i="4"/>
  <c r="U568" i="4"/>
  <c r="U567" i="4"/>
  <c r="U566" i="4"/>
  <c r="U565" i="4"/>
  <c r="U564" i="4"/>
  <c r="U563" i="4"/>
  <c r="U562" i="4"/>
  <c r="U561" i="4"/>
  <c r="U560" i="4"/>
  <c r="U559" i="4"/>
  <c r="U558" i="4"/>
  <c r="U557" i="4"/>
  <c r="U556" i="4"/>
  <c r="U555" i="4"/>
  <c r="U554" i="4"/>
  <c r="U553" i="4"/>
  <c r="U552" i="4"/>
  <c r="U551" i="4"/>
  <c r="U550" i="4"/>
  <c r="U549" i="4"/>
  <c r="U548" i="4"/>
  <c r="U547" i="4"/>
  <c r="U546" i="4"/>
  <c r="U545" i="4"/>
  <c r="U544" i="4"/>
  <c r="U543" i="4"/>
  <c r="U542" i="4"/>
  <c r="U541" i="4"/>
  <c r="U540" i="4"/>
  <c r="U539" i="4"/>
  <c r="U538" i="4"/>
  <c r="U537" i="4"/>
  <c r="U536" i="4"/>
  <c r="U535" i="4"/>
  <c r="U534" i="4"/>
  <c r="U533" i="4"/>
  <c r="U532" i="4"/>
  <c r="U531" i="4"/>
  <c r="U530" i="4"/>
  <c r="U529" i="4"/>
  <c r="U528" i="4"/>
  <c r="U527" i="4"/>
  <c r="U526" i="4"/>
  <c r="U525" i="4"/>
  <c r="U524" i="4"/>
  <c r="U523" i="4"/>
  <c r="U522" i="4"/>
  <c r="U521" i="4"/>
  <c r="U520" i="4"/>
  <c r="U519" i="4"/>
  <c r="U518" i="4"/>
  <c r="U517" i="4"/>
  <c r="U516" i="4"/>
  <c r="U515" i="4"/>
  <c r="U514" i="4"/>
  <c r="U513" i="4"/>
  <c r="U512" i="4"/>
  <c r="U511" i="4"/>
  <c r="U510" i="4"/>
  <c r="U509" i="4"/>
  <c r="U508" i="4"/>
  <c r="U507" i="4"/>
  <c r="U506" i="4"/>
  <c r="U505" i="4"/>
  <c r="U504" i="4"/>
  <c r="U503" i="4"/>
  <c r="U502" i="4"/>
  <c r="U501" i="4"/>
  <c r="U500" i="4"/>
  <c r="U499" i="4"/>
  <c r="U498" i="4"/>
  <c r="U497" i="4"/>
  <c r="U496" i="4"/>
  <c r="U495" i="4"/>
  <c r="U494" i="4"/>
  <c r="U493" i="4"/>
  <c r="U492" i="4"/>
  <c r="U491" i="4"/>
  <c r="U490" i="4"/>
  <c r="U489" i="4"/>
  <c r="U488" i="4"/>
  <c r="U487" i="4"/>
  <c r="U486" i="4"/>
  <c r="U485" i="4"/>
  <c r="U484" i="4"/>
  <c r="U483" i="4"/>
  <c r="U482" i="4"/>
  <c r="U481" i="4"/>
  <c r="U480" i="4"/>
  <c r="U479" i="4"/>
  <c r="U478" i="4"/>
  <c r="U477" i="4"/>
  <c r="U476" i="4"/>
  <c r="U475" i="4"/>
  <c r="U474" i="4"/>
  <c r="U473" i="4"/>
  <c r="U472" i="4"/>
  <c r="U471" i="4"/>
  <c r="U469" i="4"/>
  <c r="U468" i="4"/>
  <c r="U467" i="4"/>
  <c r="U466" i="4"/>
  <c r="U465" i="4"/>
  <c r="U464" i="4"/>
  <c r="U463" i="4"/>
  <c r="U462" i="4"/>
  <c r="U461" i="4"/>
  <c r="U460" i="4"/>
  <c r="U459" i="4"/>
  <c r="U458" i="4"/>
  <c r="U457" i="4"/>
  <c r="U456" i="4"/>
  <c r="U455" i="4"/>
  <c r="T1320" i="4"/>
  <c r="T1319" i="4"/>
  <c r="T1318" i="4"/>
  <c r="T1317" i="4"/>
  <c r="T1316" i="4"/>
  <c r="T1315" i="4"/>
  <c r="T1314" i="4"/>
  <c r="T1313" i="4"/>
  <c r="T1312" i="4"/>
  <c r="T1311" i="4"/>
  <c r="T1310" i="4"/>
  <c r="T1309" i="4"/>
  <c r="T1308" i="4"/>
  <c r="T1307" i="4"/>
  <c r="T1306" i="4"/>
  <c r="T1305" i="4"/>
  <c r="T1304" i="4"/>
  <c r="T1303" i="4"/>
  <c r="T1302" i="4"/>
  <c r="T1301" i="4"/>
  <c r="T1300" i="4"/>
  <c r="T1299" i="4"/>
  <c r="T1298" i="4"/>
  <c r="T1297" i="4"/>
  <c r="T1296" i="4"/>
  <c r="T1295" i="4"/>
  <c r="T1294" i="4"/>
  <c r="T1293" i="4"/>
  <c r="T1292" i="4"/>
  <c r="T1291" i="4"/>
  <c r="T1290" i="4"/>
  <c r="T1289" i="4"/>
  <c r="T1288" i="4"/>
  <c r="T1287" i="4"/>
  <c r="T1286" i="4"/>
  <c r="T1285" i="4"/>
  <c r="T1284" i="4"/>
  <c r="T1283" i="4"/>
  <c r="T1282" i="4"/>
  <c r="T1281" i="4"/>
  <c r="T1280" i="4"/>
  <c r="T1279" i="4"/>
  <c r="T1278" i="4"/>
  <c r="T1277" i="4"/>
  <c r="T1276" i="4"/>
  <c r="T1275" i="4"/>
  <c r="T1274" i="4"/>
  <c r="T1273" i="4"/>
  <c r="T1272" i="4"/>
  <c r="T1271" i="4"/>
  <c r="T1270" i="4"/>
  <c r="T1269" i="4"/>
  <c r="T1268" i="4"/>
  <c r="T1267" i="4"/>
  <c r="T1266" i="4"/>
  <c r="T1265" i="4"/>
  <c r="T1264" i="4"/>
  <c r="T1263" i="4"/>
  <c r="T1262" i="4"/>
  <c r="T1261" i="4"/>
  <c r="T1260" i="4"/>
  <c r="T1259" i="4"/>
  <c r="T1258" i="4"/>
  <c r="T1257" i="4"/>
  <c r="T1256" i="4"/>
  <c r="T1255" i="4"/>
  <c r="T1254" i="4"/>
  <c r="T1253" i="4"/>
  <c r="T1252" i="4"/>
  <c r="T1251" i="4"/>
  <c r="T1250" i="4"/>
  <c r="T1249" i="4"/>
  <c r="T1248" i="4"/>
  <c r="T1247" i="4"/>
  <c r="T1246" i="4"/>
  <c r="T1245" i="4"/>
  <c r="T1244" i="4"/>
  <c r="T1243" i="4"/>
  <c r="T1242" i="4"/>
  <c r="T1241" i="4"/>
  <c r="T1240" i="4"/>
  <c r="T1239" i="4"/>
  <c r="T1238" i="4"/>
  <c r="T1237" i="4"/>
  <c r="T1236" i="4"/>
  <c r="T1235" i="4"/>
  <c r="T1234" i="4"/>
  <c r="T1233" i="4"/>
  <c r="T1232" i="4"/>
  <c r="T1231" i="4"/>
  <c r="T1230" i="4"/>
  <c r="T1229" i="4"/>
  <c r="T1228" i="4"/>
  <c r="T1227" i="4"/>
  <c r="T1226" i="4"/>
  <c r="T1225" i="4"/>
  <c r="T1224" i="4"/>
  <c r="T1223" i="4"/>
  <c r="T1222" i="4"/>
  <c r="T1221" i="4"/>
  <c r="T1220" i="4"/>
  <c r="T1219" i="4"/>
  <c r="T1218" i="4"/>
  <c r="T1217" i="4"/>
  <c r="T1216" i="4"/>
  <c r="T1215" i="4"/>
  <c r="T1214" i="4"/>
  <c r="T1213" i="4"/>
  <c r="T1212" i="4"/>
  <c r="T1211" i="4"/>
  <c r="T1210" i="4"/>
  <c r="T1209" i="4"/>
  <c r="T1208" i="4"/>
  <c r="T1207" i="4"/>
  <c r="T1206" i="4"/>
  <c r="T1205" i="4"/>
  <c r="T1204" i="4"/>
  <c r="T1203" i="4"/>
  <c r="T1202" i="4"/>
  <c r="T1201" i="4"/>
  <c r="T1200" i="4"/>
  <c r="T1199" i="4"/>
  <c r="T1198" i="4"/>
  <c r="T1197" i="4"/>
  <c r="T1196" i="4"/>
  <c r="T1195" i="4"/>
  <c r="T1194" i="4"/>
  <c r="T1193" i="4"/>
  <c r="T1192" i="4"/>
  <c r="T1191" i="4"/>
  <c r="T1190" i="4"/>
  <c r="T1189" i="4"/>
  <c r="T1188" i="4"/>
  <c r="T1187" i="4"/>
  <c r="T1186" i="4"/>
  <c r="T1185" i="4"/>
  <c r="T1184" i="4"/>
  <c r="T1183" i="4"/>
  <c r="T1182" i="4"/>
  <c r="T1181" i="4"/>
  <c r="T1180" i="4"/>
  <c r="T1179" i="4"/>
  <c r="T1178" i="4"/>
  <c r="T1177" i="4"/>
  <c r="T1176" i="4"/>
  <c r="T1175" i="4"/>
  <c r="T1174" i="4"/>
  <c r="T1173" i="4"/>
  <c r="T1172" i="4"/>
  <c r="T1171" i="4"/>
  <c r="T1170" i="4"/>
  <c r="T1169" i="4"/>
  <c r="T1168" i="4"/>
  <c r="T1167" i="4"/>
  <c r="T1166" i="4"/>
  <c r="T1165" i="4"/>
  <c r="T1164" i="4"/>
  <c r="T1163" i="4"/>
  <c r="T1162" i="4"/>
  <c r="T1161" i="4"/>
  <c r="T1160" i="4"/>
  <c r="T1159" i="4"/>
  <c r="T1158" i="4"/>
  <c r="T1157" i="4"/>
  <c r="T1156" i="4"/>
  <c r="T1155" i="4"/>
  <c r="T1154" i="4"/>
  <c r="T1153" i="4"/>
  <c r="T1152" i="4"/>
  <c r="T1151" i="4"/>
  <c r="T1150" i="4"/>
  <c r="T1149" i="4"/>
  <c r="T1148" i="4"/>
  <c r="T1147" i="4"/>
  <c r="T1146" i="4"/>
  <c r="T1145" i="4"/>
  <c r="T1144" i="4"/>
  <c r="T1143" i="4"/>
  <c r="T1142" i="4"/>
  <c r="T1141" i="4"/>
  <c r="T1140" i="4"/>
  <c r="T1139" i="4"/>
  <c r="T1138" i="4"/>
  <c r="T1137" i="4"/>
  <c r="T1136" i="4"/>
  <c r="T1135" i="4"/>
  <c r="T1134" i="4"/>
  <c r="T1133" i="4"/>
  <c r="T1132" i="4"/>
  <c r="T1131" i="4"/>
  <c r="T1130" i="4"/>
  <c r="T1129" i="4"/>
  <c r="T1128" i="4"/>
  <c r="T1127" i="4"/>
  <c r="T1126" i="4"/>
  <c r="T1125" i="4"/>
  <c r="T1124" i="4"/>
  <c r="T1123" i="4"/>
  <c r="T1122" i="4"/>
  <c r="T1121" i="4"/>
  <c r="T1120" i="4"/>
  <c r="T1119" i="4"/>
  <c r="T1118" i="4"/>
  <c r="T1117" i="4"/>
  <c r="T1116" i="4"/>
  <c r="T1115" i="4"/>
  <c r="T1114" i="4"/>
  <c r="T1113" i="4"/>
  <c r="T1112" i="4"/>
  <c r="T1111" i="4"/>
  <c r="T1110" i="4"/>
  <c r="T1109" i="4"/>
  <c r="T1108" i="4"/>
  <c r="T1107" i="4"/>
  <c r="T1106" i="4"/>
  <c r="T1105" i="4"/>
  <c r="T1104" i="4"/>
  <c r="T1103" i="4"/>
  <c r="T1102" i="4"/>
  <c r="T1101" i="4"/>
  <c r="T1100" i="4"/>
  <c r="T1099" i="4"/>
  <c r="T1098" i="4"/>
  <c r="T1097" i="4"/>
  <c r="T1096" i="4"/>
  <c r="T1095" i="4"/>
  <c r="T1094" i="4"/>
  <c r="T1093" i="4"/>
  <c r="T1092" i="4"/>
  <c r="T1091" i="4"/>
  <c r="T1090" i="4"/>
  <c r="T1089" i="4"/>
  <c r="T1088" i="4"/>
  <c r="T1087" i="4"/>
  <c r="T1086" i="4"/>
  <c r="T1085" i="4"/>
  <c r="T1084" i="4"/>
  <c r="T1083" i="4"/>
  <c r="T1082" i="4"/>
  <c r="T1081" i="4"/>
  <c r="T1080" i="4"/>
  <c r="T1079" i="4"/>
  <c r="T1078" i="4"/>
  <c r="T1077" i="4"/>
  <c r="T1076" i="4"/>
  <c r="T1075" i="4"/>
  <c r="T1074" i="4"/>
  <c r="T1073" i="4"/>
  <c r="T1072" i="4"/>
  <c r="T1071" i="4"/>
  <c r="T1070" i="4"/>
  <c r="T1069" i="4"/>
  <c r="T1068" i="4"/>
  <c r="T1067" i="4"/>
  <c r="T1066" i="4"/>
  <c r="T1065" i="4"/>
  <c r="T1064" i="4"/>
  <c r="T1063" i="4"/>
  <c r="T1062" i="4"/>
  <c r="T1061" i="4"/>
  <c r="T1060" i="4"/>
  <c r="T1059" i="4"/>
  <c r="T1058" i="4"/>
  <c r="T1057" i="4"/>
  <c r="T1056" i="4"/>
  <c r="T1055" i="4"/>
  <c r="T1054" i="4"/>
  <c r="T1053" i="4"/>
  <c r="T1052" i="4"/>
  <c r="T1051" i="4"/>
  <c r="T1050" i="4"/>
  <c r="T1049" i="4"/>
  <c r="T1048" i="4"/>
  <c r="T1047" i="4"/>
  <c r="T1046" i="4"/>
  <c r="T1045" i="4"/>
  <c r="T1044" i="4"/>
  <c r="T1043" i="4"/>
  <c r="T1042" i="4"/>
  <c r="T1041" i="4"/>
  <c r="T1040" i="4"/>
  <c r="T1039" i="4"/>
  <c r="T1038" i="4"/>
  <c r="T1037" i="4"/>
  <c r="T1036" i="4"/>
  <c r="T1035" i="4"/>
  <c r="T1034" i="4"/>
  <c r="T1033" i="4"/>
  <c r="T1032" i="4"/>
  <c r="T1031" i="4"/>
  <c r="T1030" i="4"/>
  <c r="T1029" i="4"/>
  <c r="T1028" i="4"/>
  <c r="T1027" i="4"/>
  <c r="T1026" i="4"/>
  <c r="T1025" i="4"/>
  <c r="T1024" i="4"/>
  <c r="T1023" i="4"/>
  <c r="T1022" i="4"/>
  <c r="T1021" i="4"/>
  <c r="T1020" i="4"/>
  <c r="T1019" i="4"/>
  <c r="T1018" i="4"/>
  <c r="T1017" i="4"/>
  <c r="T1016" i="4"/>
  <c r="T1015" i="4"/>
  <c r="T1014" i="4"/>
  <c r="T1013" i="4"/>
  <c r="T1012" i="4"/>
  <c r="T1011" i="4"/>
  <c r="T1010" i="4"/>
  <c r="T1009" i="4"/>
  <c r="T1008" i="4"/>
  <c r="T1007" i="4"/>
  <c r="T1006" i="4"/>
  <c r="T1005" i="4"/>
  <c r="T1004" i="4"/>
  <c r="T1003" i="4"/>
  <c r="T1002" i="4"/>
  <c r="T1001" i="4"/>
  <c r="T1000" i="4"/>
  <c r="T999" i="4"/>
  <c r="T998" i="4"/>
  <c r="T997" i="4"/>
  <c r="T996" i="4"/>
  <c r="T995" i="4"/>
  <c r="T994" i="4"/>
  <c r="T993" i="4"/>
  <c r="T992" i="4"/>
  <c r="T991" i="4"/>
  <c r="T990" i="4"/>
  <c r="T989" i="4"/>
  <c r="T988" i="4"/>
  <c r="T987" i="4"/>
  <c r="T986" i="4"/>
  <c r="T985" i="4"/>
  <c r="T984" i="4"/>
  <c r="T983" i="4"/>
  <c r="T982" i="4"/>
  <c r="T981" i="4"/>
  <c r="T980" i="4"/>
  <c r="T979" i="4"/>
  <c r="T978" i="4"/>
  <c r="T977" i="4"/>
  <c r="T976" i="4"/>
  <c r="T975" i="4"/>
  <c r="T974" i="4"/>
  <c r="T973" i="4"/>
  <c r="T972" i="4"/>
  <c r="T971" i="4"/>
  <c r="T970" i="4"/>
  <c r="T969" i="4"/>
  <c r="T968" i="4"/>
  <c r="T967" i="4"/>
  <c r="T966" i="4"/>
  <c r="T965" i="4"/>
  <c r="T964" i="4"/>
  <c r="T963" i="4"/>
  <c r="T962" i="4"/>
  <c r="T961" i="4"/>
  <c r="T960" i="4"/>
  <c r="T959" i="4"/>
  <c r="T958" i="4"/>
  <c r="T957" i="4"/>
  <c r="T956" i="4"/>
  <c r="T955" i="4"/>
  <c r="T954" i="4"/>
  <c r="T953" i="4"/>
  <c r="T952" i="4"/>
  <c r="T951" i="4"/>
  <c r="T950" i="4"/>
  <c r="T949" i="4"/>
  <c r="T948" i="4"/>
  <c r="T947" i="4"/>
  <c r="T946" i="4"/>
  <c r="T945" i="4"/>
  <c r="T944" i="4"/>
  <c r="T943" i="4"/>
  <c r="T942" i="4"/>
  <c r="T941" i="4"/>
  <c r="T940" i="4"/>
  <c r="T939" i="4"/>
  <c r="T938" i="4"/>
  <c r="T937" i="4"/>
  <c r="T936" i="4"/>
  <c r="T935" i="4"/>
  <c r="T934" i="4"/>
  <c r="T933" i="4"/>
  <c r="T932" i="4"/>
  <c r="T931" i="4"/>
  <c r="T930" i="4"/>
  <c r="T929" i="4"/>
  <c r="T928" i="4"/>
  <c r="T927" i="4"/>
  <c r="T926" i="4"/>
  <c r="T925" i="4"/>
  <c r="T924" i="4"/>
  <c r="T923" i="4"/>
  <c r="T922" i="4"/>
  <c r="T921" i="4"/>
  <c r="T920" i="4"/>
  <c r="T919" i="4"/>
  <c r="T918" i="4"/>
  <c r="T917" i="4"/>
  <c r="T916" i="4"/>
  <c r="T915" i="4"/>
  <c r="T914" i="4"/>
  <c r="T913" i="4"/>
  <c r="T912" i="4"/>
  <c r="T911" i="4"/>
  <c r="T910" i="4"/>
  <c r="T909" i="4"/>
  <c r="T908" i="4"/>
  <c r="T907" i="4"/>
  <c r="T906" i="4"/>
  <c r="T905" i="4"/>
  <c r="T904" i="4"/>
  <c r="T903" i="4"/>
  <c r="T902" i="4"/>
  <c r="T901" i="4"/>
  <c r="T900" i="4"/>
  <c r="T899" i="4"/>
  <c r="T898" i="4"/>
  <c r="T897" i="4"/>
  <c r="T896" i="4"/>
  <c r="T895" i="4"/>
  <c r="T894" i="4"/>
  <c r="T893" i="4"/>
  <c r="T892" i="4"/>
  <c r="T891" i="4"/>
  <c r="T890" i="4"/>
  <c r="T889" i="4"/>
  <c r="T888" i="4"/>
  <c r="T887" i="4"/>
  <c r="T886" i="4"/>
  <c r="T885" i="4"/>
  <c r="T884" i="4"/>
  <c r="T883" i="4"/>
  <c r="T882" i="4"/>
  <c r="T881" i="4"/>
  <c r="T880" i="4"/>
  <c r="T879" i="4"/>
  <c r="T878" i="4"/>
  <c r="T877" i="4"/>
  <c r="T876" i="4"/>
  <c r="T875" i="4"/>
  <c r="T874" i="4"/>
  <c r="T873" i="4"/>
  <c r="T872" i="4"/>
  <c r="T871" i="4"/>
  <c r="T870" i="4"/>
  <c r="T869" i="4"/>
  <c r="T868" i="4"/>
  <c r="T867" i="4"/>
  <c r="T866" i="4"/>
  <c r="T865" i="4"/>
  <c r="T864" i="4"/>
  <c r="T863" i="4"/>
  <c r="T862" i="4"/>
  <c r="T861" i="4"/>
  <c r="T860" i="4"/>
  <c r="T859" i="4"/>
  <c r="T858" i="4"/>
  <c r="T857" i="4"/>
  <c r="T856" i="4"/>
  <c r="T855" i="4"/>
  <c r="T854" i="4"/>
  <c r="T853" i="4"/>
  <c r="T852" i="4"/>
  <c r="T851" i="4"/>
  <c r="T850" i="4"/>
  <c r="T849" i="4"/>
  <c r="T848" i="4"/>
  <c r="T847" i="4"/>
  <c r="T846" i="4"/>
  <c r="T845" i="4"/>
  <c r="T844" i="4"/>
  <c r="T843" i="4"/>
  <c r="T842" i="4"/>
  <c r="T841" i="4"/>
  <c r="T840" i="4"/>
  <c r="T839" i="4"/>
  <c r="T838" i="4"/>
  <c r="T837" i="4"/>
  <c r="T836" i="4"/>
  <c r="T835" i="4"/>
  <c r="T834" i="4"/>
  <c r="T833" i="4"/>
  <c r="T832" i="4"/>
  <c r="T831" i="4"/>
  <c r="T830" i="4"/>
  <c r="T829" i="4"/>
  <c r="T828" i="4"/>
  <c r="T827" i="4"/>
  <c r="T826" i="4"/>
  <c r="T825" i="4"/>
  <c r="T824" i="4"/>
  <c r="T823" i="4"/>
  <c r="T822" i="4"/>
  <c r="T821" i="4"/>
  <c r="T820" i="4"/>
  <c r="T819" i="4"/>
  <c r="T818" i="4"/>
  <c r="T817" i="4"/>
  <c r="T816" i="4"/>
  <c r="T815" i="4"/>
  <c r="T814" i="4"/>
  <c r="T813" i="4"/>
  <c r="T812" i="4"/>
  <c r="T811" i="4"/>
  <c r="T810" i="4"/>
  <c r="T809" i="4"/>
  <c r="T808" i="4"/>
  <c r="T807" i="4"/>
  <c r="T806" i="4"/>
  <c r="T805" i="4"/>
  <c r="T804" i="4"/>
  <c r="T803" i="4"/>
  <c r="T802" i="4"/>
  <c r="T801" i="4"/>
  <c r="T800" i="4"/>
  <c r="T799" i="4"/>
  <c r="T798" i="4"/>
  <c r="T797" i="4"/>
  <c r="T796" i="4"/>
  <c r="T795" i="4"/>
  <c r="T794" i="4"/>
  <c r="T793" i="4"/>
  <c r="T792" i="4"/>
  <c r="T791" i="4"/>
  <c r="T790" i="4"/>
  <c r="T789" i="4"/>
  <c r="T788" i="4"/>
  <c r="T787" i="4"/>
  <c r="T786" i="4"/>
  <c r="T785" i="4"/>
  <c r="T784" i="4"/>
  <c r="T783" i="4"/>
  <c r="T782" i="4"/>
  <c r="T781" i="4"/>
  <c r="T780" i="4"/>
  <c r="T779" i="4"/>
  <c r="T778" i="4"/>
  <c r="T777" i="4"/>
  <c r="T776" i="4"/>
  <c r="T775" i="4"/>
  <c r="T774" i="4"/>
  <c r="T773" i="4"/>
  <c r="T772" i="4"/>
  <c r="T771" i="4"/>
  <c r="T770" i="4"/>
  <c r="T769" i="4"/>
  <c r="T768" i="4"/>
  <c r="T767" i="4"/>
  <c r="T766" i="4"/>
  <c r="T765" i="4"/>
  <c r="T764" i="4"/>
  <c r="T763" i="4"/>
  <c r="T762" i="4"/>
  <c r="T761" i="4"/>
  <c r="T760" i="4"/>
  <c r="T759" i="4"/>
  <c r="T758" i="4"/>
  <c r="T757" i="4"/>
  <c r="T756" i="4"/>
  <c r="T755" i="4"/>
  <c r="T754" i="4"/>
  <c r="T753" i="4"/>
  <c r="T752" i="4"/>
  <c r="T751" i="4"/>
  <c r="T750" i="4"/>
  <c r="T749" i="4"/>
  <c r="T748" i="4"/>
  <c r="T747" i="4"/>
  <c r="T746" i="4"/>
  <c r="T745" i="4"/>
  <c r="T744" i="4"/>
  <c r="T743" i="4"/>
  <c r="T742" i="4"/>
  <c r="T741" i="4"/>
  <c r="T740" i="4"/>
  <c r="T739" i="4"/>
  <c r="T738" i="4"/>
  <c r="T737" i="4"/>
  <c r="T736" i="4"/>
  <c r="T735" i="4"/>
  <c r="T734" i="4"/>
  <c r="T733" i="4"/>
  <c r="T732" i="4"/>
  <c r="T731" i="4"/>
  <c r="T730" i="4"/>
  <c r="T729" i="4"/>
  <c r="T728" i="4"/>
  <c r="T727" i="4"/>
  <c r="T726" i="4"/>
  <c r="T725" i="4"/>
  <c r="T724" i="4"/>
  <c r="T723" i="4"/>
  <c r="T722" i="4"/>
  <c r="T721" i="4"/>
  <c r="T720" i="4"/>
  <c r="T719" i="4"/>
  <c r="T718" i="4"/>
  <c r="T717" i="4"/>
  <c r="T716" i="4"/>
  <c r="T715" i="4"/>
  <c r="T714" i="4"/>
  <c r="T713" i="4"/>
  <c r="T712" i="4"/>
  <c r="T711" i="4"/>
  <c r="T710" i="4"/>
  <c r="T709" i="4"/>
  <c r="T708" i="4"/>
  <c r="T707" i="4"/>
  <c r="T706" i="4"/>
  <c r="T705" i="4"/>
  <c r="T704" i="4"/>
  <c r="T703" i="4"/>
  <c r="T702" i="4"/>
  <c r="T701" i="4"/>
  <c r="T700" i="4"/>
  <c r="T699" i="4"/>
  <c r="T698" i="4"/>
  <c r="T697" i="4"/>
  <c r="T696" i="4"/>
  <c r="T695" i="4"/>
  <c r="T694" i="4"/>
  <c r="T693" i="4"/>
  <c r="T692" i="4"/>
  <c r="T691" i="4"/>
  <c r="T690" i="4"/>
  <c r="T689" i="4"/>
  <c r="T688" i="4"/>
  <c r="T687" i="4"/>
  <c r="T686" i="4"/>
  <c r="T685" i="4"/>
  <c r="T684" i="4"/>
  <c r="T683" i="4"/>
  <c r="T682" i="4"/>
  <c r="T681" i="4"/>
  <c r="T680" i="4"/>
  <c r="T679" i="4"/>
  <c r="T678" i="4"/>
  <c r="T677" i="4"/>
  <c r="T676" i="4"/>
  <c r="T675" i="4"/>
  <c r="T674" i="4"/>
  <c r="T673" i="4"/>
  <c r="T672" i="4"/>
  <c r="T671" i="4"/>
  <c r="T670" i="4"/>
  <c r="T669" i="4"/>
  <c r="T668" i="4"/>
  <c r="T667" i="4"/>
  <c r="T666" i="4"/>
  <c r="T665" i="4"/>
  <c r="T664" i="4"/>
  <c r="T663" i="4"/>
  <c r="T662" i="4"/>
  <c r="T661" i="4"/>
  <c r="T660" i="4"/>
  <c r="T659" i="4"/>
  <c r="T658" i="4"/>
  <c r="T657" i="4"/>
  <c r="T656" i="4"/>
  <c r="T655" i="4"/>
  <c r="T654" i="4"/>
  <c r="T653" i="4"/>
  <c r="T652" i="4"/>
  <c r="T651" i="4"/>
  <c r="T650" i="4"/>
  <c r="T649" i="4"/>
  <c r="T648" i="4"/>
  <c r="T647" i="4"/>
  <c r="T646" i="4"/>
  <c r="T645" i="4"/>
  <c r="T644" i="4"/>
  <c r="T643" i="4"/>
  <c r="T642" i="4"/>
  <c r="T641" i="4"/>
  <c r="T640" i="4"/>
  <c r="T639" i="4"/>
  <c r="T638" i="4"/>
  <c r="T637" i="4"/>
  <c r="T636" i="4"/>
  <c r="T635" i="4"/>
  <c r="T634" i="4"/>
  <c r="T633" i="4"/>
  <c r="T632" i="4"/>
  <c r="T631" i="4"/>
  <c r="T630" i="4"/>
  <c r="T629" i="4"/>
  <c r="T628" i="4"/>
  <c r="T627" i="4"/>
  <c r="T626" i="4"/>
  <c r="T625" i="4"/>
  <c r="T624" i="4"/>
  <c r="T623" i="4"/>
  <c r="T622" i="4"/>
  <c r="T621" i="4"/>
  <c r="T620" i="4"/>
  <c r="T619" i="4"/>
  <c r="T618" i="4"/>
  <c r="T617" i="4"/>
  <c r="T616" i="4"/>
  <c r="T615" i="4"/>
  <c r="T614" i="4"/>
  <c r="T613" i="4"/>
  <c r="T612" i="4"/>
  <c r="T611" i="4"/>
  <c r="T610" i="4"/>
  <c r="T609" i="4"/>
  <c r="T608" i="4"/>
  <c r="T607" i="4"/>
  <c r="T606" i="4"/>
  <c r="T605" i="4"/>
  <c r="T604" i="4"/>
  <c r="T603" i="4"/>
  <c r="T602" i="4"/>
  <c r="T601" i="4"/>
  <c r="T600" i="4"/>
  <c r="T599" i="4"/>
  <c r="T598" i="4"/>
  <c r="T597" i="4"/>
  <c r="T596" i="4"/>
  <c r="T595" i="4"/>
  <c r="T594" i="4"/>
  <c r="T593" i="4"/>
  <c r="T592" i="4"/>
  <c r="T591" i="4"/>
  <c r="T590" i="4"/>
  <c r="T589" i="4"/>
  <c r="T588" i="4"/>
  <c r="T587" i="4"/>
  <c r="T586" i="4"/>
  <c r="T585" i="4"/>
  <c r="T584" i="4"/>
  <c r="T583" i="4"/>
  <c r="T582" i="4"/>
  <c r="T581" i="4"/>
  <c r="T580" i="4"/>
  <c r="T579" i="4"/>
  <c r="T578" i="4"/>
  <c r="T577" i="4"/>
  <c r="T576" i="4"/>
  <c r="T575" i="4"/>
  <c r="T574" i="4"/>
  <c r="T573" i="4"/>
  <c r="T572" i="4"/>
  <c r="T571" i="4"/>
  <c r="T570" i="4"/>
  <c r="T569" i="4"/>
  <c r="T568" i="4"/>
  <c r="T567" i="4"/>
  <c r="T566" i="4"/>
  <c r="T565" i="4"/>
  <c r="T564" i="4"/>
  <c r="T563" i="4"/>
  <c r="T562" i="4"/>
  <c r="T561" i="4"/>
  <c r="T560" i="4"/>
  <c r="T559" i="4"/>
  <c r="T558" i="4"/>
  <c r="T557" i="4"/>
  <c r="T556" i="4"/>
  <c r="T555" i="4"/>
  <c r="T554" i="4"/>
  <c r="T553" i="4"/>
  <c r="T552" i="4"/>
  <c r="T551" i="4"/>
  <c r="T550" i="4"/>
  <c r="T549" i="4"/>
  <c r="T548" i="4"/>
  <c r="T547" i="4"/>
  <c r="T546" i="4"/>
  <c r="T545" i="4"/>
  <c r="T544" i="4"/>
  <c r="T543" i="4"/>
  <c r="T542" i="4"/>
  <c r="T541" i="4"/>
  <c r="T540" i="4"/>
  <c r="T539" i="4"/>
  <c r="T538" i="4"/>
  <c r="T537" i="4"/>
  <c r="T536" i="4"/>
  <c r="T535" i="4"/>
  <c r="T534" i="4"/>
  <c r="T533" i="4"/>
  <c r="T532" i="4"/>
  <c r="T531" i="4"/>
  <c r="T530" i="4"/>
  <c r="T529" i="4"/>
  <c r="T528" i="4"/>
  <c r="T527" i="4"/>
  <c r="T526" i="4"/>
  <c r="T525" i="4"/>
  <c r="T524" i="4"/>
  <c r="T523" i="4"/>
  <c r="T522" i="4"/>
  <c r="T521" i="4"/>
  <c r="T520" i="4"/>
  <c r="T519" i="4"/>
  <c r="T518" i="4"/>
  <c r="T517" i="4"/>
  <c r="T516" i="4"/>
  <c r="T515" i="4"/>
  <c r="T514" i="4"/>
  <c r="T513" i="4"/>
  <c r="T512" i="4"/>
  <c r="T511" i="4"/>
  <c r="T510" i="4"/>
  <c r="T509" i="4"/>
  <c r="T508" i="4"/>
  <c r="T507" i="4"/>
  <c r="T506" i="4"/>
  <c r="T505" i="4"/>
  <c r="T504" i="4"/>
  <c r="T503" i="4"/>
  <c r="T502" i="4"/>
  <c r="T501" i="4"/>
  <c r="T500" i="4"/>
  <c r="T499" i="4"/>
  <c r="T498" i="4"/>
  <c r="T497" i="4"/>
  <c r="T496" i="4"/>
  <c r="T495" i="4"/>
  <c r="T494" i="4"/>
  <c r="T493" i="4"/>
  <c r="T492" i="4"/>
  <c r="T491" i="4"/>
  <c r="T490" i="4"/>
  <c r="T489" i="4"/>
  <c r="T488" i="4"/>
  <c r="T487" i="4"/>
  <c r="T486" i="4"/>
  <c r="T485" i="4"/>
  <c r="T484" i="4"/>
  <c r="T483" i="4"/>
  <c r="T482" i="4"/>
  <c r="T481" i="4"/>
  <c r="T480" i="4"/>
  <c r="T479" i="4"/>
  <c r="T478" i="4"/>
  <c r="T477" i="4"/>
  <c r="T476" i="4"/>
  <c r="T475" i="4"/>
  <c r="T474" i="4"/>
  <c r="T473" i="4"/>
  <c r="T472" i="4"/>
  <c r="T471" i="4"/>
  <c r="T469" i="4"/>
  <c r="T468" i="4"/>
  <c r="T467" i="4"/>
  <c r="T466" i="4"/>
  <c r="T465" i="4"/>
  <c r="T464" i="4"/>
  <c r="T463" i="4"/>
  <c r="T462" i="4"/>
  <c r="T461" i="4"/>
  <c r="T460" i="4"/>
  <c r="T459" i="4"/>
  <c r="T458" i="4"/>
  <c r="T457" i="4"/>
  <c r="T456" i="4"/>
  <c r="T455" i="4"/>
  <c r="W452" i="4"/>
  <c r="W451" i="4"/>
  <c r="W439" i="4"/>
  <c r="W438" i="4"/>
  <c r="W437" i="4"/>
  <c r="W436" i="4"/>
  <c r="W435" i="4"/>
  <c r="W426" i="4"/>
  <c r="W425" i="4"/>
  <c r="W424" i="4"/>
  <c r="W423" i="4"/>
  <c r="W422" i="4"/>
  <c r="W411" i="4"/>
  <c r="W410" i="4"/>
  <c r="W408" i="4"/>
  <c r="W406" i="4"/>
  <c r="W405" i="4"/>
  <c r="W404" i="4"/>
  <c r="W403" i="4"/>
  <c r="W402" i="4"/>
  <c r="W401" i="4"/>
  <c r="W397" i="4"/>
  <c r="W396" i="4"/>
  <c r="W395" i="4"/>
  <c r="W394" i="4"/>
  <c r="W393" i="4"/>
  <c r="W392" i="4"/>
  <c r="W391" i="4"/>
  <c r="W390" i="4"/>
  <c r="W386" i="4"/>
  <c r="W384" i="4"/>
  <c r="W383" i="4"/>
  <c r="W382" i="4"/>
  <c r="W381" i="4"/>
  <c r="W380" i="4"/>
  <c r="W379" i="4"/>
  <c r="W378" i="4"/>
  <c r="W377" i="4"/>
  <c r="W376" i="4"/>
  <c r="W372" i="4"/>
  <c r="W371" i="4"/>
  <c r="W370" i="4"/>
  <c r="W369" i="4"/>
  <c r="W368" i="4"/>
  <c r="W367" i="4"/>
  <c r="W366" i="4"/>
  <c r="W365" i="4"/>
  <c r="W364" i="4"/>
  <c r="W359" i="4"/>
  <c r="W358" i="4"/>
  <c r="W357" i="4"/>
  <c r="W356" i="4"/>
  <c r="W355" i="4"/>
  <c r="W352" i="4"/>
  <c r="W342" i="4"/>
  <c r="W341" i="4"/>
  <c r="W340" i="4"/>
  <c r="W339" i="4"/>
  <c r="W338" i="4"/>
  <c r="W337" i="4"/>
  <c r="W333" i="4"/>
  <c r="W332" i="4"/>
  <c r="W331" i="4"/>
  <c r="W329" i="4"/>
  <c r="W328" i="4"/>
  <c r="W327" i="4"/>
  <c r="W326" i="4"/>
  <c r="W325" i="4"/>
  <c r="W324" i="4"/>
  <c r="W320" i="4"/>
  <c r="W319" i="4"/>
  <c r="W318" i="4"/>
  <c r="W317" i="4"/>
  <c r="W316" i="4"/>
  <c r="W315" i="4"/>
  <c r="W314" i="4"/>
  <c r="W313" i="4"/>
  <c r="W312" i="4"/>
  <c r="W308" i="4"/>
  <c r="W307" i="4"/>
  <c r="W306" i="4"/>
  <c r="W305" i="4"/>
  <c r="W304" i="4"/>
  <c r="W303" i="4"/>
  <c r="W302" i="4"/>
  <c r="W301" i="4"/>
  <c r="W300" i="4"/>
  <c r="W299" i="4"/>
  <c r="W289" i="4"/>
  <c r="W288" i="4"/>
  <c r="W287" i="4"/>
  <c r="W286" i="4"/>
  <c r="W284" i="4"/>
  <c r="W283" i="4"/>
  <c r="W282" i="4"/>
  <c r="W281" i="4"/>
  <c r="W280" i="4"/>
  <c r="W279" i="4"/>
  <c r="W278" i="4"/>
  <c r="W273" i="4"/>
  <c r="W272" i="4"/>
  <c r="W263" i="4"/>
  <c r="W262" i="4"/>
  <c r="W261" i="4"/>
  <c r="W260" i="4"/>
  <c r="W259" i="4"/>
  <c r="W256" i="4"/>
  <c r="W255" i="4"/>
  <c r="W249" i="4"/>
  <c r="W248" i="4"/>
  <c r="W247" i="4"/>
  <c r="W246" i="4"/>
  <c r="W245" i="4"/>
  <c r="W244" i="4"/>
  <c r="W243" i="4"/>
  <c r="W237" i="4"/>
  <c r="W236" i="4"/>
  <c r="W235" i="4"/>
  <c r="W234" i="4"/>
  <c r="W233" i="4"/>
  <c r="W230" i="4"/>
  <c r="W229" i="4"/>
  <c r="W225" i="4"/>
  <c r="W224" i="4"/>
  <c r="W222" i="4"/>
  <c r="W221" i="4"/>
  <c r="W220" i="4"/>
  <c r="W219" i="4"/>
  <c r="W218" i="4"/>
  <c r="W217" i="4"/>
  <c r="W216" i="4"/>
  <c r="W205" i="4"/>
  <c r="W204" i="4"/>
  <c r="W195" i="4"/>
  <c r="W194" i="4"/>
  <c r="W186" i="4"/>
  <c r="W185" i="4"/>
  <c r="W183" i="4"/>
  <c r="W182" i="4"/>
  <c r="W173" i="4"/>
  <c r="W172" i="4"/>
  <c r="W171" i="4"/>
  <c r="W170" i="4"/>
  <c r="W162" i="4"/>
  <c r="W161" i="4"/>
  <c r="W160" i="4"/>
  <c r="W159" i="4"/>
  <c r="W158" i="4"/>
  <c r="W157" i="4"/>
  <c r="W156" i="4"/>
  <c r="W155" i="4"/>
  <c r="W143" i="4"/>
  <c r="W139" i="4"/>
  <c r="W138" i="4"/>
  <c r="W137" i="4"/>
  <c r="W136" i="4"/>
  <c r="W126" i="4"/>
  <c r="W125" i="4"/>
  <c r="W124" i="4"/>
  <c r="W123" i="4"/>
  <c r="W122" i="4"/>
  <c r="W121" i="4"/>
  <c r="W115" i="4"/>
  <c r="W112" i="4"/>
  <c r="W111" i="4"/>
  <c r="W110" i="4"/>
  <c r="W109" i="4"/>
  <c r="W108" i="4"/>
  <c r="W104" i="4"/>
  <c r="W103" i="4"/>
  <c r="W102" i="4"/>
  <c r="W101" i="4"/>
  <c r="W92" i="4"/>
  <c r="W91" i="4"/>
  <c r="W77" i="4"/>
  <c r="W76" i="4"/>
  <c r="W75" i="4"/>
  <c r="W74" i="4"/>
  <c r="W73" i="4"/>
  <c r="W70" i="4"/>
  <c r="W69" i="4"/>
  <c r="W67" i="4"/>
  <c r="W66" i="4"/>
  <c r="W65" i="4"/>
  <c r="W64" i="4"/>
  <c r="W60" i="4"/>
  <c r="W59" i="4"/>
  <c r="W58" i="4"/>
  <c r="W57" i="4"/>
  <c r="W56" i="4"/>
  <c r="W55" i="4"/>
  <c r="W54" i="4"/>
  <c r="W53" i="4"/>
  <c r="W52" i="4"/>
  <c r="W48" i="4"/>
  <c r="W47" i="4"/>
  <c r="W45" i="4"/>
  <c r="W44" i="4"/>
  <c r="W43" i="4"/>
  <c r="W42" i="4"/>
  <c r="W41" i="4"/>
  <c r="W39" i="4"/>
  <c r="W35" i="4"/>
  <c r="U454" i="4"/>
  <c r="U453" i="4"/>
  <c r="U452" i="4"/>
  <c r="U451" i="4"/>
  <c r="U450" i="4"/>
  <c r="U449" i="4"/>
  <c r="U448" i="4"/>
  <c r="U446" i="4"/>
  <c r="U445" i="4"/>
  <c r="U444" i="4"/>
  <c r="U443" i="4"/>
  <c r="U442" i="4"/>
  <c r="U441" i="4"/>
  <c r="U440" i="4"/>
  <c r="U439" i="4"/>
  <c r="U438" i="4"/>
  <c r="U437" i="4"/>
  <c r="U436" i="4"/>
  <c r="U435" i="4"/>
  <c r="U433" i="4"/>
  <c r="U432" i="4"/>
  <c r="U431" i="4"/>
  <c r="U430" i="4"/>
  <c r="U429" i="4"/>
  <c r="U428" i="4"/>
  <c r="U427" i="4"/>
  <c r="U426" i="4"/>
  <c r="U425" i="4"/>
  <c r="U424" i="4"/>
  <c r="U423" i="4"/>
  <c r="U422" i="4"/>
  <c r="U419" i="4"/>
  <c r="U418" i="4"/>
  <c r="U417" i="4"/>
  <c r="U416" i="4"/>
  <c r="U415" i="4"/>
  <c r="U414" i="4"/>
  <c r="U413" i="4"/>
  <c r="U412" i="4"/>
  <c r="U411" i="4"/>
  <c r="U410" i="4"/>
  <c r="U408" i="4"/>
  <c r="U406" i="4"/>
  <c r="U405" i="4"/>
  <c r="U404" i="4"/>
  <c r="U403" i="4"/>
  <c r="U402" i="4"/>
  <c r="U401" i="4"/>
  <c r="U400" i="4"/>
  <c r="U399" i="4"/>
  <c r="U398" i="4"/>
  <c r="U397" i="4"/>
  <c r="U396" i="4"/>
  <c r="U395" i="4"/>
  <c r="U394" i="4"/>
  <c r="U393" i="4"/>
  <c r="U392" i="4"/>
  <c r="U391" i="4"/>
  <c r="U390" i="4"/>
  <c r="U389" i="4"/>
  <c r="U388" i="4"/>
  <c r="U387" i="4"/>
  <c r="U386" i="4"/>
  <c r="U384" i="4"/>
  <c r="U383" i="4"/>
  <c r="U382" i="4"/>
  <c r="U381" i="4"/>
  <c r="U380" i="4"/>
  <c r="U379" i="4"/>
  <c r="U378" i="4"/>
  <c r="U377" i="4"/>
  <c r="U376" i="4"/>
  <c r="U375" i="4"/>
  <c r="U374" i="4"/>
  <c r="U372" i="4"/>
  <c r="U371" i="4"/>
  <c r="U370" i="4"/>
  <c r="U369" i="4"/>
  <c r="U368" i="4"/>
  <c r="U367" i="4"/>
  <c r="U366" i="4"/>
  <c r="U365" i="4"/>
  <c r="U364" i="4"/>
  <c r="U363" i="4"/>
  <c r="U361" i="4"/>
  <c r="U360" i="4"/>
  <c r="U359" i="4"/>
  <c r="U358" i="4"/>
  <c r="U357" i="4"/>
  <c r="U356" i="4"/>
  <c r="U352" i="4"/>
  <c r="U350" i="4"/>
  <c r="U348" i="4"/>
  <c r="U347" i="4"/>
  <c r="U346" i="4"/>
  <c r="U345" i="4"/>
  <c r="U344" i="4"/>
  <c r="U343" i="4"/>
  <c r="U342" i="4"/>
  <c r="U341" i="4"/>
  <c r="U340" i="4"/>
  <c r="U339" i="4"/>
  <c r="U338" i="4"/>
  <c r="U337" i="4"/>
  <c r="U336" i="4"/>
  <c r="U335" i="4"/>
  <c r="U334" i="4"/>
  <c r="U333" i="4"/>
  <c r="U332" i="4"/>
  <c r="U331" i="4"/>
  <c r="U329" i="4"/>
  <c r="U328" i="4"/>
  <c r="U327" i="4"/>
  <c r="U326" i="4"/>
  <c r="U325" i="4"/>
  <c r="U324" i="4"/>
  <c r="U323" i="4"/>
  <c r="U322" i="4"/>
  <c r="U321" i="4"/>
  <c r="U320" i="4"/>
  <c r="U319" i="4"/>
  <c r="U318" i="4"/>
  <c r="U317" i="4"/>
  <c r="U316" i="4"/>
  <c r="U315" i="4"/>
  <c r="U314" i="4"/>
  <c r="U313" i="4"/>
  <c r="U312" i="4"/>
  <c r="U311" i="4"/>
  <c r="U310" i="4"/>
  <c r="U309" i="4"/>
  <c r="U308" i="4"/>
  <c r="U307" i="4"/>
  <c r="U306" i="4"/>
  <c r="U305" i="4"/>
  <c r="U304" i="4"/>
  <c r="U303" i="4"/>
  <c r="U302" i="4"/>
  <c r="U301" i="4"/>
  <c r="U300" i="4"/>
  <c r="U299" i="4"/>
  <c r="U298" i="4"/>
  <c r="U296" i="4"/>
  <c r="U295" i="4"/>
  <c r="U294" i="4"/>
  <c r="U293" i="4"/>
  <c r="U292" i="4"/>
  <c r="U291" i="4"/>
  <c r="U290" i="4"/>
  <c r="U289" i="4"/>
  <c r="U288" i="4"/>
  <c r="U287" i="4"/>
  <c r="U286" i="4"/>
  <c r="U285" i="4"/>
  <c r="U284" i="4"/>
  <c r="U283" i="4"/>
  <c r="U282" i="4"/>
  <c r="U281" i="4"/>
  <c r="U280" i="4"/>
  <c r="U279" i="4"/>
  <c r="U278" i="4"/>
  <c r="U277" i="4"/>
  <c r="U276" i="4"/>
  <c r="U275" i="4"/>
  <c r="U274" i="4"/>
  <c r="U273" i="4"/>
  <c r="U272" i="4"/>
  <c r="U271" i="4"/>
  <c r="U270" i="4"/>
  <c r="U269" i="4"/>
  <c r="U268" i="4"/>
  <c r="U266" i="4"/>
  <c r="U265" i="4"/>
  <c r="U264" i="4"/>
  <c r="U263" i="4"/>
  <c r="U262" i="4"/>
  <c r="U261" i="4"/>
  <c r="U260" i="4"/>
  <c r="U259" i="4"/>
  <c r="U256" i="4"/>
  <c r="U255" i="4"/>
  <c r="U254" i="4"/>
  <c r="U253" i="4"/>
  <c r="U252" i="4"/>
  <c r="U251" i="4"/>
  <c r="U250" i="4"/>
  <c r="U249" i="4"/>
  <c r="U248" i="4"/>
  <c r="U247" i="4"/>
  <c r="U246" i="4"/>
  <c r="U245" i="4"/>
  <c r="U244" i="4"/>
  <c r="U243" i="4"/>
  <c r="U242" i="4"/>
  <c r="U241" i="4"/>
  <c r="U240" i="4"/>
  <c r="U239" i="4"/>
  <c r="U238" i="4"/>
  <c r="U237" i="4"/>
  <c r="U236" i="4"/>
  <c r="U235" i="4"/>
  <c r="U234" i="4"/>
  <c r="U233" i="4"/>
  <c r="U230" i="4"/>
  <c r="U229" i="4"/>
  <c r="U228" i="4"/>
  <c r="U227" i="4"/>
  <c r="U226" i="4"/>
  <c r="U225" i="4"/>
  <c r="U224" i="4"/>
  <c r="U222" i="4"/>
  <c r="U221" i="4"/>
  <c r="U220" i="4"/>
  <c r="U219" i="4"/>
  <c r="U218" i="4"/>
  <c r="U217" i="4"/>
  <c r="U216" i="4"/>
  <c r="U215" i="4"/>
  <c r="U214" i="4"/>
  <c r="U213" i="4"/>
  <c r="U212" i="4"/>
  <c r="U211" i="4"/>
  <c r="U210" i="4"/>
  <c r="U209" i="4"/>
  <c r="U208" i="4"/>
  <c r="U207" i="4"/>
  <c r="U206" i="4"/>
  <c r="U205" i="4"/>
  <c r="U204" i="4"/>
  <c r="U203" i="4"/>
  <c r="U202" i="4"/>
  <c r="U201" i="4"/>
  <c r="U200" i="4"/>
  <c r="U198" i="4"/>
  <c r="U197" i="4"/>
  <c r="U196" i="4"/>
  <c r="U195" i="4"/>
  <c r="U194" i="4"/>
  <c r="U193" i="4"/>
  <c r="U192" i="4"/>
  <c r="U191" i="4"/>
  <c r="U190" i="4"/>
  <c r="U189" i="4"/>
  <c r="U188" i="4"/>
  <c r="U186" i="4"/>
  <c r="U185" i="4"/>
  <c r="U183" i="4"/>
  <c r="U182" i="4"/>
  <c r="U181" i="4"/>
  <c r="U180" i="4"/>
  <c r="U179" i="4"/>
  <c r="U178" i="4"/>
  <c r="U177" i="4"/>
  <c r="U176" i="4"/>
  <c r="U173" i="4"/>
  <c r="U172" i="4"/>
  <c r="U171" i="4"/>
  <c r="U170" i="4"/>
  <c r="U169" i="4"/>
  <c r="U168" i="4"/>
  <c r="U167" i="4"/>
  <c r="U166" i="4"/>
  <c r="U165" i="4"/>
  <c r="U164" i="4"/>
  <c r="U163" i="4"/>
  <c r="U162" i="4"/>
  <c r="U161" i="4"/>
  <c r="U160" i="4"/>
  <c r="U159" i="4"/>
  <c r="U158" i="4"/>
  <c r="U157" i="4"/>
  <c r="U156" i="4"/>
  <c r="U155" i="4"/>
  <c r="U154" i="4"/>
  <c r="U153" i="4"/>
  <c r="U152" i="4"/>
  <c r="U151" i="4"/>
  <c r="U150" i="4"/>
  <c r="U149" i="4"/>
  <c r="U148" i="4"/>
  <c r="U147" i="4"/>
  <c r="U146" i="4"/>
  <c r="U145" i="4"/>
  <c r="U144" i="4"/>
  <c r="U143" i="4"/>
  <c r="U142" i="4"/>
  <c r="U141" i="4"/>
  <c r="U140" i="4"/>
  <c r="U139" i="4"/>
  <c r="U138" i="4"/>
  <c r="U137" i="4"/>
  <c r="U136" i="4"/>
  <c r="U135" i="4"/>
  <c r="U133" i="4"/>
  <c r="U132" i="4"/>
  <c r="U131" i="4"/>
  <c r="U130" i="4"/>
  <c r="U129" i="4"/>
  <c r="U128" i="4"/>
  <c r="U127" i="4"/>
  <c r="U126" i="4"/>
  <c r="U125" i="4"/>
  <c r="U124" i="4"/>
  <c r="U123" i="4"/>
  <c r="U122" i="4"/>
  <c r="U121" i="4"/>
  <c r="U120" i="4"/>
  <c r="U119" i="4"/>
  <c r="U118" i="4"/>
  <c r="U117" i="4"/>
  <c r="U116" i="4"/>
  <c r="U115" i="4"/>
  <c r="U112" i="4"/>
  <c r="U111" i="4"/>
  <c r="U110" i="4"/>
  <c r="U109" i="4"/>
  <c r="U108" i="4"/>
  <c r="U107" i="4"/>
  <c r="U106" i="4"/>
  <c r="U105" i="4"/>
  <c r="U104" i="4"/>
  <c r="U103" i="4"/>
  <c r="U102" i="4"/>
  <c r="U101" i="4"/>
  <c r="U100" i="4"/>
  <c r="U99" i="4"/>
  <c r="U98" i="4"/>
  <c r="U97" i="4"/>
  <c r="U96" i="4"/>
  <c r="U95" i="4"/>
  <c r="U93" i="4"/>
  <c r="U92" i="4"/>
  <c r="U91" i="4"/>
  <c r="U89" i="4"/>
  <c r="U88" i="4"/>
  <c r="U87" i="4"/>
  <c r="U86" i="4"/>
  <c r="U85" i="4"/>
  <c r="U84" i="4"/>
  <c r="U82" i="4"/>
  <c r="U81" i="4"/>
  <c r="U80" i="4"/>
  <c r="U79" i="4"/>
  <c r="U78" i="4"/>
  <c r="U77" i="4"/>
  <c r="U76" i="4"/>
  <c r="U75" i="4"/>
  <c r="U74" i="4"/>
  <c r="U73" i="4"/>
  <c r="U72" i="4"/>
  <c r="U71" i="4"/>
  <c r="U70" i="4"/>
  <c r="U69" i="4"/>
  <c r="U67" i="4"/>
  <c r="U66" i="4"/>
  <c r="U65" i="4"/>
  <c r="U64" i="4"/>
  <c r="U63" i="4"/>
  <c r="U62" i="4"/>
  <c r="U61" i="4"/>
  <c r="U60" i="4"/>
  <c r="U59" i="4"/>
  <c r="U58" i="4"/>
  <c r="U57" i="4"/>
  <c r="U56" i="4"/>
  <c r="U55" i="4"/>
  <c r="U54" i="4"/>
  <c r="U53" i="4"/>
  <c r="U52" i="4"/>
  <c r="U51" i="4"/>
  <c r="U48" i="4"/>
  <c r="U47" i="4"/>
  <c r="U45" i="4"/>
  <c r="U44" i="4"/>
  <c r="U43" i="4"/>
  <c r="U42" i="4"/>
  <c r="U41" i="4"/>
  <c r="U39" i="4"/>
  <c r="U38" i="4"/>
  <c r="U37" i="4"/>
  <c r="U36" i="4"/>
  <c r="U35" i="4"/>
  <c r="U34" i="4"/>
  <c r="U33" i="4"/>
  <c r="U32" i="4"/>
  <c r="U31" i="4"/>
  <c r="U30" i="4"/>
  <c r="U29" i="4"/>
  <c r="U28" i="4"/>
  <c r="U27" i="4"/>
  <c r="U26" i="4"/>
  <c r="U25" i="4"/>
  <c r="U24" i="4"/>
  <c r="U23" i="4"/>
  <c r="T454" i="4"/>
  <c r="T453" i="4"/>
  <c r="T452" i="4"/>
  <c r="T451" i="4"/>
  <c r="T450" i="4"/>
  <c r="T449" i="4"/>
  <c r="T448" i="4"/>
  <c r="T446" i="4"/>
  <c r="T445" i="4"/>
  <c r="T444" i="4"/>
  <c r="T443" i="4"/>
  <c r="T442" i="4"/>
  <c r="T441" i="4"/>
  <c r="T440" i="4"/>
  <c r="T439" i="4"/>
  <c r="T438" i="4"/>
  <c r="T437" i="4"/>
  <c r="T436" i="4"/>
  <c r="T435" i="4"/>
  <c r="T433" i="4"/>
  <c r="T432" i="4"/>
  <c r="T431" i="4"/>
  <c r="T430" i="4"/>
  <c r="T429" i="4"/>
  <c r="T428" i="4"/>
  <c r="T427" i="4"/>
  <c r="T426" i="4"/>
  <c r="T425" i="4"/>
  <c r="T424" i="4"/>
  <c r="T423" i="4"/>
  <c r="T422" i="4"/>
  <c r="T419" i="4"/>
  <c r="T418" i="4"/>
  <c r="T417" i="4"/>
  <c r="T416" i="4"/>
  <c r="T415" i="4"/>
  <c r="T414" i="4"/>
  <c r="T413" i="4"/>
  <c r="T412" i="4"/>
  <c r="T411" i="4"/>
  <c r="T410" i="4"/>
  <c r="T408" i="4"/>
  <c r="T406" i="4"/>
  <c r="T405" i="4"/>
  <c r="T404" i="4"/>
  <c r="T403" i="4"/>
  <c r="T402" i="4"/>
  <c r="T401" i="4"/>
  <c r="T400" i="4"/>
  <c r="T399" i="4"/>
  <c r="T398" i="4"/>
  <c r="T397" i="4"/>
  <c r="T396" i="4"/>
  <c r="T395" i="4"/>
  <c r="T394" i="4"/>
  <c r="T393" i="4"/>
  <c r="T392" i="4"/>
  <c r="T391" i="4"/>
  <c r="T390" i="4"/>
  <c r="T389" i="4"/>
  <c r="T388" i="4"/>
  <c r="T387" i="4"/>
  <c r="T386" i="4"/>
  <c r="T384" i="4"/>
  <c r="T383" i="4"/>
  <c r="T382" i="4"/>
  <c r="T381" i="4"/>
  <c r="T380" i="4"/>
  <c r="T379" i="4"/>
  <c r="T378" i="4"/>
  <c r="T377" i="4"/>
  <c r="T376" i="4"/>
  <c r="T375" i="4"/>
  <c r="T374" i="4"/>
  <c r="T372" i="4"/>
  <c r="T371" i="4"/>
  <c r="T370" i="4"/>
  <c r="T369" i="4"/>
  <c r="T368" i="4"/>
  <c r="T367" i="4"/>
  <c r="T366" i="4"/>
  <c r="T365" i="4"/>
  <c r="T364" i="4"/>
  <c r="T363" i="4"/>
  <c r="T361" i="4"/>
  <c r="T360" i="4"/>
  <c r="T359" i="4"/>
  <c r="T358" i="4"/>
  <c r="T357" i="4"/>
  <c r="T356" i="4"/>
  <c r="T355" i="4"/>
  <c r="T350" i="4"/>
  <c r="T348" i="4"/>
  <c r="T347" i="4"/>
  <c r="T346" i="4"/>
  <c r="T345" i="4"/>
  <c r="T344" i="4"/>
  <c r="T343" i="4"/>
  <c r="T342" i="4"/>
  <c r="T341" i="4"/>
  <c r="T340" i="4"/>
  <c r="T339" i="4"/>
  <c r="T338" i="4"/>
  <c r="T337" i="4"/>
  <c r="T336" i="4"/>
  <c r="T335" i="4"/>
  <c r="T334" i="4"/>
  <c r="T333" i="4"/>
  <c r="T332" i="4"/>
  <c r="T331" i="4"/>
  <c r="T329" i="4"/>
  <c r="T328" i="4"/>
  <c r="T327" i="4"/>
  <c r="T326" i="4"/>
  <c r="T325" i="4"/>
  <c r="T324" i="4"/>
  <c r="T323" i="4"/>
  <c r="T322" i="4"/>
  <c r="T321" i="4"/>
  <c r="T320" i="4"/>
  <c r="T319" i="4"/>
  <c r="T318" i="4"/>
  <c r="T317" i="4"/>
  <c r="T316" i="4"/>
  <c r="T315" i="4"/>
  <c r="T314" i="4"/>
  <c r="T313" i="4"/>
  <c r="T312" i="4"/>
  <c r="T311" i="4"/>
  <c r="T310" i="4"/>
  <c r="T309" i="4"/>
  <c r="T308" i="4"/>
  <c r="T307" i="4"/>
  <c r="T306" i="4"/>
  <c r="T305" i="4"/>
  <c r="T304" i="4"/>
  <c r="T303" i="4"/>
  <c r="T302" i="4"/>
  <c r="T301" i="4"/>
  <c r="T300" i="4"/>
  <c r="T299" i="4"/>
  <c r="T298" i="4"/>
  <c r="T296" i="4"/>
  <c r="T295" i="4"/>
  <c r="T294" i="4"/>
  <c r="T293" i="4"/>
  <c r="T292" i="4"/>
  <c r="T291" i="4"/>
  <c r="T290" i="4"/>
  <c r="T289" i="4"/>
  <c r="T288" i="4"/>
  <c r="T287" i="4"/>
  <c r="T286" i="4"/>
  <c r="T285" i="4"/>
  <c r="T284" i="4"/>
  <c r="T283" i="4"/>
  <c r="T282" i="4"/>
  <c r="T281" i="4"/>
  <c r="T280" i="4"/>
  <c r="T279" i="4"/>
  <c r="T278" i="4"/>
  <c r="T277" i="4"/>
  <c r="T276" i="4"/>
  <c r="T275" i="4"/>
  <c r="T274" i="4"/>
  <c r="T273" i="4"/>
  <c r="T272" i="4"/>
  <c r="T271" i="4"/>
  <c r="T270" i="4"/>
  <c r="T269" i="4"/>
  <c r="T268" i="4"/>
  <c r="T265" i="4"/>
  <c r="T264" i="4"/>
  <c r="T263" i="4"/>
  <c r="T262" i="4"/>
  <c r="T261" i="4"/>
  <c r="T260" i="4"/>
  <c r="T259" i="4"/>
  <c r="T256" i="4"/>
  <c r="T255" i="4"/>
  <c r="T254" i="4"/>
  <c r="T253" i="4"/>
  <c r="T252" i="4"/>
  <c r="T251" i="4"/>
  <c r="T250" i="4"/>
  <c r="T249" i="4"/>
  <c r="T248" i="4"/>
  <c r="T247" i="4"/>
  <c r="T246" i="4"/>
  <c r="T245" i="4"/>
  <c r="T244" i="4"/>
  <c r="T243" i="4"/>
  <c r="T242" i="4"/>
  <c r="T241" i="4"/>
  <c r="T240" i="4"/>
  <c r="T239" i="4"/>
  <c r="T238" i="4"/>
  <c r="T237" i="4"/>
  <c r="T236" i="4"/>
  <c r="T235" i="4"/>
  <c r="T234" i="4"/>
  <c r="T233" i="4"/>
  <c r="T230" i="4"/>
  <c r="T229" i="4"/>
  <c r="T228" i="4"/>
  <c r="T227" i="4"/>
  <c r="T226" i="4"/>
  <c r="T225" i="4"/>
  <c r="T224" i="4"/>
  <c r="T222" i="4"/>
  <c r="T221" i="4"/>
  <c r="T220" i="4"/>
  <c r="T219" i="4"/>
  <c r="T218" i="4"/>
  <c r="T217" i="4"/>
  <c r="T216" i="4"/>
  <c r="T215" i="4"/>
  <c r="T214" i="4"/>
  <c r="T213" i="4"/>
  <c r="T212" i="4"/>
  <c r="T211" i="4"/>
  <c r="T210" i="4"/>
  <c r="T209" i="4"/>
  <c r="T208" i="4"/>
  <c r="T207" i="4"/>
  <c r="T206" i="4"/>
  <c r="T205" i="4"/>
  <c r="T204" i="4"/>
  <c r="T203" i="4"/>
  <c r="T202" i="4"/>
  <c r="T201" i="4"/>
  <c r="T200" i="4"/>
  <c r="T198" i="4"/>
  <c r="T197" i="4"/>
  <c r="T196" i="4"/>
  <c r="T195" i="4"/>
  <c r="T194" i="4"/>
  <c r="T193" i="4"/>
  <c r="T192" i="4"/>
  <c r="T191" i="4"/>
  <c r="T190" i="4"/>
  <c r="T189" i="4"/>
  <c r="T188" i="4"/>
  <c r="T186" i="4"/>
  <c r="T185" i="4"/>
  <c r="T183" i="4"/>
  <c r="T182" i="4"/>
  <c r="T181" i="4"/>
  <c r="T180" i="4"/>
  <c r="T179" i="4"/>
  <c r="T178" i="4"/>
  <c r="T177" i="4"/>
  <c r="T176" i="4"/>
  <c r="T173" i="4"/>
  <c r="T172" i="4"/>
  <c r="T171" i="4"/>
  <c r="T170" i="4"/>
  <c r="T169" i="4"/>
  <c r="T168" i="4"/>
  <c r="T167" i="4"/>
  <c r="T166" i="4"/>
  <c r="T165" i="4"/>
  <c r="T164" i="4"/>
  <c r="T163" i="4"/>
  <c r="T162" i="4"/>
  <c r="T161" i="4"/>
  <c r="T160" i="4"/>
  <c r="T159" i="4"/>
  <c r="T158" i="4"/>
  <c r="T157" i="4"/>
  <c r="T156" i="4"/>
  <c r="T155" i="4"/>
  <c r="T154" i="4"/>
  <c r="T153" i="4"/>
  <c r="T152" i="4"/>
  <c r="T151" i="4"/>
  <c r="T150" i="4"/>
  <c r="T149" i="4"/>
  <c r="T148" i="4"/>
  <c r="T147" i="4"/>
  <c r="T146" i="4"/>
  <c r="T145" i="4"/>
  <c r="T144" i="4"/>
  <c r="T143" i="4"/>
  <c r="T142" i="4"/>
  <c r="T141" i="4"/>
  <c r="T140" i="4"/>
  <c r="T139" i="4"/>
  <c r="T138" i="4"/>
  <c r="T137" i="4"/>
  <c r="T136" i="4"/>
  <c r="T135" i="4"/>
  <c r="T133" i="4"/>
  <c r="T132" i="4"/>
  <c r="T131" i="4"/>
  <c r="T130" i="4"/>
  <c r="T129" i="4"/>
  <c r="T128" i="4"/>
  <c r="T127" i="4"/>
  <c r="T126" i="4"/>
  <c r="T125" i="4"/>
  <c r="T124" i="4"/>
  <c r="T123" i="4"/>
  <c r="T122" i="4"/>
  <c r="T121" i="4"/>
  <c r="T120" i="4"/>
  <c r="T119" i="4"/>
  <c r="T118" i="4"/>
  <c r="T117" i="4"/>
  <c r="T116" i="4"/>
  <c r="T115" i="4"/>
  <c r="T112" i="4"/>
  <c r="T111" i="4"/>
  <c r="T110" i="4"/>
  <c r="T109" i="4"/>
  <c r="T108" i="4"/>
  <c r="T107" i="4"/>
  <c r="T106" i="4"/>
  <c r="T105" i="4"/>
  <c r="T104" i="4"/>
  <c r="T103" i="4"/>
  <c r="T102" i="4"/>
  <c r="T101" i="4"/>
  <c r="T100" i="4"/>
  <c r="T99" i="4"/>
  <c r="T98" i="4"/>
  <c r="T97" i="4"/>
  <c r="T96" i="4"/>
  <c r="T95" i="4"/>
  <c r="T93" i="4"/>
  <c r="T92" i="4"/>
  <c r="T91" i="4"/>
  <c r="T89" i="4"/>
  <c r="T88" i="4"/>
  <c r="T87" i="4"/>
  <c r="T86" i="4"/>
  <c r="T85" i="4"/>
  <c r="T84" i="4"/>
  <c r="T82" i="4"/>
  <c r="T81" i="4"/>
  <c r="T80" i="4"/>
  <c r="T79" i="4"/>
  <c r="T78" i="4"/>
  <c r="T77" i="4"/>
  <c r="T76" i="4"/>
  <c r="T75" i="4"/>
  <c r="T74" i="4"/>
  <c r="T73" i="4"/>
  <c r="T72" i="4"/>
  <c r="T71" i="4"/>
  <c r="T70" i="4"/>
  <c r="T69" i="4"/>
  <c r="T67" i="4"/>
  <c r="T66" i="4"/>
  <c r="T65" i="4"/>
  <c r="T64" i="4"/>
  <c r="T63" i="4"/>
  <c r="T62" i="4"/>
  <c r="T61" i="4"/>
  <c r="T60" i="4"/>
  <c r="T59" i="4"/>
  <c r="T58" i="4"/>
  <c r="T57" i="4"/>
  <c r="T56" i="4"/>
  <c r="T55" i="4"/>
  <c r="T54" i="4"/>
  <c r="T53" i="4"/>
  <c r="T52" i="4"/>
  <c r="T51" i="4"/>
  <c r="T48" i="4"/>
  <c r="T47" i="4"/>
  <c r="T45" i="4"/>
  <c r="T44" i="4"/>
  <c r="T43" i="4"/>
  <c r="T42" i="4"/>
  <c r="T41" i="4"/>
  <c r="T39" i="4"/>
  <c r="T38" i="4"/>
  <c r="T37" i="4"/>
  <c r="T36" i="4"/>
  <c r="T35" i="4"/>
  <c r="T34" i="4"/>
  <c r="T33" i="4"/>
  <c r="T32" i="4"/>
  <c r="T31" i="4"/>
  <c r="T30" i="4"/>
  <c r="T29" i="4"/>
  <c r="T28" i="4"/>
  <c r="T27" i="4"/>
  <c r="T26" i="4"/>
  <c r="T25" i="4"/>
  <c r="T24" i="4"/>
  <c r="T23" i="4"/>
  <c r="W389" i="4" l="1"/>
  <c r="W400" i="4"/>
  <c r="W467" i="4"/>
  <c r="W480" i="4"/>
  <c r="W492" i="4"/>
  <c r="W311" i="4"/>
  <c r="W323" i="4"/>
  <c r="W336" i="4"/>
  <c r="W361" i="4"/>
  <c r="W374" i="4"/>
  <c r="W387" i="4"/>
  <c r="W398" i="4"/>
  <c r="W753" i="4"/>
  <c r="W765" i="4"/>
  <c r="W777" i="4"/>
  <c r="W789" i="4"/>
  <c r="W801" i="4"/>
  <c r="W813" i="4"/>
  <c r="W825" i="4"/>
  <c r="W837" i="4"/>
  <c r="W504" i="4"/>
  <c r="W516" i="4"/>
  <c r="W36" i="4"/>
  <c r="W531" i="4"/>
  <c r="W543" i="4"/>
  <c r="W555" i="4"/>
  <c r="W567" i="4"/>
  <c r="W579" i="4"/>
  <c r="W591" i="4"/>
  <c r="W603" i="4"/>
  <c r="W615" i="4"/>
  <c r="W105" i="4"/>
  <c r="W363" i="4"/>
  <c r="W375" i="4"/>
  <c r="W388" i="4"/>
  <c r="W399" i="4"/>
  <c r="W37" i="4"/>
  <c r="W61" i="4"/>
  <c r="W309" i="4"/>
  <c r="W334" i="4"/>
  <c r="W63" i="4"/>
  <c r="W106" i="4"/>
  <c r="W127" i="4"/>
  <c r="W568" i="4"/>
  <c r="W580" i="4"/>
  <c r="W592" i="4"/>
  <c r="W604" i="4"/>
  <c r="W616" i="4"/>
  <c r="W107" i="4"/>
  <c r="W128" i="4"/>
  <c r="W605" i="4"/>
  <c r="W617" i="4"/>
  <c r="W629" i="4"/>
  <c r="W641" i="4"/>
  <c r="W653" i="4"/>
  <c r="W665" i="4"/>
  <c r="W677" i="4"/>
  <c r="W689" i="4"/>
  <c r="W701" i="4"/>
  <c r="W226" i="4"/>
  <c r="W228" i="4"/>
  <c r="W466" i="4"/>
  <c r="W479" i="4"/>
  <c r="W827" i="4"/>
  <c r="W839" i="4"/>
  <c r="W851" i="4"/>
  <c r="W863" i="4"/>
  <c r="W875" i="4"/>
  <c r="W227" i="4"/>
  <c r="W250" i="4"/>
  <c r="W642" i="4"/>
  <c r="W654" i="4"/>
  <c r="W666" i="4"/>
  <c r="W678" i="4"/>
  <c r="W690" i="4"/>
  <c r="W702" i="4"/>
  <c r="W714" i="4"/>
  <c r="W726" i="4"/>
  <c r="W738" i="4"/>
  <c r="W882" i="4"/>
  <c r="W679" i="4"/>
  <c r="W691" i="4"/>
  <c r="W703" i="4"/>
  <c r="W715" i="4"/>
  <c r="W727" i="4"/>
  <c r="W739" i="4"/>
  <c r="W751" i="4"/>
  <c r="W763" i="4"/>
  <c r="W775" i="4"/>
  <c r="W883" i="4"/>
  <c r="W716" i="4"/>
  <c r="W728" i="4"/>
  <c r="W740" i="4"/>
  <c r="W752" i="4"/>
  <c r="W764" i="4"/>
  <c r="W776" i="4"/>
  <c r="W788" i="4"/>
  <c r="W800" i="4"/>
  <c r="W812" i="4"/>
  <c r="W310" i="4"/>
  <c r="W322" i="4"/>
  <c r="W335" i="4"/>
  <c r="W360" i="4"/>
  <c r="W849" i="4"/>
  <c r="W790" i="4"/>
  <c r="W802" i="4"/>
  <c r="W814" i="4"/>
  <c r="W826" i="4"/>
  <c r="W838" i="4"/>
  <c r="W850" i="4"/>
  <c r="W862" i="4"/>
  <c r="W874" i="4"/>
  <c r="W864" i="4"/>
  <c r="W876" i="4"/>
  <c r="W468" i="4"/>
  <c r="W481" i="4"/>
  <c r="W493" i="4"/>
  <c r="W505" i="4"/>
  <c r="W517" i="4"/>
  <c r="W529" i="4"/>
  <c r="W541" i="4"/>
  <c r="W553" i="4"/>
  <c r="W38" i="4"/>
  <c r="W51" i="4"/>
  <c r="W62" i="4"/>
  <c r="W494" i="4"/>
  <c r="W506" i="4"/>
  <c r="W518" i="4"/>
  <c r="W530" i="4"/>
  <c r="W542" i="4"/>
  <c r="W554" i="4"/>
  <c r="W566" i="4"/>
  <c r="W578" i="4"/>
  <c r="W590" i="4"/>
  <c r="W627" i="4"/>
  <c r="W628" i="4"/>
  <c r="W640" i="4"/>
  <c r="W652" i="4"/>
  <c r="W664" i="4"/>
  <c r="A24" i="4"/>
  <c r="A25" i="4"/>
  <c r="A26" i="4"/>
  <c r="A27" i="4"/>
  <c r="A28" i="4"/>
  <c r="A29" i="4"/>
  <c r="A30" i="4"/>
  <c r="A31" i="4"/>
  <c r="A32" i="4"/>
  <c r="A33" i="4"/>
  <c r="A34" i="4"/>
  <c r="A35" i="4"/>
  <c r="A36" i="4"/>
  <c r="A37" i="4"/>
  <c r="A38" i="4"/>
  <c r="A39" i="4"/>
  <c r="A41" i="4"/>
  <c r="A42" i="4"/>
  <c r="A43" i="4"/>
  <c r="A44" i="4"/>
  <c r="A51" i="4"/>
  <c r="A52" i="4"/>
  <c r="A53" i="4"/>
  <c r="A54" i="4"/>
  <c r="A55" i="4"/>
  <c r="A56" i="4"/>
  <c r="A57" i="4"/>
  <c r="A58" i="4"/>
  <c r="A59" i="4"/>
  <c r="A60" i="4"/>
  <c r="A61" i="4"/>
  <c r="A62" i="4"/>
  <c r="A63" i="4"/>
  <c r="A64" i="4"/>
  <c r="A65" i="4"/>
  <c r="A66" i="4"/>
  <c r="A67" i="4"/>
  <c r="A72" i="4"/>
  <c r="A73" i="4"/>
  <c r="A74" i="4"/>
  <c r="A75" i="4"/>
  <c r="A76" i="4"/>
  <c r="A77" i="4"/>
  <c r="A78" i="4"/>
  <c r="A79" i="4"/>
  <c r="A80" i="4"/>
  <c r="A81" i="4"/>
  <c r="A82" i="4"/>
  <c r="A84" i="4"/>
  <c r="A85" i="4"/>
  <c r="A86" i="4"/>
  <c r="A87" i="4"/>
  <c r="A88" i="4"/>
  <c r="A89" i="4"/>
  <c r="A91" i="4"/>
  <c r="A92" i="4"/>
  <c r="A93" i="4"/>
  <c r="A95" i="4"/>
  <c r="A96" i="4"/>
  <c r="A97" i="4"/>
  <c r="A98" i="4"/>
  <c r="A99" i="4"/>
  <c r="A100" i="4"/>
  <c r="A101" i="4"/>
  <c r="A102" i="4"/>
  <c r="A103" i="4"/>
  <c r="A104" i="4"/>
  <c r="A105" i="4"/>
  <c r="A106" i="4"/>
  <c r="A107" i="4"/>
  <c r="A108" i="4"/>
  <c r="A109" i="4"/>
  <c r="A110" i="4"/>
  <c r="A111" i="4"/>
  <c r="A112" i="4"/>
  <c r="A115" i="4"/>
  <c r="A116" i="4"/>
  <c r="A117" i="4"/>
  <c r="A118" i="4"/>
  <c r="A119" i="4"/>
  <c r="A120" i="4"/>
  <c r="A121" i="4"/>
  <c r="A122" i="4"/>
  <c r="A123" i="4"/>
  <c r="A124" i="4"/>
  <c r="A125" i="4"/>
  <c r="A126" i="4"/>
  <c r="A127" i="4"/>
  <c r="A128" i="4"/>
  <c r="A129" i="4"/>
  <c r="A130" i="4"/>
  <c r="A131" i="4"/>
  <c r="A132" i="4"/>
  <c r="A23" i="4"/>
  <c r="A16" i="4"/>
  <c r="U9" i="4"/>
  <c r="T9" i="4"/>
  <c r="A9" i="4"/>
  <c r="U8" i="4"/>
  <c r="T8" i="4"/>
  <c r="A8" i="4"/>
  <c r="W9" i="4" l="1"/>
  <c r="W8" i="4"/>
  <c r="A4" i="4" l="1"/>
  <c r="A5" i="4"/>
  <c r="A6" i="4"/>
  <c r="A7" i="4"/>
  <c r="A10" i="4"/>
  <c r="A11" i="4"/>
  <c r="A12" i="4"/>
  <c r="A13" i="4"/>
  <c r="A14" i="4"/>
  <c r="A15" i="4"/>
  <c r="T4" i="4" l="1"/>
  <c r="T5" i="4"/>
  <c r="T6" i="4"/>
  <c r="T7" i="4"/>
  <c r="T10" i="4"/>
  <c r="T11" i="4"/>
  <c r="T12" i="4"/>
  <c r="T13" i="4"/>
  <c r="T14" i="4"/>
  <c r="T15" i="4"/>
  <c r="T16" i="4"/>
  <c r="W4" i="4"/>
  <c r="W5" i="4"/>
  <c r="W6" i="4"/>
  <c r="W7" i="4"/>
  <c r="W11" i="4"/>
  <c r="W12" i="4"/>
  <c r="W13" i="4"/>
  <c r="W14" i="4"/>
  <c r="P4" i="3" l="1"/>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P519" i="3"/>
  <c r="P520" i="3"/>
  <c r="P521" i="3"/>
  <c r="P522" i="3"/>
  <c r="P523" i="3"/>
  <c r="P524" i="3"/>
  <c r="P525" i="3"/>
  <c r="P526" i="3"/>
  <c r="P527" i="3"/>
  <c r="P528" i="3"/>
  <c r="P529" i="3"/>
  <c r="P530" i="3"/>
  <c r="P531" i="3"/>
  <c r="P532" i="3"/>
  <c r="P533" i="3"/>
  <c r="P534" i="3"/>
  <c r="P535" i="3"/>
  <c r="P536" i="3"/>
  <c r="P537" i="3"/>
  <c r="P538" i="3"/>
  <c r="P539" i="3"/>
  <c r="P540" i="3"/>
  <c r="P541" i="3"/>
  <c r="P542" i="3"/>
  <c r="P543" i="3"/>
  <c r="P544" i="3"/>
  <c r="P545" i="3"/>
  <c r="P546" i="3"/>
  <c r="P547" i="3"/>
  <c r="P548" i="3"/>
  <c r="P549" i="3"/>
  <c r="P550" i="3"/>
  <c r="P551" i="3"/>
  <c r="P552" i="3"/>
  <c r="P553" i="3"/>
  <c r="P554" i="3"/>
  <c r="P555" i="3"/>
  <c r="P556" i="3"/>
  <c r="P557" i="3"/>
  <c r="P558" i="3"/>
  <c r="P559" i="3"/>
  <c r="P560" i="3"/>
  <c r="P561" i="3"/>
  <c r="P562" i="3"/>
  <c r="P563" i="3"/>
  <c r="P564" i="3"/>
  <c r="P565" i="3"/>
  <c r="P566" i="3"/>
  <c r="P567" i="3"/>
  <c r="P568" i="3"/>
  <c r="P569" i="3"/>
  <c r="P570" i="3"/>
  <c r="P571" i="3"/>
  <c r="P572" i="3"/>
  <c r="P573" i="3"/>
  <c r="P574" i="3"/>
  <c r="P575" i="3"/>
  <c r="P576" i="3"/>
  <c r="P577" i="3"/>
  <c r="P578" i="3"/>
  <c r="P579" i="3"/>
  <c r="P580" i="3"/>
  <c r="P581" i="3"/>
  <c r="P582" i="3"/>
  <c r="P583" i="3"/>
  <c r="P584" i="3"/>
  <c r="P585" i="3"/>
  <c r="P586" i="3"/>
  <c r="P587" i="3"/>
  <c r="P588" i="3"/>
  <c r="P589" i="3"/>
  <c r="P590" i="3"/>
  <c r="P591" i="3"/>
  <c r="P592" i="3"/>
  <c r="P593" i="3"/>
  <c r="P594" i="3"/>
  <c r="P595" i="3"/>
  <c r="O4" i="3"/>
  <c r="O5" i="3"/>
  <c r="O6" i="3"/>
  <c r="O7" i="3"/>
  <c r="O8" i="3"/>
  <c r="O9" i="3"/>
  <c r="S9" i="3" s="1"/>
  <c r="O10" i="3"/>
  <c r="O11" i="3"/>
  <c r="O12" i="3"/>
  <c r="O13" i="3"/>
  <c r="S13" i="3" s="1"/>
  <c r="O14" i="3"/>
  <c r="O15" i="3"/>
  <c r="S15" i="3" s="1"/>
  <c r="O16" i="3"/>
  <c r="O17" i="3"/>
  <c r="O18" i="3"/>
  <c r="O19" i="3"/>
  <c r="O20" i="3"/>
  <c r="O21" i="3"/>
  <c r="O22" i="3"/>
  <c r="O23" i="3"/>
  <c r="S23" i="3" s="1"/>
  <c r="O24" i="3"/>
  <c r="O25" i="3"/>
  <c r="S25" i="3" s="1"/>
  <c r="O26" i="3"/>
  <c r="O27" i="3"/>
  <c r="S27" i="3" s="1"/>
  <c r="O28" i="3"/>
  <c r="S28" i="3" s="1"/>
  <c r="O29" i="3"/>
  <c r="O30" i="3"/>
  <c r="S30" i="3" s="1"/>
  <c r="O31" i="3"/>
  <c r="O32" i="3"/>
  <c r="S32" i="3" s="1"/>
  <c r="O33" i="3"/>
  <c r="O34" i="3"/>
  <c r="O35" i="3"/>
  <c r="O36" i="3"/>
  <c r="S36" i="3" s="1"/>
  <c r="O37" i="3"/>
  <c r="O38" i="3"/>
  <c r="S38" i="3" s="1"/>
  <c r="O39" i="3"/>
  <c r="S39" i="3" s="1"/>
  <c r="O40" i="3"/>
  <c r="O41" i="3"/>
  <c r="S41" i="3" s="1"/>
  <c r="O42" i="3"/>
  <c r="O43" i="3"/>
  <c r="O44" i="3"/>
  <c r="O45" i="3"/>
  <c r="O46" i="3"/>
  <c r="O47" i="3"/>
  <c r="O48" i="3"/>
  <c r="O49" i="3"/>
  <c r="O50" i="3"/>
  <c r="O51" i="3"/>
  <c r="O52" i="3"/>
  <c r="O53" i="3"/>
  <c r="O54" i="3"/>
  <c r="O55" i="3"/>
  <c r="O56" i="3"/>
  <c r="O57" i="3"/>
  <c r="O58" i="3"/>
  <c r="O59" i="3"/>
  <c r="O60" i="3"/>
  <c r="O61" i="3"/>
  <c r="O62" i="3"/>
  <c r="O63" i="3"/>
  <c r="O64" i="3"/>
  <c r="O65" i="3"/>
  <c r="S65" i="3" s="1"/>
  <c r="O66" i="3"/>
  <c r="S66" i="3" s="1"/>
  <c r="O67" i="3"/>
  <c r="S67" i="3" s="1"/>
  <c r="O68" i="3"/>
  <c r="O69" i="3"/>
  <c r="O70" i="3"/>
  <c r="S70" i="3" s="1"/>
  <c r="O71" i="3"/>
  <c r="O72" i="3"/>
  <c r="O73" i="3"/>
  <c r="O74" i="3"/>
  <c r="O75" i="3"/>
  <c r="O76" i="3"/>
  <c r="O77" i="3"/>
  <c r="S77" i="3" s="1"/>
  <c r="O78" i="3"/>
  <c r="O79" i="3"/>
  <c r="S79" i="3" s="1"/>
  <c r="O80" i="3"/>
  <c r="S80" i="3" s="1"/>
  <c r="O81" i="3"/>
  <c r="O82" i="3"/>
  <c r="S82" i="3" s="1"/>
  <c r="O83" i="3"/>
  <c r="O84" i="3"/>
  <c r="S84" i="3" s="1"/>
  <c r="O85" i="3"/>
  <c r="O86" i="3"/>
  <c r="S86" i="3" s="1"/>
  <c r="O87" i="3"/>
  <c r="O88" i="3"/>
  <c r="O89" i="3"/>
  <c r="O90" i="3"/>
  <c r="O91" i="3"/>
  <c r="O92" i="3"/>
  <c r="S92" i="3" s="1"/>
  <c r="O93" i="3"/>
  <c r="S93" i="3" s="1"/>
  <c r="O94" i="3"/>
  <c r="O95" i="3"/>
  <c r="O96" i="3"/>
  <c r="S96" i="3" s="1"/>
  <c r="O97" i="3"/>
  <c r="S97" i="3" s="1"/>
  <c r="O98" i="3"/>
  <c r="O99" i="3"/>
  <c r="O100" i="3"/>
  <c r="O101" i="3"/>
  <c r="O102" i="3"/>
  <c r="O103" i="3"/>
  <c r="S103" i="3" s="1"/>
  <c r="O104" i="3"/>
  <c r="S104" i="3" s="1"/>
  <c r="O105" i="3"/>
  <c r="O106" i="3"/>
  <c r="O107" i="3"/>
  <c r="S107" i="3" s="1"/>
  <c r="O108" i="3"/>
  <c r="O109" i="3"/>
  <c r="S109" i="3" s="1"/>
  <c r="O110" i="3"/>
  <c r="O111" i="3"/>
  <c r="O112" i="3"/>
  <c r="O113" i="3"/>
  <c r="O114" i="3"/>
  <c r="S114" i="3" s="1"/>
  <c r="O115" i="3"/>
  <c r="O116" i="3"/>
  <c r="S116" i="3" s="1"/>
  <c r="O117" i="3"/>
  <c r="S117" i="3" s="1"/>
  <c r="O118" i="3"/>
  <c r="O119" i="3"/>
  <c r="O120" i="3"/>
  <c r="S120" i="3" s="1"/>
  <c r="O121" i="3"/>
  <c r="S121" i="3" s="1"/>
  <c r="O122" i="3"/>
  <c r="S122" i="3" s="1"/>
  <c r="O123" i="3"/>
  <c r="S123" i="3" s="1"/>
  <c r="O124" i="3"/>
  <c r="O125" i="3"/>
  <c r="O126" i="3"/>
  <c r="O127" i="3"/>
  <c r="S127" i="3" s="1"/>
  <c r="O128" i="3"/>
  <c r="S128" i="3" s="1"/>
  <c r="O129" i="3"/>
  <c r="O130" i="3"/>
  <c r="O131" i="3"/>
  <c r="O132" i="3"/>
  <c r="S132" i="3" s="1"/>
  <c r="O133" i="3"/>
  <c r="S133" i="3" s="1"/>
  <c r="O134" i="3"/>
  <c r="O135" i="3"/>
  <c r="S135" i="3" s="1"/>
  <c r="O136" i="3"/>
  <c r="O137" i="3"/>
  <c r="S137" i="3" s="1"/>
  <c r="O138" i="3"/>
  <c r="S138" i="3" s="1"/>
  <c r="O139" i="3"/>
  <c r="O140" i="3"/>
  <c r="S140" i="3" s="1"/>
  <c r="O141" i="3"/>
  <c r="S141" i="3" s="1"/>
  <c r="O142" i="3"/>
  <c r="S142" i="3" s="1"/>
  <c r="O143" i="3"/>
  <c r="S143" i="3" s="1"/>
  <c r="O144" i="3"/>
  <c r="O145" i="3"/>
  <c r="O146" i="3"/>
  <c r="O147" i="3"/>
  <c r="S147" i="3" s="1"/>
  <c r="O148" i="3"/>
  <c r="S148" i="3" s="1"/>
  <c r="O149" i="3"/>
  <c r="S149" i="3" s="1"/>
  <c r="O150" i="3"/>
  <c r="O151" i="3"/>
  <c r="O152" i="3"/>
  <c r="S152" i="3" s="1"/>
  <c r="O153" i="3"/>
  <c r="O154" i="3"/>
  <c r="S154" i="3" s="1"/>
  <c r="O155" i="3"/>
  <c r="O156" i="3"/>
  <c r="O157" i="3"/>
  <c r="S157" i="3" s="1"/>
  <c r="O158" i="3"/>
  <c r="O159" i="3"/>
  <c r="S159" i="3" s="1"/>
  <c r="O160" i="3"/>
  <c r="S160" i="3" s="1"/>
  <c r="O161" i="3"/>
  <c r="O162" i="3"/>
  <c r="S162" i="3" s="1"/>
  <c r="O163" i="3"/>
  <c r="S163" i="3" s="1"/>
  <c r="O164" i="3"/>
  <c r="S164" i="3" s="1"/>
  <c r="O165" i="3"/>
  <c r="S165" i="3" s="1"/>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A4" i="3"/>
  <c r="A5" i="3"/>
  <c r="A6" i="3"/>
  <c r="A7" i="3"/>
  <c r="A8" i="3"/>
  <c r="A9" i="3"/>
  <c r="A10" i="3"/>
  <c r="A11" i="3"/>
  <c r="A12" i="3"/>
  <c r="A13" i="3"/>
  <c r="A14" i="3"/>
  <c r="A15" i="3"/>
  <c r="A16" i="3"/>
  <c r="A17" i="3"/>
  <c r="A18" i="3"/>
  <c r="A19" i="3"/>
  <c r="A20" i="3"/>
  <c r="A35" i="3"/>
  <c r="A36" i="3"/>
  <c r="A37" i="3"/>
  <c r="A38" i="3"/>
  <c r="A39" i="3"/>
  <c r="A40" i="3"/>
  <c r="A41"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A1161" i="3"/>
  <c r="A1162" i="3"/>
  <c r="A1163" i="3"/>
  <c r="A1164" i="3"/>
  <c r="A1165" i="3"/>
  <c r="A1166" i="3"/>
  <c r="A1167" i="3"/>
  <c r="A1168" i="3"/>
  <c r="A1169" i="3"/>
  <c r="A1170" i="3"/>
  <c r="A1171" i="3"/>
  <c r="A1172" i="3"/>
  <c r="A1173" i="3"/>
  <c r="A1174" i="3"/>
  <c r="A1175" i="3"/>
  <c r="A1176" i="3"/>
  <c r="A1177" i="3"/>
  <c r="A1178" i="3"/>
  <c r="A1179" i="3"/>
  <c r="A1180" i="3"/>
  <c r="A1181" i="3"/>
  <c r="A1182" i="3"/>
  <c r="A1183" i="3"/>
  <c r="A1184" i="3"/>
  <c r="A1185" i="3"/>
  <c r="A1186" i="3"/>
  <c r="A1187" i="3"/>
  <c r="A1188" i="3"/>
  <c r="A1189" i="3"/>
  <c r="A1190" i="3"/>
  <c r="A1191" i="3"/>
  <c r="A1192" i="3"/>
  <c r="A1193" i="3"/>
  <c r="A1194" i="3"/>
  <c r="A1195" i="3"/>
  <c r="A1196" i="3"/>
  <c r="A1197" i="3"/>
  <c r="A1198" i="3"/>
  <c r="A1199" i="3"/>
  <c r="A1200" i="3"/>
  <c r="A1201" i="3"/>
  <c r="A1202" i="3"/>
  <c r="A1203" i="3"/>
  <c r="A1204" i="3"/>
  <c r="A1205" i="3"/>
  <c r="A1206" i="3"/>
  <c r="A1207" i="3"/>
  <c r="A1208" i="3"/>
  <c r="A1209" i="3"/>
  <c r="A1210" i="3"/>
  <c r="A1211" i="3"/>
  <c r="A1212" i="3"/>
  <c r="A1213" i="3"/>
  <c r="A1214" i="3"/>
  <c r="A1215" i="3"/>
  <c r="A1216" i="3"/>
  <c r="A1217" i="3"/>
  <c r="A1218" i="3"/>
  <c r="A1219" i="3"/>
  <c r="A1220" i="3"/>
  <c r="A1221" i="3"/>
  <c r="A1222" i="3"/>
  <c r="A1223" i="3"/>
  <c r="A1224" i="3"/>
  <c r="A1225" i="3"/>
  <c r="A1226" i="3"/>
  <c r="A1227" i="3"/>
  <c r="A1228" i="3"/>
  <c r="A1229" i="3"/>
  <c r="A1230" i="3"/>
  <c r="A1231" i="3"/>
  <c r="A1232" i="3"/>
  <c r="A1233" i="3"/>
  <c r="A1234" i="3"/>
  <c r="A1235" i="3"/>
  <c r="A1236" i="3"/>
  <c r="A1237" i="3"/>
  <c r="A1238" i="3"/>
  <c r="A1239" i="3"/>
  <c r="A1240" i="3"/>
  <c r="A1241" i="3"/>
  <c r="A1242" i="3"/>
  <c r="A1243" i="3"/>
  <c r="A1244" i="3"/>
  <c r="A1245" i="3"/>
  <c r="A1246" i="3"/>
  <c r="A1247" i="3"/>
  <c r="A1248" i="3"/>
  <c r="A1249" i="3"/>
  <c r="A1250" i="3"/>
  <c r="A1251" i="3"/>
  <c r="A1252" i="3"/>
  <c r="A1253" i="3"/>
  <c r="A1254" i="3"/>
  <c r="A1255" i="3"/>
  <c r="A1256" i="3"/>
  <c r="A1257" i="3"/>
  <c r="A1258" i="3"/>
  <c r="A1259" i="3"/>
  <c r="A1260" i="3"/>
  <c r="A1261" i="3"/>
  <c r="A1262" i="3"/>
  <c r="A1263" i="3"/>
  <c r="A1264" i="3"/>
  <c r="A1265" i="3"/>
  <c r="A1266" i="3"/>
  <c r="A1267" i="3"/>
  <c r="A1268" i="3"/>
  <c r="A1269" i="3"/>
  <c r="A1270" i="3"/>
  <c r="A1271" i="3"/>
  <c r="A1272" i="3"/>
  <c r="A1273" i="3"/>
  <c r="A1274" i="3"/>
  <c r="A1275" i="3"/>
  <c r="A1276" i="3"/>
  <c r="A1277" i="3"/>
  <c r="A1278" i="3"/>
  <c r="A1279" i="3"/>
  <c r="A1280" i="3"/>
  <c r="A1281" i="3"/>
  <c r="A1282" i="3"/>
  <c r="A1283" i="3"/>
  <c r="A1284" i="3"/>
  <c r="A1285" i="3"/>
  <c r="A1286" i="3"/>
  <c r="A1287" i="3"/>
  <c r="A1288" i="3"/>
  <c r="A1289" i="3"/>
  <c r="A1290" i="3"/>
  <c r="A1291" i="3"/>
  <c r="A1292" i="3"/>
  <c r="A1293" i="3"/>
  <c r="A1294" i="3"/>
  <c r="A1295" i="3"/>
  <c r="A1296" i="3"/>
  <c r="A1297" i="3"/>
  <c r="A1298" i="3"/>
  <c r="A1299" i="3"/>
  <c r="A1300" i="3"/>
  <c r="A1301" i="3"/>
  <c r="A1302" i="3"/>
  <c r="A1303" i="3"/>
  <c r="A1304" i="3"/>
  <c r="A1305" i="3"/>
  <c r="A1306" i="3"/>
  <c r="A1307" i="3"/>
  <c r="A1308" i="3"/>
  <c r="A1309" i="3"/>
  <c r="A1310" i="3"/>
  <c r="A1311" i="3"/>
  <c r="A1312" i="3"/>
  <c r="A1313" i="3"/>
  <c r="A1314" i="3"/>
  <c r="A1315" i="3"/>
  <c r="A1316" i="3"/>
  <c r="A1317" i="3"/>
  <c r="A1318" i="3"/>
  <c r="A1319" i="3"/>
  <c r="A1320" i="3"/>
  <c r="A1321" i="3"/>
  <c r="A1322" i="3"/>
  <c r="A1323" i="3"/>
  <c r="A1324" i="3"/>
  <c r="A1325" i="3"/>
  <c r="A1326" i="3"/>
  <c r="A1327" i="3"/>
  <c r="A1328" i="3"/>
  <c r="A1329" i="3"/>
  <c r="A1330" i="3"/>
  <c r="A1331" i="3"/>
  <c r="A1332" i="3"/>
  <c r="A1333" i="3"/>
  <c r="A1334" i="3"/>
  <c r="A1335" i="3"/>
  <c r="A1336" i="3"/>
  <c r="A1337" i="3"/>
  <c r="A1338" i="3"/>
  <c r="A1339" i="3"/>
  <c r="A1340" i="3"/>
  <c r="A1341" i="3"/>
  <c r="A1342" i="3"/>
  <c r="A1343" i="3"/>
  <c r="A1344" i="3"/>
  <c r="A1345" i="3"/>
  <c r="A1346" i="3"/>
  <c r="A1347" i="3"/>
  <c r="A1348" i="3"/>
  <c r="A1349" i="3"/>
  <c r="A1350" i="3"/>
  <c r="A1351" i="3"/>
  <c r="A1352" i="3"/>
  <c r="A1353" i="3"/>
  <c r="A1354" i="3"/>
  <c r="A1355" i="3"/>
  <c r="A1356" i="3"/>
  <c r="A1357" i="3"/>
  <c r="A1358" i="3"/>
  <c r="A1359" i="3"/>
  <c r="A1360" i="3"/>
  <c r="A1361" i="3"/>
  <c r="A1362" i="3"/>
  <c r="A1363" i="3"/>
  <c r="A1364" i="3"/>
  <c r="A1365" i="3"/>
  <c r="A1366" i="3"/>
  <c r="A1367" i="3"/>
  <c r="A1368" i="3"/>
  <c r="A1369" i="3"/>
  <c r="A1370" i="3"/>
  <c r="A1371" i="3"/>
  <c r="A1372" i="3"/>
  <c r="A1373" i="3"/>
  <c r="A1374" i="3"/>
  <c r="A1375" i="3"/>
  <c r="A1376" i="3"/>
  <c r="A1377" i="3"/>
  <c r="A1378" i="3"/>
  <c r="A1379" i="3"/>
  <c r="A1380" i="3"/>
  <c r="A1381" i="3"/>
  <c r="A1382" i="3"/>
  <c r="A1383" i="3"/>
  <c r="A1384" i="3"/>
  <c r="A1385" i="3"/>
  <c r="A1386" i="3"/>
  <c r="A1387" i="3"/>
  <c r="A1388" i="3"/>
  <c r="A1389" i="3"/>
  <c r="A1390" i="3"/>
  <c r="A1391" i="3"/>
  <c r="A1392" i="3"/>
  <c r="A1393" i="3"/>
  <c r="A1394" i="3"/>
  <c r="A1395" i="3"/>
  <c r="A1396" i="3"/>
  <c r="A1397" i="3"/>
  <c r="A1398" i="3"/>
  <c r="A1399" i="3"/>
  <c r="A1400" i="3"/>
  <c r="A1401" i="3"/>
  <c r="A1402" i="3"/>
  <c r="A1403" i="3"/>
  <c r="A1404" i="3"/>
  <c r="A1405" i="3"/>
  <c r="A1406" i="3"/>
  <c r="A1407" i="3"/>
  <c r="A1408" i="3"/>
  <c r="A1409" i="3"/>
  <c r="A1410" i="3"/>
  <c r="A1411" i="3"/>
  <c r="A1412" i="3"/>
  <c r="A1413" i="3"/>
  <c r="A1414" i="3"/>
  <c r="A1415" i="3"/>
  <c r="A1416" i="3"/>
  <c r="A1417" i="3"/>
  <c r="A1418" i="3"/>
  <c r="A1419" i="3"/>
  <c r="A1420" i="3"/>
  <c r="A1421" i="3"/>
  <c r="A1422" i="3"/>
  <c r="A1423" i="3"/>
  <c r="A1424" i="3"/>
  <c r="A1425" i="3"/>
  <c r="A1426" i="3"/>
  <c r="A1427" i="3"/>
  <c r="A1428" i="3"/>
  <c r="A1429" i="3"/>
  <c r="A1430" i="3"/>
  <c r="A1431" i="3"/>
  <c r="A1432" i="3"/>
  <c r="A1433" i="3"/>
  <c r="A1434" i="3"/>
  <c r="A1435" i="3"/>
  <c r="A1436" i="3"/>
  <c r="A1437" i="3"/>
  <c r="A1438" i="3"/>
  <c r="A1439" i="3"/>
  <c r="A1440" i="3"/>
  <c r="A1441" i="3"/>
  <c r="A1442" i="3"/>
  <c r="A1443" i="3"/>
  <c r="A1444" i="3"/>
  <c r="A1445" i="3"/>
  <c r="A1446" i="3"/>
  <c r="A1447" i="3"/>
  <c r="A1448" i="3"/>
  <c r="A1449" i="3"/>
  <c r="A1450" i="3"/>
  <c r="A1451" i="3"/>
  <c r="A1452" i="3"/>
  <c r="A1453" i="3"/>
  <c r="A1454" i="3"/>
  <c r="A1455" i="3"/>
  <c r="A1456" i="3"/>
  <c r="A1457" i="3"/>
  <c r="A1458" i="3"/>
  <c r="A1459" i="3"/>
  <c r="A1460" i="3"/>
  <c r="A1461" i="3"/>
  <c r="A1462" i="3"/>
  <c r="A1463" i="3"/>
  <c r="A1464" i="3"/>
  <c r="A1465" i="3"/>
  <c r="A1466" i="3"/>
  <c r="A1467" i="3"/>
  <c r="A1468" i="3"/>
  <c r="A1469" i="3"/>
  <c r="A1470" i="3"/>
  <c r="A1471" i="3"/>
  <c r="A1472" i="3"/>
  <c r="A1473" i="3"/>
  <c r="A1474" i="3"/>
  <c r="A1475" i="3"/>
  <c r="A1476" i="3"/>
  <c r="A1477" i="3"/>
  <c r="A1478" i="3"/>
  <c r="A1479" i="3"/>
  <c r="A1480" i="3"/>
  <c r="A1481" i="3"/>
  <c r="A1482" i="3"/>
  <c r="A1483" i="3"/>
  <c r="A1484" i="3"/>
  <c r="A1485" i="3"/>
  <c r="A1486" i="3"/>
  <c r="A1487" i="3"/>
  <c r="A1488" i="3"/>
  <c r="A1489" i="3"/>
  <c r="A1490" i="3"/>
  <c r="A1491" i="3"/>
  <c r="A1492" i="3"/>
  <c r="A1493" i="3"/>
  <c r="A1494" i="3"/>
  <c r="A1495" i="3"/>
  <c r="A1496" i="3"/>
  <c r="A1497" i="3"/>
  <c r="A1498" i="3"/>
  <c r="A1499" i="3"/>
  <c r="A1500" i="3"/>
  <c r="A1501" i="3"/>
  <c r="A1502" i="3"/>
  <c r="A1503" i="3"/>
  <c r="A1504" i="3"/>
  <c r="A1505" i="3"/>
  <c r="A1506" i="3"/>
  <c r="A1507" i="3"/>
  <c r="A1508" i="3"/>
  <c r="A1509" i="3"/>
  <c r="A1510" i="3"/>
  <c r="A1511" i="3"/>
  <c r="A1512" i="3"/>
  <c r="A1513" i="3"/>
  <c r="A1514" i="3"/>
  <c r="A1515" i="3"/>
  <c r="A1516" i="3"/>
  <c r="A1517" i="3"/>
  <c r="A1518" i="3"/>
  <c r="A1519" i="3"/>
  <c r="A1520" i="3"/>
  <c r="A1521" i="3"/>
  <c r="A1522" i="3"/>
  <c r="A1523" i="3"/>
  <c r="A1524" i="3"/>
  <c r="A1525" i="3"/>
  <c r="A1526" i="3"/>
  <c r="A1527" i="3"/>
  <c r="A1528" i="3"/>
  <c r="A1529" i="3"/>
  <c r="A1530" i="3"/>
  <c r="A1531" i="3"/>
  <c r="A1532" i="3"/>
  <c r="A1533" i="3"/>
  <c r="A1534" i="3"/>
  <c r="A1535" i="3"/>
  <c r="A1536" i="3"/>
  <c r="A1537" i="3"/>
  <c r="A1538" i="3"/>
  <c r="A1539" i="3"/>
  <c r="A1540" i="3"/>
  <c r="A1541" i="3"/>
  <c r="A1542" i="3"/>
  <c r="A1543" i="3"/>
  <c r="A1544" i="3"/>
  <c r="A1545" i="3"/>
  <c r="A1546" i="3"/>
  <c r="A1547" i="3"/>
  <c r="A1548" i="3"/>
  <c r="A1549" i="3"/>
  <c r="A1550" i="3"/>
  <c r="A1551" i="3"/>
  <c r="A1552" i="3"/>
  <c r="A1553" i="3"/>
  <c r="A1554" i="3"/>
  <c r="A1555" i="3"/>
  <c r="A1556" i="3"/>
  <c r="A1557" i="3"/>
  <c r="A1558" i="3"/>
  <c r="A1559" i="3"/>
  <c r="A1560" i="3"/>
  <c r="A1561" i="3"/>
  <c r="A1562" i="3"/>
  <c r="A1563" i="3"/>
  <c r="A1564" i="3"/>
  <c r="A1565" i="3"/>
  <c r="A1566" i="3"/>
  <c r="A1567" i="3"/>
  <c r="A1568" i="3"/>
  <c r="A1569" i="3"/>
  <c r="A1570" i="3"/>
  <c r="A1571" i="3"/>
  <c r="A1572" i="3"/>
  <c r="A1573" i="3"/>
  <c r="A1574" i="3"/>
  <c r="A1575" i="3"/>
  <c r="A1576" i="3"/>
  <c r="A1577" i="3"/>
  <c r="A1578" i="3"/>
  <c r="A1579" i="3"/>
  <c r="A1580" i="3"/>
  <c r="A1581" i="3"/>
  <c r="A1582" i="3"/>
  <c r="A1583" i="3"/>
  <c r="A1584" i="3"/>
  <c r="A1585" i="3"/>
  <c r="A1586" i="3"/>
  <c r="A1587" i="3"/>
  <c r="A1588" i="3"/>
  <c r="A1589" i="3"/>
  <c r="A1590" i="3"/>
  <c r="A1591" i="3"/>
  <c r="A1592" i="3"/>
  <c r="A1593" i="3"/>
  <c r="A1594" i="3"/>
  <c r="A1595" i="3"/>
  <c r="A1596" i="3"/>
  <c r="A1597" i="3"/>
  <c r="A1598" i="3"/>
  <c r="A1599" i="3"/>
  <c r="A1600" i="3"/>
  <c r="A1601" i="3"/>
  <c r="A1602" i="3"/>
  <c r="A1603" i="3"/>
  <c r="A1604" i="3"/>
  <c r="A1605" i="3"/>
  <c r="A1606" i="3"/>
  <c r="A1607" i="3"/>
  <c r="A1608" i="3"/>
  <c r="A1609" i="3"/>
  <c r="A1610" i="3"/>
  <c r="A1611" i="3"/>
  <c r="A1612" i="3"/>
  <c r="A1613" i="3"/>
  <c r="A1614" i="3"/>
  <c r="A1615" i="3"/>
  <c r="A1616" i="3"/>
  <c r="A1617" i="3"/>
  <c r="A1618" i="3"/>
  <c r="A1619" i="3"/>
  <c r="A1620" i="3"/>
  <c r="A1621" i="3"/>
  <c r="A1622" i="3"/>
  <c r="A1623" i="3"/>
  <c r="A1624" i="3"/>
  <c r="A1625" i="3"/>
  <c r="A1626" i="3"/>
  <c r="A1627" i="3"/>
  <c r="A1628" i="3"/>
  <c r="A1629" i="3"/>
  <c r="A1630" i="3"/>
  <c r="A1631" i="3"/>
  <c r="A1632" i="3"/>
  <c r="A1633" i="3"/>
  <c r="A1634" i="3"/>
  <c r="A1635" i="3"/>
  <c r="A1636" i="3"/>
  <c r="A1637" i="3"/>
  <c r="A1638" i="3"/>
  <c r="A1639" i="3"/>
  <c r="A1640" i="3"/>
  <c r="A1641" i="3"/>
  <c r="A1642" i="3"/>
  <c r="A1643" i="3"/>
  <c r="A1644" i="3"/>
  <c r="A1645" i="3"/>
  <c r="A1646" i="3"/>
  <c r="A1647" i="3"/>
  <c r="A1648" i="3"/>
  <c r="A1649" i="3"/>
  <c r="A1650" i="3"/>
  <c r="A1651" i="3"/>
  <c r="A1652" i="3"/>
  <c r="A1653" i="3"/>
  <c r="A1654" i="3"/>
  <c r="A1655" i="3"/>
  <c r="A1656" i="3"/>
  <c r="A1657" i="3"/>
  <c r="A1658" i="3"/>
  <c r="A1659" i="3"/>
  <c r="A1660" i="3"/>
  <c r="A1661" i="3"/>
  <c r="A1662" i="3"/>
  <c r="A1663" i="3"/>
  <c r="A1664" i="3"/>
  <c r="A1665" i="3"/>
  <c r="A1666" i="3"/>
  <c r="A1667" i="3"/>
  <c r="A1668" i="3"/>
  <c r="A1669" i="3"/>
  <c r="A1670" i="3"/>
  <c r="A1671" i="3"/>
  <c r="A1672" i="3"/>
  <c r="A1673" i="3"/>
  <c r="A1674" i="3"/>
  <c r="A1675" i="3"/>
  <c r="A1676" i="3"/>
  <c r="A1677" i="3"/>
  <c r="A1678" i="3"/>
  <c r="A1679" i="3"/>
  <c r="A1680" i="3"/>
  <c r="A1681" i="3"/>
  <c r="A1682" i="3"/>
  <c r="A1683" i="3"/>
  <c r="A1684" i="3"/>
  <c r="A1685" i="3"/>
  <c r="A1686" i="3"/>
  <c r="A1687" i="3"/>
  <c r="A1688" i="3"/>
  <c r="A1689" i="3"/>
  <c r="A1690" i="3"/>
  <c r="A1691" i="3"/>
  <c r="A1692" i="3"/>
  <c r="A1693" i="3"/>
  <c r="A1694" i="3"/>
  <c r="A1695" i="3"/>
  <c r="A1696" i="3"/>
  <c r="A1697" i="3"/>
  <c r="A1698" i="3"/>
  <c r="A1699" i="3"/>
  <c r="A1700" i="3"/>
  <c r="A1701" i="3"/>
  <c r="A1702" i="3"/>
  <c r="A1703" i="3"/>
  <c r="A1704" i="3"/>
  <c r="A1705" i="3"/>
  <c r="A1706" i="3"/>
  <c r="A1707" i="3"/>
  <c r="A1708" i="3"/>
  <c r="A1709" i="3"/>
  <c r="A1710" i="3"/>
  <c r="A1711" i="3"/>
  <c r="A1712" i="3"/>
  <c r="A1713" i="3"/>
  <c r="A1714" i="3"/>
  <c r="A1715" i="3"/>
  <c r="A1716" i="3"/>
  <c r="A1717" i="3"/>
  <c r="A1718" i="3"/>
  <c r="A1719" i="3"/>
  <c r="A1720" i="3"/>
  <c r="A1721" i="3"/>
  <c r="A1722" i="3"/>
  <c r="A1723" i="3"/>
  <c r="A1724" i="3"/>
  <c r="A1725" i="3"/>
  <c r="A1726" i="3"/>
  <c r="A1727" i="3"/>
  <c r="A1728" i="3"/>
  <c r="A1729" i="3"/>
  <c r="A1730" i="3"/>
  <c r="A1731" i="3"/>
  <c r="A1732" i="3"/>
  <c r="A1733" i="3"/>
  <c r="A1734" i="3"/>
  <c r="A1735" i="3"/>
  <c r="A1736" i="3"/>
  <c r="A1737" i="3"/>
  <c r="A1738" i="3"/>
  <c r="A1739" i="3"/>
  <c r="A1740" i="3"/>
  <c r="A1741" i="3"/>
  <c r="A1742" i="3"/>
  <c r="A1743" i="3"/>
  <c r="A1744" i="3"/>
  <c r="A1745" i="3"/>
  <c r="A1746" i="3"/>
  <c r="A1747" i="3"/>
  <c r="A1748" i="3"/>
  <c r="A1749" i="3"/>
  <c r="A1750" i="3"/>
  <c r="A1751" i="3"/>
  <c r="A1752" i="3"/>
  <c r="A1753" i="3"/>
  <c r="A1754" i="3"/>
  <c r="A1755" i="3"/>
  <c r="A1756" i="3"/>
  <c r="A1757" i="3"/>
  <c r="A1758" i="3"/>
  <c r="A1759" i="3"/>
  <c r="A1760" i="3"/>
  <c r="A1761" i="3"/>
  <c r="A1762" i="3"/>
  <c r="A1763" i="3"/>
  <c r="A1764" i="3"/>
  <c r="A1765" i="3"/>
  <c r="A1766" i="3"/>
  <c r="A1767" i="3"/>
  <c r="A1768" i="3"/>
  <c r="A1769" i="3"/>
  <c r="A1770" i="3"/>
  <c r="A1771" i="3"/>
  <c r="A1772" i="3"/>
  <c r="A1773" i="3"/>
  <c r="A1774" i="3"/>
  <c r="A1775" i="3"/>
  <c r="A1776" i="3"/>
  <c r="A1777" i="3"/>
  <c r="A1778" i="3"/>
  <c r="A1779" i="3"/>
  <c r="A1780" i="3"/>
  <c r="A1781" i="3"/>
  <c r="A1782" i="3"/>
  <c r="A1783" i="3"/>
  <c r="A1784" i="3"/>
  <c r="A1785" i="3"/>
  <c r="A1786" i="3"/>
  <c r="A1787" i="3"/>
  <c r="A1788" i="3"/>
  <c r="A1789" i="3"/>
  <c r="A1790" i="3"/>
  <c r="A1791" i="3"/>
  <c r="A1792" i="3"/>
  <c r="A1793" i="3"/>
  <c r="A1794" i="3"/>
  <c r="A1795" i="3"/>
  <c r="A1796" i="3"/>
  <c r="A1797" i="3"/>
  <c r="A1798" i="3"/>
  <c r="A1799" i="3"/>
  <c r="A1800" i="3"/>
  <c r="A1801" i="3"/>
  <c r="A1802" i="3"/>
  <c r="A1803" i="3"/>
  <c r="A1804" i="3"/>
  <c r="A1805" i="3"/>
  <c r="A1806" i="3"/>
  <c r="A1807" i="3"/>
  <c r="A1808" i="3"/>
  <c r="A1809" i="3"/>
  <c r="A1810" i="3"/>
  <c r="A1811" i="3"/>
  <c r="A1812" i="3"/>
  <c r="A1813" i="3"/>
  <c r="A1814" i="3"/>
  <c r="A1815" i="3"/>
  <c r="A1816" i="3"/>
  <c r="A1817" i="3"/>
  <c r="A1818" i="3"/>
  <c r="A1819" i="3"/>
  <c r="A1820" i="3"/>
  <c r="A1821" i="3"/>
  <c r="A1822" i="3"/>
  <c r="A1823" i="3"/>
  <c r="A1824" i="3"/>
  <c r="A1825" i="3"/>
  <c r="A1826" i="3"/>
  <c r="A1827" i="3"/>
  <c r="A1828" i="3"/>
  <c r="A1829" i="3"/>
  <c r="A1830" i="3"/>
  <c r="A1831" i="3"/>
  <c r="A1832" i="3"/>
  <c r="A1833" i="3"/>
  <c r="A1834" i="3"/>
  <c r="A1835" i="3"/>
  <c r="A1836" i="3"/>
  <c r="A1837" i="3"/>
  <c r="A1838" i="3"/>
  <c r="A1839" i="3"/>
  <c r="A1840" i="3"/>
  <c r="A1841" i="3"/>
  <c r="A1842" i="3"/>
  <c r="A1843" i="3"/>
  <c r="A1844" i="3"/>
  <c r="A1845" i="3"/>
  <c r="A1846" i="3"/>
  <c r="A1847" i="3"/>
  <c r="A1848" i="3"/>
  <c r="A1849" i="3"/>
  <c r="A1850" i="3"/>
  <c r="A1851" i="3"/>
  <c r="A1852" i="3"/>
  <c r="A1853" i="3"/>
  <c r="A1854" i="3"/>
  <c r="A1855" i="3"/>
  <c r="A1856" i="3"/>
  <c r="A1857" i="3"/>
  <c r="A1858" i="3"/>
  <c r="A1859" i="3"/>
  <c r="A1860" i="3"/>
  <c r="A1861" i="3"/>
  <c r="A1862" i="3"/>
  <c r="A1863" i="3"/>
  <c r="A1864" i="3"/>
  <c r="A1865" i="3"/>
  <c r="A1866" i="3"/>
  <c r="A1867" i="3"/>
  <c r="A1868" i="3"/>
  <c r="A1869" i="3"/>
  <c r="A1870" i="3"/>
  <c r="A1871" i="3"/>
  <c r="A1872" i="3"/>
  <c r="A1873" i="3"/>
  <c r="A1874" i="3"/>
  <c r="A1875" i="3"/>
  <c r="A1876" i="3"/>
  <c r="A1877" i="3"/>
  <c r="A1878" i="3"/>
  <c r="A1879" i="3"/>
  <c r="A1880" i="3"/>
  <c r="A1881" i="3"/>
  <c r="A1882" i="3"/>
  <c r="A1883" i="3"/>
  <c r="A1884" i="3"/>
  <c r="A1885" i="3"/>
  <c r="A1886" i="3"/>
  <c r="A1887" i="3"/>
  <c r="A1888" i="3"/>
  <c r="A1889" i="3"/>
  <c r="A1890" i="3"/>
  <c r="A1891" i="3"/>
  <c r="A1892" i="3"/>
  <c r="A1893" i="3"/>
  <c r="A1894" i="3"/>
  <c r="A1895" i="3"/>
  <c r="A1896" i="3"/>
  <c r="A1897" i="3"/>
  <c r="A1898" i="3"/>
  <c r="A1899" i="3"/>
  <c r="A1900" i="3"/>
  <c r="A1901" i="3"/>
  <c r="A1902" i="3"/>
  <c r="A1903" i="3"/>
  <c r="A1904" i="3"/>
  <c r="A1905" i="3"/>
  <c r="A1906" i="3"/>
  <c r="A1907" i="3"/>
  <c r="A1908" i="3"/>
  <c r="A1909" i="3"/>
  <c r="A1910" i="3"/>
  <c r="A1911" i="3"/>
  <c r="A1912" i="3"/>
  <c r="A1913" i="3"/>
  <c r="A1914" i="3"/>
  <c r="A1915" i="3"/>
  <c r="A1916" i="3"/>
  <c r="A1917" i="3"/>
  <c r="A1918" i="3"/>
  <c r="A1919" i="3"/>
  <c r="A1920" i="3"/>
  <c r="A1921" i="3"/>
  <c r="A1922" i="3"/>
  <c r="A1923" i="3"/>
  <c r="A1924" i="3"/>
  <c r="A1925" i="3"/>
  <c r="A1926" i="3"/>
  <c r="A1927" i="3"/>
  <c r="A1928" i="3"/>
  <c r="A1929" i="3"/>
  <c r="A1930" i="3"/>
  <c r="A1931" i="3"/>
  <c r="A1932" i="3"/>
  <c r="A1933" i="3"/>
  <c r="A1934" i="3"/>
  <c r="A1935" i="3"/>
  <c r="A1936" i="3"/>
  <c r="A1937" i="3"/>
  <c r="A1938" i="3"/>
  <c r="A1939" i="3"/>
  <c r="A1940" i="3"/>
  <c r="A1941" i="3"/>
  <c r="A1942" i="3"/>
  <c r="A1943" i="3"/>
  <c r="A1944" i="3"/>
  <c r="A1945" i="3"/>
  <c r="A1946" i="3"/>
  <c r="A1947" i="3"/>
  <c r="A1948" i="3"/>
  <c r="A1949" i="3"/>
  <c r="A1950" i="3"/>
  <c r="A1951" i="3"/>
  <c r="A1952" i="3"/>
  <c r="A1953" i="3"/>
  <c r="A1954" i="3"/>
  <c r="A1955" i="3"/>
  <c r="A1956" i="3"/>
  <c r="A1957" i="3"/>
  <c r="A1958" i="3"/>
  <c r="A1959" i="3"/>
  <c r="A1960" i="3"/>
  <c r="A1961" i="3"/>
  <c r="A1962" i="3"/>
  <c r="A1963" i="3"/>
  <c r="A1964" i="3"/>
  <c r="A1965" i="3"/>
  <c r="A1966" i="3"/>
  <c r="A1967" i="3"/>
  <c r="A1968" i="3"/>
  <c r="A1969" i="3"/>
  <c r="A1970" i="3"/>
  <c r="A1971" i="3"/>
  <c r="A1972" i="3"/>
  <c r="A1973" i="3"/>
  <c r="A1974" i="3"/>
  <c r="A1975" i="3"/>
  <c r="A1976" i="3"/>
  <c r="A1977" i="3"/>
  <c r="A1978" i="3"/>
  <c r="A1979" i="3"/>
  <c r="A1980" i="3"/>
  <c r="A1981" i="3"/>
  <c r="A1982" i="3"/>
  <c r="A1983" i="3"/>
  <c r="A1984" i="3"/>
  <c r="A1985" i="3"/>
  <c r="A1986" i="3"/>
  <c r="A1987" i="3"/>
  <c r="A1988" i="3"/>
  <c r="A1989" i="3"/>
  <c r="A1990" i="3"/>
  <c r="A1991" i="3"/>
  <c r="A1992" i="3"/>
  <c r="A1993" i="3"/>
  <c r="A1994" i="3"/>
  <c r="A1995" i="3"/>
  <c r="A1996" i="3"/>
  <c r="A1997" i="3"/>
  <c r="A1998" i="3"/>
  <c r="A1999" i="3"/>
  <c r="A2000" i="3"/>
  <c r="A2001" i="3"/>
  <c r="A2002" i="3"/>
  <c r="A2003" i="3"/>
  <c r="A2004" i="3"/>
  <c r="A2005" i="3"/>
  <c r="A2006" i="3"/>
  <c r="A2007" i="3"/>
  <c r="A2008" i="3"/>
  <c r="A2009" i="3"/>
  <c r="A2010" i="3"/>
  <c r="A2011" i="3"/>
  <c r="A2012" i="3"/>
  <c r="A2013" i="3"/>
  <c r="A2014" i="3"/>
  <c r="A2015" i="3"/>
  <c r="A2016" i="3"/>
  <c r="A2017" i="3"/>
  <c r="A2018" i="3"/>
  <c r="A2019" i="3"/>
  <c r="A2020" i="3"/>
  <c r="A2021" i="3"/>
  <c r="A2022" i="3"/>
  <c r="A2023" i="3"/>
  <c r="A2024" i="3"/>
  <c r="A2025" i="3"/>
  <c r="A2026" i="3"/>
  <c r="A2027" i="3"/>
  <c r="A2028" i="3"/>
  <c r="A2029" i="3"/>
  <c r="A2030" i="3"/>
  <c r="A2031" i="3"/>
  <c r="A2032" i="3"/>
  <c r="A2033" i="3"/>
  <c r="A2034" i="3"/>
  <c r="A2035" i="3"/>
  <c r="A2036" i="3"/>
  <c r="A2037" i="3"/>
  <c r="A2038" i="3"/>
  <c r="A2039" i="3"/>
  <c r="A2040" i="3"/>
  <c r="A2041" i="3"/>
  <c r="A2042" i="3"/>
  <c r="A2043" i="3"/>
  <c r="A2044" i="3"/>
  <c r="A2045" i="3"/>
  <c r="A2046" i="3"/>
  <c r="A2047" i="3"/>
  <c r="A2048" i="3"/>
  <c r="A2049" i="3"/>
  <c r="A2050" i="3"/>
  <c r="A2051" i="3"/>
  <c r="A2052" i="3"/>
  <c r="A2053" i="3"/>
  <c r="A2054" i="3"/>
  <c r="A2055" i="3"/>
  <c r="A2056" i="3"/>
  <c r="A2057" i="3"/>
  <c r="A2058" i="3"/>
  <c r="A2059" i="3"/>
  <c r="A2060" i="3"/>
  <c r="A2061" i="3"/>
  <c r="A2062" i="3"/>
  <c r="A2063" i="3"/>
  <c r="A2064" i="3"/>
  <c r="A2065" i="3"/>
  <c r="A2066" i="3"/>
  <c r="A2067" i="3"/>
  <c r="A2068" i="3"/>
  <c r="A2069" i="3"/>
  <c r="A2070" i="3"/>
  <c r="A2071" i="3"/>
  <c r="A2072" i="3"/>
  <c r="A2073" i="3"/>
  <c r="A2074" i="3"/>
  <c r="A2075" i="3"/>
  <c r="A2076" i="3"/>
  <c r="A2077" i="3"/>
  <c r="A2078" i="3"/>
  <c r="A2079" i="3"/>
  <c r="A2080" i="3"/>
  <c r="A2081" i="3"/>
  <c r="A2082" i="3"/>
  <c r="A2083" i="3"/>
  <c r="A2084" i="3"/>
  <c r="A2085" i="3"/>
  <c r="A2086" i="3"/>
  <c r="A2087" i="3"/>
  <c r="A2088" i="3"/>
  <c r="A2089" i="3"/>
  <c r="A2090" i="3"/>
  <c r="A2091" i="3"/>
  <c r="A2092" i="3"/>
  <c r="A2093" i="3"/>
  <c r="A2094" i="3"/>
  <c r="A2095" i="3"/>
  <c r="A2096" i="3"/>
  <c r="A2097" i="3"/>
  <c r="A2098" i="3"/>
  <c r="A2099" i="3"/>
  <c r="A2100" i="3"/>
  <c r="A2101" i="3"/>
  <c r="A2102" i="3"/>
  <c r="A2103" i="3"/>
  <c r="A2104" i="3"/>
  <c r="A2105" i="3"/>
  <c r="A2106" i="3"/>
  <c r="A2107" i="3"/>
  <c r="A2108" i="3"/>
  <c r="A2109" i="3"/>
  <c r="A2110" i="3"/>
  <c r="A2111" i="3"/>
  <c r="A2112" i="3"/>
  <c r="A2113" i="3"/>
  <c r="A2114" i="3"/>
  <c r="A2115" i="3"/>
  <c r="A2116" i="3"/>
  <c r="A2117" i="3"/>
  <c r="A2118" i="3"/>
  <c r="A2119" i="3"/>
  <c r="A2120" i="3"/>
  <c r="A2121" i="3"/>
  <c r="A2122" i="3"/>
  <c r="A2123" i="3"/>
  <c r="A2124" i="3"/>
  <c r="A2125" i="3"/>
  <c r="A2126" i="3"/>
  <c r="A2127" i="3"/>
  <c r="A2128" i="3"/>
  <c r="A2129" i="3"/>
  <c r="A2130" i="3"/>
  <c r="A2131" i="3"/>
  <c r="A2132" i="3"/>
  <c r="A2133" i="3"/>
  <c r="A2134" i="3"/>
  <c r="A2135" i="3"/>
  <c r="A2136" i="3"/>
  <c r="A2137" i="3"/>
  <c r="A2138" i="3"/>
  <c r="A2139" i="3"/>
  <c r="A2140" i="3"/>
  <c r="A2141" i="3"/>
  <c r="A2142" i="3"/>
  <c r="A2143" i="3"/>
  <c r="A2144" i="3"/>
  <c r="A2145" i="3"/>
  <c r="A2146" i="3"/>
  <c r="A2147" i="3"/>
  <c r="A2148" i="3"/>
  <c r="A2149" i="3"/>
  <c r="A2150" i="3"/>
  <c r="A2151" i="3"/>
  <c r="A2152" i="3"/>
  <c r="A2153" i="3"/>
  <c r="A2154" i="3"/>
  <c r="A2155" i="3"/>
  <c r="A2156" i="3"/>
  <c r="A2157" i="3"/>
  <c r="A2158" i="3"/>
  <c r="A2159" i="3"/>
  <c r="A2160" i="3"/>
  <c r="A2161" i="3"/>
  <c r="A2162" i="3"/>
  <c r="A2163" i="3"/>
  <c r="A2164" i="3"/>
  <c r="A2165" i="3"/>
  <c r="A2166" i="3"/>
  <c r="A2167" i="3"/>
  <c r="A2168" i="3"/>
  <c r="A2169" i="3"/>
  <c r="A2170" i="3"/>
  <c r="A2171" i="3"/>
  <c r="A2172" i="3"/>
  <c r="A2173" i="3"/>
  <c r="A2174" i="3"/>
  <c r="A2175" i="3"/>
  <c r="A2176" i="3"/>
  <c r="A2177" i="3"/>
  <c r="A2178" i="3"/>
  <c r="A2179" i="3"/>
  <c r="A2180" i="3"/>
  <c r="A2181" i="3"/>
  <c r="A2182" i="3"/>
  <c r="A2183" i="3"/>
  <c r="A2184" i="3"/>
  <c r="A2185" i="3"/>
  <c r="A2186" i="3"/>
  <c r="A2187" i="3"/>
  <c r="A2188" i="3"/>
  <c r="A2189" i="3"/>
  <c r="A2190" i="3"/>
  <c r="A2191" i="3"/>
  <c r="A2192" i="3"/>
  <c r="A2193" i="3"/>
  <c r="A2194" i="3"/>
  <c r="A2195" i="3"/>
  <c r="A2196" i="3"/>
  <c r="A2197" i="3"/>
  <c r="A2198" i="3"/>
  <c r="A2199" i="3"/>
  <c r="A2200" i="3"/>
  <c r="A2201" i="3"/>
  <c r="A2202" i="3"/>
  <c r="A2203" i="3"/>
  <c r="A2204" i="3"/>
  <c r="A2205" i="3"/>
  <c r="A2206" i="3"/>
  <c r="A2207" i="3"/>
  <c r="A2208" i="3"/>
  <c r="A2209" i="3"/>
  <c r="A2210" i="3"/>
  <c r="A2211" i="3"/>
  <c r="A2212" i="3"/>
  <c r="A2213" i="3"/>
  <c r="A2214" i="3"/>
  <c r="A2215" i="3"/>
  <c r="A2216" i="3"/>
  <c r="A2217" i="3"/>
  <c r="A2218" i="3"/>
  <c r="A2219" i="3"/>
  <c r="A2220" i="3"/>
  <c r="A2221" i="3"/>
  <c r="A2222" i="3"/>
  <c r="A2223" i="3"/>
  <c r="A2224" i="3"/>
  <c r="A2225" i="3"/>
  <c r="A2226" i="3"/>
  <c r="A2227" i="3"/>
  <c r="A2228" i="3"/>
  <c r="A2229" i="3"/>
  <c r="A2230" i="3"/>
  <c r="A2231" i="3"/>
  <c r="A2232" i="3"/>
  <c r="A2233" i="3"/>
  <c r="A2234" i="3"/>
  <c r="A2235" i="3"/>
  <c r="A2236" i="3"/>
  <c r="A2237" i="3"/>
  <c r="A2238" i="3"/>
  <c r="A2239" i="3"/>
  <c r="A2240" i="3"/>
  <c r="A2241" i="3"/>
  <c r="A2242" i="3"/>
  <c r="A2243" i="3"/>
  <c r="A2244" i="3"/>
  <c r="A2245" i="3"/>
  <c r="A2246" i="3"/>
  <c r="A2247" i="3"/>
  <c r="A2248" i="3"/>
  <c r="A2249" i="3"/>
  <c r="A2250" i="3"/>
  <c r="A2251" i="3"/>
  <c r="A2252" i="3"/>
  <c r="A2253" i="3"/>
  <c r="A2254" i="3"/>
  <c r="A2255" i="3"/>
  <c r="A2256" i="3"/>
  <c r="A2257" i="3"/>
  <c r="A2258" i="3"/>
  <c r="A2259" i="3"/>
  <c r="A2260" i="3"/>
  <c r="A2261" i="3"/>
  <c r="A2262" i="3"/>
  <c r="A2263" i="3"/>
  <c r="A2264" i="3"/>
  <c r="A2265" i="3"/>
  <c r="A2266" i="3"/>
  <c r="A2267" i="3"/>
  <c r="A2268" i="3"/>
  <c r="A2269" i="3"/>
  <c r="A2270" i="3"/>
  <c r="A2271" i="3"/>
  <c r="A2272" i="3"/>
  <c r="A2273" i="3"/>
  <c r="A2274" i="3"/>
  <c r="A2275" i="3"/>
  <c r="A2276" i="3"/>
  <c r="A2277" i="3"/>
  <c r="A2278" i="3"/>
  <c r="A2279" i="3"/>
  <c r="A2280" i="3"/>
  <c r="A2281" i="3"/>
  <c r="A2282" i="3"/>
  <c r="A2283" i="3"/>
  <c r="A2284" i="3"/>
  <c r="A2285" i="3"/>
  <c r="A2286" i="3"/>
  <c r="A2287" i="3"/>
  <c r="A2288" i="3"/>
  <c r="A2289" i="3"/>
  <c r="A2290" i="3"/>
  <c r="A2291" i="3"/>
  <c r="A2292" i="3"/>
  <c r="A2293" i="3"/>
  <c r="A2294" i="3"/>
  <c r="A2295" i="3"/>
  <c r="A2296" i="3"/>
  <c r="A2297" i="3"/>
  <c r="A2298" i="3"/>
  <c r="A2299" i="3"/>
  <c r="A2300" i="3"/>
  <c r="A2301" i="3"/>
  <c r="A2302" i="3"/>
  <c r="A2303" i="3"/>
  <c r="A2304" i="3"/>
  <c r="A2305" i="3"/>
  <c r="A2306" i="3"/>
  <c r="A2307" i="3"/>
  <c r="A2308" i="3"/>
  <c r="A2309" i="3"/>
  <c r="A2310" i="3"/>
  <c r="A2311" i="3"/>
  <c r="A2312" i="3"/>
  <c r="A2313" i="3"/>
  <c r="A2314" i="3"/>
  <c r="A2315" i="3"/>
  <c r="A2316" i="3"/>
  <c r="A2317" i="3"/>
  <c r="A2318" i="3"/>
  <c r="A2319" i="3"/>
  <c r="A2320" i="3"/>
  <c r="A2321" i="3"/>
  <c r="A2322" i="3"/>
  <c r="A2323" i="3"/>
  <c r="A2324" i="3"/>
  <c r="A2325" i="3"/>
  <c r="A2326" i="3"/>
  <c r="A2327" i="3"/>
  <c r="A2328" i="3"/>
  <c r="A2329" i="3"/>
  <c r="A2330" i="3"/>
  <c r="A2331" i="3"/>
  <c r="A2332" i="3"/>
  <c r="A2333" i="3"/>
  <c r="A2334" i="3"/>
  <c r="A2335" i="3"/>
  <c r="A2336" i="3"/>
  <c r="A2337" i="3"/>
  <c r="A2338" i="3"/>
  <c r="A2339" i="3"/>
  <c r="A2340" i="3"/>
  <c r="A2341" i="3"/>
  <c r="A2342" i="3"/>
  <c r="A2343" i="3"/>
  <c r="A2344" i="3"/>
  <c r="A2345" i="3"/>
  <c r="A2346" i="3"/>
  <c r="A2347" i="3"/>
  <c r="A2348" i="3"/>
  <c r="A2349" i="3"/>
  <c r="A2350" i="3"/>
  <c r="A2351" i="3"/>
  <c r="A2352" i="3"/>
  <c r="A2353" i="3"/>
  <c r="A2354" i="3"/>
  <c r="A2355" i="3"/>
  <c r="A2356" i="3"/>
  <c r="A2357" i="3"/>
  <c r="A2358" i="3"/>
  <c r="A2359" i="3"/>
  <c r="A2360" i="3"/>
  <c r="A2361" i="3"/>
  <c r="A2362" i="3"/>
  <c r="A2363" i="3"/>
  <c r="A2364" i="3"/>
  <c r="A2365" i="3"/>
  <c r="A2366" i="3"/>
  <c r="A2367" i="3"/>
  <c r="A2368" i="3"/>
  <c r="A2369" i="3"/>
  <c r="A2370" i="3"/>
  <c r="A2371" i="3"/>
  <c r="A2372" i="3"/>
  <c r="A2373" i="3"/>
  <c r="A2374" i="3"/>
  <c r="A2375" i="3"/>
  <c r="A2376" i="3"/>
  <c r="A2377" i="3"/>
  <c r="A2378" i="3"/>
  <c r="A2379" i="3"/>
  <c r="A2380" i="3"/>
  <c r="A2381" i="3"/>
  <c r="A2382" i="3"/>
  <c r="A2383" i="3"/>
  <c r="A2384" i="3"/>
  <c r="A2385" i="3"/>
  <c r="A2386" i="3"/>
  <c r="A2387" i="3"/>
  <c r="A2388" i="3"/>
  <c r="A2389" i="3"/>
  <c r="A2390" i="3"/>
  <c r="A2391" i="3"/>
  <c r="A2392" i="3"/>
  <c r="A2393" i="3"/>
  <c r="A2394" i="3"/>
  <c r="A2395" i="3"/>
  <c r="A2396" i="3"/>
  <c r="A2397" i="3"/>
  <c r="A2398" i="3"/>
  <c r="A2399" i="3"/>
  <c r="A2400" i="3"/>
  <c r="A2401" i="3"/>
  <c r="A2402" i="3"/>
  <c r="A2403" i="3"/>
  <c r="A2404" i="3"/>
  <c r="A2405" i="3"/>
  <c r="A2406" i="3"/>
  <c r="A2407" i="3"/>
  <c r="A2408" i="3"/>
  <c r="A2409" i="3"/>
  <c r="A2410" i="3"/>
  <c r="A2411" i="3"/>
  <c r="A2412" i="3"/>
  <c r="A2413" i="3"/>
  <c r="A2414" i="3"/>
  <c r="A2415" i="3"/>
  <c r="A2416" i="3"/>
  <c r="A2417" i="3"/>
  <c r="A2418" i="3"/>
  <c r="A2419" i="3"/>
  <c r="A2420" i="3"/>
  <c r="A2421" i="3"/>
  <c r="A2422" i="3"/>
  <c r="A2423" i="3"/>
  <c r="A2424" i="3"/>
  <c r="A2425" i="3"/>
  <c r="A2426" i="3"/>
  <c r="A2427" i="3"/>
  <c r="A2428" i="3"/>
  <c r="A2429" i="3"/>
  <c r="A2430" i="3"/>
  <c r="A2431" i="3"/>
  <c r="A2432" i="3"/>
  <c r="A2433" i="3"/>
  <c r="A2434" i="3"/>
  <c r="A2435" i="3"/>
  <c r="A2436" i="3"/>
  <c r="A2437" i="3"/>
  <c r="A2438" i="3"/>
  <c r="A2439" i="3"/>
  <c r="A2440" i="3"/>
  <c r="A2441" i="3"/>
  <c r="A2442" i="3"/>
  <c r="A2443" i="3"/>
  <c r="A2444" i="3"/>
  <c r="A2445" i="3"/>
  <c r="A2446" i="3"/>
  <c r="A2447" i="3"/>
  <c r="A2448" i="3"/>
  <c r="A2449" i="3"/>
  <c r="A2450" i="3"/>
  <c r="A2451" i="3"/>
  <c r="A2452" i="3"/>
  <c r="A2453" i="3"/>
  <c r="A2454" i="3"/>
  <c r="A2455" i="3"/>
  <c r="A2456" i="3"/>
  <c r="A2457" i="3"/>
  <c r="A2458" i="3"/>
  <c r="A2459" i="3"/>
  <c r="A2460" i="3"/>
  <c r="A2461" i="3"/>
  <c r="A2462" i="3"/>
  <c r="A2463" i="3"/>
  <c r="A2464" i="3"/>
  <c r="A2465" i="3"/>
  <c r="A2466" i="3"/>
  <c r="A2467" i="3"/>
  <c r="A2468" i="3"/>
  <c r="A2469" i="3"/>
  <c r="A2470" i="3"/>
  <c r="A2471" i="3"/>
  <c r="A2472" i="3"/>
  <c r="A2473" i="3"/>
  <c r="A2474" i="3"/>
  <c r="A2475" i="3"/>
  <c r="A2476" i="3"/>
  <c r="A2477" i="3"/>
  <c r="A2478" i="3"/>
  <c r="A2479" i="3"/>
  <c r="A2480" i="3"/>
  <c r="A2481" i="3"/>
  <c r="A2482" i="3"/>
  <c r="A2483" i="3"/>
  <c r="A2484" i="3"/>
  <c r="A2485" i="3"/>
  <c r="A2486" i="3"/>
  <c r="A2487" i="3"/>
  <c r="A2488" i="3"/>
  <c r="A2489" i="3"/>
  <c r="A2490" i="3"/>
  <c r="A2491" i="3"/>
  <c r="A2492" i="3"/>
  <c r="A2493" i="3"/>
  <c r="A2494" i="3"/>
  <c r="A2495" i="3"/>
  <c r="A2496" i="3"/>
  <c r="A2497" i="3"/>
  <c r="A2498" i="3"/>
  <c r="A2499" i="3"/>
  <c r="A2500" i="3"/>
  <c r="A2501" i="3"/>
  <c r="A2502" i="3"/>
  <c r="A2503" i="3"/>
  <c r="A2504" i="3"/>
  <c r="A2505" i="3"/>
  <c r="A2506" i="3"/>
  <c r="A2507" i="3"/>
  <c r="A2508" i="3"/>
  <c r="A2509" i="3"/>
  <c r="A2510" i="3"/>
  <c r="A2511" i="3"/>
  <c r="A2512" i="3"/>
  <c r="A2513" i="3"/>
  <c r="A2514" i="3"/>
  <c r="A2515" i="3"/>
  <c r="A2516" i="3"/>
  <c r="A2517" i="3"/>
  <c r="A2518" i="3"/>
  <c r="A2519" i="3"/>
  <c r="A2520" i="3"/>
  <c r="A2521" i="3"/>
  <c r="A2522" i="3"/>
  <c r="A2523" i="3"/>
  <c r="A2524" i="3"/>
  <c r="A2525" i="3"/>
  <c r="A2526" i="3"/>
  <c r="A2527" i="3"/>
  <c r="A2528" i="3"/>
  <c r="A2529" i="3"/>
  <c r="A2530" i="3"/>
  <c r="A2531" i="3"/>
  <c r="A2532" i="3"/>
  <c r="A2533" i="3"/>
  <c r="A2534" i="3"/>
  <c r="A2535" i="3"/>
  <c r="A2536" i="3"/>
  <c r="A2537" i="3"/>
  <c r="A2538" i="3"/>
  <c r="A2539" i="3"/>
  <c r="A2540" i="3"/>
  <c r="A2541" i="3"/>
  <c r="A2542" i="3"/>
  <c r="A2543" i="3"/>
  <c r="A2544" i="3"/>
  <c r="A2545" i="3"/>
  <c r="A2546" i="3"/>
  <c r="A2547" i="3"/>
  <c r="A2548" i="3"/>
  <c r="A2549" i="3"/>
  <c r="A2550" i="3"/>
  <c r="A2551" i="3"/>
  <c r="A2552" i="3"/>
  <c r="A2553" i="3"/>
  <c r="A2554" i="3"/>
  <c r="A2555" i="3"/>
  <c r="A2556" i="3"/>
  <c r="A2557" i="3"/>
  <c r="A2558" i="3"/>
  <c r="A2559" i="3"/>
  <c r="A2560" i="3"/>
  <c r="A2561" i="3"/>
  <c r="A2562" i="3"/>
  <c r="A2563" i="3"/>
  <c r="A2564" i="3"/>
  <c r="A2565" i="3"/>
  <c r="A2566" i="3"/>
  <c r="A2567" i="3"/>
  <c r="A2568" i="3"/>
  <c r="A2569" i="3"/>
  <c r="A2570" i="3"/>
  <c r="A2571" i="3"/>
  <c r="A2572" i="3"/>
  <c r="A2573" i="3"/>
  <c r="A2574" i="3"/>
  <c r="A2575" i="3"/>
  <c r="A2576" i="3"/>
  <c r="A2577" i="3"/>
  <c r="A2578" i="3"/>
  <c r="A2579" i="3"/>
  <c r="A2580" i="3"/>
  <c r="A2581" i="3"/>
  <c r="A2582" i="3"/>
  <c r="A2583" i="3"/>
  <c r="A2584" i="3"/>
  <c r="A2585" i="3"/>
  <c r="A2586" i="3"/>
  <c r="A2587" i="3"/>
  <c r="A2588" i="3"/>
  <c r="A2589" i="3"/>
  <c r="A2590" i="3"/>
  <c r="A2591" i="3"/>
  <c r="A2592" i="3"/>
  <c r="A2593" i="3"/>
  <c r="A2594" i="3"/>
  <c r="A2595" i="3"/>
  <c r="A2596" i="3"/>
  <c r="A2597" i="3"/>
  <c r="A2598" i="3"/>
  <c r="A2599" i="3"/>
  <c r="A2600" i="3"/>
  <c r="A2601" i="3"/>
  <c r="A2602" i="3"/>
  <c r="A2603" i="3"/>
  <c r="A2604" i="3"/>
  <c r="A2605" i="3"/>
  <c r="A2606" i="3"/>
  <c r="A2607" i="3"/>
  <c r="A2608" i="3"/>
  <c r="A2609" i="3"/>
  <c r="A2610" i="3"/>
  <c r="A2611" i="3"/>
  <c r="A2612" i="3"/>
  <c r="A2613" i="3"/>
  <c r="A2614" i="3"/>
  <c r="A2615" i="3"/>
  <c r="A2616" i="3"/>
  <c r="A2617" i="3"/>
  <c r="A2618" i="3"/>
  <c r="A2619" i="3"/>
  <c r="A2620" i="3"/>
  <c r="A2621" i="3"/>
  <c r="A2622" i="3"/>
  <c r="A2623" i="3"/>
  <c r="A2624" i="3"/>
  <c r="A2625" i="3"/>
  <c r="A2626" i="3"/>
  <c r="A2627" i="3"/>
  <c r="A2628" i="3"/>
  <c r="A2629" i="3"/>
  <c r="A2630" i="3"/>
  <c r="A2631" i="3"/>
  <c r="A2632" i="3"/>
  <c r="A2633" i="3"/>
  <c r="A2634" i="3"/>
  <c r="A2635" i="3"/>
  <c r="A2636" i="3"/>
  <c r="A2637" i="3"/>
  <c r="A2638" i="3"/>
  <c r="A2639" i="3"/>
  <c r="A2640" i="3"/>
  <c r="A2641" i="3"/>
  <c r="A2642" i="3"/>
  <c r="A2643" i="3"/>
  <c r="A2644" i="3"/>
  <c r="A2645" i="3"/>
  <c r="A2646" i="3"/>
  <c r="A2647" i="3"/>
  <c r="A2648" i="3"/>
  <c r="A2649" i="3"/>
  <c r="A2650" i="3"/>
  <c r="A2651" i="3"/>
  <c r="A2652" i="3"/>
  <c r="A2653" i="3"/>
  <c r="A2654" i="3"/>
  <c r="A2655" i="3"/>
  <c r="A2656" i="3"/>
  <c r="A2657" i="3"/>
  <c r="A2658" i="3"/>
  <c r="A2659" i="3"/>
  <c r="A2660" i="3"/>
  <c r="A2661" i="3"/>
  <c r="A2662" i="3"/>
  <c r="A2663" i="3"/>
  <c r="A2664" i="3"/>
  <c r="A2665" i="3"/>
  <c r="A2666" i="3"/>
  <c r="A2667" i="3"/>
  <c r="A2668" i="3"/>
  <c r="A2669" i="3"/>
  <c r="A2670" i="3"/>
  <c r="A2671" i="3"/>
  <c r="A2672" i="3"/>
  <c r="A2673" i="3"/>
  <c r="A2674" i="3"/>
  <c r="A2675" i="3"/>
  <c r="A2676" i="3"/>
  <c r="A2677" i="3"/>
  <c r="A2678" i="3"/>
  <c r="A2679" i="3"/>
  <c r="A2680" i="3"/>
  <c r="A2681" i="3"/>
  <c r="A2682" i="3"/>
  <c r="A2683" i="3"/>
  <c r="A2684" i="3"/>
  <c r="A2685" i="3"/>
  <c r="A2686" i="3"/>
  <c r="A2687" i="3"/>
  <c r="A2688" i="3"/>
  <c r="A2689" i="3"/>
  <c r="A2690" i="3"/>
  <c r="A2691" i="3"/>
  <c r="A2692" i="3"/>
  <c r="A2693" i="3"/>
  <c r="A2694" i="3"/>
  <c r="A2695" i="3"/>
  <c r="A2696" i="3"/>
  <c r="A2697" i="3"/>
  <c r="A2698" i="3"/>
  <c r="A2699" i="3"/>
  <c r="A2700" i="3"/>
  <c r="A2701" i="3"/>
  <c r="A2702" i="3"/>
  <c r="A2703" i="3"/>
  <c r="A2704" i="3"/>
  <c r="A2705" i="3"/>
  <c r="A2706" i="3"/>
  <c r="A2707" i="3"/>
  <c r="A2708" i="3"/>
  <c r="A2709" i="3"/>
  <c r="A2710" i="3"/>
  <c r="A2711" i="3"/>
  <c r="A2712" i="3"/>
  <c r="A2713" i="3"/>
  <c r="A2714" i="3"/>
  <c r="A2715" i="3"/>
  <c r="A2716" i="3"/>
  <c r="A2717" i="3"/>
  <c r="A2718" i="3"/>
  <c r="A2719" i="3"/>
  <c r="A2720" i="3"/>
  <c r="A2721" i="3"/>
  <c r="A2722" i="3"/>
  <c r="A2723" i="3"/>
  <c r="A2724" i="3"/>
  <c r="A2725" i="3"/>
  <c r="A2726" i="3"/>
  <c r="A2727" i="3"/>
  <c r="A2728" i="3"/>
  <c r="A2729" i="3"/>
  <c r="A2730" i="3"/>
  <c r="A2731" i="3"/>
  <c r="A2732" i="3"/>
  <c r="A2733" i="3"/>
  <c r="A2734" i="3"/>
  <c r="A2735" i="3"/>
  <c r="A2736" i="3"/>
  <c r="A2737" i="3"/>
  <c r="A2738" i="3"/>
  <c r="A2739" i="3"/>
  <c r="A2740" i="3"/>
  <c r="A2741" i="3"/>
  <c r="A2742" i="3"/>
  <c r="A2743" i="3"/>
  <c r="A2744" i="3"/>
  <c r="A2745" i="3"/>
  <c r="A2746" i="3"/>
  <c r="A2747" i="3"/>
  <c r="A2748" i="3"/>
  <c r="A2749" i="3"/>
  <c r="A2750" i="3"/>
  <c r="A2751" i="3"/>
  <c r="A2752" i="3"/>
  <c r="A2753" i="3"/>
  <c r="A2754" i="3"/>
  <c r="A2755" i="3"/>
  <c r="A2756" i="3"/>
  <c r="A2757" i="3"/>
  <c r="A2758" i="3"/>
  <c r="A2759" i="3"/>
  <c r="A2760" i="3"/>
  <c r="A2761" i="3"/>
  <c r="A2762" i="3"/>
  <c r="A2763" i="3"/>
  <c r="A2764" i="3"/>
  <c r="A2765" i="3"/>
  <c r="A2766" i="3"/>
  <c r="A2767" i="3"/>
  <c r="A2768" i="3"/>
  <c r="A2769" i="3"/>
  <c r="A2770" i="3"/>
  <c r="A2771" i="3"/>
  <c r="A2772" i="3"/>
  <c r="A2773" i="3"/>
  <c r="A2774" i="3"/>
  <c r="A2775" i="3"/>
  <c r="A2776" i="3"/>
  <c r="A2777" i="3"/>
  <c r="A2778" i="3"/>
  <c r="A2779" i="3"/>
  <c r="A2780" i="3"/>
  <c r="A2781" i="3"/>
  <c r="A2782" i="3"/>
  <c r="A2783" i="3"/>
  <c r="A2784" i="3"/>
  <c r="A2785" i="3"/>
  <c r="A2786" i="3"/>
  <c r="A2787" i="3"/>
  <c r="A2788" i="3"/>
  <c r="A2789" i="3"/>
  <c r="A2790" i="3"/>
  <c r="A2791" i="3"/>
  <c r="A2792" i="3"/>
  <c r="A2793" i="3"/>
  <c r="A2794" i="3"/>
  <c r="A2795" i="3"/>
  <c r="A2796" i="3"/>
  <c r="A2797" i="3"/>
  <c r="A2798" i="3"/>
  <c r="A2799" i="3"/>
  <c r="A2800" i="3"/>
  <c r="A2801" i="3"/>
  <c r="A2802" i="3"/>
  <c r="A2803" i="3"/>
  <c r="A2804" i="3"/>
  <c r="A2805" i="3"/>
  <c r="A2806" i="3"/>
  <c r="A2807" i="3"/>
  <c r="A2808" i="3"/>
  <c r="A2809" i="3"/>
  <c r="A2810" i="3"/>
  <c r="A2811" i="3"/>
  <c r="A2812" i="3"/>
  <c r="A2813" i="3"/>
  <c r="A2814" i="3"/>
  <c r="A2815" i="3"/>
  <c r="A2816" i="3"/>
  <c r="A2817" i="3"/>
  <c r="A2818" i="3"/>
  <c r="A2819" i="3"/>
  <c r="A2820" i="3"/>
  <c r="A2821" i="3"/>
  <c r="A2822" i="3"/>
  <c r="A2823" i="3"/>
  <c r="A2824" i="3"/>
  <c r="A2825" i="3"/>
  <c r="A2826" i="3"/>
  <c r="A2827" i="3"/>
  <c r="A2828" i="3"/>
  <c r="A2829" i="3"/>
  <c r="A2830" i="3"/>
  <c r="A2831" i="3"/>
  <c r="A2832" i="3"/>
  <c r="A2833" i="3"/>
  <c r="A2834" i="3"/>
  <c r="A2835" i="3"/>
  <c r="A2836" i="3"/>
  <c r="A2837" i="3"/>
  <c r="A2838" i="3"/>
  <c r="A2839" i="3"/>
  <c r="A2840" i="3"/>
  <c r="A2841" i="3"/>
  <c r="A2842" i="3"/>
  <c r="A2843" i="3"/>
  <c r="A2844" i="3"/>
  <c r="A2845" i="3"/>
  <c r="A2846" i="3"/>
  <c r="A2847" i="3"/>
  <c r="A2848" i="3"/>
  <c r="A2849" i="3"/>
  <c r="A2850" i="3"/>
  <c r="A2851" i="3"/>
  <c r="A2852" i="3"/>
  <c r="A2853" i="3"/>
  <c r="A2854" i="3"/>
  <c r="A2855" i="3"/>
  <c r="A2856" i="3"/>
  <c r="A2857" i="3"/>
  <c r="A2858" i="3"/>
  <c r="A2859" i="3"/>
  <c r="A2860" i="3"/>
  <c r="A2861" i="3"/>
  <c r="A2862" i="3"/>
  <c r="A2863" i="3"/>
  <c r="A2864" i="3"/>
  <c r="A2865" i="3"/>
  <c r="A2866" i="3"/>
  <c r="A2867" i="3"/>
  <c r="A2868" i="3"/>
  <c r="A2869" i="3"/>
  <c r="A2870" i="3"/>
  <c r="A2871" i="3"/>
  <c r="A2872" i="3"/>
  <c r="A2873" i="3"/>
  <c r="A2874" i="3"/>
  <c r="A2875" i="3"/>
  <c r="A2876" i="3"/>
  <c r="A2877" i="3"/>
  <c r="A2878" i="3"/>
  <c r="A2879" i="3"/>
  <c r="A2880" i="3"/>
  <c r="A2881" i="3"/>
  <c r="A2882" i="3"/>
  <c r="A2883" i="3"/>
  <c r="A2884" i="3"/>
  <c r="A2885" i="3"/>
  <c r="A2886" i="3"/>
  <c r="A2887" i="3"/>
  <c r="A2888" i="3"/>
  <c r="A2889" i="3"/>
  <c r="A2890" i="3"/>
  <c r="A2891" i="3"/>
  <c r="A2892" i="3"/>
  <c r="A2893" i="3"/>
  <c r="A2894" i="3"/>
  <c r="A2895" i="3"/>
  <c r="A2896" i="3"/>
  <c r="A2897" i="3"/>
  <c r="A2898" i="3"/>
  <c r="A2899" i="3"/>
  <c r="A2900" i="3"/>
  <c r="A2901" i="3"/>
  <c r="A2902" i="3"/>
  <c r="A2903" i="3"/>
  <c r="A2904" i="3"/>
  <c r="A2905" i="3"/>
  <c r="A2906" i="3"/>
  <c r="A2907" i="3"/>
  <c r="A2908" i="3"/>
  <c r="A2909" i="3"/>
  <c r="A2910" i="3"/>
  <c r="A2911" i="3"/>
  <c r="A2912" i="3"/>
  <c r="A2913" i="3"/>
  <c r="A2914" i="3"/>
  <c r="A2915" i="3"/>
  <c r="A2916" i="3"/>
  <c r="A2917" i="3"/>
  <c r="A2918" i="3"/>
  <c r="A2919" i="3"/>
  <c r="A2920" i="3"/>
  <c r="A2921" i="3"/>
  <c r="A2922" i="3"/>
  <c r="A2923" i="3"/>
  <c r="A2924" i="3"/>
  <c r="A2925" i="3"/>
  <c r="A2926" i="3"/>
  <c r="A2927" i="3"/>
  <c r="A2928" i="3"/>
  <c r="A2929" i="3"/>
  <c r="A2930" i="3"/>
  <c r="A2931" i="3"/>
  <c r="A2932" i="3"/>
  <c r="A2933" i="3"/>
  <c r="A2934" i="3"/>
  <c r="A2935" i="3"/>
  <c r="A2936" i="3"/>
  <c r="A2937" i="3"/>
  <c r="A2938" i="3"/>
  <c r="A2939" i="3"/>
  <c r="A2940" i="3"/>
  <c r="A2941" i="3"/>
  <c r="A2942" i="3"/>
  <c r="A2943" i="3"/>
  <c r="A2944" i="3"/>
  <c r="A2945" i="3"/>
  <c r="A2946" i="3"/>
  <c r="A2947" i="3"/>
  <c r="A2948" i="3"/>
  <c r="A2949" i="3"/>
  <c r="A2950" i="3"/>
  <c r="A2951" i="3"/>
  <c r="A2952" i="3"/>
  <c r="A2953" i="3"/>
  <c r="A2954" i="3"/>
  <c r="A2955" i="3"/>
  <c r="A2956" i="3"/>
  <c r="A2957" i="3"/>
  <c r="A2958" i="3"/>
  <c r="A2959" i="3"/>
  <c r="A2960" i="3"/>
  <c r="A2961" i="3"/>
  <c r="A2962" i="3"/>
  <c r="A2963" i="3"/>
  <c r="A2964" i="3"/>
  <c r="A2965" i="3"/>
  <c r="A2966" i="3"/>
  <c r="A2967" i="3"/>
  <c r="A2968" i="3"/>
  <c r="A2969" i="3"/>
  <c r="A2970" i="3"/>
  <c r="A2971" i="3"/>
  <c r="A2972" i="3"/>
  <c r="A2973" i="3"/>
  <c r="A2974" i="3"/>
  <c r="A2975" i="3"/>
  <c r="A2976" i="3"/>
  <c r="A2977" i="3"/>
  <c r="A2978" i="3"/>
  <c r="A2979" i="3"/>
  <c r="A2980" i="3"/>
  <c r="A2981" i="3"/>
  <c r="A2982" i="3"/>
  <c r="A2983" i="3"/>
  <c r="A2984" i="3"/>
  <c r="A2985" i="3"/>
  <c r="A2986" i="3"/>
  <c r="A2987" i="3"/>
  <c r="A2988" i="3"/>
  <c r="A2989" i="3"/>
  <c r="A2990" i="3"/>
  <c r="A2991" i="3"/>
  <c r="A2992" i="3"/>
  <c r="A2993" i="3"/>
  <c r="A2994" i="3"/>
  <c r="A2995" i="3"/>
  <c r="A2996" i="3"/>
  <c r="A2997" i="3"/>
  <c r="A2998" i="3"/>
  <c r="A2999" i="3"/>
  <c r="A3000" i="3"/>
  <c r="A3001" i="3"/>
  <c r="A3002" i="3"/>
  <c r="A3003" i="3"/>
  <c r="A3004" i="3"/>
  <c r="A3005" i="3"/>
  <c r="A3006" i="3"/>
  <c r="A3007" i="3"/>
  <c r="A3008" i="3"/>
  <c r="A3009" i="3"/>
  <c r="A3010" i="3"/>
  <c r="A3011" i="3"/>
  <c r="A3012" i="3"/>
  <c r="A3013" i="3"/>
  <c r="A3014" i="3"/>
  <c r="A3015" i="3"/>
  <c r="A3016" i="3"/>
  <c r="A3017" i="3"/>
  <c r="A3018" i="3"/>
  <c r="A3019" i="3"/>
  <c r="A3020" i="3"/>
  <c r="A3021" i="3"/>
  <c r="A3022" i="3"/>
  <c r="A3023" i="3"/>
  <c r="A3024" i="3"/>
  <c r="A3025" i="3"/>
  <c r="A3026" i="3"/>
  <c r="A3027" i="3"/>
  <c r="A3028" i="3"/>
  <c r="A3029" i="3"/>
  <c r="A3030" i="3"/>
  <c r="A3031" i="3"/>
  <c r="A3032" i="3"/>
  <c r="A3033" i="3"/>
  <c r="A3034" i="3"/>
  <c r="A3035" i="3"/>
  <c r="A3036" i="3"/>
  <c r="A3037" i="3"/>
  <c r="A3038" i="3"/>
  <c r="A3039" i="3"/>
  <c r="A3040" i="3"/>
  <c r="A3041" i="3"/>
  <c r="A3042" i="3"/>
  <c r="A3043" i="3"/>
  <c r="A3044" i="3"/>
  <c r="A3045" i="3"/>
  <c r="A3046" i="3"/>
  <c r="A3047" i="3"/>
  <c r="A3048" i="3"/>
  <c r="A3049" i="3"/>
  <c r="A3050" i="3"/>
  <c r="A3051" i="3"/>
  <c r="A3052" i="3"/>
  <c r="A3053" i="3"/>
  <c r="A3054" i="3"/>
  <c r="A3055" i="3"/>
  <c r="A3056" i="3"/>
  <c r="A3057" i="3"/>
  <c r="A3058" i="3"/>
  <c r="A3059" i="3"/>
  <c r="A3060" i="3"/>
  <c r="A3061" i="3"/>
  <c r="A3062" i="3"/>
  <c r="A3063" i="3"/>
  <c r="A3064" i="3"/>
  <c r="A3065" i="3"/>
  <c r="A3066" i="3"/>
  <c r="A3067" i="3"/>
  <c r="A3068" i="3"/>
  <c r="A3069" i="3"/>
  <c r="A3070" i="3"/>
  <c r="A3071" i="3"/>
  <c r="A3072" i="3"/>
  <c r="A3073" i="3"/>
  <c r="A3074" i="3"/>
  <c r="A3075" i="3"/>
  <c r="A3076" i="3"/>
  <c r="A3077" i="3"/>
  <c r="A3078" i="3"/>
  <c r="A3079" i="3"/>
  <c r="A3080" i="3"/>
  <c r="A3081" i="3"/>
  <c r="A3082" i="3"/>
  <c r="A3083" i="3"/>
  <c r="A3084" i="3"/>
  <c r="A3085" i="3"/>
  <c r="A3086" i="3"/>
  <c r="A3087" i="3"/>
  <c r="A3088" i="3"/>
  <c r="A3089" i="3"/>
  <c r="A3090" i="3"/>
  <c r="A3091" i="3"/>
  <c r="A3092" i="3"/>
  <c r="A3093" i="3"/>
  <c r="A3094" i="3"/>
  <c r="A3095" i="3"/>
  <c r="A3096" i="3"/>
  <c r="A3097" i="3"/>
  <c r="A3098" i="3"/>
  <c r="A3099" i="3"/>
  <c r="A3100" i="3"/>
  <c r="A3101" i="3"/>
  <c r="A3102" i="3"/>
  <c r="A3103" i="3"/>
  <c r="A3104" i="3"/>
  <c r="A3105" i="3"/>
  <c r="A3106" i="3"/>
  <c r="A3107" i="3"/>
  <c r="A3108" i="3"/>
  <c r="A3109" i="3"/>
  <c r="A3110" i="3"/>
  <c r="A3111" i="3"/>
  <c r="A3112" i="3"/>
  <c r="A3113" i="3"/>
  <c r="A3114" i="3"/>
  <c r="A3115" i="3"/>
  <c r="A3116" i="3"/>
  <c r="A3117" i="3"/>
  <c r="A3118" i="3"/>
  <c r="A3119" i="3"/>
  <c r="A3120" i="3"/>
  <c r="A3121" i="3"/>
  <c r="A3122" i="3"/>
  <c r="A3123" i="3"/>
  <c r="A3124" i="3"/>
  <c r="A3125" i="3"/>
  <c r="A3126" i="3"/>
  <c r="A3127" i="3"/>
  <c r="A3128" i="3"/>
  <c r="A3129" i="3"/>
  <c r="A3130" i="3"/>
  <c r="A3131" i="3"/>
  <c r="A3132" i="3"/>
  <c r="A3133" i="3"/>
  <c r="A3134" i="3"/>
  <c r="A3135" i="3"/>
  <c r="A3136" i="3"/>
  <c r="A3137" i="3"/>
  <c r="A3138" i="3"/>
  <c r="A3139" i="3"/>
  <c r="A3140" i="3"/>
  <c r="A3141" i="3"/>
  <c r="A3142" i="3"/>
  <c r="A3143" i="3"/>
  <c r="A3144" i="3"/>
  <c r="A3145" i="3"/>
  <c r="A3146" i="3"/>
  <c r="A3147" i="3"/>
  <c r="A3148" i="3"/>
  <c r="A3149" i="3"/>
  <c r="A3150" i="3"/>
  <c r="A3151" i="3"/>
  <c r="A3152" i="3"/>
  <c r="A3153" i="3"/>
  <c r="A3154" i="3"/>
  <c r="A3155" i="3"/>
  <c r="A3156" i="3"/>
  <c r="A3157" i="3"/>
  <c r="A3158" i="3"/>
  <c r="A3159" i="3"/>
  <c r="A3160" i="3"/>
  <c r="A3161" i="3"/>
  <c r="A3162" i="3"/>
  <c r="A3163" i="3"/>
  <c r="A3164" i="3"/>
  <c r="A3165" i="3"/>
  <c r="A3166" i="3"/>
  <c r="A3167" i="3"/>
  <c r="A3168" i="3"/>
  <c r="A3169" i="3"/>
  <c r="A3170" i="3"/>
  <c r="A3171" i="3"/>
  <c r="A3172" i="3"/>
  <c r="A3173" i="3"/>
  <c r="A3174" i="3"/>
  <c r="A3175" i="3"/>
  <c r="A3176" i="3"/>
  <c r="A3177" i="3"/>
  <c r="A3178" i="3"/>
  <c r="A3179" i="3"/>
  <c r="A3180" i="3"/>
  <c r="A3181" i="3"/>
  <c r="A3182" i="3"/>
  <c r="A3183" i="3"/>
  <c r="A3184" i="3"/>
  <c r="A3185" i="3"/>
  <c r="A3186" i="3"/>
  <c r="A3187" i="3"/>
  <c r="A3188" i="3"/>
  <c r="A3189" i="3"/>
  <c r="A3190" i="3"/>
  <c r="A3191" i="3"/>
  <c r="A3192" i="3"/>
  <c r="A3193" i="3"/>
  <c r="A3194" i="3"/>
  <c r="A3195" i="3"/>
  <c r="A3196" i="3"/>
  <c r="A3197" i="3"/>
  <c r="A3198" i="3"/>
  <c r="A3199" i="3"/>
  <c r="A3200" i="3"/>
  <c r="A3201" i="3"/>
  <c r="A3202" i="3"/>
  <c r="A3203" i="3"/>
  <c r="A3204" i="3"/>
  <c r="A3205" i="3"/>
  <c r="A3206" i="3"/>
  <c r="A3207" i="3"/>
  <c r="A3208" i="3"/>
  <c r="A3209" i="3"/>
  <c r="A3210" i="3"/>
  <c r="A3211" i="3"/>
  <c r="A3212" i="3"/>
  <c r="A3213" i="3"/>
  <c r="A3214" i="3"/>
  <c r="A3215" i="3"/>
  <c r="A3216" i="3"/>
  <c r="A3217" i="3"/>
  <c r="A3218" i="3"/>
  <c r="A3219" i="3"/>
  <c r="A3220" i="3"/>
  <c r="A3221" i="3"/>
  <c r="A3222" i="3"/>
  <c r="A3223" i="3"/>
  <c r="A3224" i="3"/>
  <c r="A3225" i="3"/>
  <c r="A3226" i="3"/>
  <c r="A3227" i="3"/>
  <c r="A3228" i="3"/>
  <c r="A3229" i="3"/>
  <c r="A3230" i="3"/>
  <c r="A3231" i="3"/>
  <c r="A3232" i="3"/>
  <c r="A3233" i="3"/>
  <c r="A3234" i="3"/>
  <c r="A3235" i="3"/>
  <c r="A3236" i="3"/>
  <c r="A3237" i="3"/>
  <c r="A3238" i="3"/>
  <c r="A3239" i="3"/>
  <c r="A3240" i="3"/>
  <c r="A3241" i="3"/>
  <c r="A3242" i="3"/>
  <c r="A3243" i="3"/>
  <c r="A3244" i="3"/>
  <c r="A3245" i="3"/>
  <c r="A3246" i="3"/>
  <c r="A3247" i="3"/>
  <c r="A3248" i="3"/>
  <c r="A3249" i="3"/>
  <c r="A3250" i="3"/>
  <c r="A3251" i="3"/>
  <c r="A3252" i="3"/>
  <c r="A3253" i="3"/>
  <c r="A3254" i="3"/>
  <c r="A3255" i="3"/>
  <c r="A3256" i="3"/>
  <c r="A3257" i="3"/>
  <c r="A3258" i="3"/>
  <c r="A3259" i="3"/>
  <c r="A3260" i="3"/>
  <c r="A3261" i="3"/>
  <c r="A3262" i="3"/>
  <c r="A3263" i="3"/>
  <c r="A3264" i="3"/>
  <c r="A3265" i="3"/>
  <c r="A3266" i="3"/>
  <c r="A3267" i="3"/>
  <c r="A3268" i="3"/>
  <c r="A3269" i="3"/>
  <c r="A3270" i="3"/>
  <c r="A3271" i="3"/>
  <c r="A3272" i="3"/>
  <c r="A3273" i="3"/>
  <c r="A3274" i="3"/>
  <c r="A3275" i="3"/>
  <c r="A3276" i="3"/>
  <c r="A3277" i="3"/>
  <c r="A3278" i="3"/>
  <c r="A3279" i="3"/>
  <c r="A3280" i="3"/>
  <c r="A3281" i="3"/>
  <c r="A3282" i="3"/>
  <c r="A3283" i="3"/>
  <c r="A3284" i="3"/>
  <c r="A3285" i="3"/>
  <c r="A3286" i="3"/>
  <c r="A3287" i="3"/>
  <c r="A3288" i="3"/>
  <c r="A3289" i="3"/>
  <c r="A3290" i="3"/>
  <c r="A3291" i="3"/>
  <c r="A3292" i="3"/>
  <c r="A3293" i="3"/>
  <c r="A3294" i="3"/>
  <c r="A3295" i="3"/>
  <c r="A3296" i="3"/>
  <c r="A3297" i="3"/>
  <c r="A3298" i="3"/>
  <c r="A3299" i="3"/>
  <c r="A3300" i="3"/>
  <c r="A3301" i="3"/>
  <c r="A3302" i="3"/>
  <c r="A3303" i="3"/>
  <c r="A3304" i="3"/>
  <c r="A3305" i="3"/>
  <c r="A3306" i="3"/>
  <c r="A3307" i="3"/>
  <c r="A3308" i="3"/>
  <c r="A3309" i="3"/>
  <c r="A3310" i="3"/>
  <c r="A3311" i="3"/>
  <c r="A3312" i="3"/>
  <c r="A3313" i="3"/>
  <c r="A3314" i="3"/>
  <c r="A3315" i="3"/>
  <c r="A3316" i="3"/>
  <c r="A3317" i="3"/>
  <c r="A3318" i="3"/>
  <c r="A3319" i="3"/>
  <c r="A3320" i="3"/>
  <c r="A3321" i="3"/>
  <c r="A3322" i="3"/>
  <c r="A3323" i="3"/>
  <c r="A3324" i="3"/>
  <c r="A3325" i="3"/>
  <c r="A3326" i="3"/>
  <c r="A3327" i="3"/>
  <c r="A3328" i="3"/>
  <c r="A3329" i="3"/>
  <c r="A3330" i="3"/>
  <c r="A3331" i="3"/>
  <c r="A3332" i="3"/>
  <c r="A3333" i="3"/>
  <c r="A3334" i="3"/>
  <c r="A3335" i="3"/>
  <c r="A3336" i="3"/>
  <c r="A3337" i="3"/>
  <c r="A3338" i="3"/>
  <c r="A3339" i="3"/>
  <c r="A3340" i="3"/>
  <c r="A3341" i="3"/>
  <c r="A3342" i="3"/>
  <c r="A3343" i="3"/>
  <c r="A3344" i="3"/>
  <c r="A3345" i="3"/>
  <c r="A3346" i="3"/>
  <c r="A3347" i="3"/>
  <c r="A3348" i="3"/>
  <c r="A3349" i="3"/>
  <c r="A3350" i="3"/>
  <c r="A3351" i="3"/>
  <c r="A3352" i="3"/>
  <c r="A3353" i="3"/>
  <c r="A3354" i="3"/>
  <c r="A3355" i="3"/>
  <c r="A3356" i="3"/>
  <c r="A3357" i="3"/>
  <c r="A3358" i="3"/>
  <c r="A3359" i="3"/>
  <c r="A3360" i="3"/>
  <c r="A3361" i="3"/>
  <c r="A3362" i="3"/>
  <c r="A3363" i="3"/>
  <c r="A3364" i="3"/>
  <c r="A3365" i="3"/>
  <c r="A3366" i="3"/>
  <c r="A3367" i="3"/>
  <c r="A3368" i="3"/>
  <c r="A3369" i="3"/>
  <c r="A3370" i="3"/>
  <c r="A3371" i="3"/>
  <c r="A3372" i="3"/>
  <c r="A3373" i="3"/>
  <c r="A3374" i="3"/>
  <c r="A3375" i="3"/>
  <c r="A3376" i="3"/>
  <c r="A3377" i="3"/>
  <c r="A3378" i="3"/>
  <c r="A3379" i="3"/>
  <c r="A3380" i="3"/>
  <c r="A3381" i="3"/>
  <c r="A3382" i="3"/>
  <c r="A3383" i="3"/>
  <c r="A3384" i="3"/>
  <c r="A3385" i="3"/>
  <c r="A3386" i="3"/>
  <c r="A3387" i="3"/>
  <c r="A3388" i="3"/>
  <c r="A3389" i="3"/>
  <c r="A3390" i="3"/>
  <c r="A3391" i="3"/>
  <c r="A3392" i="3"/>
  <c r="A3393" i="3"/>
  <c r="A3394" i="3"/>
  <c r="A3395" i="3"/>
  <c r="A3396" i="3"/>
  <c r="A3397" i="3"/>
  <c r="A3398" i="3"/>
  <c r="A3399" i="3"/>
  <c r="A3400" i="3"/>
  <c r="A3401" i="3"/>
  <c r="A3402" i="3"/>
  <c r="A3403" i="3"/>
  <c r="A3404" i="3"/>
  <c r="A3405" i="3"/>
  <c r="A3406" i="3"/>
  <c r="A3407" i="3"/>
  <c r="A3408" i="3"/>
  <c r="A3409" i="3"/>
  <c r="A3410" i="3"/>
  <c r="A3411" i="3"/>
  <c r="A3412" i="3"/>
  <c r="A3413" i="3"/>
  <c r="A3414" i="3"/>
  <c r="A3415" i="3"/>
  <c r="A3416" i="3"/>
  <c r="A3417" i="3"/>
  <c r="A3418" i="3"/>
  <c r="A3419" i="3"/>
  <c r="A3420" i="3"/>
  <c r="A3421" i="3"/>
  <c r="A3422" i="3"/>
  <c r="A3423" i="3"/>
  <c r="A3424" i="3"/>
  <c r="A3425" i="3"/>
  <c r="A3426" i="3"/>
  <c r="A3427" i="3"/>
  <c r="A3428" i="3"/>
  <c r="A3429" i="3"/>
  <c r="A3430" i="3"/>
  <c r="A3431" i="3"/>
  <c r="A3432" i="3"/>
  <c r="A3433" i="3"/>
  <c r="A3434" i="3"/>
  <c r="A3435" i="3"/>
  <c r="A3436" i="3"/>
  <c r="A3437" i="3"/>
  <c r="A3438" i="3"/>
  <c r="A3439" i="3"/>
  <c r="A3440" i="3"/>
  <c r="A3441" i="3"/>
  <c r="A3442" i="3"/>
  <c r="A3443" i="3"/>
  <c r="A3444" i="3"/>
  <c r="A3445" i="3"/>
  <c r="A3446" i="3"/>
  <c r="A3447" i="3"/>
  <c r="A3448" i="3"/>
  <c r="A3449" i="3"/>
  <c r="A3450" i="3"/>
  <c r="A3451" i="3"/>
  <c r="A3452" i="3"/>
  <c r="A3453" i="3"/>
  <c r="A3454" i="3"/>
  <c r="A3455" i="3"/>
  <c r="A3456" i="3"/>
  <c r="A3457" i="3"/>
  <c r="A3458" i="3"/>
  <c r="A3459" i="3"/>
  <c r="A3460" i="3"/>
  <c r="A3461" i="3"/>
  <c r="A3462" i="3"/>
  <c r="A3463" i="3"/>
  <c r="A3464" i="3"/>
  <c r="A3465" i="3"/>
  <c r="A3466" i="3"/>
  <c r="A3467" i="3"/>
  <c r="A3468" i="3"/>
  <c r="A3469" i="3"/>
  <c r="A3470" i="3"/>
  <c r="A3471" i="3"/>
  <c r="A3472" i="3"/>
  <c r="A3473" i="3"/>
  <c r="A3474" i="3"/>
  <c r="A3475" i="3"/>
  <c r="A3476" i="3"/>
  <c r="A3477" i="3"/>
  <c r="A3478" i="3"/>
  <c r="A3479" i="3"/>
  <c r="A3480" i="3"/>
  <c r="A3481" i="3"/>
  <c r="A3482" i="3"/>
  <c r="A3483" i="3"/>
  <c r="A3484" i="3"/>
  <c r="A3485" i="3"/>
  <c r="A3486" i="3"/>
  <c r="A3487" i="3"/>
  <c r="A3488" i="3"/>
  <c r="A3489" i="3"/>
  <c r="A3490" i="3"/>
  <c r="A3491" i="3"/>
  <c r="A3492" i="3"/>
  <c r="A3493" i="3"/>
  <c r="A3494" i="3"/>
  <c r="A3495" i="3"/>
  <c r="A3496" i="3"/>
  <c r="A3497" i="3"/>
  <c r="A3498" i="3"/>
  <c r="A3499" i="3"/>
  <c r="A3500" i="3"/>
  <c r="A3501" i="3"/>
  <c r="A3502" i="3"/>
  <c r="A3503" i="3"/>
  <c r="A3504" i="3"/>
  <c r="A3505" i="3"/>
  <c r="A3506" i="3"/>
  <c r="A3507" i="3"/>
  <c r="A3508" i="3"/>
  <c r="A3509" i="3"/>
  <c r="A3510" i="3"/>
  <c r="A3511" i="3"/>
  <c r="A3512" i="3"/>
  <c r="A3513" i="3"/>
  <c r="A3514" i="3"/>
  <c r="A3515" i="3"/>
  <c r="A3516" i="3"/>
  <c r="A3517" i="3"/>
  <c r="A3518" i="3"/>
  <c r="A3519" i="3"/>
  <c r="A3520" i="3"/>
  <c r="A3521" i="3"/>
  <c r="A3522" i="3"/>
  <c r="A3523" i="3"/>
  <c r="A3524" i="3"/>
  <c r="A3525" i="3"/>
  <c r="A3526" i="3"/>
  <c r="A3527" i="3"/>
  <c r="A3528" i="3"/>
  <c r="A3529" i="3"/>
  <c r="A3530" i="3"/>
  <c r="A3531" i="3"/>
  <c r="A3532" i="3"/>
  <c r="A3533" i="3"/>
  <c r="A3534" i="3"/>
  <c r="A3535" i="3"/>
  <c r="A3536" i="3"/>
  <c r="A3537" i="3"/>
  <c r="A3538" i="3"/>
  <c r="A3539" i="3"/>
  <c r="A3540" i="3"/>
  <c r="A3541" i="3"/>
  <c r="A3542" i="3"/>
  <c r="A3543" i="3"/>
  <c r="A3544" i="3"/>
  <c r="A3545" i="3"/>
  <c r="A3546" i="3"/>
  <c r="A3547" i="3"/>
  <c r="A3548" i="3"/>
  <c r="A3549" i="3"/>
  <c r="A3550" i="3"/>
  <c r="A3551" i="3"/>
  <c r="A3552" i="3"/>
  <c r="A3553" i="3"/>
  <c r="A3554" i="3"/>
  <c r="A3555" i="3"/>
  <c r="A3556" i="3"/>
  <c r="A3557" i="3"/>
  <c r="A3558" i="3"/>
  <c r="A3559" i="3"/>
  <c r="A3560" i="3"/>
  <c r="A3561" i="3"/>
  <c r="A3562" i="3"/>
  <c r="A3563" i="3"/>
  <c r="A3564" i="3"/>
  <c r="A3565" i="3"/>
  <c r="A3566" i="3"/>
  <c r="A3567" i="3"/>
  <c r="A3568" i="3"/>
  <c r="A3569" i="3"/>
  <c r="A3570" i="3"/>
  <c r="A3571" i="3"/>
  <c r="A3572" i="3"/>
  <c r="A3573" i="3"/>
  <c r="A3574" i="3"/>
  <c r="A3575" i="3"/>
  <c r="A3576" i="3"/>
  <c r="A3577" i="3"/>
  <c r="A3578" i="3"/>
  <c r="A3579" i="3"/>
  <c r="A3580" i="3"/>
  <c r="A3581" i="3"/>
  <c r="A3582" i="3"/>
  <c r="A3583" i="3"/>
  <c r="A3584" i="3"/>
  <c r="A3585" i="3"/>
  <c r="A3586" i="3"/>
  <c r="A3587" i="3"/>
  <c r="A3588" i="3"/>
  <c r="A3589" i="3"/>
  <c r="A3590" i="3"/>
  <c r="A3591" i="3"/>
  <c r="A3592" i="3"/>
  <c r="A3593" i="3"/>
  <c r="A3594" i="3"/>
  <c r="A3595" i="3"/>
  <c r="A3596" i="3"/>
  <c r="A3597" i="3"/>
  <c r="A3598" i="3"/>
  <c r="A3599" i="3"/>
  <c r="A3600" i="3"/>
  <c r="A3601" i="3"/>
  <c r="A3602" i="3"/>
  <c r="A3603" i="3"/>
  <c r="A3604" i="3"/>
  <c r="A3605" i="3"/>
  <c r="A3606" i="3"/>
  <c r="A3607" i="3"/>
  <c r="A3608" i="3"/>
  <c r="A3609" i="3"/>
  <c r="A3610" i="3"/>
  <c r="A3611" i="3"/>
  <c r="A3612" i="3"/>
  <c r="A3613" i="3"/>
  <c r="A3614" i="3"/>
  <c r="A3615" i="3"/>
  <c r="A3616" i="3"/>
  <c r="A3617" i="3"/>
  <c r="A3618" i="3"/>
  <c r="A3619" i="3"/>
  <c r="A3620" i="3"/>
  <c r="A3621" i="3"/>
  <c r="A3622" i="3"/>
  <c r="A3623" i="3"/>
  <c r="A3624" i="3"/>
  <c r="A3625" i="3"/>
  <c r="A3626" i="3"/>
  <c r="A3627" i="3"/>
  <c r="A3628" i="3"/>
  <c r="A3629" i="3"/>
  <c r="A3630" i="3"/>
  <c r="A3631" i="3"/>
  <c r="A3632" i="3"/>
  <c r="A3633" i="3"/>
  <c r="A3634" i="3"/>
  <c r="A3635" i="3"/>
  <c r="A3636" i="3"/>
  <c r="A3637" i="3"/>
  <c r="A3638" i="3"/>
  <c r="A3639" i="3"/>
  <c r="A3640" i="3"/>
  <c r="A3641" i="3"/>
  <c r="A3642" i="3"/>
  <c r="A3643" i="3"/>
  <c r="A3644" i="3"/>
  <c r="A3645" i="3"/>
  <c r="A3646" i="3"/>
  <c r="A3647" i="3"/>
  <c r="A3648" i="3"/>
  <c r="A3649" i="3"/>
  <c r="A3650" i="3"/>
  <c r="A3651" i="3"/>
  <c r="A3652" i="3"/>
  <c r="A3653" i="3"/>
  <c r="A3654" i="3"/>
  <c r="A3655" i="3"/>
  <c r="A3656" i="3"/>
  <c r="A3657" i="3"/>
  <c r="A3658" i="3"/>
  <c r="A3659" i="3"/>
  <c r="A3660" i="3"/>
  <c r="A3661" i="3"/>
  <c r="A3662" i="3"/>
  <c r="A3663" i="3"/>
  <c r="A3664" i="3"/>
  <c r="A3665" i="3"/>
  <c r="A3666" i="3"/>
  <c r="A3667" i="3"/>
  <c r="A3668" i="3"/>
  <c r="A3669" i="3"/>
  <c r="A3670" i="3"/>
  <c r="A3671" i="3"/>
  <c r="A3672" i="3"/>
  <c r="A3673" i="3"/>
  <c r="A3674" i="3"/>
  <c r="A3675" i="3"/>
  <c r="A3676" i="3"/>
  <c r="A3677" i="3"/>
  <c r="A3678" i="3"/>
  <c r="A3679" i="3"/>
  <c r="A3680" i="3"/>
  <c r="A3681" i="3"/>
  <c r="A3682" i="3"/>
  <c r="A3683" i="3"/>
  <c r="A3684" i="3"/>
  <c r="A3685" i="3"/>
  <c r="A3686" i="3"/>
  <c r="A3687" i="3"/>
  <c r="A3688" i="3"/>
  <c r="A3689" i="3"/>
  <c r="A3690" i="3"/>
  <c r="A3691" i="3"/>
  <c r="A3692" i="3"/>
  <c r="A3693" i="3"/>
  <c r="A3694" i="3"/>
  <c r="A3695" i="3"/>
  <c r="A3696" i="3"/>
  <c r="A3697" i="3"/>
  <c r="A3698" i="3"/>
  <c r="A3699" i="3"/>
  <c r="A3700" i="3"/>
  <c r="A3701" i="3"/>
  <c r="A3702" i="3"/>
  <c r="A3703" i="3"/>
  <c r="A3704" i="3"/>
  <c r="A3705" i="3"/>
  <c r="A3706" i="3"/>
  <c r="A3707" i="3"/>
  <c r="A3708" i="3"/>
  <c r="A3709" i="3"/>
  <c r="A3710" i="3"/>
  <c r="A3711" i="3"/>
  <c r="A3712" i="3"/>
  <c r="A3713" i="3"/>
  <c r="A3714" i="3"/>
  <c r="A3715" i="3"/>
  <c r="A3716" i="3"/>
  <c r="A3717" i="3"/>
  <c r="A3718" i="3"/>
  <c r="A3719" i="3"/>
  <c r="A3720" i="3"/>
  <c r="A3721" i="3"/>
  <c r="A3722" i="3"/>
  <c r="A3723" i="3"/>
  <c r="A3724" i="3"/>
  <c r="A3725" i="3"/>
  <c r="A3726" i="3"/>
  <c r="A3727" i="3"/>
  <c r="A3728" i="3"/>
  <c r="A3729" i="3"/>
  <c r="A3730" i="3"/>
  <c r="A3731" i="3"/>
  <c r="A3732" i="3"/>
  <c r="A3733" i="3"/>
  <c r="A3734" i="3"/>
  <c r="A3735" i="3"/>
  <c r="A3736" i="3"/>
  <c r="A3737" i="3"/>
  <c r="A3738" i="3"/>
  <c r="A3739" i="3"/>
  <c r="A3740" i="3"/>
  <c r="A3741" i="3"/>
  <c r="A3742" i="3"/>
  <c r="A3743" i="3"/>
  <c r="A3744" i="3"/>
  <c r="A3745" i="3"/>
  <c r="A3746" i="3"/>
  <c r="A3747" i="3"/>
  <c r="A3748" i="3"/>
  <c r="A3749" i="3"/>
  <c r="A3750" i="3"/>
  <c r="A3751" i="3"/>
  <c r="A3752" i="3"/>
  <c r="A3753" i="3"/>
  <c r="A3754" i="3"/>
  <c r="A3755" i="3"/>
  <c r="A3756" i="3"/>
  <c r="A3757" i="3"/>
  <c r="A3758" i="3"/>
  <c r="A3759" i="3"/>
  <c r="A3760" i="3"/>
  <c r="A3761" i="3"/>
  <c r="A3762" i="3"/>
  <c r="A3763" i="3"/>
  <c r="A3764" i="3"/>
  <c r="A3765" i="3"/>
  <c r="A3766" i="3"/>
  <c r="A3767" i="3"/>
  <c r="A3768" i="3"/>
  <c r="A3769" i="3"/>
  <c r="A3770" i="3"/>
  <c r="A3771" i="3"/>
  <c r="A3772" i="3"/>
  <c r="A3773" i="3"/>
  <c r="A3774" i="3"/>
  <c r="A3775" i="3"/>
  <c r="A3776" i="3"/>
  <c r="A3777" i="3"/>
  <c r="A3778" i="3"/>
  <c r="A3779" i="3"/>
  <c r="A3780" i="3"/>
  <c r="A3781" i="3"/>
  <c r="A3782" i="3"/>
  <c r="A3783" i="3"/>
  <c r="A3784" i="3"/>
  <c r="A3785" i="3"/>
  <c r="A3786" i="3"/>
  <c r="A3787" i="3"/>
  <c r="A3788" i="3"/>
  <c r="A3789" i="3"/>
  <c r="A3790" i="3"/>
  <c r="A3791" i="3"/>
  <c r="A3792" i="3"/>
  <c r="A3793" i="3"/>
  <c r="A3794" i="3"/>
  <c r="A3795" i="3"/>
  <c r="A3796" i="3"/>
  <c r="A3797" i="3"/>
  <c r="A3798" i="3"/>
  <c r="A3799" i="3"/>
  <c r="A3800" i="3"/>
  <c r="A3801" i="3"/>
  <c r="A3802" i="3"/>
  <c r="A3803" i="3"/>
  <c r="A3804" i="3"/>
  <c r="A3805" i="3"/>
  <c r="A3806" i="3"/>
  <c r="A3807" i="3"/>
  <c r="A3808" i="3"/>
  <c r="A3809" i="3"/>
  <c r="A3810" i="3"/>
  <c r="A3811" i="3"/>
  <c r="A3812" i="3"/>
  <c r="A3813" i="3"/>
  <c r="A3814" i="3"/>
  <c r="A3815" i="3"/>
  <c r="A3816" i="3"/>
  <c r="A3817" i="3"/>
  <c r="A3818" i="3"/>
  <c r="A3819" i="3"/>
  <c r="A3820" i="3"/>
  <c r="A3821" i="3"/>
  <c r="A3822" i="3"/>
  <c r="A3823" i="3"/>
  <c r="A3824" i="3"/>
  <c r="A3825" i="3"/>
  <c r="A3826" i="3"/>
  <c r="A3827" i="3"/>
  <c r="A3828" i="3"/>
  <c r="A3829" i="3"/>
  <c r="A3830" i="3"/>
  <c r="A3831" i="3"/>
  <c r="A3832" i="3"/>
  <c r="A3833" i="3"/>
  <c r="A3834" i="3"/>
  <c r="A3835" i="3"/>
  <c r="A3836" i="3"/>
  <c r="A3837" i="3"/>
  <c r="A3838" i="3"/>
  <c r="A3839" i="3"/>
  <c r="A3840" i="3"/>
  <c r="A3841" i="3"/>
  <c r="A3842" i="3"/>
  <c r="A3843" i="3"/>
  <c r="A3844" i="3"/>
  <c r="A3845" i="3"/>
  <c r="A3846" i="3"/>
  <c r="A3847" i="3"/>
  <c r="A3848" i="3"/>
  <c r="A3849" i="3"/>
  <c r="A3850" i="3"/>
  <c r="A3851" i="3"/>
  <c r="A3852" i="3"/>
  <c r="A3853" i="3"/>
  <c r="A3854" i="3"/>
  <c r="A3855" i="3"/>
  <c r="A3856" i="3"/>
  <c r="A3857" i="3"/>
  <c r="A3858" i="3"/>
  <c r="A3859" i="3"/>
  <c r="A3860" i="3"/>
  <c r="A3861" i="3"/>
  <c r="A3862" i="3"/>
  <c r="A3863" i="3"/>
  <c r="A3864" i="3"/>
  <c r="A3865" i="3"/>
  <c r="A3866" i="3"/>
  <c r="A3867" i="3"/>
  <c r="A3868" i="3"/>
  <c r="A3869" i="3"/>
  <c r="A3870" i="3"/>
  <c r="A3871" i="3"/>
  <c r="A3872" i="3"/>
  <c r="A3873" i="3"/>
  <c r="A3874" i="3"/>
  <c r="A3875" i="3"/>
  <c r="A3876" i="3"/>
  <c r="A3877" i="3"/>
  <c r="A3878" i="3"/>
  <c r="A3879" i="3"/>
  <c r="A3880" i="3"/>
  <c r="A3881" i="3"/>
  <c r="A3882" i="3"/>
  <c r="A3883" i="3"/>
  <c r="A3884" i="3"/>
  <c r="A3885" i="3"/>
  <c r="A3886" i="3"/>
  <c r="A3887" i="3"/>
  <c r="A3888" i="3"/>
  <c r="A3889" i="3"/>
  <c r="A3890" i="3"/>
  <c r="A3891" i="3"/>
  <c r="A3892" i="3"/>
  <c r="A3893" i="3"/>
  <c r="A3894" i="3"/>
  <c r="A3895" i="3"/>
  <c r="A3896" i="3"/>
  <c r="A3897" i="3"/>
  <c r="A3898" i="3"/>
  <c r="A3899" i="3"/>
  <c r="A3900" i="3"/>
  <c r="A3901" i="3"/>
  <c r="A3902" i="3"/>
  <c r="A3903" i="3"/>
  <c r="A3904" i="3"/>
  <c r="A3905" i="3"/>
  <c r="A3906" i="3"/>
  <c r="A3907" i="3"/>
  <c r="A3908" i="3"/>
  <c r="A3909" i="3"/>
  <c r="A3910" i="3"/>
  <c r="A3911" i="3"/>
  <c r="A3912" i="3"/>
  <c r="A3913" i="3"/>
  <c r="A3914" i="3"/>
  <c r="A3915" i="3"/>
  <c r="A3916" i="3"/>
  <c r="A3917" i="3"/>
  <c r="A3918" i="3"/>
  <c r="A3919" i="3"/>
  <c r="A3920" i="3"/>
  <c r="A3921" i="3"/>
  <c r="A3922" i="3"/>
  <c r="A3923" i="3"/>
  <c r="A3924" i="3"/>
  <c r="A3925" i="3"/>
  <c r="A3926" i="3"/>
  <c r="A3927" i="3"/>
  <c r="A3928" i="3"/>
  <c r="A3929" i="3"/>
  <c r="A3930" i="3"/>
  <c r="A3931" i="3"/>
  <c r="A3932" i="3"/>
  <c r="A3933" i="3"/>
  <c r="A3934" i="3"/>
  <c r="A3935" i="3"/>
  <c r="A3936" i="3"/>
  <c r="A3937" i="3"/>
  <c r="A3938" i="3"/>
  <c r="A3939" i="3"/>
  <c r="A3940" i="3"/>
  <c r="A3941" i="3"/>
  <c r="A3942" i="3"/>
  <c r="A3943" i="3"/>
  <c r="A3944" i="3"/>
  <c r="A3945" i="3"/>
  <c r="A3946" i="3"/>
  <c r="A3947" i="3"/>
  <c r="A3948" i="3"/>
  <c r="A3949" i="3"/>
  <c r="A3950" i="3"/>
  <c r="A3951" i="3"/>
  <c r="A3952" i="3"/>
  <c r="A3953" i="3"/>
  <c r="A3954" i="3"/>
  <c r="A3955" i="3"/>
  <c r="A3956" i="3"/>
  <c r="A3957" i="3"/>
  <c r="A3958" i="3"/>
  <c r="A3959" i="3"/>
  <c r="A3960" i="3"/>
  <c r="A3961" i="3"/>
  <c r="A3962" i="3"/>
  <c r="A3963" i="3"/>
  <c r="A3964" i="3"/>
  <c r="A3965" i="3"/>
  <c r="A3966" i="3"/>
  <c r="A3967" i="3"/>
  <c r="A3968" i="3"/>
  <c r="A3969" i="3"/>
  <c r="A3970" i="3"/>
  <c r="A3971" i="3"/>
  <c r="A3972" i="3"/>
  <c r="A3973" i="3"/>
  <c r="A3974" i="3"/>
  <c r="A3975" i="3"/>
  <c r="A3976" i="3"/>
  <c r="A3977" i="3"/>
  <c r="A3978" i="3"/>
  <c r="A3979" i="3"/>
  <c r="A3980" i="3"/>
  <c r="A3981" i="3"/>
  <c r="A3982" i="3"/>
  <c r="A3983" i="3"/>
  <c r="A3984" i="3"/>
  <c r="A3985" i="3"/>
  <c r="A3986" i="3"/>
  <c r="A3987" i="3"/>
  <c r="A3988" i="3"/>
  <c r="A3989" i="3"/>
  <c r="A3990" i="3"/>
  <c r="A3991" i="3"/>
  <c r="A3992" i="3"/>
  <c r="A3993" i="3"/>
  <c r="A3994" i="3"/>
  <c r="A3995" i="3"/>
  <c r="A3996" i="3"/>
  <c r="A3997" i="3"/>
  <c r="A3998" i="3"/>
  <c r="A3999" i="3"/>
  <c r="A4000" i="3"/>
  <c r="A4001" i="3"/>
  <c r="A4002" i="3"/>
  <c r="A4003" i="3"/>
  <c r="A4004" i="3"/>
  <c r="A4005" i="3"/>
  <c r="A4006" i="3"/>
  <c r="A4007" i="3"/>
  <c r="A4008" i="3"/>
  <c r="A4009" i="3"/>
  <c r="A4010" i="3"/>
  <c r="A4011" i="3"/>
  <c r="A4012" i="3"/>
  <c r="A4013" i="3"/>
  <c r="A4014" i="3"/>
  <c r="A4015" i="3"/>
  <c r="A4016" i="3"/>
  <c r="A4017" i="3"/>
  <c r="A4018" i="3"/>
  <c r="A4019" i="3"/>
  <c r="A4020" i="3"/>
  <c r="A4021" i="3"/>
  <c r="A4022" i="3"/>
  <c r="A4023" i="3"/>
  <c r="A4024" i="3"/>
  <c r="A4025" i="3"/>
  <c r="A4026" i="3"/>
  <c r="A4027" i="3"/>
  <c r="A4028" i="3"/>
  <c r="A4029" i="3"/>
  <c r="A4030" i="3"/>
  <c r="A4031" i="3"/>
  <c r="A4032" i="3"/>
  <c r="A4033" i="3"/>
  <c r="A4034" i="3"/>
  <c r="A4035" i="3"/>
  <c r="A4036" i="3"/>
  <c r="A4037" i="3"/>
  <c r="A4038" i="3"/>
  <c r="A4039" i="3"/>
  <c r="A4040" i="3"/>
  <c r="A4041" i="3"/>
  <c r="A4042" i="3"/>
  <c r="A4043" i="3"/>
  <c r="A4044" i="3"/>
  <c r="A4045" i="3"/>
  <c r="A4046" i="3"/>
  <c r="A4047" i="3"/>
  <c r="A4048" i="3"/>
  <c r="A4049" i="3"/>
  <c r="A4050" i="3"/>
  <c r="A4051" i="3"/>
  <c r="A4052" i="3"/>
  <c r="A4053" i="3"/>
  <c r="A4054" i="3"/>
  <c r="A4055" i="3"/>
  <c r="A4056" i="3"/>
  <c r="A4057" i="3"/>
  <c r="A4058" i="3"/>
  <c r="A4059" i="3"/>
  <c r="A4060" i="3"/>
  <c r="A4061" i="3"/>
  <c r="A4062" i="3"/>
  <c r="A4063" i="3"/>
  <c r="A4064" i="3"/>
  <c r="A4065" i="3"/>
  <c r="A4066" i="3"/>
  <c r="A4067" i="3"/>
  <c r="A4068" i="3"/>
  <c r="A4069" i="3"/>
  <c r="A4070" i="3"/>
  <c r="A4071" i="3"/>
  <c r="A4072" i="3"/>
  <c r="A4073" i="3"/>
  <c r="A4074" i="3"/>
  <c r="A4075" i="3"/>
  <c r="A4076" i="3"/>
  <c r="A4077" i="3"/>
  <c r="A4078" i="3"/>
  <c r="A4079" i="3"/>
  <c r="A4080" i="3"/>
  <c r="A4081" i="3"/>
  <c r="A4082" i="3"/>
  <c r="A4083" i="3"/>
  <c r="A4084" i="3"/>
  <c r="A4085" i="3"/>
  <c r="A4086" i="3"/>
  <c r="A4087" i="3"/>
  <c r="A4088" i="3"/>
  <c r="A4089" i="3"/>
  <c r="A4090" i="3"/>
  <c r="A4091" i="3"/>
  <c r="A4092" i="3"/>
  <c r="A4093" i="3"/>
  <c r="A4094" i="3"/>
  <c r="A4095" i="3"/>
  <c r="A4096" i="3"/>
  <c r="A4097" i="3"/>
  <c r="A4098" i="3"/>
  <c r="A4099" i="3"/>
  <c r="A4100" i="3"/>
  <c r="A4101" i="3"/>
  <c r="A4102" i="3"/>
  <c r="A4103" i="3"/>
  <c r="A4104" i="3"/>
  <c r="A4105" i="3"/>
  <c r="A4106" i="3"/>
  <c r="A4107" i="3"/>
  <c r="A4108" i="3"/>
  <c r="A4109" i="3"/>
  <c r="A4110" i="3"/>
  <c r="A4111" i="3"/>
  <c r="A4112" i="3"/>
  <c r="A4113" i="3"/>
  <c r="A4114" i="3"/>
  <c r="A4115" i="3"/>
  <c r="A4116" i="3"/>
  <c r="A4117" i="3"/>
  <c r="A4118" i="3"/>
  <c r="A4119" i="3"/>
  <c r="A4120" i="3"/>
  <c r="A4121" i="3"/>
  <c r="A4122" i="3"/>
  <c r="A4123" i="3"/>
  <c r="A4124" i="3"/>
  <c r="A4125" i="3"/>
  <c r="A4126" i="3"/>
  <c r="A4127" i="3"/>
  <c r="A4128" i="3"/>
  <c r="A4129" i="3"/>
  <c r="A4130" i="3"/>
  <c r="A4131" i="3"/>
  <c r="A4132" i="3"/>
  <c r="A4133" i="3"/>
  <c r="A4134" i="3"/>
  <c r="A4135" i="3"/>
  <c r="A4136" i="3"/>
  <c r="A4137" i="3"/>
  <c r="A4138" i="3"/>
  <c r="A4139" i="3"/>
  <c r="A4140" i="3"/>
  <c r="A4141" i="3"/>
  <c r="A4142" i="3"/>
  <c r="A4143" i="3"/>
  <c r="A4144" i="3"/>
  <c r="A4145" i="3"/>
  <c r="A4146" i="3"/>
  <c r="A4147" i="3"/>
  <c r="A4148" i="3"/>
  <c r="A4149" i="3"/>
  <c r="A4150" i="3"/>
  <c r="A4151" i="3"/>
  <c r="A4152" i="3"/>
  <c r="A4153" i="3"/>
  <c r="A4154" i="3"/>
  <c r="A4155" i="3"/>
  <c r="A4156" i="3"/>
  <c r="A4157" i="3"/>
  <c r="A4158" i="3"/>
  <c r="A4159" i="3"/>
  <c r="A4160" i="3"/>
  <c r="A4161" i="3"/>
  <c r="A4162" i="3"/>
  <c r="A4163" i="3"/>
  <c r="A4164" i="3"/>
  <c r="A4165" i="3"/>
  <c r="A4166" i="3"/>
  <c r="A4167" i="3"/>
  <c r="A4168" i="3"/>
  <c r="A4169" i="3"/>
  <c r="A4170" i="3"/>
  <c r="A4171" i="3"/>
  <c r="A4172" i="3"/>
  <c r="A4173" i="3"/>
  <c r="A4174" i="3"/>
  <c r="A4175" i="3"/>
  <c r="A4176" i="3"/>
  <c r="A4177" i="3"/>
  <c r="A4178" i="3"/>
  <c r="A4179" i="3"/>
  <c r="A4180" i="3"/>
  <c r="A4181" i="3"/>
  <c r="A4182" i="3"/>
  <c r="A4183" i="3"/>
  <c r="A4184" i="3"/>
  <c r="A4185" i="3"/>
  <c r="A4186" i="3"/>
  <c r="A4187" i="3"/>
  <c r="A4188" i="3"/>
  <c r="A4189" i="3"/>
  <c r="A4190" i="3"/>
  <c r="A4191" i="3"/>
  <c r="A4192" i="3"/>
  <c r="A4193" i="3"/>
  <c r="A4194" i="3"/>
  <c r="A4195" i="3"/>
  <c r="A4196" i="3"/>
  <c r="A4197" i="3"/>
  <c r="A4198" i="3"/>
  <c r="A4199" i="3"/>
  <c r="A6" i="1" l="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4" i="1"/>
  <c r="A5"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U4" i="4"/>
  <c r="U5" i="4"/>
  <c r="U6" i="4"/>
  <c r="U7" i="4"/>
  <c r="U10" i="4"/>
  <c r="W10" i="4" s="1"/>
  <c r="U11" i="4"/>
  <c r="U12" i="4"/>
  <c r="U13" i="4"/>
  <c r="U14" i="4"/>
  <c r="U15" i="4"/>
  <c r="U16" i="4"/>
  <c r="A2" i="2" l="1"/>
  <c r="FI43" i="2" l="1"/>
  <c r="FH43" i="2"/>
  <c r="FF43" i="2"/>
  <c r="FE43" i="2"/>
  <c r="FC43" i="2"/>
  <c r="FB43" i="2"/>
  <c r="EZ43" i="2"/>
  <c r="EY43" i="2"/>
  <c r="EW43" i="2"/>
  <c r="EV43" i="2"/>
  <c r="ET43" i="2"/>
  <c r="ES43" i="2"/>
  <c r="FI37" i="2"/>
  <c r="FH37" i="2"/>
  <c r="FF37" i="2"/>
  <c r="FE37" i="2"/>
  <c r="FC37" i="2"/>
  <c r="FB37" i="2"/>
  <c r="EZ37" i="2"/>
  <c r="EY37" i="2"/>
  <c r="EW37" i="2"/>
  <c r="EV37" i="2"/>
  <c r="ET37" i="2"/>
  <c r="ES37" i="2"/>
  <c r="EQ43" i="2"/>
  <c r="EP43" i="2"/>
  <c r="EN43" i="2"/>
  <c r="EM43" i="2"/>
  <c r="EK43" i="2"/>
  <c r="EJ43" i="2"/>
  <c r="EH43" i="2"/>
  <c r="EG43" i="2"/>
  <c r="EE43" i="2"/>
  <c r="ED43" i="2"/>
  <c r="EB43" i="2"/>
  <c r="EA43" i="2"/>
  <c r="DY43" i="2"/>
  <c r="DX43" i="2"/>
  <c r="DV43" i="2"/>
  <c r="DU43" i="2"/>
  <c r="DS43" i="2"/>
  <c r="DR43" i="2"/>
  <c r="DP43" i="2"/>
  <c r="DO43" i="2"/>
  <c r="DM43" i="2"/>
  <c r="DL43" i="2"/>
  <c r="DJ43" i="2"/>
  <c r="DI43" i="2"/>
  <c r="DG43" i="2"/>
  <c r="DF43" i="2"/>
  <c r="DD43" i="2"/>
  <c r="DC43" i="2"/>
  <c r="EQ37" i="2"/>
  <c r="EP37" i="2"/>
  <c r="EN37" i="2"/>
  <c r="EM37" i="2"/>
  <c r="EK37" i="2"/>
  <c r="EJ37" i="2"/>
  <c r="EH37" i="2"/>
  <c r="EG37" i="2"/>
  <c r="EE37" i="2"/>
  <c r="ED37" i="2"/>
  <c r="EB37" i="2"/>
  <c r="EA37" i="2"/>
  <c r="DY37" i="2"/>
  <c r="DX37" i="2"/>
  <c r="DV37" i="2"/>
  <c r="DU37" i="2"/>
  <c r="DS37" i="2"/>
  <c r="DR37" i="2"/>
  <c r="DP37" i="2"/>
  <c r="DO37" i="2"/>
  <c r="DM37" i="2"/>
  <c r="DL37" i="2"/>
  <c r="DJ37" i="2"/>
  <c r="DI37" i="2"/>
  <c r="DG37" i="2"/>
  <c r="DF37" i="2"/>
  <c r="DD37" i="2"/>
  <c r="DC37" i="2"/>
  <c r="DA43" i="2"/>
  <c r="CZ43" i="2"/>
  <c r="CX43" i="2"/>
  <c r="CW43" i="2"/>
  <c r="CU43" i="2"/>
  <c r="CT43" i="2"/>
  <c r="CR43" i="2"/>
  <c r="CQ43" i="2"/>
  <c r="CO43" i="2"/>
  <c r="CN43" i="2"/>
  <c r="CL43" i="2"/>
  <c r="CK43" i="2"/>
  <c r="CI43" i="2"/>
  <c r="CH43" i="2"/>
  <c r="CF43" i="2"/>
  <c r="CE43" i="2"/>
  <c r="CC43" i="2"/>
  <c r="CB43" i="2"/>
  <c r="BZ43" i="2"/>
  <c r="BY43" i="2"/>
  <c r="BW43" i="2"/>
  <c r="BV43" i="2"/>
  <c r="BT43" i="2"/>
  <c r="BS43" i="2"/>
  <c r="BQ43" i="2"/>
  <c r="BP43" i="2"/>
  <c r="BN43" i="2"/>
  <c r="BM43" i="2"/>
  <c r="DA37" i="2"/>
  <c r="CZ37" i="2"/>
  <c r="CX37" i="2"/>
  <c r="CW37" i="2"/>
  <c r="CU37" i="2"/>
  <c r="CT37" i="2"/>
  <c r="CR37" i="2"/>
  <c r="CQ37" i="2"/>
  <c r="CO37" i="2"/>
  <c r="CN37" i="2"/>
  <c r="CL37" i="2"/>
  <c r="CK37" i="2"/>
  <c r="CI37" i="2"/>
  <c r="CH37" i="2"/>
  <c r="CF37" i="2"/>
  <c r="CE37" i="2"/>
  <c r="CC37" i="2"/>
  <c r="CB37" i="2"/>
  <c r="BZ37" i="2"/>
  <c r="BY37" i="2"/>
  <c r="BW37" i="2"/>
  <c r="BV37" i="2"/>
  <c r="BT37" i="2"/>
  <c r="BS37" i="2"/>
  <c r="BQ37" i="2"/>
  <c r="BP37" i="2"/>
  <c r="BN37" i="2"/>
  <c r="BM37" i="2"/>
  <c r="BK43" i="2"/>
  <c r="BJ43" i="2"/>
  <c r="BH43" i="2"/>
  <c r="BG43" i="2"/>
  <c r="BE43" i="2"/>
  <c r="BD43" i="2"/>
  <c r="BB43" i="2"/>
  <c r="BA43" i="2"/>
  <c r="AY43" i="2"/>
  <c r="AX43" i="2"/>
  <c r="AV43" i="2"/>
  <c r="AU43" i="2"/>
  <c r="AS43" i="2"/>
  <c r="AR43" i="2"/>
  <c r="AP43" i="2"/>
  <c r="AO43" i="2"/>
  <c r="AM43" i="2"/>
  <c r="AL43" i="2"/>
  <c r="AJ43" i="2"/>
  <c r="AI43" i="2"/>
  <c r="AG43" i="2"/>
  <c r="AF43" i="2"/>
  <c r="AD43" i="2"/>
  <c r="AC43" i="2"/>
  <c r="AA43" i="2"/>
  <c r="Z43" i="2"/>
  <c r="X43" i="2"/>
  <c r="W43" i="2"/>
  <c r="BK37" i="2"/>
  <c r="BJ37" i="2"/>
  <c r="BH37" i="2"/>
  <c r="BG37" i="2"/>
  <c r="BE37" i="2"/>
  <c r="BD37" i="2"/>
  <c r="BB37" i="2"/>
  <c r="BA37" i="2"/>
  <c r="AY37" i="2"/>
  <c r="AX37" i="2"/>
  <c r="AV37" i="2"/>
  <c r="AU37" i="2"/>
  <c r="AS37" i="2"/>
  <c r="AR37" i="2"/>
  <c r="AP37" i="2"/>
  <c r="AO37" i="2"/>
  <c r="AM37" i="2"/>
  <c r="AL37" i="2"/>
  <c r="AJ37" i="2"/>
  <c r="AI37" i="2"/>
  <c r="AG37" i="2"/>
  <c r="AF37" i="2"/>
  <c r="AD37" i="2"/>
  <c r="AC37" i="2"/>
  <c r="AA37" i="2"/>
  <c r="Z37" i="2"/>
  <c r="X37" i="2"/>
  <c r="W37" i="2"/>
  <c r="U43" i="2"/>
  <c r="T43" i="2"/>
  <c r="R43" i="2"/>
  <c r="Q43" i="2"/>
  <c r="O43" i="2"/>
  <c r="N43" i="2"/>
  <c r="L43" i="2"/>
  <c r="K43" i="2"/>
  <c r="I43" i="2"/>
  <c r="H43" i="2"/>
  <c r="F43" i="2"/>
  <c r="E43" i="2"/>
  <c r="U37" i="2"/>
  <c r="T37" i="2"/>
  <c r="R37" i="2"/>
  <c r="Q37" i="2"/>
  <c r="O37" i="2"/>
  <c r="N37" i="2"/>
  <c r="L37" i="2"/>
  <c r="K37" i="2"/>
  <c r="I37" i="2"/>
  <c r="H37" i="2"/>
  <c r="F37" i="2"/>
  <c r="E37" i="2"/>
  <c r="E22" i="2" l="1"/>
  <c r="F22" i="2"/>
  <c r="G22" i="2"/>
  <c r="H22" i="2"/>
  <c r="I22" i="2"/>
  <c r="J22" i="2"/>
  <c r="K22" i="2"/>
  <c r="L22" i="2"/>
  <c r="M22" i="2"/>
  <c r="N22" i="2"/>
  <c r="O22" i="2"/>
  <c r="P22" i="2"/>
  <c r="Q22" i="2"/>
  <c r="R22" i="2"/>
  <c r="S22" i="2"/>
  <c r="T22" i="2"/>
  <c r="U22" i="2"/>
  <c r="V22" i="2"/>
  <c r="W22" i="2"/>
  <c r="X22" i="2"/>
  <c r="Y22" i="2"/>
  <c r="Z22" i="2"/>
  <c r="AA22" i="2"/>
  <c r="AB22" i="2"/>
  <c r="AC22" i="2"/>
  <c r="AD22" i="2"/>
  <c r="AE22" i="2"/>
  <c r="AF22" i="2"/>
  <c r="AG22" i="2"/>
  <c r="AH22" i="2"/>
  <c r="AI22" i="2"/>
  <c r="AJ22" i="2"/>
  <c r="AK22" i="2"/>
  <c r="AL22" i="2"/>
  <c r="AM22" i="2"/>
  <c r="AN22" i="2"/>
  <c r="AO22" i="2"/>
  <c r="AP22" i="2"/>
  <c r="AQ22" i="2"/>
  <c r="AR22" i="2"/>
  <c r="AS22" i="2"/>
  <c r="AT22" i="2"/>
  <c r="AU22" i="2"/>
  <c r="AV22" i="2"/>
  <c r="AW22" i="2"/>
  <c r="AX22" i="2"/>
  <c r="AY22" i="2"/>
  <c r="AZ22" i="2"/>
  <c r="BA22" i="2"/>
  <c r="BB22" i="2"/>
  <c r="BC22" i="2"/>
  <c r="BD22" i="2"/>
  <c r="BE22" i="2"/>
  <c r="BF22" i="2"/>
  <c r="BG22" i="2"/>
  <c r="BH22" i="2"/>
  <c r="BI22" i="2"/>
  <c r="BJ22" i="2"/>
  <c r="BK22" i="2"/>
  <c r="BL22" i="2"/>
  <c r="BM22" i="2"/>
  <c r="BN22" i="2"/>
  <c r="BO22" i="2"/>
  <c r="BP22" i="2"/>
  <c r="BQ22" i="2"/>
  <c r="BR22" i="2"/>
  <c r="BS22" i="2"/>
  <c r="BT22" i="2"/>
  <c r="BU22" i="2"/>
  <c r="BV22" i="2"/>
  <c r="BW22" i="2"/>
  <c r="BX22" i="2"/>
  <c r="BY22" i="2"/>
  <c r="BZ22" i="2"/>
  <c r="CA22" i="2"/>
  <c r="CB22" i="2"/>
  <c r="CC22" i="2"/>
  <c r="CD22" i="2"/>
  <c r="CE22" i="2"/>
  <c r="CF22" i="2"/>
  <c r="CG22" i="2"/>
  <c r="CH22" i="2"/>
  <c r="CI22" i="2"/>
  <c r="CJ22" i="2"/>
  <c r="CK22" i="2"/>
  <c r="CL22" i="2"/>
  <c r="CM22" i="2"/>
  <c r="CN22" i="2"/>
  <c r="CO22" i="2"/>
  <c r="CP22" i="2"/>
  <c r="CQ22" i="2"/>
  <c r="CR22" i="2"/>
  <c r="CS22" i="2"/>
  <c r="CT22" i="2"/>
  <c r="CU22" i="2"/>
  <c r="CV22" i="2"/>
  <c r="CW22" i="2"/>
  <c r="CX22" i="2"/>
  <c r="CY22" i="2"/>
  <c r="CZ22" i="2"/>
  <c r="DA22" i="2"/>
  <c r="DB22" i="2"/>
  <c r="DC22" i="2"/>
  <c r="DD22" i="2"/>
  <c r="DE22" i="2"/>
  <c r="DF22" i="2"/>
  <c r="DG22" i="2"/>
  <c r="DH22" i="2"/>
  <c r="DI22" i="2"/>
  <c r="DJ22" i="2"/>
  <c r="DK22" i="2"/>
  <c r="DL22" i="2"/>
  <c r="DM22" i="2"/>
  <c r="DN22" i="2"/>
  <c r="DO22" i="2"/>
  <c r="DP22" i="2"/>
  <c r="DQ22" i="2"/>
  <c r="DR22" i="2"/>
  <c r="DS22" i="2"/>
  <c r="DT22" i="2"/>
  <c r="DU22" i="2"/>
  <c r="DV22" i="2"/>
  <c r="DW22" i="2"/>
  <c r="DX22" i="2"/>
  <c r="DY22" i="2"/>
  <c r="DZ22" i="2"/>
  <c r="EA22" i="2"/>
  <c r="EB22" i="2"/>
  <c r="EC22" i="2"/>
  <c r="ED22" i="2"/>
  <c r="EE22" i="2"/>
  <c r="EF22" i="2"/>
  <c r="EG22" i="2"/>
  <c r="EH22" i="2"/>
  <c r="EI22" i="2"/>
  <c r="EJ22" i="2"/>
  <c r="EK22" i="2"/>
  <c r="EL22" i="2"/>
  <c r="EM22" i="2"/>
  <c r="EN22" i="2"/>
  <c r="EO22" i="2"/>
  <c r="EP22" i="2"/>
  <c r="EQ22" i="2"/>
  <c r="ER22" i="2"/>
  <c r="ES22" i="2"/>
  <c r="ET22" i="2"/>
  <c r="EU22" i="2"/>
  <c r="EV22" i="2"/>
  <c r="EW22" i="2"/>
  <c r="EX22" i="2"/>
  <c r="EY22" i="2"/>
  <c r="EZ22" i="2"/>
  <c r="FA22" i="2"/>
  <c r="FB22" i="2"/>
  <c r="FC22" i="2"/>
  <c r="FD22" i="2"/>
  <c r="FE22" i="2"/>
  <c r="FF22" i="2"/>
  <c r="FG22" i="2"/>
  <c r="FH22" i="2"/>
  <c r="FI22" i="2"/>
  <c r="FJ22" i="2"/>
  <c r="D80"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Kristina Dik (External)</author>
    <author>Joshua Izquierdo (External)</author>
    <author>Ronny Ittner (External)</author>
    <author>Tobias Neubig (External)</author>
    <author>Ralf Brigulla (External)</author>
    <author>tc={7B8ACC35-B15B-466F-9B29-2149C19B179F}</author>
    <author>tc={BA826051-06CC-47C3-A6EF-B99B4A91FD24}</author>
    <author>tc={767A1BB3-DF12-47FA-9EB5-DC3DA05F4B52}</author>
    <author>tc={830FF239-3691-4580-9E11-73DBF8943BBB}</author>
    <author>tc={1FABD417-2669-4759-8F70-9D2AE307FD18}</author>
    <author>tc={3EF71C3A-BA42-4567-8231-3BE109FB9057}</author>
    <author>tc={49283442-87E1-4B5F-BB89-72A4EC55F644}</author>
    <author>tc={A1E6C27E-744A-40D4-8B7C-8019C8EFFD4A}</author>
    <author>tc={6D66A9EB-7888-4328-AFC5-C12ECA281C42}</author>
    <author>tc={8D0217E0-4DA1-4E98-9429-6077933CD66C}</author>
    <author>tc={90C28F41-7D65-4BCE-B982-E463662744D3}</author>
    <author>Patrick Willis</author>
  </authors>
  <commentList>
    <comment ref="G12" authorId="0" shapeId="0" xr:uid="{49FA9165-8BCE-4D0B-831D-EA094C49E8AB}">
      <text>
        <r>
          <rPr>
            <b/>
            <sz val="9"/>
            <color indexed="81"/>
            <rFont val="Segoe UI"/>
            <family val="2"/>
          </rPr>
          <t>Kristina Dik (External):</t>
        </r>
        <r>
          <rPr>
            <sz val="9"/>
            <color indexed="81"/>
            <rFont val="Segoe UI"/>
            <family val="2"/>
          </rPr>
          <t xml:space="preserve">
ETA 14:00 Uhr</t>
        </r>
      </text>
    </comment>
    <comment ref="G13" authorId="0" shapeId="0" xr:uid="{148351F9-831E-4467-A0F9-41702592FA93}">
      <text>
        <r>
          <rPr>
            <b/>
            <sz val="9"/>
            <color indexed="81"/>
            <rFont val="Segoe UI"/>
            <family val="2"/>
          </rPr>
          <t>Kristina Dik (External):</t>
        </r>
        <r>
          <rPr>
            <sz val="9"/>
            <color indexed="81"/>
            <rFont val="Segoe UI"/>
            <family val="2"/>
          </rPr>
          <t xml:space="preserve">
ETA 13:00 Uhr</t>
        </r>
      </text>
    </comment>
    <comment ref="G16" authorId="0" shapeId="0" xr:uid="{7A210055-32AA-474C-9F5A-29F6E11F9A9A}">
      <text>
        <r>
          <rPr>
            <b/>
            <sz val="9"/>
            <color indexed="81"/>
            <rFont val="Segoe UI"/>
            <family val="2"/>
          </rPr>
          <t>Kristina Dik (External):</t>
        </r>
        <r>
          <rPr>
            <sz val="9"/>
            <color indexed="81"/>
            <rFont val="Segoe UI"/>
            <family val="2"/>
          </rPr>
          <t xml:space="preserve">
ETA 14:00 Uhr</t>
        </r>
      </text>
    </comment>
    <comment ref="G29" authorId="1" shapeId="0" xr:uid="{F1DBB236-9D75-4DBA-97CF-8228FD581098}">
      <text>
        <r>
          <rPr>
            <b/>
            <sz val="9"/>
            <color indexed="81"/>
            <rFont val="Segoe UI"/>
            <family val="2"/>
          </rPr>
          <t>Joshua Izquierdo (External):</t>
        </r>
        <r>
          <rPr>
            <sz val="9"/>
            <color indexed="81"/>
            <rFont val="Segoe UI"/>
            <family val="2"/>
          </rPr>
          <t xml:space="preserve">
Trailer defekt, musste nach HEG</t>
        </r>
      </text>
    </comment>
    <comment ref="G30" authorId="2" shapeId="0" xr:uid="{F2549AD4-F02F-42CF-AE24-7D2E2DF6BF59}">
      <text>
        <r>
          <rPr>
            <b/>
            <sz val="9"/>
            <color indexed="81"/>
            <rFont val="Segoe UI"/>
            <family val="2"/>
          </rPr>
          <t>Ronny Ittner (External):</t>
        </r>
        <r>
          <rPr>
            <sz val="9"/>
            <color indexed="81"/>
            <rFont val="Segoe UI"/>
            <family val="2"/>
          </rPr>
          <t xml:space="preserve">
ETA 12:00</t>
        </r>
      </text>
    </comment>
    <comment ref="G32" authorId="2" shapeId="0" xr:uid="{DDEA30B0-EB7A-4DB6-8F00-07A3830947B3}">
      <text>
        <r>
          <rPr>
            <b/>
            <sz val="9"/>
            <color indexed="81"/>
            <rFont val="Segoe UI"/>
            <family val="2"/>
          </rPr>
          <t>Ronny Ittner (External):</t>
        </r>
        <r>
          <rPr>
            <sz val="9"/>
            <color indexed="81"/>
            <rFont val="Segoe UI"/>
            <family val="2"/>
          </rPr>
          <t xml:space="preserve">
ETA 17:00</t>
        </r>
      </text>
    </comment>
    <comment ref="G72" authorId="2" shapeId="0" xr:uid="{F1FEA918-3109-4F68-925E-60E5AF5F4162}">
      <text>
        <r>
          <rPr>
            <b/>
            <sz val="9"/>
            <color indexed="81"/>
            <rFont val="Segoe UI"/>
            <family val="2"/>
          </rPr>
          <t>Ronny Ittner (External):</t>
        </r>
        <r>
          <rPr>
            <sz val="9"/>
            <color indexed="81"/>
            <rFont val="Segoe UI"/>
            <family val="2"/>
          </rPr>
          <t xml:space="preserve">
ETA 15:00</t>
        </r>
      </text>
    </comment>
    <comment ref="G73" authorId="2" shapeId="0" xr:uid="{64446978-F3A0-4D63-939E-48CDF966DC75}">
      <text>
        <r>
          <rPr>
            <b/>
            <sz val="9"/>
            <color indexed="81"/>
            <rFont val="Segoe UI"/>
            <family val="2"/>
          </rPr>
          <t>Ronny Ittner (External):</t>
        </r>
        <r>
          <rPr>
            <sz val="9"/>
            <color indexed="81"/>
            <rFont val="Segoe UI"/>
            <family val="2"/>
          </rPr>
          <t xml:space="preserve">
ETA 13:00</t>
        </r>
      </text>
    </comment>
    <comment ref="G74" authorId="2" shapeId="0" xr:uid="{CD72D94F-5803-4C01-87D1-BACE3072D1C7}">
      <text>
        <r>
          <rPr>
            <b/>
            <sz val="9"/>
            <color indexed="81"/>
            <rFont val="Segoe UI"/>
            <family val="2"/>
          </rPr>
          <t>Ronny Ittner (External):</t>
        </r>
        <r>
          <rPr>
            <sz val="9"/>
            <color indexed="81"/>
            <rFont val="Segoe UI"/>
            <family val="2"/>
          </rPr>
          <t xml:space="preserve">
ETA 16:00</t>
        </r>
      </text>
    </comment>
    <comment ref="G90" authorId="0" shapeId="0" xr:uid="{05132981-ADFE-48F8-8623-51091C4F3CF8}">
      <text>
        <r>
          <rPr>
            <b/>
            <sz val="9"/>
            <color indexed="81"/>
            <rFont val="Segoe UI"/>
            <family val="2"/>
          </rPr>
          <t>Kristina Dik (External):</t>
        </r>
        <r>
          <rPr>
            <sz val="9"/>
            <color indexed="81"/>
            <rFont val="Segoe UI"/>
            <family val="2"/>
          </rPr>
          <t xml:space="preserve">
ETA 12:00</t>
        </r>
      </text>
    </comment>
    <comment ref="H93" authorId="3" shapeId="0" xr:uid="{F9CE05E6-277D-4E9B-8710-73A8EA2C0440}">
      <text>
        <r>
          <rPr>
            <b/>
            <sz val="9"/>
            <color indexed="81"/>
            <rFont val="Segoe UI"/>
            <family val="2"/>
          </rPr>
          <t>Tobias Neubig (External):</t>
        </r>
        <r>
          <rPr>
            <sz val="9"/>
            <color indexed="81"/>
            <rFont val="Segoe UI"/>
            <family val="2"/>
          </rPr>
          <t xml:space="preserve">
Bringt Ret. Und Leerpaletten
</t>
        </r>
      </text>
    </comment>
    <comment ref="G97" authorId="4" shapeId="0" xr:uid="{17E2A5F8-62B8-4ED6-838E-537620509121}">
      <text>
        <r>
          <rPr>
            <b/>
            <sz val="9"/>
            <color indexed="81"/>
            <rFont val="Segoe UI"/>
            <family val="2"/>
          </rPr>
          <t>Ralf Brigulla (External):</t>
        </r>
        <r>
          <rPr>
            <sz val="9"/>
            <color indexed="81"/>
            <rFont val="Segoe UI"/>
            <family val="2"/>
          </rPr>
          <t xml:space="preserve">
ETA ca. 13:00 Uhr</t>
        </r>
      </text>
    </comment>
    <comment ref="G98" authorId="4" shapeId="0" xr:uid="{FBCEEEEB-6BE8-47D1-9234-2BAE6F22B79A}">
      <text>
        <r>
          <rPr>
            <b/>
            <sz val="9"/>
            <color indexed="81"/>
            <rFont val="Segoe UI"/>
            <family val="2"/>
          </rPr>
          <t>Ralf Brigulla (External):</t>
        </r>
        <r>
          <rPr>
            <sz val="9"/>
            <color indexed="81"/>
            <rFont val="Segoe UI"/>
            <family val="2"/>
          </rPr>
          <t xml:space="preserve">
ETA ca. 14:00 Uhr</t>
        </r>
      </text>
    </comment>
    <comment ref="G109" authorId="2" shapeId="0" xr:uid="{9CB2B629-5A39-40AF-ACE3-6F8AD5139500}">
      <text>
        <r>
          <rPr>
            <b/>
            <sz val="9"/>
            <color indexed="81"/>
            <rFont val="Segoe UI"/>
            <family val="2"/>
          </rPr>
          <t>Ronny Ittner (External):</t>
        </r>
        <r>
          <rPr>
            <sz val="9"/>
            <color indexed="81"/>
            <rFont val="Segoe UI"/>
            <family val="2"/>
          </rPr>
          <t xml:space="preserve">
ETA 16:00</t>
        </r>
      </text>
    </comment>
    <comment ref="G116" authorId="4" shapeId="0" xr:uid="{ED984DD2-C5A9-46F8-B79C-727C58B61A7B}">
      <text>
        <r>
          <rPr>
            <b/>
            <sz val="9"/>
            <color indexed="81"/>
            <rFont val="Segoe UI"/>
            <family val="2"/>
          </rPr>
          <t>Ralf Brigulla (External):</t>
        </r>
        <r>
          <rPr>
            <sz val="9"/>
            <color indexed="81"/>
            <rFont val="Segoe UI"/>
            <family val="2"/>
          </rPr>
          <t xml:space="preserve">
ETA ca. 15:00 Uhr</t>
        </r>
      </text>
    </comment>
    <comment ref="G117" authorId="2" shapeId="0" xr:uid="{D3FA795B-7C9E-45E3-9D55-B28EC4F28345}">
      <text>
        <r>
          <rPr>
            <b/>
            <sz val="9"/>
            <color indexed="81"/>
            <rFont val="Segoe UI"/>
            <family val="2"/>
          </rPr>
          <t>Ronny Ittner (External):</t>
        </r>
        <r>
          <rPr>
            <sz val="9"/>
            <color indexed="81"/>
            <rFont val="Segoe UI"/>
            <family val="2"/>
          </rPr>
          <t xml:space="preserve">
Anl. Poznan 2</t>
        </r>
      </text>
    </comment>
    <comment ref="G119" authorId="2" shapeId="0" xr:uid="{6517D746-9904-48CE-A5E5-9DFA78AB1DF1}">
      <text>
        <r>
          <rPr>
            <b/>
            <sz val="9"/>
            <color indexed="81"/>
            <rFont val="Segoe UI"/>
            <family val="2"/>
          </rPr>
          <t>Ronny Ittner (External):</t>
        </r>
        <r>
          <rPr>
            <sz val="9"/>
            <color indexed="81"/>
            <rFont val="Segoe UI"/>
            <family val="2"/>
          </rPr>
          <t xml:space="preserve">
ETA 15:00
neue ETA ca. 16:30 Uhr</t>
        </r>
      </text>
    </comment>
    <comment ref="G120" authorId="2" shapeId="0" xr:uid="{B35EBE03-386C-4D30-A204-5B22EDE70CE5}">
      <text>
        <r>
          <rPr>
            <b/>
            <sz val="9"/>
            <color indexed="81"/>
            <rFont val="Segoe UI"/>
            <family val="2"/>
          </rPr>
          <t>Ronny Ittner (External):</t>
        </r>
        <r>
          <rPr>
            <sz val="9"/>
            <color indexed="81"/>
            <rFont val="Segoe UI"/>
            <family val="2"/>
          </rPr>
          <t xml:space="preserve">
ETA 12:00</t>
        </r>
      </text>
    </comment>
    <comment ref="G125" authorId="4" shapeId="0" xr:uid="{7CA83EED-C30E-47E6-9CFE-98997F946D52}">
      <text>
        <r>
          <rPr>
            <b/>
            <sz val="9"/>
            <color indexed="81"/>
            <rFont val="Segoe UI"/>
            <family val="2"/>
          </rPr>
          <t>Ralf Brigulla (External):</t>
        </r>
        <r>
          <rPr>
            <sz val="9"/>
            <color indexed="81"/>
            <rFont val="Segoe UI"/>
            <family val="2"/>
          </rPr>
          <t xml:space="preserve">
ETA ca. 14:00 Uhr</t>
        </r>
      </text>
    </comment>
    <comment ref="G126" authorId="0" shapeId="0" xr:uid="{36F4DFEB-2D87-4EED-AF11-1AB285B4AA9C}">
      <text>
        <r>
          <rPr>
            <b/>
            <sz val="9"/>
            <color indexed="81"/>
            <rFont val="Segoe UI"/>
            <family val="2"/>
          </rPr>
          <t>Kristina Dik (External):</t>
        </r>
        <r>
          <rPr>
            <sz val="9"/>
            <color indexed="81"/>
            <rFont val="Segoe UI"/>
            <family val="2"/>
          </rPr>
          <t xml:space="preserve">
ETA 14:00</t>
        </r>
      </text>
    </comment>
    <comment ref="G128" authorId="2" shapeId="0" xr:uid="{F2DFE1CF-E546-4200-839B-AECCB2BE7EC2}">
      <text>
        <r>
          <rPr>
            <b/>
            <sz val="9"/>
            <color indexed="81"/>
            <rFont val="Segoe UI"/>
            <family val="2"/>
          </rPr>
          <t>Ronny Ittner (External):</t>
        </r>
        <r>
          <rPr>
            <sz val="9"/>
            <color indexed="81"/>
            <rFont val="Segoe UI"/>
            <family val="2"/>
          </rPr>
          <t xml:space="preserve">
ETA 15:00</t>
        </r>
      </text>
    </comment>
    <comment ref="G136" authorId="0" shapeId="0" xr:uid="{1ABF1239-067F-4375-ADE9-5B8EB8CDE779}">
      <text>
        <r>
          <rPr>
            <b/>
            <sz val="9"/>
            <color indexed="81"/>
            <rFont val="Segoe UI"/>
            <family val="2"/>
          </rPr>
          <t>Kristina Dik (External):</t>
        </r>
        <r>
          <rPr>
            <sz val="9"/>
            <color indexed="81"/>
            <rFont val="Segoe UI"/>
            <family val="2"/>
          </rPr>
          <t xml:space="preserve">
ETA 12:00</t>
        </r>
      </text>
    </comment>
    <comment ref="G137" authorId="0" shapeId="0" xr:uid="{B8F5017D-A906-45A0-8CBE-8D38853A301A}">
      <text>
        <r>
          <rPr>
            <b/>
            <sz val="9"/>
            <color indexed="81"/>
            <rFont val="Segoe UI"/>
            <family val="2"/>
          </rPr>
          <t>Kristina Dik (External):</t>
        </r>
        <r>
          <rPr>
            <sz val="9"/>
            <color indexed="81"/>
            <rFont val="Segoe UI"/>
            <family val="2"/>
          </rPr>
          <t xml:space="preserve">
ETA 12:00</t>
        </r>
      </text>
    </comment>
    <comment ref="G138" authorId="0" shapeId="0" xr:uid="{A62AA414-AED4-4972-BDD4-64C2EB3A6118}">
      <text>
        <r>
          <rPr>
            <b/>
            <sz val="9"/>
            <color indexed="81"/>
            <rFont val="Segoe UI"/>
            <family val="2"/>
          </rPr>
          <t>Kristina Dik (External):</t>
        </r>
        <r>
          <rPr>
            <sz val="9"/>
            <color indexed="81"/>
            <rFont val="Segoe UI"/>
            <family val="2"/>
          </rPr>
          <t xml:space="preserve">
ETA 15:30</t>
        </r>
      </text>
    </comment>
    <comment ref="G152" authorId="4" shapeId="0" xr:uid="{5C8D4311-3DBA-4E3D-B23B-7ADC369B8047}">
      <text>
        <r>
          <rPr>
            <b/>
            <sz val="9"/>
            <color indexed="81"/>
            <rFont val="Segoe UI"/>
            <family val="2"/>
          </rPr>
          <t>Ralf Brigulla (External):</t>
        </r>
        <r>
          <rPr>
            <sz val="9"/>
            <color indexed="81"/>
            <rFont val="Segoe UI"/>
            <family val="2"/>
          </rPr>
          <t xml:space="preserve">
ETA 15:00</t>
        </r>
      </text>
    </comment>
    <comment ref="G154" authorId="4" shapeId="0" xr:uid="{B76797CD-B68B-403F-A901-1A16E441F75F}">
      <text>
        <r>
          <rPr>
            <b/>
            <sz val="9"/>
            <color indexed="81"/>
            <rFont val="Segoe UI"/>
            <family val="2"/>
          </rPr>
          <t>Ralf Brigulla (External):</t>
        </r>
        <r>
          <rPr>
            <sz val="9"/>
            <color indexed="81"/>
            <rFont val="Segoe UI"/>
            <family val="2"/>
          </rPr>
          <t xml:space="preserve">
ETA 14:45 </t>
        </r>
      </text>
    </comment>
    <comment ref="G164" authorId="0" shapeId="0" xr:uid="{8FD342EF-D5DC-4179-BCC5-8609ED75FCB4}">
      <text>
        <r>
          <rPr>
            <b/>
            <sz val="9"/>
            <color indexed="81"/>
            <rFont val="Segoe UI"/>
            <family val="2"/>
          </rPr>
          <t>Kristina Dik (External):</t>
        </r>
        <r>
          <rPr>
            <sz val="9"/>
            <color indexed="81"/>
            <rFont val="Segoe UI"/>
            <family val="2"/>
          </rPr>
          <t xml:space="preserve">
ETA 14:00
neue ETA ca. 17:00</t>
        </r>
      </text>
    </comment>
    <comment ref="G166" authorId="4" shapeId="0" xr:uid="{0A54D562-4D3B-4FCF-A9FF-1BD4C1978118}">
      <text>
        <r>
          <rPr>
            <b/>
            <sz val="9"/>
            <color indexed="81"/>
            <rFont val="Segoe UI"/>
            <family val="2"/>
          </rPr>
          <t>Ralf Brigulla (External):</t>
        </r>
        <r>
          <rPr>
            <sz val="9"/>
            <color indexed="81"/>
            <rFont val="Segoe UI"/>
            <family val="2"/>
          </rPr>
          <t xml:space="preserve">
ETA ca. 14:00 Uhr</t>
        </r>
      </text>
    </comment>
    <comment ref="G168" authorId="0" shapeId="0" xr:uid="{9BE014A6-1BF8-4F06-B627-81A1240D237F}">
      <text>
        <r>
          <rPr>
            <b/>
            <sz val="9"/>
            <color indexed="81"/>
            <rFont val="Segoe UI"/>
            <family val="2"/>
          </rPr>
          <t>Kristina Dik (External):</t>
        </r>
        <r>
          <rPr>
            <sz val="9"/>
            <color indexed="81"/>
            <rFont val="Segoe UI"/>
            <family val="2"/>
          </rPr>
          <t xml:space="preserve">
ETA 13:30</t>
        </r>
      </text>
    </comment>
    <comment ref="G169" authorId="0" shapeId="0" xr:uid="{4EC9F0B2-F55B-4C18-9DCD-5B85F1797E23}">
      <text>
        <r>
          <rPr>
            <b/>
            <sz val="9"/>
            <color indexed="81"/>
            <rFont val="Segoe UI"/>
            <family val="2"/>
          </rPr>
          <t>Kristina Dik (External):</t>
        </r>
        <r>
          <rPr>
            <sz val="9"/>
            <color indexed="81"/>
            <rFont val="Segoe UI"/>
            <family val="2"/>
          </rPr>
          <t xml:space="preserve">
ETA 14:00</t>
        </r>
      </text>
    </comment>
    <comment ref="G177" authorId="0" shapeId="0" xr:uid="{94120047-47BF-4FEF-AF16-A9618FD9878F}">
      <text>
        <r>
          <rPr>
            <b/>
            <sz val="9"/>
            <color indexed="81"/>
            <rFont val="Segoe UI"/>
            <family val="2"/>
          </rPr>
          <t>Kristina Dik (External):</t>
        </r>
        <r>
          <rPr>
            <sz val="9"/>
            <color indexed="81"/>
            <rFont val="Segoe UI"/>
            <family val="2"/>
          </rPr>
          <t xml:space="preserve">
Anl. Pecs 4</t>
        </r>
      </text>
    </comment>
    <comment ref="G180" authorId="0" shapeId="0" xr:uid="{49E7E843-796D-4059-A262-7AAF17D1B8A8}">
      <text>
        <r>
          <rPr>
            <b/>
            <sz val="9"/>
            <color indexed="81"/>
            <rFont val="Segoe UI"/>
            <family val="2"/>
          </rPr>
          <t>Kristina Dik (External):</t>
        </r>
        <r>
          <rPr>
            <sz val="9"/>
            <color indexed="81"/>
            <rFont val="Segoe UI"/>
            <family val="2"/>
          </rPr>
          <t xml:space="preserve">
ETA 14:00</t>
        </r>
      </text>
    </comment>
    <comment ref="G181" authorId="0" shapeId="0" xr:uid="{E6068F57-835F-42FE-BDE6-F4AE3517115F}">
      <text>
        <r>
          <rPr>
            <b/>
            <sz val="9"/>
            <color indexed="81"/>
            <rFont val="Segoe UI"/>
            <family val="2"/>
          </rPr>
          <t>Kristina Dik (External):</t>
        </r>
        <r>
          <rPr>
            <sz val="9"/>
            <color indexed="81"/>
            <rFont val="Segoe UI"/>
            <family val="2"/>
          </rPr>
          <t xml:space="preserve">
ETA 14:00
ETA neu ca. 15:30</t>
        </r>
      </text>
    </comment>
    <comment ref="G188" authorId="0" shapeId="0" xr:uid="{4F20C5A6-AC98-4669-9170-1C04C305EC4E}">
      <text>
        <r>
          <rPr>
            <b/>
            <sz val="9"/>
            <color indexed="81"/>
            <rFont val="Segoe UI"/>
            <family val="2"/>
          </rPr>
          <t>Kristina Dik (External):</t>
        </r>
        <r>
          <rPr>
            <sz val="9"/>
            <color indexed="81"/>
            <rFont val="Segoe UI"/>
            <family val="2"/>
          </rPr>
          <t xml:space="preserve">
ETA 16:00</t>
        </r>
      </text>
    </comment>
    <comment ref="G190" authorId="4" shapeId="0" xr:uid="{908BC782-1012-4A0C-87D4-7489FE9B42BF}">
      <text>
        <r>
          <rPr>
            <b/>
            <sz val="9"/>
            <color indexed="81"/>
            <rFont val="Segoe UI"/>
            <family val="2"/>
          </rPr>
          <t>Ralf Brigulla (External):</t>
        </r>
        <r>
          <rPr>
            <sz val="9"/>
            <color indexed="81"/>
            <rFont val="Segoe UI"/>
            <family val="2"/>
          </rPr>
          <t xml:space="preserve">
ETA 15:00
neu ETA 17:00</t>
        </r>
      </text>
    </comment>
    <comment ref="G191" authorId="4" shapeId="0" xr:uid="{DC023AE6-1C29-4CC5-8FCD-4945A602A056}">
      <text>
        <r>
          <rPr>
            <b/>
            <sz val="9"/>
            <color indexed="81"/>
            <rFont val="Segoe UI"/>
            <family val="2"/>
          </rPr>
          <t>Ralf Brigulla (External):</t>
        </r>
        <r>
          <rPr>
            <sz val="9"/>
            <color indexed="81"/>
            <rFont val="Segoe UI"/>
            <family val="2"/>
          </rPr>
          <t xml:space="preserve">
ETA 12:00</t>
        </r>
      </text>
    </comment>
    <comment ref="G192" authorId="4" shapeId="0" xr:uid="{22922BAA-B648-4E63-94C0-BF081892691B}">
      <text>
        <r>
          <rPr>
            <b/>
            <sz val="9"/>
            <color indexed="81"/>
            <rFont val="Segoe UI"/>
            <family val="2"/>
          </rPr>
          <t>Ralf Brigulla (External):</t>
        </r>
        <r>
          <rPr>
            <sz val="9"/>
            <color indexed="81"/>
            <rFont val="Segoe UI"/>
            <family val="2"/>
          </rPr>
          <t xml:space="preserve">
ETA 15:00</t>
        </r>
      </text>
    </comment>
    <comment ref="G194" authorId="4" shapeId="0" xr:uid="{D9F31CF8-712C-4661-AD95-589C82EC797D}">
      <text>
        <r>
          <rPr>
            <b/>
            <sz val="9"/>
            <color indexed="81"/>
            <rFont val="Segoe UI"/>
            <family val="2"/>
          </rPr>
          <t>Ralf Brigulla (External):</t>
        </r>
        <r>
          <rPr>
            <sz val="9"/>
            <color indexed="81"/>
            <rFont val="Segoe UI"/>
            <family val="2"/>
          </rPr>
          <t xml:space="preserve">
ETA ca. 16:30</t>
        </r>
      </text>
    </comment>
    <comment ref="G201" authorId="0" shapeId="0" xr:uid="{7343133F-5BDE-4320-9FE9-DCF5FDCE547A}">
      <text>
        <r>
          <rPr>
            <b/>
            <sz val="9"/>
            <color indexed="81"/>
            <rFont val="Segoe UI"/>
            <family val="2"/>
          </rPr>
          <t>Kristina Dik (External):</t>
        </r>
        <r>
          <rPr>
            <sz val="9"/>
            <color indexed="81"/>
            <rFont val="Segoe UI"/>
            <family val="2"/>
          </rPr>
          <t xml:space="preserve">
Anl. Pecs 1</t>
        </r>
      </text>
    </comment>
    <comment ref="G204" authorId="0" shapeId="0" xr:uid="{F9975797-8CE9-431E-AB21-852BABD186D6}">
      <text>
        <r>
          <rPr>
            <b/>
            <sz val="9"/>
            <color indexed="81"/>
            <rFont val="Segoe UI"/>
            <family val="2"/>
          </rPr>
          <t>Kristina Dik (External):</t>
        </r>
        <r>
          <rPr>
            <sz val="9"/>
            <color indexed="81"/>
            <rFont val="Segoe UI"/>
            <family val="2"/>
          </rPr>
          <t xml:space="preserve">
ETA 14:00</t>
        </r>
      </text>
    </comment>
    <comment ref="G205" authorId="0" shapeId="0" xr:uid="{158D9204-A109-494C-ACA4-EBAF97B4A260}">
      <text>
        <r>
          <rPr>
            <b/>
            <sz val="9"/>
            <color indexed="81"/>
            <rFont val="Segoe UI"/>
            <family val="2"/>
          </rPr>
          <t>Kristina Dik (External):</t>
        </r>
        <r>
          <rPr>
            <sz val="9"/>
            <color indexed="81"/>
            <rFont val="Segoe UI"/>
            <family val="2"/>
          </rPr>
          <t xml:space="preserve">
ETA 14:00 </t>
        </r>
      </text>
    </comment>
    <comment ref="G212" authorId="4" shapeId="0" xr:uid="{05B2E65A-C4E7-49A6-9A02-5F71548F8F46}">
      <text>
        <r>
          <rPr>
            <b/>
            <sz val="9"/>
            <color indexed="81"/>
            <rFont val="Segoe UI"/>
            <family val="2"/>
          </rPr>
          <t>Ralf Brigulla (External):</t>
        </r>
        <r>
          <rPr>
            <sz val="9"/>
            <color indexed="81"/>
            <rFont val="Segoe UI"/>
            <family val="2"/>
          </rPr>
          <t xml:space="preserve">
ETA 11:00</t>
        </r>
      </text>
    </comment>
    <comment ref="G213" authorId="4" shapeId="0" xr:uid="{1288A191-587A-478C-9B46-0E345C84A5A2}">
      <text>
        <r>
          <rPr>
            <b/>
            <sz val="9"/>
            <color indexed="81"/>
            <rFont val="Segoe UI"/>
            <family val="2"/>
          </rPr>
          <t>Ralf Brigulla (External):</t>
        </r>
        <r>
          <rPr>
            <sz val="9"/>
            <color indexed="81"/>
            <rFont val="Segoe UI"/>
            <family val="2"/>
          </rPr>
          <t xml:space="preserve">
ETA 13:00</t>
        </r>
      </text>
    </comment>
    <comment ref="G214" authorId="4" shapeId="0" xr:uid="{79D74287-2BFC-4245-A0E0-DB4716B80A3E}">
      <text>
        <r>
          <rPr>
            <b/>
            <sz val="9"/>
            <color indexed="81"/>
            <rFont val="Segoe UI"/>
            <family val="2"/>
          </rPr>
          <t>Ralf Brigulla (External):</t>
        </r>
        <r>
          <rPr>
            <sz val="9"/>
            <color indexed="81"/>
            <rFont val="Segoe UI"/>
            <family val="2"/>
          </rPr>
          <t xml:space="preserve">
ETA 14:00</t>
        </r>
      </text>
    </comment>
    <comment ref="G215" authorId="4" shapeId="0" xr:uid="{CB443342-A51A-41D8-8B70-759CD36DE1F3}">
      <text>
        <r>
          <rPr>
            <b/>
            <sz val="9"/>
            <color indexed="81"/>
            <rFont val="Segoe UI"/>
            <family val="2"/>
          </rPr>
          <t>Ralf Brigulla (External):</t>
        </r>
        <r>
          <rPr>
            <sz val="9"/>
            <color indexed="81"/>
            <rFont val="Segoe UI"/>
            <family val="2"/>
          </rPr>
          <t xml:space="preserve">
ETA 13:00</t>
        </r>
      </text>
    </comment>
    <comment ref="G216" authorId="4" shapeId="0" xr:uid="{7498C114-19A6-480B-B827-96CEF23DC2FC}">
      <text>
        <r>
          <rPr>
            <b/>
            <sz val="9"/>
            <color indexed="81"/>
            <rFont val="Segoe UI"/>
            <family val="2"/>
          </rPr>
          <t>Ralf Brigulla (External):</t>
        </r>
        <r>
          <rPr>
            <sz val="9"/>
            <color indexed="81"/>
            <rFont val="Segoe UI"/>
            <family val="2"/>
          </rPr>
          <t xml:space="preserve">
ETA 14:00</t>
        </r>
      </text>
    </comment>
    <comment ref="G233" authorId="4" shapeId="0" xr:uid="{5E763AA5-EBF5-4CF2-8551-E3FD30ED8533}">
      <text>
        <r>
          <rPr>
            <b/>
            <sz val="9"/>
            <color indexed="81"/>
            <rFont val="Segoe UI"/>
            <family val="2"/>
          </rPr>
          <t>Ralf Brigulla (External):</t>
        </r>
        <r>
          <rPr>
            <sz val="9"/>
            <color indexed="81"/>
            <rFont val="Segoe UI"/>
            <family val="2"/>
          </rPr>
          <t xml:space="preserve">
ETA 12:00</t>
        </r>
      </text>
    </comment>
    <comment ref="G237" authorId="4" shapeId="0" xr:uid="{45981EDA-077A-40F1-9C94-3D78D3BAAC0F}">
      <text>
        <r>
          <rPr>
            <b/>
            <sz val="9"/>
            <color indexed="81"/>
            <rFont val="Segoe UI"/>
            <family val="2"/>
          </rPr>
          <t>Ralf Brigulla (External):</t>
        </r>
        <r>
          <rPr>
            <sz val="9"/>
            <color indexed="81"/>
            <rFont val="Segoe UI"/>
            <family val="2"/>
          </rPr>
          <t xml:space="preserve">
ETA 14:00</t>
        </r>
      </text>
    </comment>
    <comment ref="G245" authorId="4" shapeId="0" xr:uid="{CB63894D-9145-4530-8DAE-9513EB1BF947}">
      <text>
        <r>
          <rPr>
            <b/>
            <sz val="9"/>
            <color indexed="81"/>
            <rFont val="Segoe UI"/>
            <family val="2"/>
          </rPr>
          <t>Ralf Brigulla (External):</t>
        </r>
        <r>
          <rPr>
            <sz val="9"/>
            <color indexed="81"/>
            <rFont val="Segoe UI"/>
            <family val="2"/>
          </rPr>
          <t xml:space="preserve">
ETA 13:00</t>
        </r>
      </text>
    </comment>
    <comment ref="G246" authorId="4" shapeId="0" xr:uid="{3100EB58-D69E-4373-8595-4E0E75E252CB}">
      <text>
        <r>
          <rPr>
            <b/>
            <sz val="9"/>
            <color indexed="81"/>
            <rFont val="Segoe UI"/>
            <family val="2"/>
          </rPr>
          <t>Ralf Brigulla (External):</t>
        </r>
        <r>
          <rPr>
            <sz val="9"/>
            <color indexed="81"/>
            <rFont val="Segoe UI"/>
            <family val="2"/>
          </rPr>
          <t xml:space="preserve">
ETA 12:00</t>
        </r>
      </text>
    </comment>
    <comment ref="G247" authorId="4" shapeId="0" xr:uid="{AD72E5F8-ACE0-49E2-BD8F-850B019131F4}">
      <text>
        <r>
          <rPr>
            <b/>
            <sz val="9"/>
            <color indexed="81"/>
            <rFont val="Segoe UI"/>
            <family val="2"/>
          </rPr>
          <t>Ralf Brigulla (External):</t>
        </r>
        <r>
          <rPr>
            <sz val="9"/>
            <color indexed="81"/>
            <rFont val="Segoe UI"/>
            <family val="2"/>
          </rPr>
          <t xml:space="preserve">
ETA 15:00</t>
        </r>
      </text>
    </comment>
    <comment ref="G249" authorId="4" shapeId="0" xr:uid="{E43E3228-E7BF-46F9-BA51-0835291EEE01}">
      <text>
        <r>
          <rPr>
            <b/>
            <sz val="9"/>
            <color indexed="81"/>
            <rFont val="Segoe UI"/>
            <family val="2"/>
          </rPr>
          <t>Ralf Brigulla (External):</t>
        </r>
        <r>
          <rPr>
            <sz val="9"/>
            <color indexed="81"/>
            <rFont val="Segoe UI"/>
            <family val="2"/>
          </rPr>
          <t xml:space="preserve">
ETA 14:00</t>
        </r>
      </text>
    </comment>
    <comment ref="G259" authorId="4" shapeId="0" xr:uid="{23D32D72-B0E4-4BE9-9088-452A54BBB827}">
      <text>
        <r>
          <rPr>
            <b/>
            <sz val="9"/>
            <color indexed="81"/>
            <rFont val="Segoe UI"/>
            <family val="2"/>
          </rPr>
          <t>Ralf Brigulla (External):</t>
        </r>
        <r>
          <rPr>
            <sz val="9"/>
            <color indexed="81"/>
            <rFont val="Segoe UI"/>
            <family val="2"/>
          </rPr>
          <t xml:space="preserve">
ETA ca. 14:00 Uhr
ETA neu 15:45</t>
        </r>
      </text>
    </comment>
    <comment ref="G261" authorId="1" shapeId="0" xr:uid="{3859141F-0F92-4FA0-AD2B-64D9D4E2F61D}">
      <text>
        <r>
          <rPr>
            <b/>
            <sz val="9"/>
            <color indexed="81"/>
            <rFont val="Segoe UI"/>
            <family val="2"/>
          </rPr>
          <t xml:space="preserve">Joshua Izquierdo (External)
15:55 Leerp. LC
</t>
        </r>
      </text>
    </comment>
    <comment ref="G268" authorId="0" shapeId="0" xr:uid="{799D2A69-C2BB-4AB7-8F46-30B0459210AE}">
      <text>
        <r>
          <rPr>
            <b/>
            <sz val="9"/>
            <color indexed="81"/>
            <rFont val="Segoe UI"/>
            <family val="2"/>
          </rPr>
          <t>Kristina Dik (External):</t>
        </r>
        <r>
          <rPr>
            <sz val="9"/>
            <color indexed="81"/>
            <rFont val="Segoe UI"/>
            <family val="2"/>
          </rPr>
          <t xml:space="preserve">
ETA 11:00</t>
        </r>
      </text>
    </comment>
    <comment ref="G269" authorId="0" shapeId="0" xr:uid="{B598E993-7D08-4C2C-B6F3-872BD5A53AD4}">
      <text>
        <r>
          <rPr>
            <b/>
            <sz val="9"/>
            <color indexed="81"/>
            <rFont val="Segoe UI"/>
            <family val="2"/>
          </rPr>
          <t>Kristina Dik (External):</t>
        </r>
        <r>
          <rPr>
            <sz val="9"/>
            <color indexed="81"/>
            <rFont val="Segoe UI"/>
            <family val="2"/>
          </rPr>
          <t xml:space="preserve">
ETA 14:00</t>
        </r>
      </text>
    </comment>
    <comment ref="O269" authorId="5" shapeId="0" xr:uid="{7B8ACC35-B15B-466F-9B29-2149C19B179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33 EU</t>
      </text>
    </comment>
    <comment ref="G270" authorId="0" shapeId="0" xr:uid="{4CCB01E6-3925-4AE0-9D3C-ADB3E8DAF0F7}">
      <text>
        <r>
          <rPr>
            <b/>
            <sz val="9"/>
            <color indexed="81"/>
            <rFont val="Segoe UI"/>
            <family val="2"/>
          </rPr>
          <t>Kristina Dik (External):</t>
        </r>
        <r>
          <rPr>
            <sz val="9"/>
            <color indexed="81"/>
            <rFont val="Segoe UI"/>
            <family val="2"/>
          </rPr>
          <t xml:space="preserve">
ETA 14:00</t>
        </r>
      </text>
    </comment>
    <comment ref="G271" authorId="0" shapeId="0" xr:uid="{D87BD973-6669-4B6A-BDB5-053754E162CB}">
      <text>
        <r>
          <rPr>
            <b/>
            <sz val="9"/>
            <color indexed="81"/>
            <rFont val="Segoe UI"/>
            <family val="2"/>
          </rPr>
          <t>Kristina Dik (External):</t>
        </r>
        <r>
          <rPr>
            <sz val="9"/>
            <color indexed="81"/>
            <rFont val="Segoe UI"/>
            <family val="2"/>
          </rPr>
          <t xml:space="preserve">
ETA 15:00</t>
        </r>
      </text>
    </comment>
    <comment ref="G278" authorId="2" shapeId="0" xr:uid="{C53C96AB-0BAB-4280-B0B6-CDFA98AECAFE}">
      <text>
        <r>
          <rPr>
            <b/>
            <sz val="9"/>
            <color indexed="81"/>
            <rFont val="Segoe UI"/>
            <family val="2"/>
          </rPr>
          <t>Ronny Ittner (External):</t>
        </r>
        <r>
          <rPr>
            <sz val="9"/>
            <color indexed="81"/>
            <rFont val="Segoe UI"/>
            <family val="2"/>
          </rPr>
          <t xml:space="preserve">
ETA 13:00
newETA 16:00</t>
        </r>
      </text>
    </comment>
    <comment ref="G280" authorId="2" shapeId="0" xr:uid="{7AFC4936-BA6C-4C6D-BF4F-11FAFA701ABF}">
      <text>
        <r>
          <rPr>
            <b/>
            <sz val="9"/>
            <color indexed="81"/>
            <rFont val="Segoe UI"/>
            <family val="2"/>
          </rPr>
          <t>Ronny Ittner (External):</t>
        </r>
        <r>
          <rPr>
            <sz val="9"/>
            <color indexed="81"/>
            <rFont val="Segoe UI"/>
            <family val="2"/>
          </rPr>
          <t xml:space="preserve">
ETA 11:00</t>
        </r>
      </text>
    </comment>
    <comment ref="O281" authorId="6" shapeId="0" xr:uid="{BA826051-06CC-47C3-A6EF-B99B4A91FD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Ist 32</t>
      </text>
    </comment>
    <comment ref="O282" authorId="7" shapeId="0" xr:uid="{767A1BB3-DF12-47FA-9EB5-DC3DA05F4B52}">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 8
</t>
      </text>
    </comment>
    <comment ref="G287" authorId="4" shapeId="0" xr:uid="{D4D53D23-65C9-404B-8F9C-88F00A6D7F11}">
      <text>
        <r>
          <rPr>
            <b/>
            <sz val="9"/>
            <color indexed="81"/>
            <rFont val="Segoe UI"/>
            <family val="2"/>
          </rPr>
          <t>Ralf Brigulla (External):</t>
        </r>
        <r>
          <rPr>
            <sz val="9"/>
            <color indexed="81"/>
            <rFont val="Segoe UI"/>
            <family val="2"/>
          </rPr>
          <t xml:space="preserve">
ETA 17:00 </t>
        </r>
      </text>
    </comment>
    <comment ref="O289" authorId="8" shapeId="0" xr:uid="{830FF239-3691-4580-9E11-73DBF8943BBB}">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38
</t>
      </text>
    </comment>
    <comment ref="O290" authorId="9" shapeId="0" xr:uid="{1FABD417-2669-4759-8F70-9D2AE307FD1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21</t>
      </text>
    </comment>
    <comment ref="O291" authorId="10" shapeId="0" xr:uid="{3EF71C3A-BA42-4567-8231-3BE109FB9057}">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18
</t>
      </text>
    </comment>
    <comment ref="O292" authorId="11" shapeId="0" xr:uid="{49283442-87E1-4B5F-BB89-72A4EC55F64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20</t>
      </text>
    </comment>
    <comment ref="O293" authorId="12" shapeId="0" xr:uid="{A1E6C27E-744A-40D4-8B7C-8019C8EFFD4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41</t>
      </text>
    </comment>
    <comment ref="O294" authorId="13" shapeId="0" xr:uid="{6D66A9EB-7888-4328-AFC5-C12ECA281C4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29</t>
      </text>
    </comment>
    <comment ref="O295" authorId="14" shapeId="0" xr:uid="{8D0217E0-4DA1-4E98-9429-6077933CD66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45</t>
      </text>
    </comment>
    <comment ref="O296" authorId="15" shapeId="0" xr:uid="{90C28F41-7D65-4BCE-B982-E463662744D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t>
      </text>
    </comment>
    <comment ref="G300" authorId="4" shapeId="0" xr:uid="{1DF80B9D-D1C2-4207-BF01-A893A0A44EA9}">
      <text>
        <r>
          <rPr>
            <b/>
            <sz val="9"/>
            <color indexed="81"/>
            <rFont val="Segoe UI"/>
            <family val="2"/>
          </rPr>
          <t>Ralf Brigulla (External):</t>
        </r>
        <r>
          <rPr>
            <sz val="9"/>
            <color indexed="81"/>
            <rFont val="Segoe UI"/>
            <family val="2"/>
          </rPr>
          <t xml:space="preserve">
ETA 15:00
ETA neu ca. 16:45</t>
        </r>
      </text>
    </comment>
    <comment ref="G319" authorId="4" shapeId="0" xr:uid="{C14CDF7E-1281-487C-B8DD-85A990C07804}">
      <text>
        <r>
          <rPr>
            <b/>
            <sz val="9"/>
            <color indexed="81"/>
            <rFont val="Segoe UI"/>
            <family val="2"/>
          </rPr>
          <t>Ralf Brigulla (External):</t>
        </r>
        <r>
          <rPr>
            <sz val="9"/>
            <color indexed="81"/>
            <rFont val="Segoe UI"/>
            <family val="2"/>
          </rPr>
          <t xml:space="preserve">
ETA 13:00</t>
        </r>
      </text>
    </comment>
    <comment ref="G320" authorId="4" shapeId="0" xr:uid="{DAE1E07F-16CE-45D3-8B0E-5C1E8755D5D8}">
      <text>
        <r>
          <rPr>
            <b/>
            <sz val="9"/>
            <color indexed="81"/>
            <rFont val="Segoe UI"/>
            <family val="2"/>
          </rPr>
          <t>Ralf Brigulla (External):</t>
        </r>
        <r>
          <rPr>
            <sz val="9"/>
            <color indexed="81"/>
            <rFont val="Segoe UI"/>
            <family val="2"/>
          </rPr>
          <t xml:space="preserve">
ETA 13:00</t>
        </r>
      </text>
    </comment>
    <comment ref="G331" authorId="4" shapeId="0" xr:uid="{9E4087E6-15C0-4E7D-AA90-160D17E27C65}">
      <text>
        <r>
          <rPr>
            <b/>
            <sz val="9"/>
            <color indexed="81"/>
            <rFont val="Segoe UI"/>
            <family val="2"/>
          </rPr>
          <t>Ralf Brigulla (External):</t>
        </r>
        <r>
          <rPr>
            <sz val="9"/>
            <color indexed="81"/>
            <rFont val="Segoe UI"/>
            <family val="2"/>
          </rPr>
          <t xml:space="preserve">
ETA ca. 12:00</t>
        </r>
      </text>
    </comment>
    <comment ref="G364" authorId="16" shapeId="0" xr:uid="{7D476449-5D26-42AC-8868-DAB5966D4E0B}">
      <text>
        <r>
          <rPr>
            <b/>
            <sz val="9"/>
            <color indexed="81"/>
            <rFont val="Segoe UI"/>
            <family val="2"/>
          </rPr>
          <t>Patrick Willis:</t>
        </r>
        <r>
          <rPr>
            <sz val="9"/>
            <color indexed="81"/>
            <rFont val="Segoe UI"/>
            <family val="2"/>
          </rPr>
          <t xml:space="preserve">
Anlief Poznan 2
</t>
        </r>
      </text>
    </comment>
    <comment ref="G365" authorId="4" shapeId="0" xr:uid="{8BEDCF4A-C7D6-46B2-A8D4-2C6F14FA0C80}">
      <text>
        <r>
          <rPr>
            <b/>
            <sz val="9"/>
            <color indexed="81"/>
            <rFont val="Segoe UI"/>
            <family val="2"/>
          </rPr>
          <t>Ralf Brigulla (External):</t>
        </r>
        <r>
          <rPr>
            <sz val="9"/>
            <color indexed="81"/>
            <rFont val="Segoe UI"/>
            <family val="2"/>
          </rPr>
          <t xml:space="preserve">
ETA 16:00 </t>
        </r>
      </text>
    </comment>
    <comment ref="G396" authorId="4" shapeId="0" xr:uid="{DBBEFBD0-CA1C-4F56-BA8F-56EEEDFD50DA}">
      <text>
        <r>
          <rPr>
            <b/>
            <sz val="9"/>
            <color indexed="81"/>
            <rFont val="Segoe UI"/>
            <family val="2"/>
          </rPr>
          <t>Ralf Brigulla (External):</t>
        </r>
        <r>
          <rPr>
            <sz val="9"/>
            <color indexed="81"/>
            <rFont val="Segoe UI"/>
            <family val="2"/>
          </rPr>
          <t xml:space="preserve">
ETA 12:00</t>
        </r>
      </text>
    </comment>
    <comment ref="G398" authorId="4" shapeId="0" xr:uid="{69A92E00-5B52-4C52-B669-12699ECD0839}">
      <text>
        <r>
          <rPr>
            <b/>
            <sz val="9"/>
            <color indexed="81"/>
            <rFont val="Segoe UI"/>
            <family val="2"/>
          </rPr>
          <t>Ralf Brigulla (External):</t>
        </r>
        <r>
          <rPr>
            <sz val="9"/>
            <color indexed="81"/>
            <rFont val="Segoe UI"/>
            <family val="2"/>
          </rPr>
          <t xml:space="preserve">
ETA 14:00</t>
        </r>
      </text>
    </comment>
    <comment ref="G399" authorId="4" shapeId="0" xr:uid="{7849EA40-755D-4DCA-80F8-8C572D750A5E}">
      <text>
        <r>
          <rPr>
            <b/>
            <sz val="9"/>
            <color indexed="81"/>
            <rFont val="Segoe UI"/>
            <family val="2"/>
          </rPr>
          <t>Ralf Brigulla (External):</t>
        </r>
        <r>
          <rPr>
            <sz val="9"/>
            <color indexed="81"/>
            <rFont val="Segoe UI"/>
            <family val="2"/>
          </rPr>
          <t xml:space="preserve">
Anl. Poznan 7</t>
        </r>
      </text>
    </comment>
    <comment ref="G410" authorId="4" shapeId="0" xr:uid="{90F6F797-3907-4AAC-A36F-179DEE918474}">
      <text>
        <r>
          <rPr>
            <b/>
            <sz val="9"/>
            <color indexed="81"/>
            <rFont val="Segoe UI"/>
            <family val="2"/>
          </rPr>
          <t>Ralf Brigulla (External):</t>
        </r>
        <r>
          <rPr>
            <sz val="9"/>
            <color indexed="81"/>
            <rFont val="Segoe UI"/>
            <family val="2"/>
          </rPr>
          <t xml:space="preserve">
ETA 11:00
Anl. Poznan 9</t>
        </r>
      </text>
    </comment>
    <comment ref="G422" authorId="4" shapeId="0" xr:uid="{165036B8-7067-4D74-9730-A16D3725EAF9}">
      <text>
        <r>
          <rPr>
            <b/>
            <sz val="9"/>
            <color indexed="81"/>
            <rFont val="Segoe UI"/>
            <family val="2"/>
          </rPr>
          <t>Ralf Brigulla (External):</t>
        </r>
        <r>
          <rPr>
            <sz val="9"/>
            <color indexed="81"/>
            <rFont val="Segoe UI"/>
            <family val="2"/>
          </rPr>
          <t xml:space="preserve">
ETA 11:00</t>
        </r>
      </text>
    </comment>
    <comment ref="G424" authorId="4" shapeId="0" xr:uid="{C5D19487-2959-46F3-A519-3802AE9D2D6B}">
      <text>
        <r>
          <rPr>
            <b/>
            <sz val="9"/>
            <color indexed="81"/>
            <rFont val="Segoe UI"/>
            <family val="2"/>
          </rPr>
          <t>Ralf Brigulla (External):</t>
        </r>
        <r>
          <rPr>
            <sz val="9"/>
            <color indexed="81"/>
            <rFont val="Segoe UI"/>
            <family val="2"/>
          </rPr>
          <t xml:space="preserve">
ETA 14:00</t>
        </r>
      </text>
    </comment>
    <comment ref="G435" authorId="4" shapeId="0" xr:uid="{162C537D-15BC-4C35-B832-E185172231FF}">
      <text>
        <r>
          <rPr>
            <b/>
            <sz val="9"/>
            <color indexed="81"/>
            <rFont val="Segoe UI"/>
            <family val="2"/>
          </rPr>
          <t>Ralf Brigulla (External):</t>
        </r>
        <r>
          <rPr>
            <sz val="9"/>
            <color indexed="81"/>
            <rFont val="Segoe UI"/>
            <family val="2"/>
          </rPr>
          <t xml:space="preserve">
ETA 13:00</t>
        </r>
      </text>
    </comment>
    <comment ref="G437" authorId="4" shapeId="0" xr:uid="{A652F6B3-AD62-4BEF-92D9-883F22E02DDA}">
      <text>
        <r>
          <rPr>
            <b/>
            <sz val="9"/>
            <color indexed="81"/>
            <rFont val="Segoe UI"/>
            <family val="2"/>
          </rPr>
          <t>Ralf Brigulla (External):</t>
        </r>
        <r>
          <rPr>
            <sz val="9"/>
            <color indexed="81"/>
            <rFont val="Segoe UI"/>
            <family val="2"/>
          </rPr>
          <t xml:space="preserve">
ETA 15:00</t>
        </r>
      </text>
    </comment>
    <comment ref="G438" authorId="4" shapeId="0" xr:uid="{936B5F59-5231-4244-A190-F689A633D99A}">
      <text>
        <r>
          <rPr>
            <b/>
            <sz val="9"/>
            <color indexed="81"/>
            <rFont val="Segoe UI"/>
            <family val="2"/>
          </rPr>
          <t>Ralf Brigulla (External):</t>
        </r>
        <r>
          <rPr>
            <sz val="9"/>
            <color indexed="81"/>
            <rFont val="Segoe UI"/>
            <family val="2"/>
          </rPr>
          <t xml:space="preserve">
ETA 13:00</t>
        </r>
      </text>
    </comment>
    <comment ref="G448" authorId="4" shapeId="0" xr:uid="{75B0B8E9-505E-46FA-AA7C-46FC7971FB53}">
      <text>
        <r>
          <rPr>
            <b/>
            <sz val="9"/>
            <color indexed="81"/>
            <rFont val="Segoe UI"/>
            <family val="2"/>
          </rPr>
          <t>Ralf Brigulla (External):</t>
        </r>
        <r>
          <rPr>
            <sz val="9"/>
            <color indexed="81"/>
            <rFont val="Segoe UI"/>
            <family val="2"/>
          </rPr>
          <t xml:space="preserve">
Anl. Poznan 4</t>
        </r>
      </text>
    </comment>
    <comment ref="G449" authorId="4" shapeId="0" xr:uid="{EE79E76D-B847-48A3-88D6-EA120CA1EE7E}">
      <text>
        <r>
          <rPr>
            <b/>
            <sz val="9"/>
            <color indexed="81"/>
            <rFont val="Segoe UI"/>
            <family val="2"/>
          </rPr>
          <t>Ralf Brigulla (External):</t>
        </r>
        <r>
          <rPr>
            <sz val="9"/>
            <color indexed="81"/>
            <rFont val="Segoe UI"/>
            <family val="2"/>
          </rPr>
          <t xml:space="preserve">
ETA 12:00</t>
        </r>
      </text>
    </comment>
    <comment ref="G451" authorId="4" shapeId="0" xr:uid="{CB079233-2039-403E-A9DA-323014CC2F93}">
      <text>
        <r>
          <rPr>
            <b/>
            <sz val="9"/>
            <color indexed="81"/>
            <rFont val="Segoe UI"/>
            <family val="2"/>
          </rPr>
          <t>Ralf Brigulla (External):</t>
        </r>
        <r>
          <rPr>
            <sz val="9"/>
            <color indexed="81"/>
            <rFont val="Segoe UI"/>
            <family val="2"/>
          </rPr>
          <t xml:space="preserve">
ETA 14:00</t>
        </r>
      </text>
    </comment>
    <comment ref="G459" authorId="4" shapeId="0" xr:uid="{87EB5676-1568-4B95-A298-D3DB06396D62}">
      <text>
        <r>
          <rPr>
            <b/>
            <sz val="9"/>
            <color indexed="81"/>
            <rFont val="Segoe UI"/>
            <family val="2"/>
          </rPr>
          <t>Ralf Brigulla (External):</t>
        </r>
        <r>
          <rPr>
            <sz val="9"/>
            <color indexed="81"/>
            <rFont val="Segoe UI"/>
            <family val="2"/>
          </rPr>
          <t xml:space="preserve">
ETA 13:00</t>
        </r>
      </text>
    </comment>
    <comment ref="G472" authorId="4" shapeId="0" xr:uid="{A319D895-1157-4A63-90CC-538B494F0A76}">
      <text>
        <r>
          <rPr>
            <b/>
            <sz val="9"/>
            <color indexed="81"/>
            <rFont val="Segoe UI"/>
            <family val="2"/>
          </rPr>
          <t>Ralf Brigulla (External):</t>
        </r>
        <r>
          <rPr>
            <sz val="9"/>
            <color indexed="81"/>
            <rFont val="Segoe UI"/>
            <family val="2"/>
          </rPr>
          <t xml:space="preserve">
ETA 12:00</t>
        </r>
      </text>
    </comment>
    <comment ref="G473" authorId="4" shapeId="0" xr:uid="{2C587981-2FAB-4E33-982E-7F3D2AFD9D9B}">
      <text>
        <r>
          <rPr>
            <b/>
            <sz val="9"/>
            <color indexed="81"/>
            <rFont val="Segoe UI"/>
            <family val="2"/>
          </rPr>
          <t>Ralf Brigulla (External):</t>
        </r>
        <r>
          <rPr>
            <sz val="9"/>
            <color indexed="81"/>
            <rFont val="Segoe UI"/>
            <family val="2"/>
          </rPr>
          <t xml:space="preserve">
ETA 16:00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Ronny Ittner (External)</author>
    <author>Kristina Dik (External)</author>
    <author>Patrick Willis</author>
    <author>Ralf Brigulla (External)</author>
  </authors>
  <commentList>
    <comment ref="F50" authorId="0" shapeId="0" xr:uid="{77CEE6FF-EFB9-4431-AF21-E24A4872D9D1}">
      <text>
        <r>
          <rPr>
            <b/>
            <sz val="9"/>
            <color indexed="81"/>
            <rFont val="Segoe UI"/>
            <family val="2"/>
          </rPr>
          <t>Ronny Ittner (External):</t>
        </r>
        <r>
          <rPr>
            <sz val="9"/>
            <color indexed="81"/>
            <rFont val="Segoe UI"/>
            <family val="2"/>
          </rPr>
          <t xml:space="preserve">
lädt Hannover 2</t>
        </r>
      </text>
    </comment>
    <comment ref="F61" authorId="1" shapeId="0" xr:uid="{C7E4C253-070B-4495-86C9-588E6330844A}">
      <text>
        <r>
          <rPr>
            <b/>
            <sz val="9"/>
            <color indexed="81"/>
            <rFont val="Segoe UI"/>
            <family val="2"/>
          </rPr>
          <t>Kristina Dik (External):</t>
        </r>
        <r>
          <rPr>
            <sz val="9"/>
            <color indexed="81"/>
            <rFont val="Segoe UI"/>
            <family val="2"/>
          </rPr>
          <t xml:space="preserve">
muss im LC laden</t>
        </r>
      </text>
    </comment>
    <comment ref="F104" authorId="0" shapeId="0" xr:uid="{1B6D60CE-5B38-4B72-ACB5-93832F19A554}">
      <text>
        <r>
          <rPr>
            <b/>
            <sz val="9"/>
            <color indexed="81"/>
            <rFont val="Segoe UI"/>
            <family val="2"/>
          </rPr>
          <t>Ronny Ittner (External):</t>
        </r>
        <r>
          <rPr>
            <sz val="9"/>
            <color indexed="81"/>
            <rFont val="Segoe UI"/>
            <family val="2"/>
          </rPr>
          <t xml:space="preserve">
lädt Hamburg 2</t>
        </r>
      </text>
    </comment>
    <comment ref="F109" authorId="0" shapeId="0" xr:uid="{1C2997BA-C1A3-419C-A041-245DBF03CA74}">
      <text>
        <r>
          <rPr>
            <b/>
            <sz val="9"/>
            <color indexed="81"/>
            <rFont val="Segoe UI"/>
            <family val="2"/>
          </rPr>
          <t>Ronny Ittner (External):</t>
        </r>
        <r>
          <rPr>
            <sz val="9"/>
            <color indexed="81"/>
            <rFont val="Segoe UI"/>
            <family val="2"/>
          </rPr>
          <t xml:space="preserve">
lädt Großbeeren 2</t>
        </r>
      </text>
    </comment>
    <comment ref="F140" authorId="1" shapeId="0" xr:uid="{548FC26D-447E-4E1B-8A40-512BC2D11B0D}">
      <text>
        <r>
          <rPr>
            <b/>
            <sz val="9"/>
            <color indexed="81"/>
            <rFont val="Segoe UI"/>
            <family val="2"/>
          </rPr>
          <t>Kristina Dik (External):</t>
        </r>
        <r>
          <rPr>
            <sz val="9"/>
            <color indexed="81"/>
            <rFont val="Segoe UI"/>
            <family val="2"/>
          </rPr>
          <t xml:space="preserve">
lädt Duisburg 8</t>
        </r>
      </text>
    </comment>
    <comment ref="F152" authorId="1" shapeId="0" xr:uid="{E6DCF212-C3B4-45A3-B780-33B64BB4FF08}">
      <text>
        <r>
          <rPr>
            <b/>
            <sz val="9"/>
            <color indexed="81"/>
            <rFont val="Segoe UI"/>
            <family val="2"/>
          </rPr>
          <t>Kristina Dik (External):</t>
        </r>
        <r>
          <rPr>
            <sz val="9"/>
            <color indexed="81"/>
            <rFont val="Segoe UI"/>
            <family val="2"/>
          </rPr>
          <t xml:space="preserve">
lädt Großbeeren 1</t>
        </r>
      </text>
    </comment>
    <comment ref="F260" authorId="2" shapeId="0" xr:uid="{4C8B431D-3C29-4363-AA79-6BCA786AAFC8}">
      <text>
        <r>
          <rPr>
            <b/>
            <sz val="9"/>
            <color indexed="81"/>
            <rFont val="Segoe UI"/>
            <family val="2"/>
          </rPr>
          <t>Patrick Willis:</t>
        </r>
        <r>
          <rPr>
            <sz val="9"/>
            <color indexed="81"/>
            <rFont val="Segoe UI"/>
            <family val="2"/>
          </rPr>
          <t xml:space="preserve">
Laden Grossbeeren 1
</t>
        </r>
      </text>
    </comment>
    <comment ref="F295" authorId="3" shapeId="0" xr:uid="{5458AB83-1187-4FAA-B98F-430AC2451067}">
      <text>
        <r>
          <rPr>
            <b/>
            <sz val="9"/>
            <color indexed="81"/>
            <rFont val="Segoe UI"/>
            <family val="2"/>
          </rPr>
          <t>Ralf Brigulla (External):</t>
        </r>
        <r>
          <rPr>
            <sz val="9"/>
            <color indexed="81"/>
            <rFont val="Segoe UI"/>
            <family val="2"/>
          </rPr>
          <t xml:space="preserve">
lädt Mainz 3</t>
        </r>
      </text>
    </comment>
    <comment ref="F301" authorId="3" shapeId="0" xr:uid="{D71A032D-4773-4ED4-8235-12E537D5CF2D}">
      <text>
        <r>
          <rPr>
            <b/>
            <sz val="9"/>
            <color indexed="81"/>
            <rFont val="Segoe UI"/>
            <family val="2"/>
          </rPr>
          <t>Ralf Brigulla (External):</t>
        </r>
        <r>
          <rPr>
            <sz val="9"/>
            <color indexed="81"/>
            <rFont val="Segoe UI"/>
            <family val="2"/>
          </rPr>
          <t xml:space="preserve">
lädt Duisburg 5</t>
        </r>
      </text>
    </comment>
    <comment ref="F326" authorId="3" shapeId="0" xr:uid="{EA2778BB-D5C5-4EB8-885B-D83D7565F42F}">
      <text>
        <r>
          <rPr>
            <b/>
            <sz val="9"/>
            <color indexed="81"/>
            <rFont val="Segoe UI"/>
            <family val="2"/>
          </rPr>
          <t>Ralf Brigulla (External):</t>
        </r>
        <r>
          <rPr>
            <sz val="9"/>
            <color indexed="81"/>
            <rFont val="Segoe UI"/>
            <family val="2"/>
          </rPr>
          <t xml:space="preserve">
lädt Duisburg 4</t>
        </r>
      </text>
    </comment>
  </commentList>
</comments>
</file>

<file path=xl/sharedStrings.xml><?xml version="1.0" encoding="utf-8"?>
<sst xmlns="http://schemas.openxmlformats.org/spreadsheetml/2006/main" count="5543" uniqueCount="1019">
  <si>
    <t>KW (Auto.)</t>
  </si>
  <si>
    <t>Datum</t>
  </si>
  <si>
    <t xml:space="preserve">Name für Rückfragen / Ticket Owner </t>
  </si>
  <si>
    <t>Inbound</t>
  </si>
  <si>
    <t>Outbound</t>
  </si>
  <si>
    <t>SAP</t>
  </si>
  <si>
    <t>Sonstiges</t>
  </si>
  <si>
    <t>Störung / Info / Beschreibung / Ticket Nr.</t>
  </si>
  <si>
    <t xml:space="preserve">IT Ticket gestellt </t>
  </si>
  <si>
    <t xml:space="preserve">TechDeck-Ticket gestellt </t>
  </si>
  <si>
    <t>Ticket gelöst (Datum)</t>
  </si>
  <si>
    <t>Ursache /Gegenmaßnahme / Lösung</t>
  </si>
  <si>
    <t>Status</t>
  </si>
  <si>
    <t>nn</t>
  </si>
  <si>
    <t>dd.mm.yy</t>
  </si>
  <si>
    <t xml:space="preserve">AA </t>
  </si>
  <si>
    <t>x</t>
  </si>
  <si>
    <t>Schreiben</t>
  </si>
  <si>
    <t>Auswahlliste</t>
  </si>
  <si>
    <t>Erledigt</t>
  </si>
  <si>
    <t>Auto</t>
  </si>
  <si>
    <t>?</t>
  </si>
  <si>
    <t>Echtzeit Büro</t>
  </si>
  <si>
    <t xml:space="preserve">Auto. </t>
  </si>
  <si>
    <t>KW</t>
  </si>
  <si>
    <t>Geplantes Ankunftsdatum</t>
  </si>
  <si>
    <t>Ist Datum</t>
  </si>
  <si>
    <t>Timeslot getroffen 
(Ja / Nein)</t>
  </si>
  <si>
    <t>SCI</t>
  </si>
  <si>
    <t>Lenkzeit</t>
  </si>
  <si>
    <t>Destination City</t>
  </si>
  <si>
    <t>Trailer</t>
  </si>
  <si>
    <t>LS Nummern</t>
  </si>
  <si>
    <t>Status Auftrag fertig fürs Lager</t>
  </si>
  <si>
    <t>Nachträgliche Änderugen (Ja/Nein)</t>
  </si>
  <si>
    <t xml:space="preserve">Status Verladung </t>
  </si>
  <si>
    <t xml:space="preserve">ATTP Portal Status </t>
  </si>
  <si>
    <t>SCI OTM</t>
  </si>
  <si>
    <t>Geplante Ladezeit</t>
  </si>
  <si>
    <t>Ankunft Office</t>
  </si>
  <si>
    <t xml:space="preserve">Verladung gestartet </t>
  </si>
  <si>
    <t xml:space="preserve">Verladung beendet </t>
  </si>
  <si>
    <t xml:space="preserve">Wartezeit bis Verladebeginn </t>
  </si>
  <si>
    <t>Verladungszeit</t>
  </si>
  <si>
    <t>Loaded at Bayreuth (Documents finished)</t>
  </si>
  <si>
    <t xml:space="preserve">On time innerhalb 2,5 Std. (Automatisch berechnet) </t>
  </si>
  <si>
    <t>Bemerkungen</t>
  </si>
  <si>
    <t>1000xxxxx</t>
  </si>
  <si>
    <t>in Minuten</t>
  </si>
  <si>
    <t>Schreibe</t>
  </si>
  <si>
    <t>soll 80</t>
  </si>
  <si>
    <t>ok</t>
  </si>
  <si>
    <t>hh:mm</t>
  </si>
  <si>
    <t>SUPER-DEPOT 1</t>
  </si>
  <si>
    <t>Gärtringen / Stuttgart 1</t>
  </si>
  <si>
    <t>Verladen + PGI</t>
  </si>
  <si>
    <t>SUPER-DEPOT 2</t>
  </si>
  <si>
    <t>BTST9342</t>
  </si>
  <si>
    <t>Gärtringen / Stuttgart 2</t>
  </si>
  <si>
    <t>SUPER-DEPOT 3</t>
  </si>
  <si>
    <t>Gärtringen / Stuttgart 3</t>
  </si>
  <si>
    <t>SUPER-DEPOT 4</t>
  </si>
  <si>
    <t>BTST9353</t>
  </si>
  <si>
    <t>Schkeuditz / Leipzig 1</t>
  </si>
  <si>
    <t>SUPER-DEPOT 5</t>
  </si>
  <si>
    <t>BTST9359</t>
  </si>
  <si>
    <t>Ja</t>
  </si>
  <si>
    <t>Duisburg 1</t>
  </si>
  <si>
    <t>Nein</t>
  </si>
  <si>
    <t>Duisburg 2</t>
  </si>
  <si>
    <t>Hamburg 1</t>
  </si>
  <si>
    <t>Großbeeren 1</t>
  </si>
  <si>
    <t>Hannover 1</t>
  </si>
  <si>
    <t>Langenbach 1</t>
  </si>
  <si>
    <t>Mainz 1</t>
  </si>
  <si>
    <t>Gestrichen</t>
  </si>
  <si>
    <t>BTST9341</t>
  </si>
  <si>
    <t>SUPER-DEPOT 6</t>
  </si>
  <si>
    <t>Schkeuditz / Leipzig 3</t>
  </si>
  <si>
    <t>Schkeuditz / Leipzig 4</t>
  </si>
  <si>
    <t>BTST9343</t>
  </si>
  <si>
    <t>5E92590</t>
  </si>
  <si>
    <t>-</t>
  </si>
  <si>
    <t>6E98042</t>
  </si>
  <si>
    <t>Verschoben</t>
  </si>
  <si>
    <t>5E92581</t>
  </si>
  <si>
    <t>5E92720</t>
  </si>
  <si>
    <t>7E32406</t>
  </si>
  <si>
    <t>in Vorbereitung</t>
  </si>
  <si>
    <t>In Bearbeitung</t>
  </si>
  <si>
    <t>Auto.</t>
  </si>
  <si>
    <t>Geplantes Ankunftsdatum lt Liste DHL</t>
  </si>
  <si>
    <t>Anzahl Paletten</t>
  </si>
  <si>
    <t>Echtzeit vom Büro</t>
  </si>
  <si>
    <t>Soure Location</t>
  </si>
  <si>
    <t xml:space="preserve">Arrival Monitor </t>
  </si>
  <si>
    <t xml:space="preserve">Entladung gestartet </t>
  </si>
  <si>
    <t xml:space="preserve">Entladung beendet </t>
  </si>
  <si>
    <t xml:space="preserve">Wartezeit bis Entladebeginn   </t>
  </si>
  <si>
    <t xml:space="preserve">Entladungszeit  </t>
  </si>
  <si>
    <t>Unloaded at Bayreuth (Documents finished)</t>
  </si>
  <si>
    <t>Bemerkungen( bei Shuttle SKU)</t>
  </si>
  <si>
    <t>10000xxxxx</t>
  </si>
  <si>
    <t>Eingelagert</t>
  </si>
  <si>
    <t>Gebucht</t>
  </si>
  <si>
    <t>Entladen</t>
  </si>
  <si>
    <t>Ticket</t>
  </si>
  <si>
    <t>Auswahl</t>
  </si>
  <si>
    <t>Arrival</t>
  </si>
  <si>
    <t>Vorgestellt</t>
  </si>
  <si>
    <t>Blau</t>
  </si>
  <si>
    <t>Grün</t>
  </si>
  <si>
    <t>in Arbeit</t>
  </si>
  <si>
    <t>Gelb</t>
  </si>
  <si>
    <t>Grau</t>
  </si>
  <si>
    <t>Rot</t>
  </si>
  <si>
    <t>Outbound office</t>
  </si>
  <si>
    <t>Neu</t>
  </si>
  <si>
    <t>SDDS Logistics Warehouse</t>
  </si>
  <si>
    <t>Limit/Target</t>
  </si>
  <si>
    <t>KW01</t>
  </si>
  <si>
    <t>KW02</t>
  </si>
  <si>
    <t>KW03</t>
  </si>
  <si>
    <t>KW04</t>
  </si>
  <si>
    <t>KW05</t>
  </si>
  <si>
    <t>KW06</t>
  </si>
  <si>
    <t>KW07</t>
  </si>
  <si>
    <t>KW08</t>
  </si>
  <si>
    <t>KW09</t>
  </si>
  <si>
    <t>KW10</t>
  </si>
  <si>
    <t>KW11</t>
  </si>
  <si>
    <t>KW12</t>
  </si>
  <si>
    <t>KW13</t>
  </si>
  <si>
    <t>KW14</t>
  </si>
  <si>
    <t>KW15</t>
  </si>
  <si>
    <t>KW16</t>
  </si>
  <si>
    <t>KW17</t>
  </si>
  <si>
    <t>KW18</t>
  </si>
  <si>
    <t>KW19</t>
  </si>
  <si>
    <t>KW20</t>
  </si>
  <si>
    <t>KW21</t>
  </si>
  <si>
    <t>KW22</t>
  </si>
  <si>
    <t>KW23</t>
  </si>
  <si>
    <t>KW24</t>
  </si>
  <si>
    <t>KW25</t>
  </si>
  <si>
    <t>KW26</t>
  </si>
  <si>
    <t>KW27</t>
  </si>
  <si>
    <t>KW28</t>
  </si>
  <si>
    <t>KW29</t>
  </si>
  <si>
    <t>KW30</t>
  </si>
  <si>
    <t>KW31</t>
  </si>
  <si>
    <t>KW32</t>
  </si>
  <si>
    <t>KW33</t>
  </si>
  <si>
    <t>KW34</t>
  </si>
  <si>
    <t>KW35</t>
  </si>
  <si>
    <t>KW36</t>
  </si>
  <si>
    <t>KW37</t>
  </si>
  <si>
    <t>KW38</t>
  </si>
  <si>
    <t>KW39</t>
  </si>
  <si>
    <t>KW40</t>
  </si>
  <si>
    <t>KW41</t>
  </si>
  <si>
    <t>KW42</t>
  </si>
  <si>
    <t>KW43</t>
  </si>
  <si>
    <t>KW44</t>
  </si>
  <si>
    <t>KW45</t>
  </si>
  <si>
    <t>KW46</t>
  </si>
  <si>
    <t>KW47</t>
  </si>
  <si>
    <t>KW48</t>
  </si>
  <si>
    <t>KW49</t>
  </si>
  <si>
    <t>KW50</t>
  </si>
  <si>
    <t>KW51</t>
  </si>
  <si>
    <t>KW52</t>
  </si>
  <si>
    <t>FS</t>
  </si>
  <si>
    <t>SS</t>
  </si>
  <si>
    <t>NS</t>
  </si>
  <si>
    <t>Safety Trigger Bedeutungen</t>
  </si>
  <si>
    <r>
      <rPr>
        <b/>
        <sz val="16"/>
        <color theme="1"/>
        <rFont val="Calibri"/>
        <family val="2"/>
      </rPr>
      <t>Low Risk</t>
    </r>
    <r>
      <rPr>
        <sz val="11"/>
        <color theme="1"/>
        <rFont val="Calibri"/>
        <family val="2"/>
      </rPr>
      <t xml:space="preserve">
</t>
    </r>
  </si>
  <si>
    <r>
      <rPr>
        <b/>
        <sz val="16"/>
        <color theme="1"/>
        <rFont val="Calibri"/>
        <family val="2"/>
      </rPr>
      <t>Medium Risk</t>
    </r>
    <r>
      <rPr>
        <sz val="11"/>
        <color theme="1"/>
        <rFont val="Calibri"/>
        <family val="2"/>
      </rPr>
      <t xml:space="preserve">
</t>
    </r>
    <r>
      <rPr>
        <sz val="12"/>
        <color theme="1"/>
        <rFont val="Calibri"/>
        <family val="2"/>
      </rPr>
      <t>- Jedes Teammitglied redet mit den Anderen  über das Thema Sicherheit, schaut nach den Anderen</t>
    </r>
  </si>
  <si>
    <r>
      <rPr>
        <b/>
        <sz val="11"/>
        <color theme="0"/>
        <rFont val="Calibri"/>
        <family val="2"/>
      </rPr>
      <t>High Risk</t>
    </r>
    <r>
      <rPr>
        <sz val="11"/>
        <color theme="0"/>
        <rFont val="Calibri"/>
        <family val="2"/>
      </rPr>
      <t xml:space="preserve">      
</t>
    </r>
    <r>
      <rPr>
        <sz val="12"/>
        <color theme="0"/>
        <rFont val="Calibri"/>
        <family val="2"/>
      </rPr>
      <t>-Eingeschränkter Zutritt zu den Problembereichen 
-- Bewerten einer möglichen Umplanung von Aktivitäten zur Reduzierung des Risikos</t>
    </r>
  </si>
  <si>
    <t xml:space="preserve">Safety Trigger </t>
  </si>
  <si>
    <t>Wertigkeit</t>
  </si>
  <si>
    <r>
      <rPr>
        <b/>
        <sz val="13"/>
        <color theme="1"/>
        <rFont val="Calibri"/>
        <family val="2"/>
      </rPr>
      <t>Arbeiten durch Fremdhandwerker werden im Bereich durchgeführt</t>
    </r>
    <r>
      <rPr>
        <sz val="13"/>
        <color theme="1"/>
        <rFont val="Calibri"/>
        <family val="2"/>
      </rPr>
      <t xml:space="preserve">
</t>
    </r>
    <r>
      <rPr>
        <sz val="13"/>
        <color rgb="FFFF0000"/>
        <rFont val="Calibri"/>
        <family val="2"/>
      </rPr>
      <t>Erhöhte Aufmerksamkeit, Ansprechpartner ist definiert und kommuniziert</t>
    </r>
  </si>
  <si>
    <r>
      <rPr>
        <b/>
        <sz val="13"/>
        <color theme="1"/>
        <rFont val="Calibri"/>
        <family val="2"/>
      </rPr>
      <t>Besucher werden im Bereich erwartet</t>
    </r>
    <r>
      <rPr>
        <sz val="13"/>
        <color theme="1"/>
        <rFont val="Calibri"/>
        <family val="2"/>
      </rPr>
      <t xml:space="preserve">
</t>
    </r>
    <r>
      <rPr>
        <sz val="13"/>
        <color rgb="FFFF0000"/>
        <rFont val="Calibri"/>
        <family val="2"/>
      </rPr>
      <t xml:space="preserve">Team ist informiert </t>
    </r>
  </si>
  <si>
    <r>
      <rPr>
        <b/>
        <sz val="13"/>
        <color theme="1"/>
        <rFont val="Calibri"/>
        <family val="2"/>
      </rPr>
      <t>Es ist ein MA mit Abwesenheit länger als  6 Wochen im Bereich</t>
    </r>
    <r>
      <rPr>
        <sz val="13"/>
        <color theme="1"/>
        <rFont val="Calibri"/>
        <family val="2"/>
      </rPr>
      <t xml:space="preserve">
</t>
    </r>
    <r>
      <rPr>
        <sz val="13"/>
        <color rgb="FFFF0000"/>
        <rFont val="Calibri"/>
        <family val="2"/>
      </rPr>
      <t xml:space="preserve">Team ist informiert </t>
    </r>
  </si>
  <si>
    <r>
      <rPr>
        <b/>
        <sz val="13"/>
        <color theme="1"/>
        <rFont val="Calibri"/>
        <family val="2"/>
        <scheme val="minor"/>
      </rPr>
      <t>Es ist ein MA in Ausbildung im Bereich</t>
    </r>
    <r>
      <rPr>
        <sz val="13"/>
        <color theme="1"/>
        <rFont val="Calibri"/>
        <family val="2"/>
        <scheme val="minor"/>
      </rPr>
      <t xml:space="preserve">
</t>
    </r>
    <r>
      <rPr>
        <sz val="13"/>
        <color rgb="FFFF0000"/>
        <rFont val="Calibri"/>
        <family val="2"/>
        <scheme val="minor"/>
      </rPr>
      <t>Ausbilder ist immer anwesend beim Ausführen von Tätigkeiten</t>
    </r>
  </si>
  <si>
    <r>
      <rPr>
        <b/>
        <sz val="13"/>
        <color theme="1"/>
        <rFont val="Calibri"/>
        <family val="2"/>
      </rPr>
      <t xml:space="preserve">Arbeiten mit Unterbesetzung </t>
    </r>
    <r>
      <rPr>
        <sz val="13"/>
        <color theme="1"/>
        <rFont val="Calibri"/>
        <family val="2"/>
      </rPr>
      <t xml:space="preserve">
</t>
    </r>
    <r>
      <rPr>
        <sz val="13"/>
        <color rgb="FFFF0000"/>
        <rFont val="Calibri"/>
        <family val="2"/>
      </rPr>
      <t xml:space="preserve">Sensibilisieren für besonderes Arbeitspensum, </t>
    </r>
  </si>
  <si>
    <r>
      <rPr>
        <b/>
        <sz val="13"/>
        <color theme="1"/>
        <rFont val="Calibri"/>
        <family val="2"/>
      </rPr>
      <t>Arbeiten durch eigene MA werden im Bereich durchgeführt (Bestandsprüfungen etc.)</t>
    </r>
    <r>
      <rPr>
        <sz val="13"/>
        <color theme="1"/>
        <rFont val="Calibri"/>
        <family val="2"/>
      </rPr>
      <t xml:space="preserve">
</t>
    </r>
    <r>
      <rPr>
        <sz val="13"/>
        <color rgb="FFFF0000"/>
        <rFont val="Calibri"/>
        <family val="2"/>
      </rPr>
      <t>Erhöhte Aufmerksamkeit + Klare Absprache Wann / Wer / Wo / Was</t>
    </r>
  </si>
  <si>
    <r>
      <rPr>
        <b/>
        <sz val="13"/>
        <color theme="1"/>
        <rFont val="Calibri"/>
        <family val="2"/>
      </rPr>
      <t xml:space="preserve">Wartung, Reparatur, intensiv Reinigung </t>
    </r>
    <r>
      <rPr>
        <sz val="13"/>
        <color theme="1"/>
        <rFont val="Calibri"/>
        <family val="2"/>
      </rPr>
      <t xml:space="preserve">
</t>
    </r>
    <r>
      <rPr>
        <sz val="13"/>
        <color rgb="FFFF0000"/>
        <rFont val="Calibri"/>
        <family val="2"/>
      </rPr>
      <t>Klare Absprachen, Vorbereitung im Voraus, klare Aufgabenverteilung, prüfen ob zustätzliche Schutzmaßnahmen notwendig sind</t>
    </r>
  </si>
  <si>
    <r>
      <rPr>
        <b/>
        <sz val="13"/>
        <color theme="1"/>
        <rFont val="Calibri"/>
        <family val="2"/>
        <scheme val="minor"/>
      </rPr>
      <t>Ein EHS Vorfall (Unfall/ Bagatellunfall) wurde in der aktuellen oder vergangenen Schicht gemeldet</t>
    </r>
    <r>
      <rPr>
        <sz val="13"/>
        <color theme="1"/>
        <rFont val="Calibri"/>
        <family val="2"/>
        <scheme val="minor"/>
      </rPr>
      <t xml:space="preserve">
</t>
    </r>
    <r>
      <rPr>
        <sz val="13"/>
        <color rgb="FFFF0000"/>
        <rFont val="Calibri"/>
        <family val="2"/>
        <scheme val="minor"/>
      </rPr>
      <t>Unfall bewerten, Gegenmaßnahmen einleiten, Information an Folgeschichten</t>
    </r>
  </si>
  <si>
    <r>
      <t xml:space="preserve">Hohes Arbeitsaufkommen 
</t>
    </r>
    <r>
      <rPr>
        <sz val="13"/>
        <color rgb="FFFF0000"/>
        <rFont val="Calibri"/>
        <family val="2"/>
        <scheme val="minor"/>
      </rPr>
      <t>Zwischen 2-3 Trucks  Warenein- und -ausgang (Summe)</t>
    </r>
    <r>
      <rPr>
        <b/>
        <sz val="13"/>
        <color theme="1"/>
        <rFont val="Calibri"/>
        <family val="2"/>
        <scheme val="minor"/>
      </rPr>
      <t xml:space="preserve"> </t>
    </r>
    <r>
      <rPr>
        <sz val="13"/>
        <color rgb="FFFF0000"/>
        <rFont val="Calibri"/>
        <family val="2"/>
        <scheme val="minor"/>
      </rPr>
      <t>erwartet am Tag</t>
    </r>
  </si>
  <si>
    <r>
      <rPr>
        <b/>
        <sz val="13"/>
        <rFont val="Calibri"/>
        <family val="2"/>
        <scheme val="minor"/>
      </rPr>
      <t xml:space="preserve">Sehr hohes Arbeitsaufkommen </t>
    </r>
    <r>
      <rPr>
        <b/>
        <sz val="13"/>
        <color rgb="FFFF0000"/>
        <rFont val="Calibri"/>
        <family val="2"/>
        <scheme val="minor"/>
      </rPr>
      <t xml:space="preserve">
</t>
    </r>
    <r>
      <rPr>
        <sz val="13"/>
        <color rgb="FFFF0000"/>
        <rFont val="Calibri"/>
        <family val="2"/>
        <scheme val="minor"/>
      </rPr>
      <t>Mehr als 3 Trucks  Warenein- und -ausgang (Summe) erwartet am Tag</t>
    </r>
  </si>
  <si>
    <r>
      <t>Technischer / Baulicher Defekt mit Not-/Übergangslösung</t>
    </r>
    <r>
      <rPr>
        <sz val="13"/>
        <color theme="1"/>
        <rFont val="Calibri"/>
        <family val="2"/>
      </rPr>
      <t xml:space="preserve">
</t>
    </r>
    <r>
      <rPr>
        <sz val="13"/>
        <color rgb="FFFF0000"/>
        <rFont val="Calibri"/>
        <family val="2"/>
      </rPr>
      <t>Kollegen und Vorgesetzten Informieren, im DDS besprechen.</t>
    </r>
  </si>
  <si>
    <t>EH&amp;S</t>
  </si>
  <si>
    <t>Safety trigger</t>
  </si>
  <si>
    <t>Automatisch ausgefüllt</t>
  </si>
  <si>
    <t xml:space="preserve">PULSAR  Beobachtungen </t>
  </si>
  <si>
    <t>Minimum Anzahl 1 Mitarbeiter pro Tag</t>
  </si>
  <si>
    <t>Accident / LTR</t>
  </si>
  <si>
    <t>Anzahl schwerer Verletzungen</t>
  </si>
  <si>
    <t xml:space="preserve">Incident / Near Misses </t>
  </si>
  <si>
    <t>Anzahl Verletzungen</t>
  </si>
  <si>
    <t xml:space="preserve">Crewing </t>
  </si>
  <si>
    <t>Inbound Besetzung</t>
  </si>
  <si>
    <t>Minimum Anzahl Mitarbeiter je Bereich</t>
  </si>
  <si>
    <t>Outbound Besetzung</t>
  </si>
  <si>
    <t>Log-IN Versandhalle</t>
  </si>
  <si>
    <t>Log-IN Rampe 6</t>
  </si>
  <si>
    <t>Log-IN IP2</t>
  </si>
  <si>
    <t>Logistikcenter Inbound (Wareneingang)</t>
  </si>
  <si>
    <t>WE FG Plan</t>
  </si>
  <si>
    <t>Basis: OTM/SCI geplante arrivals für den akt. Tag</t>
  </si>
  <si>
    <t>WE FG Ist</t>
  </si>
  <si>
    <t>Tatsächlich Anzahl abgeschlossener Entladungen</t>
  </si>
  <si>
    <t>WE FG Paletten ist</t>
  </si>
  <si>
    <t>Anzahl Paletten  abgeschlossener Entladungen</t>
  </si>
  <si>
    <t>FG Time Slots getroffen</t>
  </si>
  <si>
    <t>Anzahl FG Time Slots getroffen "Ja"</t>
  </si>
  <si>
    <t>% FG Time Slots  getroffen</t>
  </si>
  <si>
    <t>Transport (Under review)</t>
  </si>
  <si>
    <t>NON OTIF Entladungen FG</t>
  </si>
  <si>
    <t>WE WMS Plan</t>
  </si>
  <si>
    <t>Basis: SAP / ZFM</t>
  </si>
  <si>
    <t>WE WMS Ist</t>
  </si>
  <si>
    <t>WE WMS Paletten ist</t>
  </si>
  <si>
    <t>WMS Time Slots getroffen</t>
  </si>
  <si>
    <t>Anzahl Time Slots getroffen "Ja"</t>
  </si>
  <si>
    <t>% Time Slots  getroffen (automatisch berechnet)</t>
  </si>
  <si>
    <t>Entladungszeit</t>
  </si>
  <si>
    <t>Durchnittliche Entladungszeit (SS für FS, FS für SS) in hh:mm</t>
  </si>
  <si>
    <t>Max. einer Schicht (SS für FS, FS für SS) in hh:mm</t>
  </si>
  <si>
    <t>LKWs verschoben</t>
  </si>
  <si>
    <t xml:space="preserve"> Anzahl LKWs verschoben</t>
  </si>
  <si>
    <t xml:space="preserve">Retrospectiv changes </t>
  </si>
  <si>
    <t>Verursacht durch planner</t>
  </si>
  <si>
    <t>Verursacht durch office</t>
  </si>
  <si>
    <t>T&amp;T Issues</t>
  </si>
  <si>
    <t>Anzahl T&amp;T issues</t>
  </si>
  <si>
    <t xml:space="preserve"> Anzahl T&amp;T  betroffene Paletten</t>
  </si>
  <si>
    <t>Bestandstreiber</t>
  </si>
  <si>
    <t xml:space="preserve">Bericht 616 WM (bis 08:45 Uhr FS auszufüllen) </t>
  </si>
  <si>
    <t xml:space="preserve">Produktionsmaterialien </t>
  </si>
  <si>
    <t>ABDiet (Tabak Bins)</t>
  </si>
  <si>
    <t>NONERP (die leeren Bins)</t>
  </si>
  <si>
    <t>V_Bucket (Eimer)</t>
  </si>
  <si>
    <t>V_Cover (Deckel)</t>
  </si>
  <si>
    <t>V_Karton</t>
  </si>
  <si>
    <t>V_Tin (Dosen)</t>
  </si>
  <si>
    <t>WM_Sonstiges (alle XX Artikel)</t>
  </si>
  <si>
    <t>Zigaretten (ZFG100000)</t>
  </si>
  <si>
    <t>Gesamt</t>
  </si>
  <si>
    <t>SPA Bestand</t>
  </si>
  <si>
    <t>FRA Bestand</t>
  </si>
  <si>
    <t>ITA Bestand</t>
  </si>
  <si>
    <t>AUT Bestand</t>
  </si>
  <si>
    <t xml:space="preserve">GEW Bestand </t>
  </si>
  <si>
    <t>Zigarillos (ZFG110000)</t>
  </si>
  <si>
    <t>MYO (ZFG130000)</t>
  </si>
  <si>
    <t>Oral (ZFG135004)</t>
  </si>
  <si>
    <t>Gesamtlagerkapazität</t>
  </si>
  <si>
    <t>Gesamt (Bericht Ende)</t>
  </si>
  <si>
    <t>Logistikcenter Outbound (Warenausgang)</t>
  </si>
  <si>
    <t>Gesamt Picking Aufträge Plan</t>
  </si>
  <si>
    <t>Basis: OTM geplante arrivals für den akt. Tag bis 9:00 Uhr</t>
  </si>
  <si>
    <t>Picking Aufträge Ist</t>
  </si>
  <si>
    <t>Tatsälich erledigte P.-Aufträge für den jeweiligen Verladetag</t>
  </si>
  <si>
    <t xml:space="preserve">Vorbereitungszeit </t>
  </si>
  <si>
    <t>Durchnittliche Vorbereitungszeit einer Schicht</t>
  </si>
  <si>
    <t>WA FG Plan</t>
  </si>
  <si>
    <t>Basis: OTM geplante arrivals für den akt. Tag</t>
  </si>
  <si>
    <t>WA FG Ist</t>
  </si>
  <si>
    <t>Tatsälich Anzahl abgeschossener Verladungen</t>
  </si>
  <si>
    <t>WA FG Paletten ist</t>
  </si>
  <si>
    <t>Anzahl Paletten  abgeschlossener Verladungen</t>
  </si>
  <si>
    <t>WA FG Slip Sheet Plan</t>
  </si>
  <si>
    <t>WA FG Slip Sheet Ist</t>
  </si>
  <si>
    <t>WA FG Slip Sheet Paletten ist</t>
  </si>
  <si>
    <t>Anzahl Paletten abgeschossener Verladungen</t>
  </si>
  <si>
    <t>Shuttel Ist</t>
  </si>
  <si>
    <t>Wartezeit bis Verladebeginn</t>
  </si>
  <si>
    <t>Anzahl von Wartezeit über 2h</t>
  </si>
  <si>
    <t>Durchnittliche Bearbeitungszeit einer Schicht (Von Vorschicht)</t>
  </si>
  <si>
    <t>Max. einer Schicht (Von Vorschicht)</t>
  </si>
  <si>
    <t>Documents not on time</t>
  </si>
  <si>
    <t>Tatsälich Anzahl fehlender Dokumente am Abholtag</t>
  </si>
  <si>
    <t xml:space="preserve">Nachträgliche Änderungen </t>
  </si>
  <si>
    <t>Anzahl LKWs verschoben</t>
  </si>
  <si>
    <t>T&amp;T issues</t>
  </si>
  <si>
    <t>Anzahl neue TPD  Paletten  mit  Error, Not Found, Warning</t>
  </si>
  <si>
    <t>Anzahl bearbetete TPD Paletten</t>
  </si>
  <si>
    <t>Transport</t>
  </si>
  <si>
    <t>NON OTIF Verladungen FG</t>
  </si>
  <si>
    <t>IT Tickets Inbound / Outbound</t>
  </si>
  <si>
    <t>Swisslog offen</t>
  </si>
  <si>
    <t>Anzahl neue IT Tickets</t>
  </si>
  <si>
    <t>Swisslog gelöst</t>
  </si>
  <si>
    <t>Anzahl abgeschlossener  IT Tickets</t>
  </si>
  <si>
    <t>SAP offen</t>
  </si>
  <si>
    <t>SAP gelöst</t>
  </si>
  <si>
    <t>TPD GO offen</t>
  </si>
  <si>
    <t>TPD GO gelöst</t>
  </si>
  <si>
    <t>TPD Portal offen</t>
  </si>
  <si>
    <t>TPD Portal gelöst</t>
  </si>
  <si>
    <t>SMILES offen</t>
  </si>
  <si>
    <t>SMILES gelöst</t>
  </si>
  <si>
    <t>MIC offen</t>
  </si>
  <si>
    <t>MIC gelöst</t>
  </si>
  <si>
    <t>OTM offen</t>
  </si>
  <si>
    <t>OTM gelöst</t>
  </si>
  <si>
    <t>AGV System offen</t>
  </si>
  <si>
    <t>AGV System gelöst</t>
  </si>
  <si>
    <t>IT-Tickets Sonstiges offen</t>
  </si>
  <si>
    <t>IT-Tickets Sonstiges gelöst</t>
  </si>
  <si>
    <t>IT-Tickets gelöst</t>
  </si>
  <si>
    <t>Anzahl gelöst IT Tickets  Inbound (Summe)</t>
  </si>
  <si>
    <t>Anzahl gelöst IT Tickets   Outbound (Summe)</t>
  </si>
  <si>
    <t>7E25956</t>
  </si>
  <si>
    <t>7E32761</t>
  </si>
  <si>
    <t>BTST9352</t>
  </si>
  <si>
    <t>3202678295 / 3202678296 / 3202678297</t>
  </si>
  <si>
    <t>3202678292 / 3202678293 / 3202678294</t>
  </si>
  <si>
    <t>3202678289 / 3202678290 / 3202678291</t>
  </si>
  <si>
    <t>3202678284 / 3202678285 / 3202678286 / 3202678288</t>
  </si>
  <si>
    <t>3202678280 / 3202678281 / 3202678282 / 3202678283</t>
  </si>
  <si>
    <t>Duisburg 3</t>
  </si>
  <si>
    <t>Großbeeren 2</t>
  </si>
  <si>
    <t>Hamburg 2</t>
  </si>
  <si>
    <t>6E98146</t>
  </si>
  <si>
    <t>6E98059</t>
  </si>
  <si>
    <t>7E09706</t>
  </si>
  <si>
    <t>3202617906 / 3202617907</t>
  </si>
  <si>
    <t>BTST9360</t>
  </si>
  <si>
    <t>Shuttle LC 1</t>
  </si>
  <si>
    <t>SKU 10186059 / 10186180 / 10186194</t>
  </si>
  <si>
    <t>Krage Potsdam</t>
  </si>
  <si>
    <t>Werbeware ADM</t>
  </si>
  <si>
    <t>Shuttle LC 2</t>
  </si>
  <si>
    <t>n.V.</t>
  </si>
  <si>
    <t>nein</t>
  </si>
  <si>
    <t>3202449136 / 3202449137  / 3202449138 /  3202449139</t>
  </si>
  <si>
    <t>Duisburg 4</t>
  </si>
  <si>
    <t>Langenbach 2</t>
  </si>
  <si>
    <t>Hannover 2</t>
  </si>
  <si>
    <t>Mainz 2</t>
  </si>
  <si>
    <t>Shuttle LC 3</t>
  </si>
  <si>
    <t xml:space="preserve">SKU 10186059 / 10186180 </t>
  </si>
  <si>
    <t>5E77329</t>
  </si>
  <si>
    <t>5E77197</t>
  </si>
  <si>
    <t>7E13643</t>
  </si>
  <si>
    <t>7E32779</t>
  </si>
  <si>
    <t>5E92564</t>
  </si>
  <si>
    <t>7E25977</t>
  </si>
  <si>
    <t>Werbeware Feuerzeug</t>
  </si>
  <si>
    <t>Pecs 1</t>
  </si>
  <si>
    <t>4300934332 / 9185066097 4300934332 / 9185066098 4300934331 / 9185066099 4200214045 / 9185077263</t>
  </si>
  <si>
    <t>17 / 4 / 12 / 2</t>
  </si>
  <si>
    <t>Schkeuditz / Leipzig 2</t>
  </si>
  <si>
    <t>3202494586 / 3202494587 / 3202494588 / 3202387987</t>
  </si>
  <si>
    <t>3202683058 / 3202683071</t>
  </si>
  <si>
    <t>3202683050 / 3202683051 / 3202683073</t>
  </si>
  <si>
    <t>3202683054 / 3202683055 / 3202683072</t>
  </si>
  <si>
    <t>3202683052 / 3202683053 / 3202477129</t>
  </si>
  <si>
    <t>ja</t>
  </si>
  <si>
    <t>SKU 10186059 / 10186199 / 10186194</t>
  </si>
  <si>
    <t>Pecs 2</t>
  </si>
  <si>
    <t>4300935093 / 9185077209 4300934964 / 9185080456</t>
  </si>
  <si>
    <t>7 / 28</t>
  </si>
  <si>
    <t>SKU 10186059 / 10186200 / 10186201</t>
  </si>
  <si>
    <t>Geis</t>
  </si>
  <si>
    <t>Shuttle LC 4</t>
  </si>
  <si>
    <t>Shuttle LC 5</t>
  </si>
  <si>
    <t>Duisburg 5</t>
  </si>
  <si>
    <t>Duisburg 6</t>
  </si>
  <si>
    <t>Großbeeren 3</t>
  </si>
  <si>
    <t>Hamburg 3</t>
  </si>
  <si>
    <t>5E82371</t>
  </si>
  <si>
    <t>5E92651</t>
  </si>
  <si>
    <t>5E77276</t>
  </si>
  <si>
    <t>Trailer defekt, musste nach HEG</t>
  </si>
  <si>
    <t>3202683590 / 3202683591</t>
  </si>
  <si>
    <t>3202683593 / 3202683594</t>
  </si>
  <si>
    <t>Muss Leerpaletten im LC Abladen 502 ST</t>
  </si>
  <si>
    <t>3202648473 / 3202648474</t>
  </si>
  <si>
    <t xml:space="preserve">LS 3202622223 wurde gekürtzt </t>
  </si>
  <si>
    <r>
      <t xml:space="preserve">3202683056 / 3202683057 / 3202683070 / </t>
    </r>
    <r>
      <rPr>
        <sz val="12"/>
        <color rgb="FFFF0000"/>
        <rFont val="Calibri"/>
        <family val="2"/>
        <scheme val="minor"/>
      </rPr>
      <t>3202622223</t>
    </r>
  </si>
  <si>
    <t>SKU 10186059 / 10188952</t>
  </si>
  <si>
    <t>SKU 10186059 / 10186247 / 10188935 / 10188952</t>
  </si>
  <si>
    <t>08.01.24</t>
  </si>
  <si>
    <t>BTST9351</t>
  </si>
  <si>
    <t>SKU 10188935</t>
  </si>
  <si>
    <t>SKU 10186059 10186248</t>
  </si>
  <si>
    <t>4200214433 / 9185106163 4300935525 / 9185106162</t>
  </si>
  <si>
    <t>SKU 10186065 / 10186247 / 10186263</t>
  </si>
  <si>
    <t>30 // 4</t>
  </si>
  <si>
    <t>Poznan 1</t>
  </si>
  <si>
    <t>4300935584 / 9185124946 4200214462 / 9185124945</t>
  </si>
  <si>
    <t>3202672913 / 3202672914 / 3202672915</t>
  </si>
  <si>
    <t>1000450038</t>
  </si>
  <si>
    <t>1000450056</t>
  </si>
  <si>
    <t>3202672916 / 3202672917</t>
  </si>
  <si>
    <t>7E32404</t>
  </si>
  <si>
    <t>5E82538</t>
  </si>
  <si>
    <t>5E82585</t>
  </si>
  <si>
    <t>5E82536</t>
  </si>
  <si>
    <t>5E92567</t>
  </si>
  <si>
    <t>3202672918 / 3202672919</t>
  </si>
  <si>
    <t>Dokumente 16:20</t>
  </si>
  <si>
    <t>3202688456 / 3202688457 / 3202688458</t>
  </si>
  <si>
    <t>3202688453 / 3202688454 / 3202688455</t>
  </si>
  <si>
    <t>Dokumente 18:10</t>
  </si>
  <si>
    <t>Dokumente 19:30</t>
  </si>
  <si>
    <t>09.01.24</t>
  </si>
  <si>
    <t>SKU 10186263 / 10188935</t>
  </si>
  <si>
    <t>Ticket für SKU 10191120</t>
  </si>
  <si>
    <t>Gizeh 1</t>
  </si>
  <si>
    <t>3202688450 / 3202688451 / 3202688452</t>
  </si>
  <si>
    <t>Werbematerial ADM</t>
  </si>
  <si>
    <t>29 // 1</t>
  </si>
  <si>
    <t>4300935772 / 9185134235 4200214508 / 9185133556</t>
  </si>
  <si>
    <t>30 / 3</t>
  </si>
  <si>
    <t>Shuttle HEG 1</t>
  </si>
  <si>
    <t>Gizeh 2</t>
  </si>
  <si>
    <t>SKU 10186065 / 10188935</t>
  </si>
  <si>
    <t>SKU 10186065</t>
  </si>
  <si>
    <t>SKU 10186065 / 10186211 / 10188561</t>
  </si>
  <si>
    <t>Pecs 4</t>
  </si>
  <si>
    <t>Pecs 3</t>
  </si>
  <si>
    <t>4300935771 / 9185128512</t>
  </si>
  <si>
    <t>4300935943 / 9185121629</t>
  </si>
  <si>
    <t>SKU 10186065 / 10186211</t>
  </si>
  <si>
    <t>3202629957 / 3202629958</t>
  </si>
  <si>
    <t>6E98165</t>
  </si>
  <si>
    <t>5E77194</t>
  </si>
  <si>
    <t>5E70911</t>
  </si>
  <si>
    <t>5E79772</t>
  </si>
  <si>
    <t>3202629959 / 3202692590</t>
  </si>
  <si>
    <t>3202692591 / 3202692592</t>
  </si>
  <si>
    <t>3202692595 / 3202692596</t>
  </si>
  <si>
    <t>Pecs 5</t>
  </si>
  <si>
    <t>4300935946 / 9185114054</t>
  </si>
  <si>
    <t>3202692593 / 3202692594</t>
  </si>
  <si>
    <t>3202629954 / 3202629955 / 3202629956</t>
  </si>
  <si>
    <t>11.01.24</t>
  </si>
  <si>
    <t>Gizeh 3</t>
  </si>
  <si>
    <t>Gizeh 4</t>
  </si>
  <si>
    <t>SKU 10179240 / 10186065</t>
  </si>
  <si>
    <t>Poznan 2</t>
  </si>
  <si>
    <t>4200214628 / 9185139704</t>
  </si>
  <si>
    <t>Pecs 6</t>
  </si>
  <si>
    <t>4300936136 / 9185179286</t>
  </si>
  <si>
    <t>LBK-Retoure</t>
  </si>
  <si>
    <t>12.01.24</t>
  </si>
  <si>
    <t>Nicht aufgetaucht</t>
  </si>
  <si>
    <t xml:space="preserve">SKU 10186065 </t>
  </si>
  <si>
    <t>Pecs 7</t>
  </si>
  <si>
    <t>4300936133 / 9185171003</t>
  </si>
  <si>
    <t>Gizeh 5</t>
  </si>
  <si>
    <t>war nicht angekündigt, Mail an Germany Deployment geschrieben! IT</t>
  </si>
  <si>
    <t>SKU 10186059 / 10186194 / 10186211</t>
  </si>
  <si>
    <t>SKU 10191161</t>
  </si>
  <si>
    <t xml:space="preserve">Shuttle LC 5 </t>
  </si>
  <si>
    <t>SKU 10186059</t>
  </si>
  <si>
    <t>Pecs 8</t>
  </si>
  <si>
    <t>4300936368 / 9185195719</t>
  </si>
  <si>
    <t>Poznan 3</t>
  </si>
  <si>
    <t>4300936431 / 9185105618 4200214825 / 9185192334</t>
  </si>
  <si>
    <t>Pecs 9</t>
  </si>
  <si>
    <t>4300936139 / 9185195721 4300936138 / 9185188277</t>
  </si>
  <si>
    <t>3202696000 / 3202696001</t>
  </si>
  <si>
    <t>1 / 45</t>
  </si>
  <si>
    <t>22 / 11</t>
  </si>
  <si>
    <t>BTST9358</t>
  </si>
  <si>
    <t>5E79768</t>
  </si>
  <si>
    <t>SKU 10186059 / 10190470</t>
  </si>
  <si>
    <t>Kanfanar 1</t>
  </si>
  <si>
    <t>4300936623 / 9185146318 4300936661 / 9185217424</t>
  </si>
  <si>
    <t>4300936627 / 9185213441 4300936539 / 9185210151</t>
  </si>
  <si>
    <t>5 // 17</t>
  </si>
  <si>
    <t>SKU 10186194 / 10188936</t>
  </si>
  <si>
    <t>3 // 32</t>
  </si>
  <si>
    <t>SKU 10186059 / 10186065</t>
  </si>
  <si>
    <t>Ploiesti 1</t>
  </si>
  <si>
    <t>4300936398 / 9185186998 4200214794 / 9185198046</t>
  </si>
  <si>
    <t>SKU 10186059 / 10188936</t>
  </si>
  <si>
    <t>22 // 16</t>
  </si>
  <si>
    <t>3202696002 / Zusatz 3202536112</t>
  </si>
  <si>
    <t>3202536113 / 3202536114 / 3202536115</t>
  </si>
  <si>
    <t>3202696837 / 3202696838 / 3202696839 / 3202696840</t>
  </si>
  <si>
    <t>3202696830 / 3202696831 / 3202696832</t>
  </si>
  <si>
    <t>3202536116 / 3202536117 / 3202536118
3202536119</t>
  </si>
  <si>
    <t>Shuttle LC 6</t>
  </si>
  <si>
    <t>SKU 10186059 / 10186065 / 10186194 / 10188936</t>
  </si>
  <si>
    <t>Shuttle LC 7</t>
  </si>
  <si>
    <t>Shuttle LC 8</t>
  </si>
  <si>
    <t>SUPER-DEPOT 7</t>
  </si>
  <si>
    <t>6E98038</t>
  </si>
  <si>
    <t>5E95546</t>
  </si>
  <si>
    <t>7E13621</t>
  </si>
  <si>
    <t>5E77335</t>
  </si>
  <si>
    <t>5E77196</t>
  </si>
  <si>
    <t>Shuttle LC 9</t>
  </si>
  <si>
    <t>3202696833 / 3202696834 / 3202696835 / 3202696836</t>
  </si>
  <si>
    <t>ATTP Status</t>
  </si>
  <si>
    <t>Verzögerung wegen HH</t>
  </si>
  <si>
    <t>4300936917 / 9185205799 4200214991 / 9185210584</t>
  </si>
  <si>
    <t>3202410746 // ADM-Ware</t>
  </si>
  <si>
    <t>zum Trailer-Tausch nach Neuenmarkt gefahren!</t>
  </si>
  <si>
    <t>3202678433 / 3202678434 / 3202678435</t>
  </si>
  <si>
    <t>Fehlverladung</t>
  </si>
  <si>
    <t>4300936844 / 9185199778 4300936845 / 9185208562</t>
  </si>
  <si>
    <t>3202678437 / 3202678438 / 3202678439</t>
  </si>
  <si>
    <t>Mainz 3</t>
  </si>
  <si>
    <t>3202698120 / 3202698121 / 3202698122</t>
  </si>
  <si>
    <t>25 // 9</t>
  </si>
  <si>
    <t>4300936846 / 9185200528</t>
  </si>
  <si>
    <t>SKU 10186065 / 10186194 / 10188936</t>
  </si>
  <si>
    <t>5E77195</t>
  </si>
  <si>
    <t>5E92648</t>
  </si>
  <si>
    <t xml:space="preserve">muss Leerpaletten im Super-depot Abladen </t>
  </si>
  <si>
    <t>SKU 10186194 / 10186201</t>
  </si>
  <si>
    <t>SKU 10186059 / 10188935 / 10188936</t>
  </si>
  <si>
    <t>4300936988 / 9185258721</t>
  </si>
  <si>
    <t>Kanfanar 2</t>
  </si>
  <si>
    <t>4300937136 / 9185238414 4300937401 / 9185286786</t>
  </si>
  <si>
    <t>9 // 6</t>
  </si>
  <si>
    <t>Arvato Harsewinkel 1</t>
  </si>
  <si>
    <t>3202656205 / 3202656206</t>
  </si>
  <si>
    <t>3202656202 / 3202656203 / 3202656204</t>
  </si>
  <si>
    <t>3202656207 / 3202656208 / 3202656209</t>
  </si>
  <si>
    <t>5E82543</t>
  </si>
  <si>
    <t>6E98270</t>
  </si>
  <si>
    <t>5E92563</t>
  </si>
  <si>
    <t>3202700030 / 3202700031 / 3202700032</t>
  </si>
  <si>
    <t>Hannover 3</t>
  </si>
  <si>
    <t>Hannover 4</t>
  </si>
  <si>
    <t>NON-ATTP</t>
  </si>
  <si>
    <t>Shuttle LC1</t>
  </si>
  <si>
    <t>Gizeh 6</t>
  </si>
  <si>
    <t>4200215073 / 9185284156</t>
  </si>
  <si>
    <t>KUGA84</t>
  </si>
  <si>
    <t>LBK</t>
  </si>
  <si>
    <t>Gizeh 7</t>
  </si>
  <si>
    <t>SKU 10186263 / 10186059</t>
  </si>
  <si>
    <t>SKU 10186059 / 10186199</t>
  </si>
  <si>
    <t>Mainz 4</t>
  </si>
  <si>
    <t>3202700033 / 3202700034 / 3202700035 / Zusatz 3202701120</t>
  </si>
  <si>
    <t>3202690857 / 3202690858 / 3202690859</t>
  </si>
  <si>
    <t>3202701251 / 3202701252 / 3202701253</t>
  </si>
  <si>
    <t>4200215151 / 9185164651 4300937399 / 9185281028</t>
  </si>
  <si>
    <t>3202701254 / 3202701255 / 3202701256</t>
  </si>
  <si>
    <t>Verladung</t>
  </si>
  <si>
    <t>3202513989 / 3202701320 / 3202701321</t>
  </si>
  <si>
    <t>33 // 1</t>
  </si>
  <si>
    <t>SKU 10186059 / 10186199 / 10186200</t>
  </si>
  <si>
    <t xml:space="preserve">Muss Leerpaletten im LC Abladen </t>
  </si>
  <si>
    <t xml:space="preserve">SKU 10186059 / 10186200   </t>
  </si>
  <si>
    <t>5E82386</t>
  </si>
  <si>
    <t>5E95548</t>
  </si>
  <si>
    <t>Shuttle LC  1</t>
  </si>
  <si>
    <t>SKU 10186059 / 10186200</t>
  </si>
  <si>
    <t>Ploiesti 2</t>
  </si>
  <si>
    <t>4300937147 / 9185250520</t>
  </si>
  <si>
    <t>SKU 10186200</t>
  </si>
  <si>
    <t xml:space="preserve">Pecs 6 </t>
  </si>
  <si>
    <t>4300937381 / 9185289166 4300937380 / 9185224281</t>
  </si>
  <si>
    <t>18 // 15</t>
  </si>
  <si>
    <t>no-TnT</t>
  </si>
  <si>
    <t>Gizeh 8</t>
  </si>
  <si>
    <t>SKU 10186180 / 10186243</t>
  </si>
  <si>
    <t>3202438539 / 3202703132 / 3202703131
3202703130</t>
  </si>
  <si>
    <t>3202438535 / 3202438536 / 3202438537 / 3202438538</t>
  </si>
  <si>
    <t>7E13586</t>
  </si>
  <si>
    <t>5E79771</t>
  </si>
  <si>
    <t>5E92582</t>
  </si>
  <si>
    <t>5E92541</t>
  </si>
  <si>
    <t>3202703133 / 3202703134 / 3202703135
3202703136 / 3202703137</t>
  </si>
  <si>
    <t>4300937581 / 9185317295</t>
  </si>
  <si>
    <t>4200215420 / 9185335848 4300937848 / 9185323640</t>
  </si>
  <si>
    <t>4300937580 / 9185306852</t>
  </si>
  <si>
    <t>45 / 1</t>
  </si>
  <si>
    <t>Shutlle LC 2</t>
  </si>
  <si>
    <t>3202703144 / 3202703145
Zusätze 3202419413 / 3202419414</t>
  </si>
  <si>
    <t>3202703138 / 3202703139 / 3202703140
Zusätze 3202419415 / 3202419416</t>
  </si>
  <si>
    <r>
      <t xml:space="preserve">3202621583 / 3202621584 / 3202548314
</t>
    </r>
    <r>
      <rPr>
        <sz val="12"/>
        <rFont val="Calibri"/>
        <family val="2"/>
        <scheme val="minor"/>
      </rPr>
      <t>Zusatz 3202419417</t>
    </r>
  </si>
  <si>
    <t>3202704067 / 3202704068 / 3202704069</t>
  </si>
  <si>
    <t>3202704065 / 3202704066</t>
  </si>
  <si>
    <t>3202542339 / 3202704060 / 3202704061</t>
  </si>
  <si>
    <t>7E13596</t>
  </si>
  <si>
    <t>7E13551</t>
  </si>
  <si>
    <t>5E82539</t>
  </si>
  <si>
    <t>6E98158</t>
  </si>
  <si>
    <t>5E95600</t>
  </si>
  <si>
    <t>4300937840 / 9185337647</t>
  </si>
  <si>
    <t>SKU 10186180 / 10193241 // gelöst kann gebucht werden</t>
  </si>
  <si>
    <t>SKU 10186200 / 10186243 / 10193241  // gelöst kann gebucht werden</t>
  </si>
  <si>
    <t>3202704062 / 3202704063 / 3202704064</t>
  </si>
  <si>
    <t>4300937812 / 9185306681</t>
  </si>
  <si>
    <t>3202542336 / 3202542337 / 3202542338</t>
  </si>
  <si>
    <t>Langenbach 3</t>
  </si>
  <si>
    <t>3202704071 / 3202704072 / 3202704073</t>
  </si>
  <si>
    <t>1 PAL falsch; S2 vom 23.01.</t>
  </si>
  <si>
    <t>SKU 10186065 / 10186180</t>
  </si>
  <si>
    <t>SKU 10186065 / 10186180 / 10186199 / 10186200</t>
  </si>
  <si>
    <t>4200215511 / 9185355216</t>
  </si>
  <si>
    <t>Duisburg 7</t>
  </si>
  <si>
    <t>Duisburg 8</t>
  </si>
  <si>
    <t>Hamburg 4</t>
  </si>
  <si>
    <t>5E92583</t>
  </si>
  <si>
    <t>5E92456</t>
  </si>
  <si>
    <t>5E82368</t>
  </si>
  <si>
    <t>5E82587</t>
  </si>
  <si>
    <t>ATTP Issue</t>
  </si>
  <si>
    <t>4300937860 / 9185323271</t>
  </si>
  <si>
    <r>
      <rPr>
        <sz val="12"/>
        <rFont val="Calibri"/>
        <family val="2"/>
        <scheme val="minor"/>
      </rPr>
      <t>3202706253 / 3202706254</t>
    </r>
    <r>
      <rPr>
        <sz val="12"/>
        <color rgb="FFFF0000"/>
        <rFont val="Calibri"/>
        <family val="2"/>
        <scheme val="minor"/>
      </rPr>
      <t xml:space="preserve">
</t>
    </r>
    <r>
      <rPr>
        <sz val="12"/>
        <rFont val="Calibri"/>
        <family val="2"/>
        <scheme val="minor"/>
      </rPr>
      <t>ZUSATZ 3202688708</t>
    </r>
  </si>
  <si>
    <t>Hat länger gedauert wegen ständigen Änderungen ( Trailer wurden getauscht mit L2 )</t>
  </si>
  <si>
    <t>Hat länger gedauert wegen ständigen Änderungen ( Trailer wurden getauscht mit S3 )</t>
  </si>
  <si>
    <r>
      <t xml:space="preserve">3202591509 / 3202591508 / 3202706250
</t>
    </r>
    <r>
      <rPr>
        <sz val="12"/>
        <rFont val="Calibri"/>
        <family val="2"/>
        <scheme val="minor"/>
      </rPr>
      <t>ZUSATZ 3202688706</t>
    </r>
  </si>
  <si>
    <t>3202591507 / Zusatz 3202688705</t>
  </si>
  <si>
    <r>
      <rPr>
        <sz val="12"/>
        <rFont val="Calibri"/>
        <family val="2"/>
        <scheme val="minor"/>
      </rPr>
      <t>3202706256 / 3202706257</t>
    </r>
    <r>
      <rPr>
        <sz val="12"/>
        <color rgb="FFFF0000"/>
        <rFont val="Calibri"/>
        <family val="2"/>
        <scheme val="minor"/>
      </rPr>
      <t xml:space="preserve">
</t>
    </r>
    <r>
      <rPr>
        <sz val="12"/>
        <rFont val="Calibri"/>
        <family val="2"/>
        <scheme val="minor"/>
      </rPr>
      <t>ZUSATZ 3202688709</t>
    </r>
  </si>
  <si>
    <t>3202706251 / 3202706252 
Zusatz 3202688707</t>
  </si>
  <si>
    <t>Hamburg 5</t>
  </si>
  <si>
    <t>Rot durchgestrichen</t>
  </si>
  <si>
    <t>3202537126 / 3202537127</t>
  </si>
  <si>
    <t>3202707773 / 3202707774</t>
  </si>
  <si>
    <t>5E92457</t>
  </si>
  <si>
    <t>5E77286</t>
  </si>
  <si>
    <t>Duisburg 9</t>
  </si>
  <si>
    <t>Duisburg 10</t>
  </si>
  <si>
    <t>Großbeeren 4</t>
  </si>
  <si>
    <t>Langenbach 4</t>
  </si>
  <si>
    <t>Mainz 5</t>
  </si>
  <si>
    <t>Hamburg 6</t>
  </si>
  <si>
    <t>3202537129 / 3202707770 / 3202707771</t>
  </si>
  <si>
    <t>3202707775 / 3202707776</t>
  </si>
  <si>
    <t>4300938375 / 9185378621</t>
  </si>
  <si>
    <t>4200215773 / 9185400947</t>
  </si>
  <si>
    <t>Poznan 4</t>
  </si>
  <si>
    <t>4200215775 / 9185367434</t>
  </si>
  <si>
    <t>4300938649 / 9185399216</t>
  </si>
  <si>
    <t>SKU 10186059 / 10186211 / 10188935</t>
  </si>
  <si>
    <t>LBK-Retoure 3202648564</t>
  </si>
  <si>
    <t>3202700166 / 3202700167</t>
  </si>
  <si>
    <t>7E32512</t>
  </si>
  <si>
    <t>5E92561</t>
  </si>
  <si>
    <t>5E92718</t>
  </si>
  <si>
    <t>5E92539</t>
  </si>
  <si>
    <t>5E79785</t>
  </si>
  <si>
    <t>3202708823 / 3202708824 / 3202708825</t>
  </si>
  <si>
    <r>
      <t>3202700168 / 3202700169 /</t>
    </r>
    <r>
      <rPr>
        <sz val="12"/>
        <color rgb="FFFF0000"/>
        <rFont val="Calibri"/>
        <family val="2"/>
        <scheme val="minor"/>
      </rPr>
      <t xml:space="preserve"> Zusatz 3202628828</t>
    </r>
  </si>
  <si>
    <t>3202708820 / 3202708821</t>
  </si>
  <si>
    <t>3202708826 / 3202708827 / 3202708828</t>
  </si>
  <si>
    <t>Leerp- LC</t>
  </si>
  <si>
    <t>3202708829 / 3202708830</t>
  </si>
  <si>
    <t>SKU 10186059 / 10186211 / 10188952</t>
  </si>
  <si>
    <t>Poznan 5</t>
  </si>
  <si>
    <t>4300938864 / 9185421677 4200215880 / 9185426856</t>
  </si>
  <si>
    <t>49 / 3</t>
  </si>
  <si>
    <t xml:space="preserve">SKU 10186059 / 10188935 </t>
  </si>
  <si>
    <t>3202312459 / 3202710860</t>
  </si>
  <si>
    <t>5E92728</t>
  </si>
  <si>
    <t>3202710867 / 3202710868</t>
  </si>
  <si>
    <t>3202710865 / 3202710866</t>
  </si>
  <si>
    <t>3202710861 / 3202710862</t>
  </si>
  <si>
    <t>3202710863 / 3202710864</t>
  </si>
  <si>
    <t>5E92589</t>
  </si>
  <si>
    <t>5E79781</t>
  </si>
  <si>
    <t>5E92569</t>
  </si>
  <si>
    <t>5E92460</t>
  </si>
  <si>
    <t>BTST9345</t>
  </si>
  <si>
    <t>Shutlle LC 1</t>
  </si>
  <si>
    <t>4300939068 / 9185436903</t>
  </si>
  <si>
    <t xml:space="preserve">186927795 / 186887520 </t>
  </si>
  <si>
    <t>6E98264</t>
  </si>
  <si>
    <t>7E32762</t>
  </si>
  <si>
    <t>5E95602</t>
  </si>
  <si>
    <t>5E95603</t>
  </si>
  <si>
    <t>7E25976</t>
  </si>
  <si>
    <t>3202533637 / 3202533638 / 3202533639</t>
  </si>
  <si>
    <t>3202712455 / 3202712456 / 3202712457</t>
  </si>
  <si>
    <t>3202712452 / 3202712453</t>
  </si>
  <si>
    <t>3202712450 / 3202712451</t>
  </si>
  <si>
    <t>3202712459 / 3202712458 / 3202712460</t>
  </si>
  <si>
    <t>1000454925</t>
  </si>
  <si>
    <t>1000455206</t>
  </si>
  <si>
    <t>1000454933</t>
  </si>
  <si>
    <t>1000454961</t>
  </si>
  <si>
    <t>4200216134 / 9185363392</t>
  </si>
  <si>
    <t>3202455996 / 3202455997 / 3202455998</t>
  </si>
  <si>
    <t>3202455994 / 3202455995</t>
  </si>
  <si>
    <t>3202713780 / 3202713781 / 3202455999</t>
  </si>
  <si>
    <t>5E95601</t>
  </si>
  <si>
    <t>Neuenmarkt Shuttle 1</t>
  </si>
  <si>
    <t>3202538194 / 3202538195</t>
  </si>
  <si>
    <t>4200216135 / 9185469925</t>
  </si>
  <si>
    <t>Musste Leerpaletten im LC Abladen /  Neue Ankunft um 16:30</t>
  </si>
  <si>
    <t>1000454926</t>
  </si>
  <si>
    <t>1000454934</t>
  </si>
  <si>
    <t>1000454947</t>
  </si>
  <si>
    <t>1000454964</t>
  </si>
  <si>
    <t>1000454957</t>
  </si>
  <si>
    <t>Hannover 5</t>
  </si>
  <si>
    <t>1000454968</t>
  </si>
  <si>
    <t>LBK-Retoure / Depotbruch / CW-Bruch</t>
  </si>
  <si>
    <t xml:space="preserve">186937171 / 186946612 </t>
  </si>
  <si>
    <t>4300939468 / 9185455533</t>
  </si>
  <si>
    <t>5E92623</t>
  </si>
  <si>
    <t>5E92584</t>
  </si>
  <si>
    <t>7E32798</t>
  </si>
  <si>
    <t>3202709205 / 3202572552 / 3202696853 / 3202694461 / 3202700909 / 3202700678 / 3202120004</t>
  </si>
  <si>
    <t>4200216337 / 9185428111</t>
  </si>
  <si>
    <t>4200216333 / 9185493585</t>
  </si>
  <si>
    <t>4200216424 / 9185496492</t>
  </si>
  <si>
    <t>4300939118 / 9185444631 4300939118 / 9185444630</t>
  </si>
  <si>
    <t>18 / 15</t>
  </si>
  <si>
    <t>3202715625 / 3202715626 / 3202715627 / Zusatz 3202672943</t>
  </si>
  <si>
    <t xml:space="preserve">186932266 / 186922565 </t>
  </si>
  <si>
    <r>
      <t xml:space="preserve">3202271785 / 3202271786 / 3202271787
</t>
    </r>
    <r>
      <rPr>
        <sz val="12"/>
        <rFont val="Calibri"/>
        <family val="2"/>
        <scheme val="minor"/>
      </rPr>
      <t>Zusatz 3202666772 / Zusatz 3202672944</t>
    </r>
  </si>
  <si>
    <r>
      <t>3202271789 / 3202715620 /</t>
    </r>
    <r>
      <rPr>
        <sz val="12"/>
        <color rgb="FFFF0000"/>
        <rFont val="Calibri"/>
        <family val="2"/>
        <scheme val="minor"/>
      </rPr>
      <t xml:space="preserve"> </t>
    </r>
    <r>
      <rPr>
        <sz val="12"/>
        <rFont val="Calibri"/>
        <family val="2"/>
        <scheme val="minor"/>
      </rPr>
      <t>Zusatz 3202672941</t>
    </r>
  </si>
  <si>
    <r>
      <t xml:space="preserve">3202715629 / 3202715630 / 3202715631
</t>
    </r>
    <r>
      <rPr>
        <sz val="12"/>
        <rFont val="Calibri"/>
        <family val="2"/>
        <scheme val="minor"/>
      </rPr>
      <t xml:space="preserve"> / Zusatz 3202672955</t>
    </r>
  </si>
  <si>
    <t>3202715622 / 3202715623 / Zusatz 3202672942 / 3202677304</t>
  </si>
  <si>
    <t>7E19287</t>
  </si>
  <si>
    <t>7E32529</t>
  </si>
  <si>
    <t>5E92566</t>
  </si>
  <si>
    <t>Neuenmarkt Shuttle 2</t>
  </si>
  <si>
    <t>3202653644 / 3202653645</t>
  </si>
  <si>
    <t>3202717183 / 3202717184</t>
  </si>
  <si>
    <t>3202294458 / 3202294459 / 3202717180</t>
  </si>
  <si>
    <t>3202717181 / 3202717182 / 3202717980</t>
  </si>
  <si>
    <t>3202717185 / 3202717186</t>
  </si>
  <si>
    <t>Muss Leerpaletten im LC abladen</t>
  </si>
  <si>
    <t>Poznan 6</t>
  </si>
  <si>
    <t>4200216538 / 9185488031</t>
  </si>
  <si>
    <t>186878666 / 186883739</t>
  </si>
  <si>
    <t>4300939725 / 9185509958</t>
  </si>
  <si>
    <t>4300939850 / 9185429553 4300939851 / 9185429554</t>
  </si>
  <si>
    <t>7E13634</t>
  </si>
  <si>
    <t>4300939724 / 9185515615 4300939723 / 9185509957</t>
  </si>
  <si>
    <t>SUPER-DEPOT 8</t>
  </si>
  <si>
    <t>30 // 3</t>
  </si>
  <si>
    <t>Bielefeld  1</t>
  </si>
  <si>
    <t>4300939915 / 9185534487</t>
  </si>
  <si>
    <t xml:space="preserve">186938903 / 186845459 </t>
  </si>
  <si>
    <t>4200216669 / 9185562315</t>
  </si>
  <si>
    <t>3202719722 / 3202719723 / 3202719724</t>
  </si>
  <si>
    <t>3202719727 / 3202719728</t>
  </si>
  <si>
    <t>3202719725 / 3202719726 / 3202697521</t>
  </si>
  <si>
    <t>3202719720 / 3202719721 / 3202628829</t>
  </si>
  <si>
    <t>7E13665</t>
  </si>
  <si>
    <t>3202698395 / 3202719730</t>
  </si>
  <si>
    <t>1 CS zu viel von 06.02.</t>
  </si>
  <si>
    <t>2 PAL und 1 CS zu viel von 06.02.</t>
  </si>
  <si>
    <t xml:space="preserve">2 Etiketten von PAL vertauscht. </t>
  </si>
  <si>
    <t>4300940410 / 9185581398 4200216789 / 9185578938</t>
  </si>
  <si>
    <t>42 // 1</t>
  </si>
  <si>
    <t>LKW wurde auf 6.2.24 Verschoben</t>
  </si>
  <si>
    <t>SKU 10186059 / 10186201</t>
  </si>
  <si>
    <t>4200216792 / 9185568462</t>
  </si>
  <si>
    <t>SKU 10186059 / 101862001</t>
  </si>
  <si>
    <t>3202372529 / 3202722240 / 3202722241</t>
  </si>
  <si>
    <t>3202372527 / 3202372528</t>
  </si>
  <si>
    <t>4200216695 / 9185560320 4200216693 / 9185562206</t>
  </si>
  <si>
    <t>3202722242 / 3202722243</t>
  </si>
  <si>
    <t>27 / 3</t>
  </si>
  <si>
    <t>7E25975</t>
  </si>
  <si>
    <t>6E98037</t>
  </si>
  <si>
    <t>SUPER-DEPOT 6 / Vortag</t>
  </si>
  <si>
    <t>15:55 Leerp. LC / 1 PAL vom 07.02.+ 1 CS vom 07.02.</t>
  </si>
  <si>
    <t xml:space="preserve">Shuttle LC 1 </t>
  </si>
  <si>
    <t>SKU 10186059 / 10186201 / 10196274</t>
  </si>
  <si>
    <t>4200216866 / 9185597828</t>
  </si>
  <si>
    <t>4200216867 / 9185547214</t>
  </si>
  <si>
    <t>4300940626 / 9185601467</t>
  </si>
  <si>
    <t>SKU 10186059 / 10186194 / 10186201 / 10188935 / 10196274</t>
  </si>
  <si>
    <t>7E25955</t>
  </si>
  <si>
    <t>Insgesamt 35 PAL, Fotos von PAL gemacht, weitergeleitet an Jana Decker</t>
  </si>
  <si>
    <t>SKU 10186194 / 10188935</t>
  </si>
  <si>
    <t>4200216949 / 9185630299</t>
  </si>
  <si>
    <t>SKU 10186180 / 10186194</t>
  </si>
  <si>
    <t>4300940646 / 9185599986</t>
  </si>
  <si>
    <t>4300940424 / 9185599178</t>
  </si>
  <si>
    <t>3202480433 / 3202722154 / 3202683772 / 3202024302 / 3202723220</t>
  </si>
  <si>
    <t>3202724046 / 3202724047 / 3202724048 / 3202444214 / 3202623324</t>
  </si>
  <si>
    <t>3202724044 / 3202724045 / 3202713061 / 3202713062
3202623322</t>
  </si>
  <si>
    <t>SKU 10186180 / 10186200 / 10186211 / 10196274</t>
  </si>
  <si>
    <t>3202724041 / 3202724042 / 3202724043 / 3202725730 / 3202623323</t>
  </si>
  <si>
    <t>3202724350 / 3202724351 / 3202724049
3202623325</t>
  </si>
  <si>
    <t>Poznan 7</t>
  </si>
  <si>
    <t>4200216950 / 9185619142</t>
  </si>
  <si>
    <t>3202464027 / 3202464028 / 3202464029
3202726300</t>
  </si>
  <si>
    <t>3202726301 / 3202726302 / 3202726303</t>
  </si>
  <si>
    <t>Poznan 8</t>
  </si>
  <si>
    <t>4200216948 / 9185578763</t>
  </si>
  <si>
    <t>6E98039</t>
  </si>
  <si>
    <t>5E95547</t>
  </si>
  <si>
    <t>Wartezeit durch den Zusatz</t>
  </si>
  <si>
    <t>Bielefeld  2</t>
  </si>
  <si>
    <t>SKU 10186200 / 10188936</t>
  </si>
  <si>
    <t>Poznan 9</t>
  </si>
  <si>
    <t>4200217030 / 9185655407</t>
  </si>
  <si>
    <t>Poznan 10</t>
  </si>
  <si>
    <t>4300941106 / 9185652952 4200217032 / 9185643912</t>
  </si>
  <si>
    <t>43 // 1</t>
  </si>
  <si>
    <t>SKU 10188936</t>
  </si>
  <si>
    <t>KUGA87</t>
  </si>
  <si>
    <t>3202687684 / 3202687685 / 3202687686</t>
  </si>
  <si>
    <t>Leerplatten SD</t>
  </si>
  <si>
    <t>1 LS (2Pal) standen bei S2 // 1 LS stand bei L3</t>
  </si>
  <si>
    <t>5E77287</t>
  </si>
  <si>
    <r>
      <t xml:space="preserve">3202687687 / </t>
    </r>
    <r>
      <rPr>
        <sz val="12"/>
        <color rgb="FFFF0000"/>
        <rFont val="Calibri"/>
        <family val="2"/>
        <scheme val="minor"/>
      </rPr>
      <t>3202687688</t>
    </r>
    <r>
      <rPr>
        <sz val="12"/>
        <color theme="1"/>
        <rFont val="Calibri"/>
        <family val="2"/>
        <scheme val="minor"/>
      </rPr>
      <t xml:space="preserve"> / 3202687689</t>
    </r>
  </si>
  <si>
    <t>4300941441 / 9185689197</t>
  </si>
  <si>
    <t>4300941442 / 9185646932</t>
  </si>
  <si>
    <t>4300941089 / 9185643309</t>
  </si>
  <si>
    <t>SKU 10186065 / 10186200</t>
  </si>
  <si>
    <t>Amend Pick // falsche Aggregation</t>
  </si>
  <si>
    <t>3202731100 / 3202731101 / 3202731102
3202731103</t>
  </si>
  <si>
    <t>4200217092 / 9185662133</t>
  </si>
  <si>
    <t>SKU 10186065 / 10186200 / 10188936</t>
  </si>
  <si>
    <t>3202731106 / 3202731107</t>
  </si>
  <si>
    <t>3202731104 / 3202731105</t>
  </si>
  <si>
    <t>5E82540</t>
  </si>
  <si>
    <t>SKU 10186065 / 10186200 / 10186211 / 10188936</t>
  </si>
  <si>
    <t>4200217193 / 9185687313 4300941477 / 9185687314</t>
  </si>
  <si>
    <t>Ladelisten erst um 17:55 erhalten</t>
  </si>
  <si>
    <t>Ladelisten erst um 17:55 erhalten // 2 Std vor Timerslot angekommen</t>
  </si>
  <si>
    <t>3202653471 // ADM- Ware</t>
  </si>
  <si>
    <t>1 // 4</t>
  </si>
  <si>
    <t>44 // 1</t>
  </si>
  <si>
    <t xml:space="preserve">SKU 10186065  / 10196254 </t>
  </si>
  <si>
    <t>3202706199 / 3202732370 / 3202732371</t>
  </si>
  <si>
    <t>3202732372 / 3202732373 / 3202732374</t>
  </si>
  <si>
    <t>5E82387</t>
  </si>
  <si>
    <t>SKU 10193241</t>
  </si>
  <si>
    <t>SKU 10186211 / 10188952</t>
  </si>
  <si>
    <t>4200217311 / 9185716551</t>
  </si>
  <si>
    <t>Kanfanar 3</t>
  </si>
  <si>
    <t>4300941718 / 9185671734</t>
  </si>
  <si>
    <t>4300941325 / 9185665909 4300941325 / 9185665908</t>
  </si>
  <si>
    <t>25 // 8</t>
  </si>
  <si>
    <t>SKU 10186065 / 10193241 / 10196254</t>
  </si>
  <si>
    <t>SKU 10186065 / 10188952</t>
  </si>
  <si>
    <t>4300941578 / 9185705777</t>
  </si>
  <si>
    <t>3202733981 / 3202733982 / 3202733983</t>
  </si>
  <si>
    <t>3202733984 / 3202733985 / 3202733986</t>
  </si>
  <si>
    <t>5E95604</t>
  </si>
  <si>
    <t>3202726027 / 3202726028 / 3202726029
3202733980</t>
  </si>
  <si>
    <t>SKU 10186059 / 10186247 / 10186263 / 10188952</t>
  </si>
  <si>
    <t>SKU 10186065 / 10186248  10196264</t>
  </si>
  <si>
    <t>4300941834 / 9185729242 4200217432 / 9185734607</t>
  </si>
  <si>
    <t>Sku 10188935</t>
  </si>
  <si>
    <t>Keine IBD // WA gebucht bevor Artikel angelegt war</t>
  </si>
  <si>
    <t>Probleme beim Security-Check zum öffnen des Trailers</t>
  </si>
  <si>
    <t>SKU 10186059 / 10188935</t>
  </si>
  <si>
    <t>3202513978 / 3202513979 / 3202735330</t>
  </si>
  <si>
    <t>SUPER-DEPOT 9</t>
  </si>
  <si>
    <t>4300941647 / 9185662213 4300941648 / 9185731036</t>
  </si>
  <si>
    <t>4200217491 / 9185756966</t>
  </si>
  <si>
    <t>23 // 10</t>
  </si>
  <si>
    <t>4300941841 / 9185735330</t>
  </si>
  <si>
    <t>3202624272 / 3202624273 / 3202624274</t>
  </si>
  <si>
    <t>5E82372</t>
  </si>
  <si>
    <t>7E13506</t>
  </si>
  <si>
    <t>3202624275 / 3202624276 / 3202624277</t>
  </si>
  <si>
    <t>3202624278 / 3202624279 / 3202737150</t>
  </si>
  <si>
    <t>4300942222 / 9185756931 4200217588 / 9185709762</t>
  </si>
  <si>
    <t>SKU 10186180</t>
  </si>
  <si>
    <t xml:space="preserve">SKU 10186180 / 10193241 </t>
  </si>
  <si>
    <t>4200217587 / 9185715714</t>
  </si>
  <si>
    <t>SKU 10186180 / 10186248</t>
  </si>
  <si>
    <t>4300942216 / 9185781185</t>
  </si>
  <si>
    <t>41 // 2</t>
  </si>
  <si>
    <t>1 Karton beschädigt angeliefert</t>
  </si>
  <si>
    <t>SUPER-DEPOT 10</t>
  </si>
  <si>
    <t>7E13552</t>
  </si>
  <si>
    <t>3202664559 / 3202738420 / 3202738421</t>
  </si>
  <si>
    <t>Docs.: 19:10 Uhr</t>
  </si>
  <si>
    <t xml:space="preserve"> Shuttle LC 2 </t>
  </si>
  <si>
    <t>SKU 10186059 / 10186065 / 10186180</t>
  </si>
  <si>
    <t>4200217665 / 9185778114</t>
  </si>
  <si>
    <t>3202739075 / 3202739076 / 3202739077</t>
  </si>
  <si>
    <t>5E92649</t>
  </si>
  <si>
    <t>3202739072 / 3202739073 / 3202739074
ZUSATZ 3202664663</t>
  </si>
  <si>
    <t>3202739078 / 3202739079 / 3202739080</t>
  </si>
  <si>
    <t>4200217667 / 9185789203 4300942479 / 9185793048</t>
  </si>
  <si>
    <t>42 / 2</t>
  </si>
  <si>
    <t>BTSt9351</t>
  </si>
  <si>
    <t xml:space="preserve">15:10 Ankunft LC Leerp abladen </t>
  </si>
  <si>
    <t>3 PAL standen bei "S3" seperiert, gibt aber leider keinen S3</t>
  </si>
  <si>
    <t>SKU 10186059 / 10186065 / 10186211</t>
  </si>
  <si>
    <t>SKU 10186059 / 10186211</t>
  </si>
  <si>
    <t>4200217776 / 9185832270</t>
  </si>
  <si>
    <t xml:space="preserve"> 4200217774 / 9185832269</t>
  </si>
  <si>
    <t xml:space="preserve"> 4300942439 / 9185796399</t>
  </si>
  <si>
    <t>SKU 10186059 / 10186211 / 10196254</t>
  </si>
  <si>
    <t>3202737845 / 3202736429 / ADM Ware</t>
  </si>
  <si>
    <t>5 // 2</t>
  </si>
  <si>
    <t>3202664159 / 3202739070 / 3202739071</t>
  </si>
  <si>
    <t>4300942229 / 9185774649</t>
  </si>
  <si>
    <t>4300942678 / 9185821848</t>
  </si>
  <si>
    <t>5E79832</t>
  </si>
  <si>
    <t>7E32407</t>
  </si>
  <si>
    <t>3202690834 / 3202690835 / 3202690836</t>
  </si>
  <si>
    <t>3202690837 / 3202690838</t>
  </si>
  <si>
    <t>3202690839 / 3202741070</t>
  </si>
  <si>
    <t>Systemprobleme</t>
  </si>
  <si>
    <t>4300942676 / 9185812724 4300942677 / 9185823785</t>
  </si>
  <si>
    <t>16 / 17</t>
  </si>
  <si>
    <t>4200217660 / 9185790434</t>
  </si>
  <si>
    <t>4300942993/9185842460, 4300942753/9185834448, 4300942989/9185413741, 4300942681/9185832886</t>
  </si>
  <si>
    <t>4200217847 / 9185844606</t>
  </si>
  <si>
    <t>4200217853 / 9185843234</t>
  </si>
  <si>
    <t>Ploiesti 3</t>
  </si>
  <si>
    <t>4300942449 / 9185795316</t>
  </si>
  <si>
    <t>17 / 10 / 4 / 1</t>
  </si>
  <si>
    <t>5E77209</t>
  </si>
  <si>
    <t>7E19254</t>
  </si>
  <si>
    <r>
      <t xml:space="preserve">3202685654 / 3202685656 / 3202685657
3202685658 / </t>
    </r>
    <r>
      <rPr>
        <sz val="12"/>
        <rFont val="Calibri"/>
        <family val="2"/>
        <scheme val="minor"/>
      </rPr>
      <t>3202736563</t>
    </r>
  </si>
  <si>
    <t>3202685659 / 3202742050 / 3202742051
3202742052</t>
  </si>
  <si>
    <t>3202742620 / 3202742621 / 3202742622
3202742623 / 3202742624</t>
  </si>
  <si>
    <t>Leerpal. Depot</t>
  </si>
  <si>
    <t>Leerpal. LC</t>
  </si>
  <si>
    <t>4200217983 / 9185856714
4300943221 / 9185859333</t>
  </si>
  <si>
    <t>3202737841 / 3202737842
3202737843</t>
  </si>
  <si>
    <t>4200217984 / 9185849621</t>
  </si>
  <si>
    <t>Folgt</t>
  </si>
  <si>
    <t>Krage Potsdam  Hannover</t>
  </si>
  <si>
    <t>15 // 5 // 2</t>
  </si>
  <si>
    <t>3202533471 / 3202533472</t>
  </si>
  <si>
    <t>3202372495 / 3202372496 / 3202372497</t>
  </si>
  <si>
    <t>3202372498 / 3202372499 / 3202744620</t>
  </si>
  <si>
    <t>5E82542</t>
  </si>
  <si>
    <t>SKU 10186065 / 10186201 / 10188935</t>
  </si>
  <si>
    <t>3202744621 / 3202744622</t>
  </si>
  <si>
    <t>geschlichtetete PAL Fotodokumentiert</t>
  </si>
  <si>
    <t>Anzahl verladene Positionen laut Lieferschein (ingesamt)</t>
  </si>
  <si>
    <t>4300943175 / 9185794902</t>
  </si>
  <si>
    <t>4200218133 / 9185892993</t>
  </si>
  <si>
    <t>5E92622</t>
  </si>
  <si>
    <t>5E82385</t>
  </si>
  <si>
    <t>5E92446</t>
  </si>
  <si>
    <t>BISTA 1</t>
  </si>
  <si>
    <t>KUGA403</t>
  </si>
  <si>
    <t>3202509348 / 3202509349</t>
  </si>
  <si>
    <t>4300943428 / 9185885314 4200218079 / 9185896505</t>
  </si>
  <si>
    <t>3202744950 / 3202744951</t>
  </si>
  <si>
    <t>3202744952 / 3202744953</t>
  </si>
  <si>
    <t>4200218129 / 9185902615
4300943493 / 9185892660</t>
  </si>
  <si>
    <t>43 // 2</t>
  </si>
  <si>
    <t>SKU 10186065 / 10186211 / 10188935</t>
  </si>
  <si>
    <t>Ticket für Prince Artikel gestellt</t>
  </si>
  <si>
    <t>Zeitauwand</t>
  </si>
  <si>
    <t>ATTP Portal</t>
  </si>
  <si>
    <t>in Industriestunden</t>
  </si>
  <si>
    <t>9 PAL tausch</t>
  </si>
  <si>
    <t>Ladelisten erst um 18:20 erhalten</t>
  </si>
  <si>
    <t>Ladelisten erst um 18:20 erhalten // Ankunft 1.25 h vor Slot</t>
  </si>
  <si>
    <t>Ankunft 0.75h vor Slot</t>
  </si>
  <si>
    <t>Ladelisten um 16:45 erhalten / Ankunft 0.75h vor Slot</t>
  </si>
  <si>
    <t xml:space="preserve">Ladelisten erst um 18:20 erhalten </t>
  </si>
  <si>
    <t>TN</t>
  </si>
  <si>
    <t>X</t>
  </si>
  <si>
    <t>Princeware via Pozna// Dreiecksgeschäft</t>
  </si>
  <si>
    <t>INC0782530 // 2 Schritt WE nicht möglich// DN9185859333</t>
  </si>
  <si>
    <t>INC0783596 // 2. Schritt WE nicht möglich // DN9185892660</t>
  </si>
  <si>
    <t>5E92587</t>
  </si>
  <si>
    <t>5E79830</t>
  </si>
  <si>
    <t>5E92588</t>
  </si>
  <si>
    <t>3202746562 / 3202746563</t>
  </si>
  <si>
    <t>3202746560 / 3202746561 / 3202108819</t>
  </si>
  <si>
    <t>3202746564 / 3202746565 / 3202746566</t>
  </si>
  <si>
    <t>Muss Leerpaletten im Lc abladen ( Neue ankunft 20:00 uhr )</t>
  </si>
  <si>
    <t xml:space="preserve">SKU 10186200 / 10198491 </t>
  </si>
  <si>
    <t xml:space="preserve">SKU 10186200 / 10198472 / 10198491 </t>
  </si>
  <si>
    <t>ADM-Ware // kein OTM</t>
  </si>
  <si>
    <t>4300944041 / 9185889140</t>
  </si>
  <si>
    <t>SKU 10198459 / 10198471 // WA nicht gebucht</t>
  </si>
  <si>
    <t>Shuttle 3 9185981850 Ausgang nicht gebucht</t>
  </si>
  <si>
    <t>Ausgang gebucht</t>
  </si>
  <si>
    <t>SKU 10198471 / 10198472</t>
  </si>
  <si>
    <t xml:space="preserve">SKU 10186194 </t>
  </si>
  <si>
    <t>5E79834</t>
  </si>
  <si>
    <t>DN 9185981850 // kein PGR // INC0784956</t>
  </si>
  <si>
    <t xml:space="preserve">POD nicht gelaufen // POD wurde durch Ticket nochmals angestoßen </t>
  </si>
  <si>
    <t>28.02.24</t>
  </si>
  <si>
    <t>4200218376 / 9185943067</t>
  </si>
  <si>
    <t>4200218229 / 9185918635</t>
  </si>
  <si>
    <t>3202498476 / 3202498477</t>
  </si>
  <si>
    <t>3202498478 / 3202498479 / 3202748100</t>
  </si>
  <si>
    <t>3202748101 / 3202748102 / 3202748103</t>
  </si>
  <si>
    <t xml:space="preserve">Anlieferung Poznan </t>
  </si>
  <si>
    <t>LB</t>
  </si>
  <si>
    <t xml:space="preserve">Paletten falsch gestellt bei Super-Depot LKW S1 / L1 / L2 </t>
  </si>
  <si>
    <t xml:space="preserve">unachtsamkeit beim vorstellen der Aufträge </t>
  </si>
  <si>
    <t>eine Palette von L1 stande bei S1</t>
  </si>
  <si>
    <t>eine Palette von S1 stande bei L1</t>
  </si>
  <si>
    <t>eine Palette von L1 stande bei L2</t>
  </si>
  <si>
    <t>31 / 1 / 1</t>
  </si>
  <si>
    <t>9185988386 / 9185971402 / 9185978259</t>
  </si>
  <si>
    <t>4200218469 / 9185955378</t>
  </si>
  <si>
    <t>SKU 10186194 / 10198459 / 10198491 // 9185978259 Status 70 passt aber so</t>
  </si>
  <si>
    <t>SKU 10186194 / 10198465 / 10198491</t>
  </si>
  <si>
    <t>4200218374/9185911988, 4300944147/9185918972</t>
  </si>
  <si>
    <t>:</t>
  </si>
  <si>
    <t>SKU 10198468 / 10198491</t>
  </si>
  <si>
    <t>4300943491/9185903730</t>
  </si>
  <si>
    <t>43 / 1</t>
  </si>
  <si>
    <t>BBTST9359</t>
  </si>
  <si>
    <t>SKU 10186059 / 10196264</t>
  </si>
  <si>
    <t>4300944384 / 9185964139</t>
  </si>
  <si>
    <t>3202718252 / 3202718253 / 3202718254</t>
  </si>
  <si>
    <t>3202718255 / 3202718256</t>
  </si>
  <si>
    <t>SKU 10196264 / 10198466</t>
  </si>
  <si>
    <t>4200218585/9185985170</t>
  </si>
  <si>
    <t>01.03.24</t>
  </si>
  <si>
    <t>Ticket gestellt // aggregation Seitens support nochmal angestoßen</t>
  </si>
  <si>
    <t>SKU 10198469 / 10198472</t>
  </si>
  <si>
    <t>SKU 10198469</t>
  </si>
  <si>
    <t>4200218586/9185953256</t>
  </si>
  <si>
    <t>Leerpaletten und Retouren für Superdepot</t>
  </si>
  <si>
    <t>DN3202718253 Status 39 in ATTP // Fehlende Aggregation von SSCC //  INC0787354</t>
  </si>
  <si>
    <t>SKU 10198465 / 10198469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</si>
</sst>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h:mm;@"/>
    <numFmt numFmtId="165" formatCode="[$-409]d\-mmm;@"/>
    <numFmt numFmtId="166" formatCode="[$-407]ddd\,\ d/\ mmm\ yyyy"/>
    <numFmt numFmtId="167" formatCode="d/m/yy;@"/>
    <numFmt numFmtId="168" formatCode="dd/mm/yy;@"/>
    <numFmt numFmtId="169" formatCode="0.0"/>
  </numFmts>
  <fonts count="67" x14ac:knownFonts="1">
    <font>
      <sz val="11"/>
      <color theme="1"/>
      <name val="Calibri"/>
      <family val="2"/>
      <scheme val="minor"/>
    </font>
    <font>
      <b/>
      <sz val="11"/>
      <color theme="1"/>
      <name val="Calibri"/>
      <family val="2"/>
      <scheme val="minor"/>
    </font>
    <font>
      <b/>
      <sz val="12"/>
      <color theme="1"/>
      <name val="Calibri"/>
      <family val="2"/>
      <scheme val="minor"/>
    </font>
    <font>
      <sz val="10"/>
      <color theme="1"/>
      <name val="Arial"/>
      <family val="2"/>
    </font>
    <font>
      <b/>
      <sz val="18"/>
      <color theme="1"/>
      <name val="Calibri"/>
      <family val="2"/>
      <scheme val="minor"/>
    </font>
    <font>
      <sz val="11"/>
      <color theme="1"/>
      <name val="Calibri"/>
      <family val="2"/>
      <scheme val="minor"/>
    </font>
    <font>
      <b/>
      <sz val="11"/>
      <color theme="0"/>
      <name val="Calibri"/>
      <family val="2"/>
      <scheme val="minor"/>
    </font>
    <font>
      <b/>
      <sz val="20"/>
      <color theme="0"/>
      <name val="Calibri"/>
      <family val="2"/>
      <scheme val="minor"/>
    </font>
    <font>
      <b/>
      <sz val="16"/>
      <color theme="0"/>
      <name val="Calibri"/>
      <family val="2"/>
      <scheme val="minor"/>
    </font>
    <font>
      <b/>
      <sz val="14"/>
      <color theme="0"/>
      <name val="Arial"/>
      <family val="2"/>
    </font>
    <font>
      <sz val="10"/>
      <name val="Arial"/>
      <family val="2"/>
    </font>
    <font>
      <b/>
      <sz val="12"/>
      <color theme="0"/>
      <name val="Arial"/>
      <family val="2"/>
    </font>
    <font>
      <b/>
      <sz val="12"/>
      <name val="Arial"/>
      <family val="2"/>
    </font>
    <font>
      <sz val="11"/>
      <name val="Arial"/>
      <family val="2"/>
    </font>
    <font>
      <b/>
      <sz val="12"/>
      <color theme="8" tint="-0.249977111117893"/>
      <name val="Arial"/>
      <family val="2"/>
    </font>
    <font>
      <b/>
      <sz val="11"/>
      <color rgb="FF00B050"/>
      <name val="Calibri"/>
      <family val="2"/>
      <scheme val="minor"/>
    </font>
    <font>
      <sz val="12"/>
      <name val="Arial"/>
      <family val="2"/>
    </font>
    <font>
      <sz val="12"/>
      <color theme="1"/>
      <name val="Calibri"/>
      <family val="2"/>
    </font>
    <font>
      <sz val="11"/>
      <color theme="1"/>
      <name val="Calibri"/>
      <family val="2"/>
    </font>
    <font>
      <b/>
      <sz val="16"/>
      <color theme="1"/>
      <name val="Calibri"/>
      <family val="2"/>
    </font>
    <font>
      <sz val="8"/>
      <name val="Calibri"/>
      <family val="2"/>
      <scheme val="minor"/>
    </font>
    <font>
      <sz val="11"/>
      <color theme="0"/>
      <name val="Calibri"/>
      <family val="2"/>
    </font>
    <font>
      <sz val="12"/>
      <color theme="0"/>
      <name val="Calibri"/>
      <family val="2"/>
    </font>
    <font>
      <b/>
      <sz val="11"/>
      <color theme="0"/>
      <name val="Calibri"/>
      <family val="2"/>
    </font>
    <font>
      <sz val="13"/>
      <color theme="1"/>
      <name val="Calibri"/>
      <family val="2"/>
    </font>
    <font>
      <b/>
      <sz val="13"/>
      <color theme="1"/>
      <name val="Calibri"/>
      <family val="2"/>
    </font>
    <font>
      <sz val="13"/>
      <color rgb="FFFF0000"/>
      <name val="Calibri"/>
      <family val="2"/>
    </font>
    <font>
      <sz val="13"/>
      <color theme="1"/>
      <name val="Calibri"/>
      <family val="2"/>
      <scheme val="minor"/>
    </font>
    <font>
      <b/>
      <sz val="13"/>
      <color theme="1"/>
      <name val="Calibri"/>
      <family val="2"/>
      <scheme val="minor"/>
    </font>
    <font>
      <sz val="13"/>
      <color rgb="FFFF0000"/>
      <name val="Calibri"/>
      <family val="2"/>
      <scheme val="minor"/>
    </font>
    <font>
      <b/>
      <sz val="13"/>
      <name val="Calibri"/>
      <family val="2"/>
      <scheme val="minor"/>
    </font>
    <font>
      <b/>
      <sz val="13"/>
      <color rgb="FFFF0000"/>
      <name val="Calibri"/>
      <family val="2"/>
      <scheme val="minor"/>
    </font>
    <font>
      <sz val="11"/>
      <color theme="0"/>
      <name val="Calibri"/>
      <family val="2"/>
      <scheme val="minor"/>
    </font>
    <font>
      <b/>
      <sz val="26"/>
      <color rgb="FF00B050"/>
      <name val="Calibri"/>
      <family val="2"/>
      <scheme val="minor"/>
    </font>
    <font>
      <sz val="26"/>
      <color rgb="FFFF0000"/>
      <name val="Calibri"/>
      <family val="2"/>
      <scheme val="minor"/>
    </font>
    <font>
      <b/>
      <sz val="14"/>
      <color theme="0"/>
      <name val="Calibri"/>
      <family val="2"/>
      <scheme val="minor"/>
    </font>
    <font>
      <sz val="11"/>
      <name val="Calibri"/>
      <family val="2"/>
      <scheme val="minor"/>
    </font>
    <font>
      <sz val="12"/>
      <color theme="1"/>
      <name val="Calibri"/>
      <family val="2"/>
      <scheme val="minor"/>
    </font>
    <font>
      <b/>
      <sz val="11"/>
      <name val="Calibri"/>
      <family val="2"/>
      <scheme val="minor"/>
    </font>
    <font>
      <sz val="11"/>
      <color rgb="FFFF0000"/>
      <name val="Calibri"/>
      <family val="2"/>
      <scheme val="minor"/>
    </font>
    <font>
      <b/>
      <sz val="12"/>
      <color theme="0"/>
      <name val="Calibri"/>
      <family val="2"/>
      <scheme val="minor"/>
    </font>
    <font>
      <sz val="8"/>
      <color theme="1"/>
      <name val="Calibri"/>
      <family val="2"/>
      <scheme val="minor"/>
    </font>
    <font>
      <sz val="12"/>
      <name val="Calibri"/>
      <family val="2"/>
      <scheme val="minor"/>
    </font>
    <font>
      <u/>
      <sz val="11"/>
      <color theme="10"/>
      <name val="Calibri"/>
      <family val="2"/>
      <scheme val="minor"/>
    </font>
    <font>
      <u/>
      <sz val="12"/>
      <color theme="10"/>
      <name val="Calibri"/>
      <family val="2"/>
      <scheme val="minor"/>
    </font>
    <font>
      <sz val="12"/>
      <color theme="0"/>
      <name val="Calibri"/>
      <family val="2"/>
      <scheme val="minor"/>
    </font>
    <font>
      <b/>
      <sz val="12"/>
      <color rgb="FF00B050"/>
      <name val="Calibri"/>
      <family val="2"/>
      <scheme val="minor"/>
    </font>
    <font>
      <sz val="11"/>
      <color theme="8"/>
      <name val="Calibri"/>
      <family val="2"/>
      <scheme val="minor"/>
    </font>
    <font>
      <sz val="11"/>
      <color rgb="FF00B050"/>
      <name val="Calibri"/>
      <family val="2"/>
      <scheme val="minor"/>
    </font>
    <font>
      <b/>
      <sz val="11"/>
      <color theme="0" tint="-0.499984740745262"/>
      <name val="Calibri"/>
      <family val="2"/>
      <scheme val="minor"/>
    </font>
    <font>
      <sz val="11"/>
      <color theme="7"/>
      <name val="Calibri"/>
      <family val="2"/>
      <scheme val="minor"/>
    </font>
    <font>
      <b/>
      <sz val="11"/>
      <color theme="7"/>
      <name val="Calibri"/>
      <family val="2"/>
      <scheme val="minor"/>
    </font>
    <font>
      <sz val="8"/>
      <color rgb="FF000000"/>
      <name val="Tahoma"/>
      <family val="2"/>
    </font>
    <font>
      <sz val="8"/>
      <color rgb="FF000000"/>
      <name val="Tahoma"/>
      <family val="2"/>
    </font>
    <font>
      <sz val="12"/>
      <color rgb="FF00B0F0"/>
      <name val="Calibri"/>
      <family val="2"/>
      <scheme val="minor"/>
    </font>
    <font>
      <sz val="12"/>
      <color rgb="FFFF5050"/>
      <name val="Calibri"/>
      <family val="2"/>
      <scheme val="minor"/>
    </font>
    <font>
      <b/>
      <sz val="9"/>
      <color indexed="81"/>
      <name val="Segoe UI"/>
      <family val="2"/>
    </font>
    <font>
      <sz val="9"/>
      <color indexed="81"/>
      <name val="Segoe UI"/>
      <family val="2"/>
    </font>
    <font>
      <sz val="12"/>
      <color rgb="FFFF0000"/>
      <name val="Calibri"/>
      <family val="2"/>
      <scheme val="minor"/>
    </font>
    <font>
      <sz val="12"/>
      <name val="Calibri"/>
      <family val="2"/>
    </font>
    <font>
      <sz val="12"/>
      <name val="Calibri"/>
      <family val="2"/>
    </font>
    <font>
      <b/>
      <sz val="11"/>
      <color rgb="FFFF0000"/>
      <name val="Calibri"/>
      <family val="2"/>
      <scheme val="minor"/>
    </font>
    <font>
      <sz val="10"/>
      <name val="Calibri"/>
      <family val="2"/>
      <scheme val="minor"/>
    </font>
    <font>
      <b/>
      <sz val="12"/>
      <name val="Calibri"/>
      <family val="2"/>
      <scheme val="minor"/>
    </font>
    <font>
      <sz val="12"/>
      <color rgb="FFD06AE4"/>
      <name val="Calibri"/>
      <family val="2"/>
      <scheme val="minor"/>
    </font>
    <font>
      <sz val="12"/>
      <color rgb="FF00B050"/>
      <name val="Calibri"/>
      <family val="2"/>
      <scheme val="minor"/>
    </font>
    <font>
      <b/>
      <sz val="12"/>
      <color rgb="FFFF0000"/>
      <name val="Calibri"/>
      <family val="2"/>
      <scheme val="minor"/>
    </font>
  </fonts>
  <fills count="19">
    <fill>
      <patternFill patternType="none"/>
    </fill>
    <fill>
      <patternFill patternType="gray125"/>
    </fill>
    <fill>
      <patternFill patternType="solid">
        <fgColor theme="7"/>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
      <patternFill patternType="solid">
        <fgColor rgb="FF002060"/>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9" tint="0.39997558519241921"/>
        <bgColor indexed="64"/>
      </patternFill>
    </fill>
    <fill>
      <patternFill patternType="solid">
        <fgColor theme="2"/>
        <bgColor indexed="64"/>
      </patternFill>
    </fill>
    <fill>
      <patternFill patternType="solid">
        <fgColor theme="5" tint="0.59999389629810485"/>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theme="2" tint="-0.249977111117893"/>
      </right>
      <top style="thin">
        <color theme="2" tint="-0.249977111117893"/>
      </top>
      <bottom style="thin">
        <color theme="2" tint="-0.249977111117893"/>
      </bottom>
      <diagonal/>
    </border>
    <border>
      <left style="medium">
        <color indexed="64"/>
      </left>
      <right style="medium">
        <color indexed="64"/>
      </right>
      <top style="medium">
        <color indexed="64"/>
      </top>
      <bottom style="thin">
        <color theme="1" tint="0.249977111117893"/>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theme="1" tint="0.249977111117893"/>
      </top>
      <bottom style="medium">
        <color indexed="64"/>
      </bottom>
      <diagonal/>
    </border>
    <border>
      <left style="thin">
        <color indexed="64"/>
      </left>
      <right/>
      <top/>
      <bottom/>
      <diagonal/>
    </border>
    <border>
      <left/>
      <right style="thin">
        <color indexed="64"/>
      </right>
      <top style="thin">
        <color theme="2" tint="-0.249977111117893"/>
      </top>
      <bottom style="thin">
        <color theme="2" tint="-0.249977111117893"/>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theme="1" tint="0.249977111117893"/>
      </top>
      <bottom style="medium">
        <color indexed="64"/>
      </bottom>
      <diagonal/>
    </border>
    <border>
      <left/>
      <right/>
      <top style="thin">
        <color theme="2" tint="-0.249977111117893"/>
      </top>
      <bottom style="thin">
        <color theme="2" tint="-0.249977111117893"/>
      </bottom>
      <diagonal/>
    </border>
    <border>
      <left style="thin">
        <color indexed="64"/>
      </left>
      <right style="thin">
        <color theme="2" tint="-0.249977111117893"/>
      </right>
      <top style="thin">
        <color theme="2" tint="-0.249977111117893"/>
      </top>
      <bottom style="thin">
        <color theme="2" tint="-0.249977111117893"/>
      </bottom>
      <diagonal/>
    </border>
    <border>
      <left/>
      <right/>
      <top style="medium">
        <color indexed="64"/>
      </top>
      <bottom style="medium">
        <color indexed="64"/>
      </bottom>
      <diagonal/>
    </border>
    <border>
      <left style="thin">
        <color indexed="64"/>
      </left>
      <right/>
      <top style="medium">
        <color indexed="64"/>
      </top>
      <bottom style="thin">
        <color theme="1" tint="0.249977111117893"/>
      </bottom>
      <diagonal/>
    </border>
    <border>
      <left/>
      <right/>
      <top style="medium">
        <color indexed="64"/>
      </top>
      <bottom style="thin">
        <color theme="1" tint="0.249977111117893"/>
      </bottom>
      <diagonal/>
    </border>
    <border>
      <left/>
      <right style="thin">
        <color indexed="64"/>
      </right>
      <top style="medium">
        <color indexed="64"/>
      </top>
      <bottom style="thin">
        <color theme="1" tint="0.249977111117893"/>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rgb="FF000000"/>
      </left>
      <right/>
      <top style="medium">
        <color rgb="FF000000"/>
      </top>
      <bottom/>
      <diagonal/>
    </border>
    <border>
      <left style="medium">
        <color rgb="FF000000"/>
      </left>
      <right/>
      <top/>
      <bottom/>
      <diagonal/>
    </border>
    <border>
      <left style="medium">
        <color rgb="FF000000"/>
      </left>
      <right/>
      <top/>
      <bottom style="medium">
        <color rgb="FF000000"/>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0">
    <xf numFmtId="0" fontId="0" fillId="0" borderId="0"/>
    <xf numFmtId="0" fontId="3" fillId="0" borderId="0"/>
    <xf numFmtId="9" fontId="5" fillId="0" borderId="0" applyFont="0" applyFill="0" applyBorder="0" applyAlignment="0" applyProtection="0"/>
    <xf numFmtId="0" fontId="10" fillId="0" borderId="0"/>
    <xf numFmtId="43" fontId="5" fillId="0" borderId="0" applyFont="0" applyFill="0" applyBorder="0" applyAlignment="0" applyProtection="0"/>
    <xf numFmtId="0" fontId="3" fillId="0" borderId="0"/>
    <xf numFmtId="0" fontId="10" fillId="0" borderId="0"/>
    <xf numFmtId="0" fontId="52" fillId="0" borderId="0"/>
    <xf numFmtId="0" fontId="53" fillId="0" borderId="0"/>
    <xf numFmtId="0" fontId="52" fillId="0" borderId="0"/>
  </cellStyleXfs>
  <cellXfs count="447">
    <xf numFmtId="0" fontId="0" fillId="0" borderId="0" xfId="0"/>
    <xf numFmtId="0" fontId="13" fillId="11" borderId="1" xfId="0" applyFont="1" applyFill="1" applyBorder="1" applyAlignment="1">
      <alignment horizontal="left" vertical="center"/>
    </xf>
    <xf numFmtId="3" fontId="15" fillId="9" borderId="16" xfId="2" applyNumberFormat="1" applyFont="1" applyFill="1" applyBorder="1" applyAlignment="1">
      <alignment horizontal="center" vertical="center"/>
    </xf>
    <xf numFmtId="0" fontId="5" fillId="12" borderId="0" xfId="0" applyFont="1" applyFill="1"/>
    <xf numFmtId="0" fontId="5" fillId="12" borderId="0" xfId="0" applyFont="1" applyFill="1" applyAlignment="1">
      <alignment vertical="center"/>
    </xf>
    <xf numFmtId="0" fontId="2" fillId="13" borderId="19" xfId="0" applyFont="1" applyFill="1" applyBorder="1" applyAlignment="1">
      <alignment horizontal="center" vertical="center"/>
    </xf>
    <xf numFmtId="0" fontId="12" fillId="10" borderId="1" xfId="3" applyFont="1" applyFill="1" applyBorder="1" applyAlignment="1">
      <alignment horizontal="left" vertical="center"/>
    </xf>
    <xf numFmtId="0" fontId="12" fillId="10" borderId="14" xfId="3" applyFont="1" applyFill="1" applyBorder="1" applyAlignment="1">
      <alignment horizontal="left" vertical="center"/>
    </xf>
    <xf numFmtId="0" fontId="5" fillId="9" borderId="0" xfId="0" applyFont="1" applyFill="1" applyAlignment="1">
      <alignment vertical="center"/>
    </xf>
    <xf numFmtId="0" fontId="2" fillId="13" borderId="24" xfId="0" applyFont="1" applyFill="1" applyBorder="1" applyAlignment="1">
      <alignment horizontal="center" vertical="center"/>
    </xf>
    <xf numFmtId="165" fontId="16" fillId="11" borderId="25" xfId="5" applyNumberFormat="1" applyFont="1" applyFill="1" applyBorder="1" applyAlignment="1">
      <alignment horizontal="center" vertical="center"/>
    </xf>
    <xf numFmtId="0" fontId="5" fillId="9" borderId="21" xfId="0" applyFont="1" applyFill="1" applyBorder="1" applyAlignment="1">
      <alignment vertical="center"/>
    </xf>
    <xf numFmtId="3" fontId="15" fillId="9" borderId="27" xfId="2" applyNumberFormat="1" applyFont="1" applyFill="1" applyBorder="1" applyAlignment="1">
      <alignment horizontal="center" vertical="center"/>
    </xf>
    <xf numFmtId="0" fontId="5" fillId="12" borderId="0" xfId="0" applyFont="1" applyFill="1" applyAlignment="1">
      <alignment horizontal="left" vertical="center"/>
    </xf>
    <xf numFmtId="0" fontId="1" fillId="12" borderId="0" xfId="0" applyFont="1" applyFill="1" applyAlignment="1">
      <alignment vertical="center"/>
    </xf>
    <xf numFmtId="1" fontId="14" fillId="0" borderId="17" xfId="4" applyNumberFormat="1" applyFont="1" applyFill="1" applyBorder="1" applyAlignment="1">
      <alignment horizontal="center" vertical="center"/>
    </xf>
    <xf numFmtId="0" fontId="1" fillId="9" borderId="3" xfId="0" applyFont="1" applyFill="1" applyBorder="1" applyAlignment="1">
      <alignment vertical="center"/>
    </xf>
    <xf numFmtId="1" fontId="14" fillId="0" borderId="5" xfId="4" applyNumberFormat="1" applyFont="1" applyBorder="1" applyAlignment="1">
      <alignment horizontal="center" vertical="center"/>
    </xf>
    <xf numFmtId="1" fontId="11" fillId="9" borderId="5" xfId="4" applyNumberFormat="1" applyFont="1" applyFill="1" applyBorder="1" applyAlignment="1">
      <alignment horizontal="center" vertical="center"/>
    </xf>
    <xf numFmtId="1" fontId="14" fillId="0" borderId="5" xfId="2" applyNumberFormat="1" applyFont="1" applyBorder="1" applyAlignment="1">
      <alignment horizontal="center" vertical="center"/>
    </xf>
    <xf numFmtId="3" fontId="15" fillId="9" borderId="5" xfId="2" applyNumberFormat="1" applyFont="1" applyFill="1" applyBorder="1" applyAlignment="1">
      <alignment horizontal="center" vertical="center"/>
    </xf>
    <xf numFmtId="0" fontId="6" fillId="8" borderId="20" xfId="0" applyFont="1" applyFill="1" applyBorder="1" applyAlignment="1">
      <alignment horizontal="center" vertical="center"/>
    </xf>
    <xf numFmtId="0" fontId="13" fillId="11" borderId="19" xfId="0" applyFont="1" applyFill="1" applyBorder="1" applyAlignment="1">
      <alignment horizontal="left" vertical="center"/>
    </xf>
    <xf numFmtId="1" fontId="14" fillId="0" borderId="18" xfId="4" applyNumberFormat="1" applyFont="1" applyFill="1" applyBorder="1" applyAlignment="1">
      <alignment horizontal="center" vertical="center"/>
    </xf>
    <xf numFmtId="1" fontId="14" fillId="0" borderId="2" xfId="4" applyNumberFormat="1" applyFont="1" applyFill="1" applyBorder="1" applyAlignment="1">
      <alignment horizontal="center" vertical="center"/>
    </xf>
    <xf numFmtId="1" fontId="14" fillId="0" borderId="20" xfId="4" applyNumberFormat="1" applyFont="1" applyFill="1" applyBorder="1" applyAlignment="1">
      <alignment horizontal="center" vertical="center"/>
    </xf>
    <xf numFmtId="0" fontId="5" fillId="9" borderId="32" xfId="0" applyFont="1" applyFill="1" applyBorder="1" applyAlignment="1">
      <alignment vertical="center"/>
    </xf>
    <xf numFmtId="0" fontId="0" fillId="0" borderId="1" xfId="0" applyBorder="1" applyAlignment="1" applyProtection="1">
      <alignment horizontal="center" vertical="center" wrapText="1"/>
      <protection locked="0"/>
    </xf>
    <xf numFmtId="0" fontId="32" fillId="12" borderId="0" xfId="0" applyFont="1" applyFill="1" applyAlignment="1">
      <alignment vertical="center"/>
    </xf>
    <xf numFmtId="1" fontId="6" fillId="9" borderId="16" xfId="2" applyNumberFormat="1" applyFont="1" applyFill="1" applyBorder="1" applyAlignment="1">
      <alignment horizontal="center" vertical="center"/>
    </xf>
    <xf numFmtId="1" fontId="6" fillId="9" borderId="27" xfId="2" applyNumberFormat="1" applyFont="1" applyFill="1" applyBorder="1" applyAlignment="1">
      <alignment horizontal="center" vertical="center"/>
    </xf>
    <xf numFmtId="1" fontId="33" fillId="3" borderId="16" xfId="2" applyNumberFormat="1" applyFont="1" applyFill="1" applyBorder="1" applyAlignment="1" applyProtection="1">
      <alignment horizontal="center" vertical="center"/>
      <protection locked="0"/>
    </xf>
    <xf numFmtId="1" fontId="33" fillId="3" borderId="27" xfId="2" applyNumberFormat="1" applyFont="1" applyFill="1" applyBorder="1" applyAlignment="1" applyProtection="1">
      <alignment horizontal="center" vertical="center"/>
      <protection locked="0"/>
    </xf>
    <xf numFmtId="0" fontId="34" fillId="12" borderId="0" xfId="0" applyFont="1" applyFill="1" applyAlignment="1" applyProtection="1">
      <alignment vertical="center"/>
      <protection locked="0"/>
    </xf>
    <xf numFmtId="1" fontId="33" fillId="0" borderId="16" xfId="2" applyNumberFormat="1" applyFont="1" applyFill="1" applyBorder="1" applyAlignment="1" applyProtection="1">
      <alignment horizontal="center" vertical="center"/>
      <protection locked="0"/>
    </xf>
    <xf numFmtId="1" fontId="33" fillId="0" borderId="27" xfId="2" applyNumberFormat="1" applyFont="1" applyFill="1" applyBorder="1" applyAlignment="1" applyProtection="1">
      <alignment horizontal="center" vertical="center"/>
      <protection locked="0"/>
    </xf>
    <xf numFmtId="1" fontId="33" fillId="0" borderId="16" xfId="2" applyNumberFormat="1" applyFont="1" applyBorder="1" applyAlignment="1" applyProtection="1">
      <alignment horizontal="center" vertical="center"/>
      <protection locked="0"/>
    </xf>
    <xf numFmtId="1" fontId="33" fillId="0" borderId="27" xfId="2" applyNumberFormat="1" applyFont="1" applyBorder="1" applyAlignment="1" applyProtection="1">
      <alignment horizontal="center" vertical="center"/>
      <protection locked="0"/>
    </xf>
    <xf numFmtId="0" fontId="5" fillId="12" borderId="0" xfId="0" applyFont="1" applyFill="1" applyAlignment="1" applyProtection="1">
      <alignment vertical="center"/>
      <protection locked="0"/>
    </xf>
    <xf numFmtId="1" fontId="15" fillId="0" borderId="16" xfId="2" applyNumberFormat="1" applyFont="1" applyFill="1" applyBorder="1" applyAlignment="1" applyProtection="1">
      <alignment horizontal="center" vertical="center"/>
      <protection locked="0"/>
    </xf>
    <xf numFmtId="1" fontId="15" fillId="0" borderId="27" xfId="2" applyNumberFormat="1" applyFont="1" applyFill="1" applyBorder="1" applyAlignment="1" applyProtection="1">
      <alignment horizontal="center" vertical="center"/>
      <protection locked="0"/>
    </xf>
    <xf numFmtId="1" fontId="15" fillId="0" borderId="16" xfId="2" applyNumberFormat="1" applyFont="1" applyBorder="1" applyAlignment="1" applyProtection="1">
      <alignment horizontal="center" vertical="center"/>
      <protection locked="0"/>
    </xf>
    <xf numFmtId="1" fontId="15" fillId="0" borderId="27" xfId="2" applyNumberFormat="1" applyFont="1" applyBorder="1" applyAlignment="1" applyProtection="1">
      <alignment horizontal="center" vertical="center"/>
      <protection locked="0"/>
    </xf>
    <xf numFmtId="0" fontId="1" fillId="0" borderId="16" xfId="2" applyNumberFormat="1" applyFont="1" applyBorder="1" applyAlignment="1" applyProtection="1">
      <alignment horizontal="center" vertical="center"/>
      <protection locked="0"/>
    </xf>
    <xf numFmtId="0" fontId="1" fillId="0" borderId="27" xfId="2" applyNumberFormat="1" applyFont="1" applyBorder="1" applyAlignment="1" applyProtection="1">
      <alignment horizontal="center" vertical="center"/>
      <protection locked="0"/>
    </xf>
    <xf numFmtId="9" fontId="15" fillId="0" borderId="16" xfId="2" applyFont="1" applyBorder="1" applyAlignment="1" applyProtection="1">
      <alignment horizontal="center" vertical="center"/>
      <protection locked="0"/>
    </xf>
    <xf numFmtId="1" fontId="15" fillId="9" borderId="16" xfId="2" applyNumberFormat="1" applyFont="1" applyFill="1" applyBorder="1" applyAlignment="1" applyProtection="1">
      <alignment horizontal="center" vertical="center"/>
      <protection locked="0"/>
    </xf>
    <xf numFmtId="1" fontId="15" fillId="9" borderId="27" xfId="2" applyNumberFormat="1" applyFont="1" applyFill="1" applyBorder="1" applyAlignment="1" applyProtection="1">
      <alignment horizontal="center" vertical="center"/>
      <protection locked="0"/>
    </xf>
    <xf numFmtId="165" fontId="16" fillId="11" borderId="35" xfId="5" applyNumberFormat="1" applyFont="1" applyFill="1" applyBorder="1" applyAlignment="1">
      <alignment horizontal="center" vertical="center"/>
    </xf>
    <xf numFmtId="0" fontId="0" fillId="3" borderId="0" xfId="0" applyFill="1" applyAlignment="1">
      <alignment wrapText="1"/>
    </xf>
    <xf numFmtId="1" fontId="38" fillId="0" borderId="16" xfId="2" applyNumberFormat="1" applyFont="1" applyBorder="1" applyAlignment="1" applyProtection="1">
      <alignment horizontal="center" vertical="center"/>
      <protection locked="0"/>
    </xf>
    <xf numFmtId="3" fontId="38" fillId="9" borderId="27" xfId="2" applyNumberFormat="1" applyFont="1" applyFill="1" applyBorder="1" applyAlignment="1">
      <alignment horizontal="center" vertical="center"/>
    </xf>
    <xf numFmtId="0" fontId="36" fillId="12" borderId="0" xfId="0" applyFont="1" applyFill="1" applyAlignment="1" applyProtection="1">
      <alignment vertical="center"/>
      <protection locked="0"/>
    </xf>
    <xf numFmtId="9" fontId="14" fillId="0" borderId="5" xfId="2" applyFont="1" applyBorder="1" applyAlignment="1">
      <alignment horizontal="center" vertical="center"/>
    </xf>
    <xf numFmtId="164" fontId="38" fillId="0" borderId="16" xfId="2" applyNumberFormat="1" applyFont="1" applyBorder="1" applyAlignment="1" applyProtection="1">
      <alignment horizontal="center" vertical="center"/>
      <protection locked="0"/>
    </xf>
    <xf numFmtId="164" fontId="38" fillId="9" borderId="27" xfId="2" applyNumberFormat="1" applyFont="1" applyFill="1" applyBorder="1" applyAlignment="1">
      <alignment horizontal="center" vertical="center"/>
    </xf>
    <xf numFmtId="1" fontId="38" fillId="0" borderId="27" xfId="2" applyNumberFormat="1" applyFont="1" applyBorder="1" applyAlignment="1" applyProtection="1">
      <alignment horizontal="center" vertical="center"/>
      <protection locked="0"/>
    </xf>
    <xf numFmtId="164" fontId="38" fillId="0" borderId="27" xfId="2" applyNumberFormat="1" applyFont="1" applyBorder="1" applyAlignment="1" applyProtection="1">
      <alignment horizontal="center" vertical="center"/>
      <protection locked="0"/>
    </xf>
    <xf numFmtId="164" fontId="36" fillId="12" borderId="0" xfId="0" applyNumberFormat="1" applyFont="1" applyFill="1" applyAlignment="1" applyProtection="1">
      <alignment vertical="center"/>
      <protection locked="0"/>
    </xf>
    <xf numFmtId="0" fontId="43" fillId="12" borderId="0" xfId="0" applyFont="1" applyFill="1" applyAlignment="1">
      <alignment vertical="center"/>
    </xf>
    <xf numFmtId="0" fontId="11" fillId="9" borderId="1" xfId="3" applyFont="1" applyFill="1" applyBorder="1" applyAlignment="1">
      <alignment horizontal="left" vertical="center"/>
    </xf>
    <xf numFmtId="3" fontId="15" fillId="9" borderId="16" xfId="2" applyNumberFormat="1" applyFont="1" applyFill="1" applyBorder="1" applyAlignment="1" applyProtection="1">
      <alignment horizontal="center" vertical="center"/>
      <protection locked="0"/>
    </xf>
    <xf numFmtId="3" fontId="15" fillId="9" borderId="27" xfId="2" applyNumberFormat="1" applyFont="1" applyFill="1" applyBorder="1" applyAlignment="1" applyProtection="1">
      <alignment horizontal="center" vertical="center"/>
      <protection locked="0"/>
    </xf>
    <xf numFmtId="3" fontId="15" fillId="9" borderId="37" xfId="2" applyNumberFormat="1" applyFont="1" applyFill="1" applyBorder="1" applyAlignment="1" applyProtection="1">
      <alignment horizontal="center" vertical="center"/>
      <protection locked="0"/>
    </xf>
    <xf numFmtId="3" fontId="38" fillId="9" borderId="36" xfId="2" applyNumberFormat="1" applyFont="1" applyFill="1" applyBorder="1" applyAlignment="1">
      <alignment horizontal="center" vertical="center"/>
    </xf>
    <xf numFmtId="0" fontId="0" fillId="0" borderId="6" xfId="0" applyBorder="1" applyAlignment="1" applyProtection="1">
      <alignment horizontal="center" vertical="center" wrapText="1"/>
      <protection locked="0"/>
    </xf>
    <xf numFmtId="0" fontId="0" fillId="0" borderId="0" xfId="0" applyAlignment="1">
      <alignment wrapText="1"/>
    </xf>
    <xf numFmtId="1" fontId="14" fillId="0" borderId="17" xfId="4" applyNumberFormat="1" applyFont="1" applyBorder="1" applyAlignment="1">
      <alignment horizontal="center" vertical="center"/>
    </xf>
    <xf numFmtId="0" fontId="8" fillId="7" borderId="38"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0" xfId="0" applyFont="1" applyFill="1" applyAlignment="1">
      <alignment horizontal="center" vertical="center" wrapText="1"/>
    </xf>
    <xf numFmtId="0" fontId="39" fillId="3" borderId="1" xfId="0" applyFont="1" applyFill="1" applyBorder="1" applyAlignment="1">
      <alignment wrapText="1"/>
    </xf>
    <xf numFmtId="167" fontId="40" fillId="15" borderId="1" xfId="0" applyNumberFormat="1" applyFont="1" applyFill="1" applyBorder="1" applyAlignment="1">
      <alignment horizontal="center" vertical="center" wrapText="1"/>
    </xf>
    <xf numFmtId="0" fontId="40" fillId="15" borderId="1" xfId="0" applyFont="1" applyFill="1" applyBorder="1" applyAlignment="1">
      <alignment horizontal="center" vertical="center" wrapText="1"/>
    </xf>
    <xf numFmtId="0" fontId="6" fillId="15" borderId="1" xfId="0" applyFont="1" applyFill="1" applyBorder="1" applyAlignment="1">
      <alignment horizontal="center" vertical="center" wrapText="1"/>
    </xf>
    <xf numFmtId="0" fontId="40" fillId="15" borderId="1" xfId="0" applyFont="1" applyFill="1" applyBorder="1" applyAlignment="1">
      <alignment vertical="center" wrapText="1"/>
    </xf>
    <xf numFmtId="0" fontId="42" fillId="3" borderId="1" xfId="0" applyFont="1" applyFill="1" applyBorder="1" applyAlignment="1">
      <alignment vertical="center" wrapText="1"/>
    </xf>
    <xf numFmtId="0" fontId="36" fillId="3" borderId="1" xfId="0" applyFont="1" applyFill="1" applyBorder="1" applyAlignment="1">
      <alignment vertical="center" wrapText="1"/>
    </xf>
    <xf numFmtId="0" fontId="37" fillId="0" borderId="1" xfId="0" applyFont="1" applyBorder="1" applyAlignment="1">
      <alignment horizontal="center" wrapText="1"/>
    </xf>
    <xf numFmtId="0" fontId="37" fillId="0" borderId="1" xfId="0" applyFont="1" applyBorder="1" applyAlignment="1">
      <alignment horizontal="center" vertical="center" wrapText="1"/>
    </xf>
    <xf numFmtId="164" fontId="37" fillId="0" borderId="1" xfId="0" applyNumberFormat="1" applyFont="1" applyBorder="1" applyAlignment="1">
      <alignment horizontal="center" wrapText="1"/>
    </xf>
    <xf numFmtId="0" fontId="36" fillId="0" borderId="1" xfId="0" applyFont="1" applyBorder="1" applyAlignment="1">
      <alignment horizontal="center" vertical="center" wrapText="1"/>
    </xf>
    <xf numFmtId="164" fontId="0" fillId="0" borderId="1" xfId="0" applyNumberFormat="1" applyBorder="1" applyAlignment="1">
      <alignment horizontal="fill" wrapText="1" shrinkToFit="1"/>
    </xf>
    <xf numFmtId="0" fontId="42" fillId="0" borderId="1" xfId="0" applyFont="1" applyBorder="1" applyAlignment="1">
      <alignment horizontal="center" vertical="center"/>
    </xf>
    <xf numFmtId="0" fontId="39" fillId="0" borderId="1" xfId="0" applyFont="1" applyBorder="1"/>
    <xf numFmtId="0" fontId="35" fillId="15" borderId="1" xfId="0" applyFont="1" applyFill="1" applyBorder="1" applyAlignment="1">
      <alignment vertical="center" wrapText="1"/>
    </xf>
    <xf numFmtId="167" fontId="6" fillId="15" borderId="1" xfId="0" applyNumberFormat="1" applyFont="1" applyFill="1" applyBorder="1" applyAlignment="1">
      <alignment horizontal="center" vertical="center" wrapText="1"/>
    </xf>
    <xf numFmtId="0" fontId="35" fillId="15" borderId="1" xfId="0" applyFont="1" applyFill="1" applyBorder="1" applyAlignment="1">
      <alignment horizontal="center" vertical="center" wrapText="1"/>
    </xf>
    <xf numFmtId="0" fontId="36" fillId="0" borderId="1" xfId="0" applyFont="1" applyBorder="1" applyAlignment="1">
      <alignment vertical="center" wrapText="1"/>
    </xf>
    <xf numFmtId="168" fontId="37" fillId="0" borderId="1" xfId="0" applyNumberFormat="1" applyFont="1" applyBorder="1" applyAlignment="1">
      <alignment horizontal="center"/>
    </xf>
    <xf numFmtId="0" fontId="37" fillId="0" borderId="1" xfId="0" applyFont="1" applyBorder="1" applyAlignment="1">
      <alignment horizontal="center" vertical="center"/>
    </xf>
    <xf numFmtId="164" fontId="37" fillId="0" borderId="1" xfId="0" applyNumberFormat="1" applyFont="1" applyBorder="1" applyAlignment="1">
      <alignment horizontal="center" vertical="center"/>
    </xf>
    <xf numFmtId="168" fontId="41" fillId="0" borderId="1" xfId="0" applyNumberFormat="1" applyFont="1" applyBorder="1" applyAlignment="1">
      <alignment horizontal="fill"/>
    </xf>
    <xf numFmtId="0" fontId="40" fillId="15" borderId="13" xfId="0" applyFont="1" applyFill="1" applyBorder="1" applyAlignment="1">
      <alignment horizontal="center" vertical="center" wrapText="1"/>
    </xf>
    <xf numFmtId="168" fontId="40" fillId="15" borderId="13" xfId="0" applyNumberFormat="1" applyFont="1" applyFill="1" applyBorder="1" applyAlignment="1">
      <alignment horizontal="center" vertical="center" wrapText="1"/>
    </xf>
    <xf numFmtId="0" fontId="36" fillId="0" borderId="13" xfId="0" applyFont="1" applyBorder="1" applyAlignment="1">
      <alignment vertical="center" wrapText="1"/>
    </xf>
    <xf numFmtId="0" fontId="36" fillId="0" borderId="14" xfId="0" applyFont="1" applyBorder="1" applyAlignment="1">
      <alignment horizontal="center" vertical="center" wrapText="1"/>
    </xf>
    <xf numFmtId="0" fontId="37" fillId="0" borderId="14" xfId="0" applyFont="1" applyBorder="1" applyAlignment="1">
      <alignment horizontal="center" wrapText="1"/>
    </xf>
    <xf numFmtId="0" fontId="37" fillId="0" borderId="14" xfId="0" applyFont="1" applyBorder="1" applyAlignment="1">
      <alignment horizontal="center" vertical="center" wrapText="1"/>
    </xf>
    <xf numFmtId="164" fontId="37" fillId="0" borderId="14" xfId="0" applyNumberFormat="1" applyFont="1" applyBorder="1" applyAlignment="1">
      <alignment horizontal="center" wrapText="1"/>
    </xf>
    <xf numFmtId="0" fontId="37" fillId="0" borderId="42" xfId="0" applyFont="1" applyBorder="1" applyAlignment="1">
      <alignment horizontal="center"/>
    </xf>
    <xf numFmtId="0" fontId="37" fillId="0" borderId="15" xfId="0" applyFont="1" applyBorder="1" applyAlignment="1">
      <alignment horizontal="center" wrapText="1"/>
    </xf>
    <xf numFmtId="0" fontId="37" fillId="0" borderId="11" xfId="0" applyFont="1" applyBorder="1" applyAlignment="1">
      <alignment horizontal="center"/>
    </xf>
    <xf numFmtId="0" fontId="36" fillId="0" borderId="42" xfId="0" applyFont="1" applyBorder="1" applyAlignment="1">
      <alignment horizontal="center" vertical="center" wrapText="1"/>
    </xf>
    <xf numFmtId="0" fontId="37" fillId="0" borderId="42" xfId="0" applyFont="1" applyBorder="1" applyAlignment="1">
      <alignment horizontal="center" wrapText="1"/>
    </xf>
    <xf numFmtId="164" fontId="37" fillId="0" borderId="15" xfId="0" applyNumberFormat="1" applyFont="1" applyBorder="1" applyAlignment="1">
      <alignment horizontal="center" wrapText="1"/>
    </xf>
    <xf numFmtId="0" fontId="40" fillId="15" borderId="15" xfId="0" applyFont="1" applyFill="1" applyBorder="1" applyAlignment="1">
      <alignment horizontal="center" vertical="center" wrapText="1"/>
    </xf>
    <xf numFmtId="167" fontId="40" fillId="15" borderId="42" xfId="0" applyNumberFormat="1" applyFont="1" applyFill="1" applyBorder="1" applyAlignment="1">
      <alignment horizontal="center" vertical="center" wrapText="1"/>
    </xf>
    <xf numFmtId="0" fontId="37" fillId="0" borderId="12" xfId="0" applyFont="1" applyBorder="1" applyAlignment="1">
      <alignment horizontal="center" wrapText="1"/>
    </xf>
    <xf numFmtId="164" fontId="37" fillId="0" borderId="12" xfId="0" applyNumberFormat="1" applyFont="1" applyBorder="1" applyAlignment="1">
      <alignment horizontal="center" wrapText="1"/>
    </xf>
    <xf numFmtId="0" fontId="42" fillId="0" borderId="14" xfId="0" applyFont="1" applyBorder="1" applyAlignment="1">
      <alignment horizontal="center" vertical="center"/>
    </xf>
    <xf numFmtId="168" fontId="37" fillId="0" borderId="14" xfId="0" applyNumberFormat="1" applyFont="1" applyBorder="1" applyAlignment="1">
      <alignment horizontal="center"/>
    </xf>
    <xf numFmtId="0" fontId="39" fillId="0" borderId="14" xfId="0" applyFont="1" applyBorder="1"/>
    <xf numFmtId="0" fontId="39" fillId="0" borderId="1" xfId="0" applyFont="1" applyBorder="1" applyAlignment="1">
      <alignment wrapText="1"/>
    </xf>
    <xf numFmtId="0" fontId="39" fillId="0" borderId="1" xfId="0" applyFont="1" applyBorder="1" applyAlignment="1">
      <alignment horizontal="center" vertical="center" wrapText="1"/>
    </xf>
    <xf numFmtId="0" fontId="47" fillId="0" borderId="45" xfId="0" applyFont="1" applyBorder="1"/>
    <xf numFmtId="0" fontId="47" fillId="0" borderId="0" xfId="0" applyFont="1"/>
    <xf numFmtId="0" fontId="48" fillId="0" borderId="45" xfId="0" applyFont="1" applyBorder="1"/>
    <xf numFmtId="0" fontId="48" fillId="0" borderId="0" xfId="0" applyFont="1"/>
    <xf numFmtId="0" fontId="49" fillId="0" borderId="45" xfId="0" applyFont="1" applyBorder="1"/>
    <xf numFmtId="0" fontId="49" fillId="0" borderId="0" xfId="0" applyFont="1"/>
    <xf numFmtId="0" fontId="39" fillId="0" borderId="45" xfId="0" applyFont="1" applyBorder="1"/>
    <xf numFmtId="0" fontId="39" fillId="0" borderId="0" xfId="0" applyFont="1"/>
    <xf numFmtId="0" fontId="50" fillId="0" borderId="45" xfId="0" applyFont="1" applyBorder="1"/>
    <xf numFmtId="0" fontId="50" fillId="0" borderId="3" xfId="0" applyFont="1" applyBorder="1"/>
    <xf numFmtId="0" fontId="47" fillId="0" borderId="3" xfId="0" applyFont="1" applyBorder="1"/>
    <xf numFmtId="0" fontId="39" fillId="0" borderId="3" xfId="0" applyFont="1" applyBorder="1"/>
    <xf numFmtId="0" fontId="49" fillId="0" borderId="3" xfId="0" applyFont="1" applyBorder="1"/>
    <xf numFmtId="0" fontId="48" fillId="0" borderId="46" xfId="0" applyFont="1" applyBorder="1"/>
    <xf numFmtId="0" fontId="48" fillId="0" borderId="47" xfId="0" applyFont="1" applyBorder="1"/>
    <xf numFmtId="0" fontId="46" fillId="15" borderId="1" xfId="0" applyFont="1" applyFill="1" applyBorder="1" applyAlignment="1">
      <alignment horizontal="center" vertical="center" wrapText="1"/>
    </xf>
    <xf numFmtId="0" fontId="46" fillId="15" borderId="13" xfId="0" applyFont="1" applyFill="1" applyBorder="1" applyAlignment="1">
      <alignment horizontal="center" vertical="center" wrapText="1"/>
    </xf>
    <xf numFmtId="167" fontId="46" fillId="15" borderId="1" xfId="0" applyNumberFormat="1" applyFont="1" applyFill="1" applyBorder="1" applyAlignment="1">
      <alignment horizontal="center" vertical="center" wrapText="1"/>
    </xf>
    <xf numFmtId="0" fontId="37" fillId="0" borderId="11" xfId="0" applyFont="1" applyBorder="1" applyAlignment="1">
      <alignment horizontal="center" wrapText="1"/>
    </xf>
    <xf numFmtId="0" fontId="39" fillId="0" borderId="14" xfId="0" applyFont="1" applyBorder="1" applyAlignment="1">
      <alignment wrapText="1"/>
    </xf>
    <xf numFmtId="0" fontId="40" fillId="15" borderId="42" xfId="0" applyFont="1" applyFill="1" applyBorder="1" applyAlignment="1">
      <alignment horizontal="center" vertical="center" wrapText="1"/>
    </xf>
    <xf numFmtId="168" fontId="37" fillId="0" borderId="42" xfId="0" applyNumberFormat="1" applyFont="1" applyBorder="1" applyAlignment="1">
      <alignment horizontal="center" wrapText="1"/>
    </xf>
    <xf numFmtId="0" fontId="37" fillId="0" borderId="42" xfId="0" applyFont="1" applyBorder="1" applyAlignment="1">
      <alignment horizontal="center" vertical="center" wrapText="1"/>
    </xf>
    <xf numFmtId="164" fontId="37" fillId="0" borderId="1" xfId="0" applyNumberFormat="1" applyFont="1" applyBorder="1" applyAlignment="1">
      <alignment horizontal="center" vertical="center" wrapText="1"/>
    </xf>
    <xf numFmtId="0" fontId="37" fillId="0" borderId="15" xfId="0" applyFont="1" applyBorder="1" applyAlignment="1">
      <alignment horizontal="center" vertical="center" wrapText="1"/>
    </xf>
    <xf numFmtId="0" fontId="37" fillId="0" borderId="11" xfId="0" applyFont="1" applyBorder="1" applyAlignment="1">
      <alignment horizontal="center" vertical="center" wrapText="1"/>
    </xf>
    <xf numFmtId="0" fontId="37" fillId="0" borderId="26" xfId="0" applyFont="1" applyBorder="1" applyAlignment="1">
      <alignment horizontal="center" wrapText="1"/>
    </xf>
    <xf numFmtId="0" fontId="37" fillId="0" borderId="12" xfId="0" applyFont="1" applyBorder="1" applyAlignment="1">
      <alignment horizontal="center" vertical="center" wrapText="1"/>
    </xf>
    <xf numFmtId="0" fontId="54" fillId="0" borderId="14" xfId="0" applyFont="1" applyBorder="1" applyAlignment="1">
      <alignment horizontal="center" vertical="center" wrapText="1"/>
    </xf>
    <xf numFmtId="0" fontId="55" fillId="0" borderId="1" xfId="0" applyFont="1" applyBorder="1" applyAlignment="1">
      <alignment horizontal="center" vertical="center" wrapText="1"/>
    </xf>
    <xf numFmtId="0" fontId="40" fillId="15" borderId="1" xfId="0" applyFont="1" applyFill="1" applyBorder="1" applyAlignment="1">
      <alignment horizontal="center" vertical="center" wrapText="1"/>
    </xf>
    <xf numFmtId="0" fontId="40" fillId="15" borderId="15" xfId="0" applyFont="1" applyFill="1" applyBorder="1" applyAlignment="1">
      <alignment vertical="center" wrapText="1"/>
    </xf>
    <xf numFmtId="164" fontId="37" fillId="0" borderId="15" xfId="0" applyNumberFormat="1" applyFont="1" applyBorder="1" applyAlignment="1">
      <alignment horizontal="center" vertical="center" wrapText="1"/>
    </xf>
    <xf numFmtId="164" fontId="37" fillId="0" borderId="12" xfId="0" applyNumberFormat="1" applyFont="1" applyBorder="1" applyAlignment="1">
      <alignment horizontal="center" vertical="center" wrapText="1"/>
    </xf>
    <xf numFmtId="0" fontId="40" fillId="15" borderId="6" xfId="0" applyFont="1" applyFill="1" applyBorder="1" applyAlignment="1">
      <alignment horizontal="center" vertical="center" wrapText="1"/>
    </xf>
    <xf numFmtId="0" fontId="37" fillId="0" borderId="6" xfId="0" applyFont="1" applyBorder="1" applyAlignment="1">
      <alignment horizontal="center" wrapText="1"/>
    </xf>
    <xf numFmtId="0" fontId="37" fillId="0" borderId="7" xfId="0" applyFont="1" applyBorder="1" applyAlignment="1">
      <alignment horizontal="center" wrapText="1"/>
    </xf>
    <xf numFmtId="167" fontId="40" fillId="15" borderId="15" xfId="0" applyNumberFormat="1" applyFont="1" applyFill="1" applyBorder="1" applyAlignment="1">
      <alignment horizontal="center" vertical="center" wrapText="1"/>
    </xf>
    <xf numFmtId="0" fontId="37" fillId="0" borderId="6" xfId="0" applyFont="1" applyBorder="1" applyAlignment="1">
      <alignment horizontal="center" vertical="center" wrapText="1"/>
    </xf>
    <xf numFmtId="168" fontId="44" fillId="15" borderId="42" xfId="0" applyNumberFormat="1" applyFont="1" applyFill="1" applyBorder="1" applyAlignment="1">
      <alignment horizontal="center" vertical="center" wrapText="1"/>
    </xf>
    <xf numFmtId="168" fontId="40" fillId="15" borderId="42" xfId="0" applyNumberFormat="1" applyFont="1" applyFill="1" applyBorder="1" applyAlignment="1">
      <alignment horizontal="center" vertical="center" wrapText="1"/>
    </xf>
    <xf numFmtId="168" fontId="37" fillId="0" borderId="11" xfId="0" applyNumberFormat="1" applyFont="1" applyBorder="1" applyAlignment="1">
      <alignment horizontal="center" wrapText="1"/>
    </xf>
    <xf numFmtId="168" fontId="37" fillId="0" borderId="11" xfId="0" applyNumberFormat="1" applyFont="1" applyBorder="1" applyAlignment="1">
      <alignment horizontal="center" vertical="center" wrapText="1"/>
    </xf>
    <xf numFmtId="11" fontId="37" fillId="0" borderId="42" xfId="0" applyNumberFormat="1" applyFont="1" applyBorder="1" applyAlignment="1">
      <alignment horizontal="center" vertical="center" wrapText="1"/>
    </xf>
    <xf numFmtId="167" fontId="45" fillId="15" borderId="1" xfId="0" applyNumberFormat="1" applyFont="1" applyFill="1" applyBorder="1" applyAlignment="1">
      <alignment horizontal="center" vertical="center" wrapText="1"/>
    </xf>
    <xf numFmtId="167" fontId="45" fillId="15" borderId="14" xfId="0" applyNumberFormat="1" applyFont="1" applyFill="1" applyBorder="1" applyAlignment="1">
      <alignment horizontal="center" vertical="center" wrapText="1"/>
    </xf>
    <xf numFmtId="0" fontId="45" fillId="15" borderId="14" xfId="0" applyFont="1" applyFill="1" applyBorder="1" applyAlignment="1">
      <alignment horizontal="center" vertical="center" wrapText="1"/>
    </xf>
    <xf numFmtId="164" fontId="42" fillId="0" borderId="1" xfId="0" applyNumberFormat="1" applyFont="1" applyBorder="1" applyAlignment="1">
      <alignment horizontal="center" vertical="center"/>
    </xf>
    <xf numFmtId="168" fontId="42" fillId="0" borderId="14" xfId="0" applyNumberFormat="1" applyFont="1" applyBorder="1" applyAlignment="1">
      <alignment horizontal="center" vertical="center"/>
    </xf>
    <xf numFmtId="168" fontId="42" fillId="0" borderId="1" xfId="0" applyNumberFormat="1" applyFont="1" applyBorder="1" applyAlignment="1">
      <alignment horizontal="center" vertical="center"/>
    </xf>
    <xf numFmtId="0" fontId="42" fillId="0" borderId="1" xfId="0" applyFont="1" applyBorder="1" applyAlignment="1">
      <alignment vertical="center" wrapText="1"/>
    </xf>
    <xf numFmtId="0" fontId="42" fillId="0" borderId="1" xfId="0" applyFont="1" applyBorder="1" applyAlignment="1">
      <alignment horizontal="left" vertical="center" wrapText="1"/>
    </xf>
    <xf numFmtId="164" fontId="42" fillId="0" borderId="14" xfId="0" applyNumberFormat="1" applyFont="1" applyBorder="1" applyAlignment="1">
      <alignment horizontal="center" vertical="center"/>
    </xf>
    <xf numFmtId="0" fontId="42" fillId="0" borderId="14" xfId="0" applyFont="1" applyBorder="1" applyAlignment="1">
      <alignment vertical="center" wrapText="1"/>
    </xf>
    <xf numFmtId="0" fontId="37" fillId="0" borderId="49" xfId="0" applyFont="1" applyBorder="1" applyAlignment="1">
      <alignment horizontal="center" wrapText="1"/>
    </xf>
    <xf numFmtId="168" fontId="37" fillId="0" borderId="49" xfId="0" applyNumberFormat="1" applyFont="1" applyBorder="1" applyAlignment="1">
      <alignment horizontal="center" wrapText="1"/>
    </xf>
    <xf numFmtId="11" fontId="37" fillId="0" borderId="49" xfId="0" applyNumberFormat="1" applyFont="1" applyBorder="1" applyAlignment="1">
      <alignment horizontal="center" wrapText="1"/>
    </xf>
    <xf numFmtId="0" fontId="37" fillId="0" borderId="49" xfId="0" applyFont="1" applyBorder="1" applyAlignment="1">
      <alignment horizontal="center" vertical="center" wrapText="1"/>
    </xf>
    <xf numFmtId="164" fontId="37" fillId="0" borderId="49" xfId="0" applyNumberFormat="1" applyFont="1" applyBorder="1" applyAlignment="1">
      <alignment horizontal="center" wrapText="1"/>
    </xf>
    <xf numFmtId="0" fontId="36" fillId="0" borderId="49" xfId="0" applyFont="1" applyBorder="1" applyAlignment="1">
      <alignment horizontal="center" vertical="center" wrapText="1"/>
    </xf>
    <xf numFmtId="0" fontId="58" fillId="0" borderId="11" xfId="0" applyFont="1" applyBorder="1" applyAlignment="1">
      <alignment horizontal="center" wrapText="1"/>
    </xf>
    <xf numFmtId="0" fontId="58" fillId="0" borderId="42" xfId="0" applyFont="1" applyBorder="1" applyAlignment="1">
      <alignment horizontal="center" wrapText="1"/>
    </xf>
    <xf numFmtId="0" fontId="37" fillId="0" borderId="7" xfId="0" applyFont="1" applyBorder="1" applyAlignment="1">
      <alignment horizontal="center" vertical="center" wrapText="1"/>
    </xf>
    <xf numFmtId="11" fontId="37" fillId="0" borderId="11" xfId="0" applyNumberFormat="1" applyFont="1" applyBorder="1" applyAlignment="1">
      <alignment horizontal="center" vertical="center" wrapText="1"/>
    </xf>
    <xf numFmtId="164" fontId="37" fillId="0" borderId="14" xfId="0" applyNumberFormat="1" applyFont="1" applyBorder="1" applyAlignment="1">
      <alignment horizontal="center" vertical="center" wrapText="1"/>
    </xf>
    <xf numFmtId="0" fontId="39" fillId="0" borderId="14" xfId="0" applyFont="1" applyBorder="1" applyAlignment="1">
      <alignment horizontal="center" vertical="center" wrapText="1"/>
    </xf>
    <xf numFmtId="11" fontId="37" fillId="0" borderId="1" xfId="0" applyNumberFormat="1" applyFont="1" applyBorder="1" applyAlignment="1">
      <alignment horizontal="center" wrapText="1"/>
    </xf>
    <xf numFmtId="11" fontId="37" fillId="0" borderId="14" xfId="0" applyNumberFormat="1" applyFont="1" applyBorder="1" applyAlignment="1">
      <alignment horizontal="center" wrapText="1"/>
    </xf>
    <xf numFmtId="0" fontId="39" fillId="0" borderId="50" xfId="0" applyFont="1" applyBorder="1" applyAlignment="1">
      <alignment wrapText="1"/>
    </xf>
    <xf numFmtId="0" fontId="39" fillId="0" borderId="49" xfId="0" applyFont="1" applyBorder="1" applyAlignment="1">
      <alignment wrapText="1"/>
    </xf>
    <xf numFmtId="0" fontId="37" fillId="0" borderId="51" xfId="0" applyFont="1" applyBorder="1" applyAlignment="1">
      <alignment horizontal="center" vertical="center" wrapText="1"/>
    </xf>
    <xf numFmtId="168" fontId="37" fillId="0" borderId="51" xfId="0" applyNumberFormat="1" applyFont="1" applyBorder="1" applyAlignment="1">
      <alignment horizontal="center" vertical="center" wrapText="1"/>
    </xf>
    <xf numFmtId="0" fontId="37" fillId="0" borderId="52" xfId="0" applyFont="1" applyBorder="1" applyAlignment="1">
      <alignment horizontal="center" vertical="center" wrapText="1"/>
    </xf>
    <xf numFmtId="11" fontId="37" fillId="0" borderId="51" xfId="0" applyNumberFormat="1" applyFont="1" applyBorder="1" applyAlignment="1">
      <alignment horizontal="center" vertical="center" wrapText="1"/>
    </xf>
    <xf numFmtId="0" fontId="37" fillId="0" borderId="50" xfId="0" applyFont="1" applyBorder="1" applyAlignment="1">
      <alignment horizontal="center" vertical="center" wrapText="1"/>
    </xf>
    <xf numFmtId="164" fontId="37" fillId="0" borderId="49" xfId="0" applyNumberFormat="1" applyFont="1" applyBorder="1" applyAlignment="1">
      <alignment horizontal="center" vertical="center" wrapText="1"/>
    </xf>
    <xf numFmtId="164" fontId="37" fillId="0" borderId="50" xfId="0" applyNumberFormat="1" applyFont="1" applyBorder="1" applyAlignment="1">
      <alignment horizontal="center" vertical="center" wrapText="1"/>
    </xf>
    <xf numFmtId="0" fontId="39" fillId="0" borderId="49" xfId="0" applyFont="1" applyBorder="1" applyAlignment="1">
      <alignment horizontal="center" vertical="center" wrapText="1"/>
    </xf>
    <xf numFmtId="0" fontId="40" fillId="15" borderId="1" xfId="0" applyFont="1" applyFill="1" applyBorder="1" applyAlignment="1">
      <alignment horizontal="center" vertical="center" wrapText="1"/>
    </xf>
    <xf numFmtId="0" fontId="42" fillId="0" borderId="1" xfId="0" applyFont="1" applyBorder="1" applyAlignment="1">
      <alignment horizontal="center" vertical="center" wrapText="1"/>
    </xf>
    <xf numFmtId="0" fontId="42" fillId="0" borderId="14" xfId="0" applyFont="1" applyBorder="1" applyAlignment="1">
      <alignment horizontal="left" vertical="center" wrapText="1"/>
    </xf>
    <xf numFmtId="0" fontId="42" fillId="0" borderId="49" xfId="0" applyFont="1" applyBorder="1" applyAlignment="1">
      <alignment horizontal="center" vertical="center"/>
    </xf>
    <xf numFmtId="168" fontId="42" fillId="0" borderId="49" xfId="0" applyNumberFormat="1" applyFont="1" applyBorder="1" applyAlignment="1">
      <alignment horizontal="center" vertical="center"/>
    </xf>
    <xf numFmtId="0" fontId="42" fillId="0" borderId="49" xfId="0" applyFont="1" applyBorder="1" applyAlignment="1">
      <alignment horizontal="center" vertical="center" wrapText="1"/>
    </xf>
    <xf numFmtId="49" fontId="42" fillId="0" borderId="49" xfId="0" applyNumberFormat="1" applyFont="1" applyBorder="1" applyAlignment="1">
      <alignment horizontal="center" vertical="center" wrapText="1"/>
    </xf>
    <xf numFmtId="164" fontId="42" fillId="0" borderId="49" xfId="0" applyNumberFormat="1" applyFont="1" applyBorder="1" applyAlignment="1">
      <alignment horizontal="center" vertical="center"/>
    </xf>
    <xf numFmtId="0" fontId="42" fillId="0" borderId="49" xfId="0" applyFont="1" applyBorder="1" applyAlignment="1">
      <alignment horizontal="left" vertical="center" wrapText="1"/>
    </xf>
    <xf numFmtId="0" fontId="39" fillId="0" borderId="49" xfId="0" applyFont="1" applyBorder="1"/>
    <xf numFmtId="0" fontId="59" fillId="0" borderId="14" xfId="0" applyFont="1" applyBorder="1" applyAlignment="1">
      <alignment horizontal="center" vertical="center"/>
    </xf>
    <xf numFmtId="0" fontId="59" fillId="0" borderId="1" xfId="0" applyFont="1" applyBorder="1" applyAlignment="1">
      <alignment horizontal="center" vertical="center"/>
    </xf>
    <xf numFmtId="49" fontId="37" fillId="0" borderId="1" xfId="0" applyNumberFormat="1" applyFont="1" applyBorder="1" applyAlignment="1">
      <alignment horizontal="center" vertical="center"/>
    </xf>
    <xf numFmtId="164" fontId="37" fillId="0" borderId="51" xfId="0" applyNumberFormat="1" applyFont="1" applyBorder="1" applyAlignment="1">
      <alignment horizontal="center" vertical="center" wrapText="1"/>
    </xf>
    <xf numFmtId="0" fontId="37" fillId="0" borderId="14" xfId="0" applyFont="1" applyBorder="1" applyAlignment="1">
      <alignment horizontal="center" vertical="center"/>
    </xf>
    <xf numFmtId="164" fontId="37" fillId="0" borderId="14" xfId="0" applyNumberFormat="1" applyFont="1" applyBorder="1" applyAlignment="1">
      <alignment horizontal="center" vertical="center"/>
    </xf>
    <xf numFmtId="168" fontId="37" fillId="0" borderId="49" xfId="0" applyNumberFormat="1" applyFont="1" applyBorder="1" applyAlignment="1">
      <alignment horizontal="center"/>
    </xf>
    <xf numFmtId="0" fontId="37" fillId="0" borderId="49" xfId="0" applyFont="1" applyBorder="1" applyAlignment="1">
      <alignment horizontal="center" vertical="center"/>
    </xf>
    <xf numFmtId="164" fontId="37" fillId="0" borderId="49" xfId="0" applyNumberFormat="1" applyFont="1" applyBorder="1" applyAlignment="1">
      <alignment horizontal="center" vertical="center"/>
    </xf>
    <xf numFmtId="0" fontId="36" fillId="0" borderId="49" xfId="0" applyFont="1" applyBorder="1" applyAlignment="1">
      <alignment vertical="center" wrapText="1"/>
    </xf>
    <xf numFmtId="0" fontId="36" fillId="0" borderId="1" xfId="0" applyFont="1" applyBorder="1" applyAlignment="1">
      <alignment horizontal="left" vertical="center" wrapText="1"/>
    </xf>
    <xf numFmtId="0" fontId="60" fillId="0" borderId="1" xfId="0" applyFont="1" applyBorder="1" applyAlignment="1">
      <alignment horizontal="center" vertical="center"/>
    </xf>
    <xf numFmtId="0" fontId="60" fillId="0" borderId="1" xfId="0" applyFont="1" applyBorder="1" applyAlignment="1">
      <alignment horizontal="center" vertical="center" wrapText="1"/>
    </xf>
    <xf numFmtId="16" fontId="42" fillId="0" borderId="1" xfId="0" applyNumberFormat="1" applyFont="1" applyBorder="1" applyAlignment="1">
      <alignment horizontal="center" vertical="center"/>
    </xf>
    <xf numFmtId="0" fontId="39" fillId="16" borderId="14" xfId="0" applyFont="1" applyFill="1" applyBorder="1" applyAlignment="1">
      <alignment wrapText="1"/>
    </xf>
    <xf numFmtId="0" fontId="39" fillId="16" borderId="1" xfId="0" applyFont="1" applyFill="1" applyBorder="1" applyAlignment="1">
      <alignment wrapText="1"/>
    </xf>
    <xf numFmtId="0" fontId="60" fillId="0" borderId="14" xfId="0" applyFont="1" applyBorder="1" applyAlignment="1">
      <alignment horizontal="center" vertical="center"/>
    </xf>
    <xf numFmtId="0" fontId="60" fillId="0" borderId="49" xfId="0" applyFont="1" applyBorder="1" applyAlignment="1">
      <alignment horizontal="center" vertical="center" wrapText="1"/>
    </xf>
    <xf numFmtId="0" fontId="55" fillId="0" borderId="49" xfId="0" applyFont="1" applyBorder="1" applyAlignment="1">
      <alignment horizontal="center" vertical="center" wrapText="1"/>
    </xf>
    <xf numFmtId="0" fontId="42" fillId="0" borderId="13" xfId="0" applyFont="1" applyBorder="1" applyAlignment="1">
      <alignment horizontal="center" vertical="center"/>
    </xf>
    <xf numFmtId="168" fontId="42" fillId="0" borderId="13" xfId="0" applyNumberFormat="1" applyFont="1" applyBorder="1" applyAlignment="1">
      <alignment horizontal="center" vertical="center"/>
    </xf>
    <xf numFmtId="0" fontId="60" fillId="0" borderId="13" xfId="0" applyFont="1" applyBorder="1" applyAlignment="1">
      <alignment horizontal="center" vertical="center"/>
    </xf>
    <xf numFmtId="164" fontId="42" fillId="0" borderId="13" xfId="0" applyNumberFormat="1" applyFont="1" applyBorder="1" applyAlignment="1">
      <alignment horizontal="center" vertical="center"/>
    </xf>
    <xf numFmtId="0" fontId="36" fillId="0" borderId="13" xfId="0" applyFont="1" applyBorder="1" applyAlignment="1">
      <alignment horizontal="left" vertical="center" wrapText="1"/>
    </xf>
    <xf numFmtId="0" fontId="39" fillId="0" borderId="13" xfId="0" applyFont="1" applyBorder="1"/>
    <xf numFmtId="0" fontId="37" fillId="0" borderId="11" xfId="0" applyNumberFormat="1" applyFont="1" applyBorder="1" applyAlignment="1">
      <alignment horizontal="center"/>
    </xf>
    <xf numFmtId="0" fontId="37" fillId="0" borderId="42" xfId="0" applyNumberFormat="1" applyFont="1" applyBorder="1" applyAlignment="1">
      <alignment horizontal="center"/>
    </xf>
    <xf numFmtId="0" fontId="37" fillId="0" borderId="49" xfId="0" applyNumberFormat="1" applyFont="1" applyBorder="1" applyAlignment="1">
      <alignment horizontal="center"/>
    </xf>
    <xf numFmtId="0" fontId="37" fillId="0" borderId="14" xfId="0" applyNumberFormat="1" applyFont="1" applyBorder="1" applyAlignment="1">
      <alignment horizontal="center"/>
    </xf>
    <xf numFmtId="0" fontId="37" fillId="0" borderId="1" xfId="0" applyNumberFormat="1" applyFont="1" applyBorder="1" applyAlignment="1">
      <alignment horizontal="center"/>
    </xf>
    <xf numFmtId="0" fontId="44" fillId="15" borderId="42" xfId="0" applyNumberFormat="1" applyFont="1" applyFill="1" applyBorder="1" applyAlignment="1">
      <alignment horizontal="center" wrapText="1"/>
    </xf>
    <xf numFmtId="0" fontId="40" fillId="15" borderId="42" xfId="0" applyNumberFormat="1" applyFont="1" applyFill="1" applyBorder="1" applyAlignment="1">
      <alignment horizontal="center" wrapText="1"/>
    </xf>
    <xf numFmtId="0" fontId="37" fillId="0" borderId="51" xfId="0" applyNumberFormat="1" applyFont="1" applyBorder="1" applyAlignment="1">
      <alignment horizontal="center"/>
    </xf>
    <xf numFmtId="0" fontId="37" fillId="0" borderId="51" xfId="0" applyFont="1" applyBorder="1" applyAlignment="1">
      <alignment horizontal="center"/>
    </xf>
    <xf numFmtId="164" fontId="58" fillId="0" borderId="1" xfId="0" applyNumberFormat="1" applyFont="1" applyBorder="1" applyAlignment="1">
      <alignment horizontal="center" vertical="center" wrapText="1"/>
    </xf>
    <xf numFmtId="0" fontId="42" fillId="0" borderId="49" xfId="0" applyNumberFormat="1" applyFont="1" applyBorder="1" applyAlignment="1">
      <alignment horizontal="center" vertical="center"/>
    </xf>
    <xf numFmtId="164" fontId="58" fillId="0" borderId="14" xfId="0" applyNumberFormat="1" applyFont="1" applyBorder="1" applyAlignment="1">
      <alignment horizontal="center" vertical="center" wrapText="1"/>
    </xf>
    <xf numFmtId="11" fontId="37" fillId="0" borderId="49" xfId="0" applyNumberFormat="1" applyFont="1" applyBorder="1" applyAlignment="1">
      <alignment horizontal="center" vertical="center" wrapText="1"/>
    </xf>
    <xf numFmtId="49" fontId="42" fillId="0" borderId="49" xfId="0" applyNumberFormat="1" applyFont="1" applyBorder="1" applyAlignment="1">
      <alignment horizontal="center" vertical="center"/>
    </xf>
    <xf numFmtId="49" fontId="37" fillId="0" borderId="6" xfId="0" applyNumberFormat="1" applyFont="1" applyBorder="1" applyAlignment="1">
      <alignment horizontal="center" vertical="center" wrapText="1"/>
    </xf>
    <xf numFmtId="0" fontId="37" fillId="0" borderId="49" xfId="0" applyFont="1" applyBorder="1" applyAlignment="1">
      <alignment horizontal="center"/>
    </xf>
    <xf numFmtId="0" fontId="36" fillId="0" borderId="14" xfId="0" applyFont="1" applyBorder="1" applyAlignment="1">
      <alignment vertical="center" wrapText="1"/>
    </xf>
    <xf numFmtId="11" fontId="37" fillId="0" borderId="1" xfId="0" applyNumberFormat="1" applyFont="1" applyBorder="1" applyAlignment="1">
      <alignment horizontal="center" vertical="center" wrapText="1"/>
    </xf>
    <xf numFmtId="0" fontId="38" fillId="0" borderId="1" xfId="0" applyFont="1" applyBorder="1" applyAlignment="1">
      <alignment horizontal="center" vertical="center" wrapText="1"/>
    </xf>
    <xf numFmtId="0" fontId="37" fillId="0" borderId="26" xfId="0" applyFont="1" applyBorder="1" applyAlignment="1">
      <alignment horizontal="center" vertical="center" wrapText="1"/>
    </xf>
    <xf numFmtId="168" fontId="37" fillId="0" borderId="26" xfId="0" applyNumberFormat="1" applyFont="1" applyBorder="1" applyAlignment="1">
      <alignment horizontal="center" vertical="center" wrapText="1"/>
    </xf>
    <xf numFmtId="0" fontId="37" fillId="0" borderId="8" xfId="0" applyFont="1" applyBorder="1" applyAlignment="1">
      <alignment horizontal="center"/>
    </xf>
    <xf numFmtId="0" fontId="37" fillId="0" borderId="13" xfId="0" applyFont="1" applyBorder="1" applyAlignment="1">
      <alignment horizontal="center" vertical="center" wrapText="1"/>
    </xf>
    <xf numFmtId="0" fontId="37" fillId="0" borderId="9" xfId="0" applyFont="1" applyBorder="1" applyAlignment="1">
      <alignment horizontal="center" vertical="center" wrapText="1"/>
    </xf>
    <xf numFmtId="0" fontId="37" fillId="0" borderId="8" xfId="0" applyFont="1" applyBorder="1" applyAlignment="1">
      <alignment horizontal="center" vertical="center" wrapText="1"/>
    </xf>
    <xf numFmtId="11" fontId="37" fillId="0" borderId="26" xfId="0" applyNumberFormat="1" applyFont="1" applyBorder="1" applyAlignment="1">
      <alignment horizontal="center" vertical="center" wrapText="1"/>
    </xf>
    <xf numFmtId="0" fontId="55" fillId="0" borderId="13" xfId="0" applyFont="1" applyBorder="1" applyAlignment="1">
      <alignment horizontal="center" vertical="center" wrapText="1"/>
    </xf>
    <xf numFmtId="0" fontId="37" fillId="0" borderId="10" xfId="0" applyFont="1" applyBorder="1" applyAlignment="1">
      <alignment horizontal="center" vertical="center" wrapText="1"/>
    </xf>
    <xf numFmtId="0" fontId="37" fillId="0" borderId="22" xfId="0" applyFont="1" applyBorder="1" applyAlignment="1">
      <alignment horizontal="center" vertical="center" wrapText="1"/>
    </xf>
    <xf numFmtId="164" fontId="37" fillId="0" borderId="13" xfId="0" applyNumberFormat="1" applyFont="1" applyBorder="1" applyAlignment="1">
      <alignment horizontal="center" wrapText="1"/>
    </xf>
    <xf numFmtId="164" fontId="37" fillId="0" borderId="10" xfId="0" applyNumberFormat="1" applyFont="1" applyBorder="1" applyAlignment="1">
      <alignment horizontal="center" vertical="center" wrapText="1"/>
    </xf>
    <xf numFmtId="164" fontId="37" fillId="0" borderId="13" xfId="0" applyNumberFormat="1" applyFont="1" applyBorder="1" applyAlignment="1">
      <alignment horizontal="center" vertical="center" wrapText="1"/>
    </xf>
    <xf numFmtId="164" fontId="37" fillId="0" borderId="21" xfId="0" applyNumberFormat="1" applyFont="1" applyBorder="1" applyAlignment="1">
      <alignment horizontal="center" vertical="center" wrapText="1"/>
    </xf>
    <xf numFmtId="0" fontId="36" fillId="0" borderId="13" xfId="0" applyFont="1" applyBorder="1" applyAlignment="1">
      <alignment horizontal="center" vertical="center" wrapText="1"/>
    </xf>
    <xf numFmtId="0" fontId="39" fillId="0" borderId="13" xfId="0" applyFont="1" applyBorder="1" applyAlignment="1">
      <alignment wrapText="1"/>
    </xf>
    <xf numFmtId="168" fontId="37" fillId="0" borderId="13" xfId="0" applyNumberFormat="1" applyFont="1" applyBorder="1" applyAlignment="1">
      <alignment horizontal="center" vertical="center" wrapText="1"/>
    </xf>
    <xf numFmtId="0" fontId="37" fillId="0" borderId="13" xfId="0" applyFont="1" applyBorder="1" applyAlignment="1">
      <alignment horizontal="center"/>
    </xf>
    <xf numFmtId="11" fontId="37" fillId="0" borderId="13" xfId="0" applyNumberFormat="1" applyFont="1" applyBorder="1" applyAlignment="1">
      <alignment horizontal="center" wrapText="1"/>
    </xf>
    <xf numFmtId="168" fontId="37" fillId="0" borderId="49" xfId="0" applyNumberFormat="1" applyFont="1" applyBorder="1" applyAlignment="1">
      <alignment horizontal="center" vertical="center" wrapText="1"/>
    </xf>
    <xf numFmtId="49" fontId="37" fillId="0" borderId="49" xfId="0" applyNumberFormat="1" applyFont="1" applyBorder="1" applyAlignment="1">
      <alignment horizontal="center" vertical="center"/>
    </xf>
    <xf numFmtId="0" fontId="39" fillId="0" borderId="15" xfId="0" applyFont="1" applyBorder="1" applyAlignment="1">
      <alignment wrapText="1"/>
    </xf>
    <xf numFmtId="11" fontId="37" fillId="0" borderId="13" xfId="0" applyNumberFormat="1" applyFont="1" applyBorder="1" applyAlignment="1">
      <alignment horizontal="center" vertical="center" wrapText="1"/>
    </xf>
    <xf numFmtId="0" fontId="38" fillId="0" borderId="13" xfId="0" applyFont="1" applyBorder="1" applyAlignment="1">
      <alignment horizontal="center" vertical="center" wrapText="1"/>
    </xf>
    <xf numFmtId="0" fontId="37" fillId="16" borderId="49" xfId="0" applyFont="1" applyFill="1" applyBorder="1" applyAlignment="1">
      <alignment horizontal="center" vertical="center" wrapText="1"/>
    </xf>
    <xf numFmtId="11" fontId="58" fillId="0" borderId="1" xfId="0" applyNumberFormat="1" applyFont="1" applyBorder="1" applyAlignment="1">
      <alignment horizontal="center" wrapText="1"/>
    </xf>
    <xf numFmtId="11" fontId="58" fillId="0" borderId="42" xfId="0" applyNumberFormat="1" applyFont="1" applyBorder="1" applyAlignment="1">
      <alignment horizontal="center" vertical="center" wrapText="1"/>
    </xf>
    <xf numFmtId="0" fontId="38" fillId="0" borderId="50" xfId="0" applyFont="1" applyBorder="1" applyAlignment="1">
      <alignment horizontal="center" vertical="center" wrapText="1"/>
    </xf>
    <xf numFmtId="0" fontId="1" fillId="0" borderId="53" xfId="0" applyFont="1" applyBorder="1" applyAlignment="1">
      <alignment horizontal="center"/>
    </xf>
    <xf numFmtId="0" fontId="1" fillId="0" borderId="54" xfId="0" applyFont="1" applyBorder="1"/>
    <xf numFmtId="0" fontId="61" fillId="0" borderId="54" xfId="0" applyFont="1" applyBorder="1"/>
    <xf numFmtId="0" fontId="0" fillId="0" borderId="54" xfId="0" applyBorder="1"/>
    <xf numFmtId="0" fontId="0" fillId="0" borderId="55" xfId="0" applyBorder="1"/>
    <xf numFmtId="0" fontId="1" fillId="0" borderId="56" xfId="0" applyFont="1" applyBorder="1"/>
    <xf numFmtId="0" fontId="61" fillId="0" borderId="56" xfId="0" applyFont="1" applyBorder="1"/>
    <xf numFmtId="0" fontId="0" fillId="0" borderId="56" xfId="0" applyBorder="1"/>
    <xf numFmtId="0" fontId="0" fillId="0" borderId="57" xfId="0" applyBorder="1"/>
    <xf numFmtId="0" fontId="1" fillId="0" borderId="2" xfId="0" applyFont="1" applyBorder="1"/>
    <xf numFmtId="164" fontId="37" fillId="0" borderId="58" xfId="0" applyNumberFormat="1" applyFont="1" applyBorder="1" applyAlignment="1">
      <alignment horizontal="center" vertical="center" wrapText="1"/>
    </xf>
    <xf numFmtId="11" fontId="58" fillId="0" borderId="11" xfId="0" applyNumberFormat="1" applyFont="1" applyBorder="1" applyAlignment="1">
      <alignment horizontal="center" vertical="center" wrapText="1"/>
    </xf>
    <xf numFmtId="164" fontId="37" fillId="0" borderId="52" xfId="0" applyNumberFormat="1" applyFont="1" applyBorder="1" applyAlignment="1">
      <alignment horizontal="center" vertical="center" wrapText="1"/>
    </xf>
    <xf numFmtId="0" fontId="36" fillId="0" borderId="50" xfId="0" applyFont="1" applyBorder="1" applyAlignment="1">
      <alignment horizontal="center" vertical="center" wrapText="1"/>
    </xf>
    <xf numFmtId="164" fontId="37" fillId="17" borderId="1" xfId="0" applyNumberFormat="1" applyFont="1" applyFill="1" applyBorder="1" applyAlignment="1">
      <alignment horizontal="center" wrapText="1"/>
    </xf>
    <xf numFmtId="0" fontId="37" fillId="18" borderId="6" xfId="0" applyFont="1" applyFill="1" applyBorder="1" applyAlignment="1">
      <alignment horizontal="center" vertical="center" wrapText="1"/>
    </xf>
    <xf numFmtId="0" fontId="37" fillId="16" borderId="11" xfId="0" applyFont="1" applyFill="1" applyBorder="1" applyAlignment="1">
      <alignment horizontal="center" vertical="center" wrapText="1"/>
    </xf>
    <xf numFmtId="168" fontId="37" fillId="16" borderId="11" xfId="0" applyNumberFormat="1" applyFont="1" applyFill="1" applyBorder="1" applyAlignment="1">
      <alignment horizontal="center" vertical="center" wrapText="1"/>
    </xf>
    <xf numFmtId="0" fontId="37" fillId="16" borderId="42" xfId="0" applyFont="1" applyFill="1" applyBorder="1" applyAlignment="1">
      <alignment horizontal="center"/>
    </xf>
    <xf numFmtId="0" fontId="37" fillId="16" borderId="1" xfId="0" applyFont="1" applyFill="1" applyBorder="1" applyAlignment="1">
      <alignment horizontal="center" vertical="center" wrapText="1"/>
    </xf>
    <xf numFmtId="0" fontId="37" fillId="16" borderId="6" xfId="0" applyFont="1" applyFill="1" applyBorder="1" applyAlignment="1">
      <alignment horizontal="center" vertical="center" wrapText="1"/>
    </xf>
    <xf numFmtId="0" fontId="37" fillId="16" borderId="42" xfId="0" applyFont="1" applyFill="1" applyBorder="1" applyAlignment="1">
      <alignment horizontal="center" vertical="center" wrapText="1"/>
    </xf>
    <xf numFmtId="11" fontId="37" fillId="16" borderId="42" xfId="0" applyNumberFormat="1" applyFont="1" applyFill="1" applyBorder="1" applyAlignment="1">
      <alignment horizontal="center" vertical="center" wrapText="1"/>
    </xf>
    <xf numFmtId="0" fontId="54" fillId="16" borderId="14" xfId="0" applyFont="1" applyFill="1" applyBorder="1" applyAlignment="1">
      <alignment horizontal="center" vertical="center" wrapText="1"/>
    </xf>
    <xf numFmtId="0" fontId="37" fillId="16" borderId="15" xfId="0" applyFont="1" applyFill="1" applyBorder="1" applyAlignment="1">
      <alignment horizontal="center" vertical="center" wrapText="1"/>
    </xf>
    <xf numFmtId="0" fontId="37" fillId="16" borderId="14" xfId="0" applyFont="1" applyFill="1" applyBorder="1" applyAlignment="1">
      <alignment horizontal="center" vertical="center" wrapText="1"/>
    </xf>
    <xf numFmtId="164" fontId="37" fillId="16" borderId="1" xfId="0" applyNumberFormat="1" applyFont="1" applyFill="1" applyBorder="1" applyAlignment="1">
      <alignment horizontal="center" wrapText="1"/>
    </xf>
    <xf numFmtId="164" fontId="37" fillId="16" borderId="15" xfId="0" applyNumberFormat="1" applyFont="1" applyFill="1" applyBorder="1" applyAlignment="1">
      <alignment horizontal="center" vertical="center" wrapText="1"/>
    </xf>
    <xf numFmtId="164" fontId="37" fillId="16" borderId="1" xfId="0" applyNumberFormat="1" applyFont="1" applyFill="1" applyBorder="1" applyAlignment="1">
      <alignment horizontal="center" vertical="center" wrapText="1"/>
    </xf>
    <xf numFmtId="0" fontId="36" fillId="16" borderId="1" xfId="0" applyFont="1" applyFill="1" applyBorder="1" applyAlignment="1">
      <alignment horizontal="center" vertical="center" wrapText="1"/>
    </xf>
    <xf numFmtId="0" fontId="55" fillId="16" borderId="1" xfId="0" applyFont="1" applyFill="1" applyBorder="1" applyAlignment="1">
      <alignment horizontal="center" vertical="center" wrapText="1"/>
    </xf>
    <xf numFmtId="0" fontId="58" fillId="0" borderId="1" xfId="0" applyFont="1" applyBorder="1" applyAlignment="1">
      <alignment horizontal="center" vertical="center" wrapText="1"/>
    </xf>
    <xf numFmtId="0" fontId="0" fillId="0" borderId="0" xfId="0" applyBorder="1"/>
    <xf numFmtId="0" fontId="48" fillId="0" borderId="3" xfId="0" applyFont="1" applyBorder="1"/>
    <xf numFmtId="0" fontId="51" fillId="0" borderId="45" xfId="0" applyFont="1" applyBorder="1"/>
    <xf numFmtId="0" fontId="51" fillId="0" borderId="3" xfId="0" applyFont="1" applyBorder="1"/>
    <xf numFmtId="0" fontId="58" fillId="0" borderId="49" xfId="0" applyFont="1" applyBorder="1" applyAlignment="1">
      <alignment horizontal="center" vertical="center" wrapText="1"/>
    </xf>
    <xf numFmtId="0" fontId="58" fillId="0" borderId="1" xfId="0" applyFont="1" applyFill="1" applyBorder="1" applyAlignment="1">
      <alignment horizontal="center" vertical="center" wrapText="1"/>
    </xf>
    <xf numFmtId="0" fontId="54" fillId="3" borderId="14" xfId="0" applyFont="1" applyFill="1" applyBorder="1" applyAlignment="1">
      <alignment horizontal="center" vertical="center" wrapText="1"/>
    </xf>
    <xf numFmtId="0" fontId="62" fillId="0" borderId="1" xfId="0" applyFont="1" applyBorder="1" applyAlignment="1">
      <alignment horizontal="center" vertical="center" wrapText="1"/>
    </xf>
    <xf numFmtId="164" fontId="37" fillId="0" borderId="6" xfId="0" applyNumberFormat="1" applyFont="1" applyBorder="1" applyAlignment="1">
      <alignment horizontal="center" vertical="center" wrapText="1"/>
    </xf>
    <xf numFmtId="164" fontId="37" fillId="16" borderId="6" xfId="0" applyNumberFormat="1" applyFont="1" applyFill="1" applyBorder="1" applyAlignment="1">
      <alignment horizontal="center" vertical="center" wrapText="1"/>
    </xf>
    <xf numFmtId="0" fontId="61" fillId="0" borderId="46" xfId="0" applyFont="1" applyBorder="1"/>
    <xf numFmtId="0" fontId="61" fillId="0" borderId="23" xfId="0" applyFont="1" applyBorder="1"/>
    <xf numFmtId="0" fontId="37" fillId="0" borderId="51" xfId="0" applyFont="1" applyBorder="1" applyAlignment="1">
      <alignment horizontal="center" vertical="center"/>
    </xf>
    <xf numFmtId="0" fontId="37" fillId="0" borderId="42" xfId="0" applyFont="1" applyBorder="1" applyAlignment="1">
      <alignment horizontal="center" vertical="center"/>
    </xf>
    <xf numFmtId="49" fontId="37" fillId="0" borderId="14" xfId="0" applyNumberFormat="1" applyFont="1" applyBorder="1" applyAlignment="1">
      <alignment horizontal="center" vertical="center"/>
    </xf>
    <xf numFmtId="164" fontId="37" fillId="0" borderId="59" xfId="0" applyNumberFormat="1" applyFont="1" applyBorder="1" applyAlignment="1">
      <alignment horizontal="center" vertical="center" wrapText="1"/>
    </xf>
    <xf numFmtId="164" fontId="37" fillId="0" borderId="7" xfId="0" applyNumberFormat="1" applyFont="1" applyBorder="1" applyAlignment="1">
      <alignment horizontal="center" vertical="center" wrapText="1"/>
    </xf>
    <xf numFmtId="0" fontId="36" fillId="0" borderId="12" xfId="0" applyFont="1" applyBorder="1" applyAlignment="1">
      <alignment horizontal="center" vertical="center" wrapText="1"/>
    </xf>
    <xf numFmtId="0" fontId="36" fillId="0" borderId="15" xfId="0" applyFont="1" applyBorder="1" applyAlignment="1">
      <alignment horizontal="center" vertical="center" wrapText="1"/>
    </xf>
    <xf numFmtId="164" fontId="37" fillId="0" borderId="20" xfId="0" applyNumberFormat="1" applyFont="1" applyBorder="1" applyAlignment="1">
      <alignment horizontal="center" vertical="center" wrapText="1"/>
    </xf>
    <xf numFmtId="164" fontId="58" fillId="0" borderId="15" xfId="0" applyNumberFormat="1" applyFont="1" applyBorder="1" applyAlignment="1">
      <alignment horizontal="center" vertical="center" wrapText="1"/>
    </xf>
    <xf numFmtId="0" fontId="54" fillId="0" borderId="1" xfId="0" applyFont="1" applyBorder="1" applyAlignment="1">
      <alignment horizontal="center" vertical="center" wrapText="1"/>
    </xf>
    <xf numFmtId="168" fontId="37" fillId="0" borderId="51" xfId="0" applyNumberFormat="1" applyFont="1" applyBorder="1" applyAlignment="1">
      <alignment horizontal="center"/>
    </xf>
    <xf numFmtId="0" fontId="39" fillId="0" borderId="50" xfId="0" applyFont="1" applyBorder="1"/>
    <xf numFmtId="168" fontId="37" fillId="0" borderId="8" xfId="0" applyNumberFormat="1" applyFont="1" applyBorder="1" applyAlignment="1">
      <alignment horizontal="center"/>
    </xf>
    <xf numFmtId="168" fontId="37" fillId="0" borderId="22" xfId="0" applyNumberFormat="1" applyFont="1" applyBorder="1" applyAlignment="1">
      <alignment horizontal="center"/>
    </xf>
    <xf numFmtId="0" fontId="37" fillId="0" borderId="15" xfId="0" applyFont="1" applyBorder="1" applyAlignment="1">
      <alignment horizontal="center" vertical="center"/>
    </xf>
    <xf numFmtId="0" fontId="39" fillId="0" borderId="59" xfId="0" applyFont="1" applyBorder="1"/>
    <xf numFmtId="0" fontId="39" fillId="0" borderId="58" xfId="0" applyFont="1" applyBorder="1"/>
    <xf numFmtId="167" fontId="63" fillId="15" borderId="1" xfId="0" applyNumberFormat="1" applyFont="1" applyFill="1" applyBorder="1" applyAlignment="1">
      <alignment horizontal="center" vertical="center" wrapText="1"/>
    </xf>
    <xf numFmtId="0" fontId="63" fillId="15" borderId="13" xfId="0" applyFont="1" applyFill="1" applyBorder="1" applyAlignment="1">
      <alignment horizontal="center" vertical="center" wrapText="1"/>
    </xf>
    <xf numFmtId="0" fontId="42" fillId="0" borderId="22" xfId="0" applyFont="1" applyBorder="1" applyAlignment="1">
      <alignment horizontal="center" vertical="center"/>
    </xf>
    <xf numFmtId="0" fontId="36" fillId="4" borderId="1" xfId="0" applyFont="1" applyFill="1" applyBorder="1" applyAlignment="1">
      <alignment horizontal="center"/>
    </xf>
    <xf numFmtId="0" fontId="64" fillId="0" borderId="1" xfId="0" applyFont="1" applyBorder="1" applyAlignment="1">
      <alignment horizontal="center" vertical="center" wrapText="1"/>
    </xf>
    <xf numFmtId="168" fontId="37" fillId="0" borderId="58" xfId="0" applyNumberFormat="1" applyFont="1" applyBorder="1" applyAlignment="1">
      <alignment horizontal="center"/>
    </xf>
    <xf numFmtId="0" fontId="58" fillId="0" borderId="14" xfId="0" applyFont="1" applyBorder="1" applyAlignment="1">
      <alignment horizontal="center" vertical="center" wrapText="1"/>
    </xf>
    <xf numFmtId="16" fontId="37" fillId="0" borderId="49" xfId="0" applyNumberFormat="1" applyFont="1" applyBorder="1" applyAlignment="1">
      <alignment horizontal="center" vertical="center"/>
    </xf>
    <xf numFmtId="164" fontId="37" fillId="0" borderId="50" xfId="0" applyNumberFormat="1" applyFont="1" applyBorder="1" applyAlignment="1">
      <alignment horizontal="center" vertical="center"/>
    </xf>
    <xf numFmtId="0" fontId="37" fillId="0" borderId="13" xfId="0" applyFont="1" applyBorder="1" applyAlignment="1">
      <alignment horizontal="center" vertical="center"/>
    </xf>
    <xf numFmtId="164" fontId="37" fillId="0" borderId="13" xfId="0" applyNumberFormat="1" applyFont="1" applyBorder="1" applyAlignment="1">
      <alignment horizontal="center" vertical="center"/>
    </xf>
    <xf numFmtId="164" fontId="37" fillId="0" borderId="15" xfId="0" applyNumberFormat="1" applyFont="1" applyBorder="1" applyAlignment="1">
      <alignment horizontal="center" vertical="center"/>
    </xf>
    <xf numFmtId="164" fontId="39" fillId="0" borderId="49" xfId="0" applyNumberFormat="1" applyFont="1" applyBorder="1"/>
    <xf numFmtId="168" fontId="37" fillId="0" borderId="1" xfId="0" applyNumberFormat="1" applyFont="1" applyBorder="1" applyAlignment="1">
      <alignment horizontal="center" vertical="center" wrapText="1"/>
    </xf>
    <xf numFmtId="0" fontId="37" fillId="0" borderId="1" xfId="0" applyFont="1" applyBorder="1" applyAlignment="1">
      <alignment horizontal="center"/>
    </xf>
    <xf numFmtId="0" fontId="40" fillId="15" borderId="1" xfId="0" applyNumberFormat="1" applyFont="1" applyFill="1" applyBorder="1" applyAlignment="1">
      <alignment horizontal="center" vertical="center" wrapText="1"/>
    </xf>
    <xf numFmtId="0" fontId="40" fillId="15" borderId="13" xfId="0" applyNumberFormat="1" applyFont="1" applyFill="1" applyBorder="1" applyAlignment="1">
      <alignment horizontal="center" vertical="center" wrapText="1"/>
    </xf>
    <xf numFmtId="0" fontId="42" fillId="0" borderId="14" xfId="0" applyNumberFormat="1" applyFont="1" applyBorder="1" applyAlignment="1">
      <alignment horizontal="center" vertical="center"/>
    </xf>
    <xf numFmtId="0" fontId="42" fillId="0" borderId="1" xfId="0" applyNumberFormat="1" applyFont="1" applyBorder="1" applyAlignment="1">
      <alignment horizontal="center" vertical="center"/>
    </xf>
    <xf numFmtId="0" fontId="37" fillId="0" borderId="1" xfId="0" applyNumberFormat="1" applyFont="1" applyBorder="1" applyAlignment="1">
      <alignment horizontal="center" vertical="center"/>
    </xf>
    <xf numFmtId="0" fontId="37" fillId="0" borderId="49" xfId="0" applyNumberFormat="1" applyFont="1" applyBorder="1" applyAlignment="1">
      <alignment horizontal="center" vertical="center"/>
    </xf>
    <xf numFmtId="0" fontId="37" fillId="0" borderId="14" xfId="0" applyNumberFormat="1" applyFont="1" applyBorder="1" applyAlignment="1">
      <alignment horizontal="center" vertical="center"/>
    </xf>
    <xf numFmtId="0" fontId="42" fillId="0" borderId="13" xfId="0" applyNumberFormat="1" applyFont="1" applyBorder="1" applyAlignment="1">
      <alignment horizontal="center" vertical="center"/>
    </xf>
    <xf numFmtId="0" fontId="37" fillId="0" borderId="15" xfId="0" applyNumberFormat="1" applyFont="1" applyBorder="1" applyAlignment="1">
      <alignment horizontal="center" vertical="center"/>
    </xf>
    <xf numFmtId="0" fontId="37" fillId="0" borderId="50" xfId="0" applyNumberFormat="1" applyFont="1" applyBorder="1" applyAlignment="1">
      <alignment horizontal="center" vertical="center"/>
    </xf>
    <xf numFmtId="0" fontId="37" fillId="0" borderId="12" xfId="0" applyNumberFormat="1" applyFont="1" applyBorder="1" applyAlignment="1">
      <alignment horizontal="center" vertical="center"/>
    </xf>
    <xf numFmtId="0" fontId="37" fillId="0" borderId="13" xfId="0" applyNumberFormat="1" applyFont="1" applyBorder="1" applyAlignment="1">
      <alignment horizontal="center" vertical="center"/>
    </xf>
    <xf numFmtId="0" fontId="65" fillId="0" borderId="1" xfId="0" applyFont="1" applyBorder="1" applyAlignment="1">
      <alignment horizontal="center" vertical="center" wrapText="1"/>
    </xf>
    <xf numFmtId="11" fontId="37" fillId="0" borderId="8" xfId="0" applyNumberFormat="1" applyFont="1" applyBorder="1" applyAlignment="1">
      <alignment horizontal="center" vertical="center" wrapText="1"/>
    </xf>
    <xf numFmtId="0" fontId="58" fillId="0" borderId="1" xfId="0" applyFont="1" applyBorder="1" applyAlignment="1">
      <alignment horizontal="center" vertical="center"/>
    </xf>
    <xf numFmtId="0" fontId="66" fillId="0" borderId="1" xfId="0" applyFont="1" applyBorder="1" applyAlignment="1">
      <alignment horizontal="center" vertical="center"/>
    </xf>
    <xf numFmtId="0" fontId="37" fillId="0" borderId="14" xfId="0" applyFont="1" applyBorder="1" applyAlignment="1">
      <alignment horizontal="center"/>
    </xf>
    <xf numFmtId="11" fontId="37" fillId="0" borderId="14" xfId="0" applyNumberFormat="1" applyFont="1" applyBorder="1" applyAlignment="1">
      <alignment horizontal="center" vertical="center" wrapText="1"/>
    </xf>
    <xf numFmtId="0" fontId="58" fillId="5" borderId="12" xfId="0" applyFont="1" applyFill="1" applyBorder="1" applyAlignment="1">
      <alignment horizontal="center" vertical="center" wrapText="1"/>
    </xf>
    <xf numFmtId="168" fontId="37" fillId="0" borderId="52" xfId="0" applyNumberFormat="1" applyFont="1" applyBorder="1" applyAlignment="1">
      <alignment horizontal="center" vertical="center" wrapText="1"/>
    </xf>
    <xf numFmtId="16" fontId="37" fillId="0" borderId="1" xfId="0" applyNumberFormat="1" applyFont="1" applyBorder="1" applyAlignment="1">
      <alignment horizontal="center" vertical="center"/>
    </xf>
    <xf numFmtId="0" fontId="58" fillId="0" borderId="15" xfId="0" applyFont="1" applyBorder="1" applyAlignment="1">
      <alignment horizontal="center" vertical="center" wrapText="1"/>
    </xf>
    <xf numFmtId="0" fontId="0" fillId="2" borderId="1" xfId="0" applyFill="1" applyBorder="1" applyAlignment="1">
      <alignment horizontal="center" wrapText="1"/>
    </xf>
    <xf numFmtId="0" fontId="0" fillId="2" borderId="4" xfId="0" applyFill="1" applyBorder="1" applyAlignment="1">
      <alignment horizontal="center" wrapText="1"/>
    </xf>
    <xf numFmtId="0" fontId="0" fillId="2" borderId="5" xfId="0" applyFill="1" applyBorder="1" applyAlignment="1">
      <alignment horizontal="center" wrapText="1"/>
    </xf>
    <xf numFmtId="0" fontId="0" fillId="0" borderId="4"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33" xfId="0" applyBorder="1" applyAlignment="1" applyProtection="1">
      <alignment horizontal="center" vertical="center" wrapText="1"/>
      <protection locked="0"/>
    </xf>
    <xf numFmtId="0" fontId="0" fillId="0" borderId="34" xfId="0" applyBorder="1" applyAlignment="1" applyProtection="1">
      <alignment horizontal="center" vertical="center" wrapText="1"/>
      <protection locked="0"/>
    </xf>
    <xf numFmtId="0" fontId="0" fillId="2" borderId="63" xfId="0" applyFill="1" applyBorder="1" applyAlignment="1">
      <alignment horizontal="center" wrapText="1"/>
    </xf>
    <xf numFmtId="0" fontId="0" fillId="0" borderId="63" xfId="0" applyBorder="1" applyAlignment="1" applyProtection="1">
      <alignment wrapText="1"/>
      <protection locked="0"/>
    </xf>
    <xf numFmtId="0" fontId="0" fillId="0" borderId="56" xfId="0" applyBorder="1" applyAlignment="1">
      <alignment vertical="top" wrapText="1"/>
    </xf>
    <xf numFmtId="20" fontId="0" fillId="0" borderId="63" xfId="0" applyNumberFormat="1" applyBorder="1" applyAlignment="1" applyProtection="1">
      <alignment wrapText="1"/>
      <protection locked="0"/>
    </xf>
    <xf numFmtId="0" fontId="0" fillId="0" borderId="63" xfId="0" applyBorder="1" applyAlignment="1" applyProtection="1">
      <alignment horizontal="center" vertical="center" wrapText="1"/>
      <protection locked="0"/>
    </xf>
    <xf numFmtId="14" fontId="0" fillId="2" borderId="6" xfId="0" applyNumberFormat="1" applyFill="1" applyBorder="1" applyAlignment="1">
      <alignment horizontal="center" wrapText="1"/>
    </xf>
    <xf numFmtId="14" fontId="0" fillId="0" borderId="6" xfId="0" applyNumberFormat="1" applyBorder="1" applyAlignment="1" applyProtection="1">
      <alignment horizontal="center" vertical="center" wrapText="1"/>
      <protection locked="0"/>
    </xf>
    <xf numFmtId="0" fontId="0" fillId="2" borderId="63" xfId="0" applyFill="1" applyBorder="1" applyAlignment="1">
      <alignment wrapText="1"/>
    </xf>
    <xf numFmtId="0" fontId="0" fillId="2" borderId="63" xfId="0" applyFill="1" applyBorder="1" applyAlignment="1">
      <alignment horizontal="center" vertical="center" wrapText="1"/>
    </xf>
    <xf numFmtId="169" fontId="0" fillId="0" borderId="63" xfId="0" applyNumberFormat="1" applyBorder="1" applyAlignment="1">
      <alignment horizontal="center" vertical="center" wrapText="1"/>
    </xf>
    <xf numFmtId="0" fontId="0" fillId="0" borderId="63" xfId="0" applyBorder="1" applyAlignment="1">
      <alignment horizontal="center" vertical="center" wrapText="1"/>
    </xf>
    <xf numFmtId="0" fontId="0" fillId="0" borderId="56" xfId="0" applyBorder="1" applyAlignment="1">
      <alignment horizontal="center" vertical="center" wrapText="1"/>
    </xf>
    <xf numFmtId="14" fontId="0" fillId="2" borderId="63" xfId="0" applyNumberFormat="1" applyFill="1" applyBorder="1" applyAlignment="1">
      <alignment horizontal="center" vertical="center" wrapText="1"/>
    </xf>
    <xf numFmtId="167" fontId="0" fillId="0" borderId="63" xfId="0" applyNumberFormat="1" applyBorder="1" applyAlignment="1" applyProtection="1">
      <alignment horizontal="center" vertical="center" wrapText="1"/>
      <protection locked="0"/>
    </xf>
    <xf numFmtId="168" fontId="40" fillId="15" borderId="1" xfId="0" applyNumberFormat="1" applyFont="1" applyFill="1" applyBorder="1" applyAlignment="1">
      <alignment horizontal="center" vertical="center" wrapText="1"/>
    </xf>
    <xf numFmtId="0" fontId="40" fillId="15" borderId="1" xfId="0" applyFont="1" applyFill="1" applyBorder="1" applyAlignment="1">
      <alignment horizontal="center" vertical="center" wrapText="1"/>
    </xf>
    <xf numFmtId="0" fontId="1" fillId="0" borderId="43" xfId="0" applyFont="1" applyBorder="1" applyAlignment="1">
      <alignment horizontal="center"/>
    </xf>
    <xf numFmtId="0" fontId="1" fillId="0" borderId="48" xfId="0" applyFont="1" applyBorder="1" applyAlignment="1">
      <alignment horizontal="center"/>
    </xf>
    <xf numFmtId="0" fontId="1" fillId="0" borderId="44" xfId="0" applyFont="1" applyBorder="1" applyAlignment="1">
      <alignment horizontal="center"/>
    </xf>
    <xf numFmtId="166" fontId="12" fillId="10" borderId="39" xfId="0" applyNumberFormat="1" applyFont="1" applyFill="1" applyBorder="1" applyAlignment="1">
      <alignment horizontal="center" vertical="center"/>
    </xf>
    <xf numFmtId="166" fontId="12" fillId="10" borderId="40" xfId="0" applyNumberFormat="1" applyFont="1" applyFill="1" applyBorder="1" applyAlignment="1">
      <alignment horizontal="center" vertical="center"/>
    </xf>
    <xf numFmtId="166" fontId="12" fillId="10" borderId="41" xfId="0" applyNumberFormat="1" applyFont="1" applyFill="1" applyBorder="1" applyAlignment="1">
      <alignment horizontal="center" vertical="center"/>
    </xf>
    <xf numFmtId="0" fontId="8" fillId="7" borderId="28" xfId="0" applyFont="1" applyFill="1" applyBorder="1" applyAlignment="1">
      <alignment horizontal="center" vertical="center" wrapText="1"/>
    </xf>
    <xf numFmtId="0" fontId="8" fillId="7" borderId="38" xfId="0" applyFont="1" applyFill="1" applyBorder="1" applyAlignment="1">
      <alignment horizontal="center" vertical="center" wrapText="1"/>
    </xf>
    <xf numFmtId="0" fontId="11" fillId="9" borderId="1" xfId="3" applyFont="1" applyFill="1" applyBorder="1" applyAlignment="1">
      <alignment horizontal="left" vertical="center"/>
    </xf>
    <xf numFmtId="0" fontId="4" fillId="12" borderId="0" xfId="0" applyFont="1" applyFill="1" applyAlignment="1">
      <alignment horizontal="center" vertical="center"/>
    </xf>
    <xf numFmtId="0" fontId="18" fillId="4" borderId="0" xfId="0" applyFont="1" applyFill="1" applyAlignment="1">
      <alignment horizontal="center" vertical="top" wrapText="1"/>
    </xf>
    <xf numFmtId="0" fontId="18" fillId="6" borderId="0" xfId="0" applyFont="1" applyFill="1" applyAlignment="1">
      <alignment horizontal="center" vertical="center" wrapText="1"/>
    </xf>
    <xf numFmtId="0" fontId="27" fillId="14" borderId="4" xfId="0" applyFont="1" applyFill="1" applyBorder="1" applyAlignment="1">
      <alignment vertical="center" wrapText="1"/>
    </xf>
    <xf numFmtId="0" fontId="27" fillId="14" borderId="5" xfId="0" applyFont="1" applyFill="1" applyBorder="1" applyAlignment="1">
      <alignment vertical="center" wrapText="1"/>
    </xf>
    <xf numFmtId="0" fontId="7" fillId="7" borderId="0" xfId="0" applyFont="1" applyFill="1" applyAlignment="1">
      <alignment horizontal="center" vertical="center" wrapText="1"/>
    </xf>
    <xf numFmtId="0" fontId="35" fillId="7" borderId="3" xfId="0" applyFont="1" applyFill="1" applyBorder="1" applyAlignment="1">
      <alignment horizontal="center" vertical="center" wrapText="1"/>
    </xf>
    <xf numFmtId="0" fontId="35" fillId="7" borderId="0" xfId="0" applyFont="1" applyFill="1" applyAlignment="1">
      <alignment horizontal="center" vertical="center" wrapText="1"/>
    </xf>
    <xf numFmtId="0" fontId="21" fillId="5" borderId="0" xfId="0" applyFont="1" applyFill="1" applyAlignment="1">
      <alignment horizontal="center" vertical="center" wrapText="1"/>
    </xf>
    <xf numFmtId="0" fontId="18" fillId="5" borderId="0" xfId="0" applyFont="1" applyFill="1" applyAlignment="1">
      <alignment horizontal="center" vertical="center" wrapText="1"/>
    </xf>
    <xf numFmtId="0" fontId="9" fillId="9" borderId="11" xfId="3" applyFont="1" applyFill="1" applyBorder="1" applyAlignment="1">
      <alignment horizontal="left" vertical="center"/>
    </xf>
    <xf numFmtId="0" fontId="9" fillId="9" borderId="12" xfId="3" applyFont="1" applyFill="1" applyBorder="1" applyAlignment="1">
      <alignment horizontal="left" vertical="center"/>
    </xf>
    <xf numFmtId="0" fontId="9" fillId="9" borderId="28" xfId="3" applyFont="1" applyFill="1" applyBorder="1" applyAlignment="1">
      <alignment horizontal="left" vertical="center"/>
    </xf>
    <xf numFmtId="0" fontId="9" fillId="9" borderId="29" xfId="3" applyFont="1" applyFill="1" applyBorder="1" applyAlignment="1">
      <alignment horizontal="left" vertical="center"/>
    </xf>
    <xf numFmtId="0" fontId="24" fillId="14" borderId="33" xfId="0" applyFont="1" applyFill="1" applyBorder="1" applyAlignment="1">
      <alignment horizontal="left" vertical="center" wrapText="1"/>
    </xf>
    <xf numFmtId="0" fontId="24" fillId="14" borderId="34" xfId="0" applyFont="1" applyFill="1" applyBorder="1" applyAlignment="1">
      <alignment horizontal="left" vertical="center" wrapText="1"/>
    </xf>
    <xf numFmtId="0" fontId="24" fillId="14" borderId="4" xfId="0" applyFont="1" applyFill="1" applyBorder="1" applyAlignment="1">
      <alignment vertical="center" wrapText="1"/>
    </xf>
    <xf numFmtId="0" fontId="28" fillId="14" borderId="33" xfId="0" applyFont="1" applyFill="1" applyBorder="1" applyAlignment="1">
      <alignment vertical="top" wrapText="1"/>
    </xf>
    <xf numFmtId="0" fontId="28" fillId="14" borderId="34" xfId="0" applyFont="1" applyFill="1" applyBorder="1" applyAlignment="1">
      <alignment vertical="top" wrapText="1"/>
    </xf>
    <xf numFmtId="0" fontId="28" fillId="14" borderId="30" xfId="0" applyFont="1" applyFill="1" applyBorder="1" applyAlignment="1">
      <alignment horizontal="left" vertical="top" wrapText="1"/>
    </xf>
    <xf numFmtId="0" fontId="28" fillId="14" borderId="31" xfId="0" applyFont="1" applyFill="1" applyBorder="1" applyAlignment="1">
      <alignment horizontal="left" vertical="top" wrapText="1"/>
    </xf>
    <xf numFmtId="0" fontId="25" fillId="14" borderId="30" xfId="0" applyFont="1" applyFill="1" applyBorder="1" applyAlignment="1">
      <alignment horizontal="left" vertical="top" wrapText="1"/>
    </xf>
    <xf numFmtId="0" fontId="2" fillId="2" borderId="2" xfId="0" applyFont="1" applyFill="1" applyBorder="1" applyAlignment="1">
      <alignment horizontal="center" vertical="center" textRotation="90" wrapText="1"/>
    </xf>
    <xf numFmtId="0" fontId="2" fillId="2" borderId="62" xfId="0" applyFont="1" applyFill="1" applyBorder="1" applyAlignment="1">
      <alignment horizontal="center" vertical="center" textRotation="90" wrapText="1"/>
    </xf>
    <xf numFmtId="0" fontId="2" fillId="2" borderId="2" xfId="0" applyFont="1" applyFill="1" applyBorder="1" applyAlignment="1">
      <alignment horizontal="center" textRotation="90" wrapText="1"/>
    </xf>
    <xf numFmtId="0" fontId="2" fillId="2" borderId="62" xfId="0" applyFont="1" applyFill="1" applyBorder="1" applyAlignment="1">
      <alignment horizontal="center" textRotation="90" wrapText="1"/>
    </xf>
    <xf numFmtId="0" fontId="2" fillId="2" borderId="2" xfId="0" applyFont="1" applyFill="1" applyBorder="1" applyAlignment="1">
      <alignment horizontal="center" wrapText="1"/>
    </xf>
    <xf numFmtId="0" fontId="2" fillId="2" borderId="62" xfId="0" applyFont="1" applyFill="1" applyBorder="1" applyAlignment="1">
      <alignment horizontal="center" wrapText="1"/>
    </xf>
    <xf numFmtId="0" fontId="2" fillId="2" borderId="9" xfId="0" applyFont="1" applyFill="1" applyBorder="1" applyAlignment="1">
      <alignment horizontal="center" textRotation="90" wrapText="1"/>
    </xf>
    <xf numFmtId="0" fontId="2" fillId="2" borderId="7" xfId="0" applyFont="1" applyFill="1" applyBorder="1" applyAlignment="1">
      <alignment horizontal="center" textRotation="90" wrapText="1"/>
    </xf>
    <xf numFmtId="0" fontId="2" fillId="2" borderId="43" xfId="0" applyFont="1" applyFill="1" applyBorder="1" applyAlignment="1">
      <alignment horizontal="center" textRotation="90" wrapText="1"/>
    </xf>
    <xf numFmtId="0" fontId="2" fillId="2" borderId="60" xfId="0" applyFont="1" applyFill="1" applyBorder="1" applyAlignment="1">
      <alignment horizontal="center" textRotation="90" wrapText="1"/>
    </xf>
    <xf numFmtId="0" fontId="2" fillId="2" borderId="44" xfId="0" applyFont="1" applyFill="1" applyBorder="1" applyAlignment="1">
      <alignment horizontal="center" textRotation="90" wrapText="1"/>
    </xf>
    <xf numFmtId="0" fontId="2" fillId="2" borderId="61" xfId="0" applyFont="1" applyFill="1" applyBorder="1" applyAlignment="1">
      <alignment horizontal="center" textRotation="90" wrapText="1"/>
    </xf>
    <xf numFmtId="0" fontId="2" fillId="2" borderId="2" xfId="0" applyFont="1" applyFill="1" applyBorder="1" applyAlignment="1">
      <alignment horizontal="center" vertical="center" wrapText="1"/>
    </xf>
    <xf numFmtId="0" fontId="2" fillId="2" borderId="62" xfId="0" applyFont="1" applyFill="1" applyBorder="1" applyAlignment="1">
      <alignment horizontal="center" vertical="center" wrapText="1"/>
    </xf>
    <xf numFmtId="0" fontId="2" fillId="2" borderId="48" xfId="0" applyFont="1" applyFill="1" applyBorder="1" applyAlignment="1">
      <alignment horizontal="center" textRotation="90" wrapText="1"/>
    </xf>
    <xf numFmtId="0" fontId="2" fillId="2" borderId="64" xfId="0" applyFont="1" applyFill="1" applyBorder="1" applyAlignment="1">
      <alignment horizontal="center" textRotation="90" wrapText="1"/>
    </xf>
    <xf numFmtId="0" fontId="2" fillId="2" borderId="63" xfId="0" applyFont="1" applyFill="1" applyBorder="1" applyAlignment="1">
      <alignment horizontal="center" textRotation="90" wrapText="1"/>
    </xf>
    <xf numFmtId="0" fontId="2" fillId="2" borderId="9" xfId="0" applyFont="1" applyFill="1" applyBorder="1" applyAlignment="1">
      <alignment horizontal="center" vertical="center" textRotation="90" wrapText="1"/>
    </xf>
    <xf numFmtId="0" fontId="2" fillId="2" borderId="7" xfId="0" applyFont="1" applyFill="1" applyBorder="1" applyAlignment="1">
      <alignment horizontal="center" vertical="center" textRotation="90" wrapText="1"/>
    </xf>
    <xf numFmtId="0" fontId="0" fillId="2" borderId="6" xfId="0" applyFill="1" applyBorder="1" applyAlignment="1">
      <alignment horizontal="center" vertical="center" wrapText="1"/>
    </xf>
  </cellXfs>
  <cellStyles count="10">
    <cellStyle name="Komma 2" xfId="4" xr:uid="{61DCF5CA-E82C-4004-970A-065C3CDC8849}"/>
    <cellStyle name="Normal 2" xfId="1" xr:uid="{00000000-0005-0000-0000-000003000000}"/>
    <cellStyle name="Normal 2 3" xfId="5" xr:uid="{09DBCA35-1318-49EF-B166-35B8A4F0ABE0}"/>
    <cellStyle name="Normal 2 4" xfId="3" xr:uid="{F695B5F5-36E3-428D-A25D-B9F49318277F}"/>
    <cellStyle name="Normal 6" xfId="6" xr:uid="{888632DD-5BB2-46CD-9B57-58CF522AF4F4}"/>
    <cellStyle name="Prozent" xfId="2" builtinId="5"/>
    <cellStyle name="Standard" xfId="0" builtinId="0"/>
    <cellStyle name="Standard 2" xfId="7" xr:uid="{3D32525C-7BD2-49F1-9C60-8796BEDB9BA0}"/>
    <cellStyle name="Standard 3" xfId="8" xr:uid="{E3459F3F-793F-4336-AC53-D887C8FFBFEA}"/>
    <cellStyle name="Standard 4" xfId="9" xr:uid="{1EE9D01F-0641-49EC-814A-37DAE62EF580}"/>
  </cellStyles>
  <dxfs count="530">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ont>
        <b/>
        <i val="0"/>
        <color rgb="FF00B050"/>
      </font>
      <fill>
        <patternFill patternType="none">
          <bgColor auto="1"/>
        </patternFill>
      </fill>
    </dxf>
    <dxf>
      <font>
        <b/>
        <i val="0"/>
        <color rgb="FFFF0000"/>
      </font>
    </dxf>
    <dxf>
      <font>
        <b/>
        <i val="0"/>
        <color rgb="FF00B050"/>
      </font>
    </dxf>
    <dxf>
      <font>
        <b/>
        <i val="0"/>
        <color rgb="FFFF0000"/>
      </font>
    </dxf>
    <dxf>
      <font>
        <b/>
        <i val="0"/>
        <color rgb="FF00B050"/>
      </font>
      <fill>
        <patternFill patternType="none">
          <bgColor auto="1"/>
        </patternFill>
      </fill>
    </dxf>
    <dxf>
      <font>
        <b/>
        <i val="0"/>
        <color rgb="FFFF0000"/>
      </font>
    </dxf>
    <dxf>
      <font>
        <b/>
        <i val="0"/>
        <color rgb="FF00B050"/>
      </font>
    </dxf>
    <dxf>
      <font>
        <b/>
        <i val="0"/>
        <color rgb="FFFF0000"/>
      </font>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ont>
        <b/>
        <i val="0"/>
        <color rgb="FF00B050"/>
      </font>
      <fill>
        <patternFill patternType="none">
          <bgColor auto="1"/>
        </patternFill>
      </fill>
    </dxf>
    <dxf>
      <font>
        <b/>
        <i val="0"/>
        <color rgb="FFFF0000"/>
      </font>
    </dxf>
    <dxf>
      <font>
        <b/>
        <i val="0"/>
        <color rgb="FF00B050"/>
      </font>
    </dxf>
    <dxf>
      <font>
        <b/>
        <i val="0"/>
        <color rgb="FFFF0000"/>
      </font>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ont>
        <b/>
        <i val="0"/>
        <color rgb="FF00B050"/>
      </font>
      <fill>
        <patternFill patternType="none">
          <bgColor auto="1"/>
        </patternFill>
      </fill>
    </dxf>
    <dxf>
      <font>
        <b/>
        <i val="0"/>
        <color rgb="FFFF0000"/>
      </font>
    </dxf>
    <dxf>
      <font>
        <b/>
        <i val="0"/>
        <color rgb="FF00B050"/>
      </font>
    </dxf>
    <dxf>
      <font>
        <b/>
        <i val="0"/>
        <color rgb="FFFF0000"/>
      </font>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ont>
        <b/>
        <i val="0"/>
        <color rgb="FF00B050"/>
      </font>
      <fill>
        <patternFill patternType="none">
          <bgColor auto="1"/>
        </patternFill>
      </fill>
    </dxf>
    <dxf>
      <font>
        <b/>
        <i val="0"/>
        <color rgb="FFFF0000"/>
      </font>
    </dxf>
    <dxf>
      <font>
        <b/>
        <i val="0"/>
        <color rgb="FF00B050"/>
      </font>
    </dxf>
    <dxf>
      <font>
        <b/>
        <i val="0"/>
        <color rgb="FFFF0000"/>
      </font>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0" tint="-0.24994659260841701"/>
        </patternFill>
      </fill>
    </dxf>
    <dxf>
      <fill>
        <patternFill>
          <bgColor theme="8" tint="0.59996337778862885"/>
        </patternFill>
      </fill>
    </dxf>
    <dxf>
      <fill>
        <patternFill>
          <bgColor theme="9" tint="0.39994506668294322"/>
        </patternFill>
      </fill>
    </dxf>
    <dxf>
      <fill>
        <patternFill patternType="solid">
          <bgColor rgb="FFFF7C80"/>
        </patternFill>
      </fill>
    </dxf>
    <dxf>
      <fill>
        <patternFill>
          <bgColor theme="7" tint="0.39994506668294322"/>
        </patternFill>
      </fill>
    </dxf>
    <dxf>
      <fill>
        <patternFill>
          <bgColor theme="5" tint="0.59996337778862885"/>
        </patternFill>
      </fill>
    </dxf>
    <dxf>
      <fill>
        <patternFill>
          <bgColor theme="8" tint="0.59996337778862885"/>
        </patternFill>
      </fill>
    </dxf>
    <dxf>
      <font>
        <b/>
        <i val="0"/>
        <strike/>
      </font>
      <fill>
        <patternFill patternType="solid">
          <fgColor auto="1"/>
          <bgColor rgb="FFFF3300"/>
        </patternFill>
      </fill>
    </dxf>
    <dxf>
      <font>
        <b/>
        <i val="0"/>
        <color rgb="FF00B050"/>
      </font>
      <fill>
        <patternFill patternType="none">
          <bgColor auto="1"/>
        </patternFill>
      </fill>
    </dxf>
    <dxf>
      <font>
        <b/>
        <i val="0"/>
        <color rgb="FFFF0000"/>
      </font>
    </dxf>
    <dxf>
      <font>
        <b/>
        <i val="0"/>
        <color rgb="FF00B050"/>
      </font>
    </dxf>
    <dxf>
      <font>
        <b/>
        <i val="0"/>
        <color rgb="FFFF0000"/>
      </font>
    </dxf>
    <dxf>
      <fill>
        <patternFill>
          <bgColor rgb="FFFF4343"/>
        </patternFill>
      </fill>
    </dxf>
    <dxf>
      <fill>
        <patternFill>
          <bgColor rgb="FF05FF76"/>
        </patternFill>
      </fill>
    </dxf>
    <dxf>
      <fill>
        <patternFill>
          <bgColor rgb="FFFFFF00"/>
        </patternFill>
      </fill>
    </dxf>
    <dxf>
      <fill>
        <patternFill>
          <bgColor rgb="FF19FF81"/>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ont>
        <color rgb="FF00B050"/>
      </font>
    </dxf>
    <dxf>
      <font>
        <color rgb="FF00B050"/>
      </font>
    </dxf>
    <dxf>
      <font>
        <color rgb="FFFF000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00B050"/>
      </font>
    </dxf>
    <dxf>
      <font>
        <color rgb="FFFF0000"/>
      </font>
    </dxf>
    <dxf>
      <font>
        <color rgb="FFFF0000"/>
      </font>
    </dxf>
    <dxf>
      <font>
        <color rgb="FF00B050"/>
      </font>
    </dxf>
    <dxf>
      <font>
        <color rgb="FFFF0000"/>
      </font>
    </dxf>
    <dxf>
      <font>
        <color auto="1"/>
      </font>
      <fill>
        <patternFill>
          <bgColor rgb="FF00B050"/>
        </patternFill>
      </fill>
    </dxf>
    <dxf>
      <font>
        <color auto="1"/>
      </font>
      <fill>
        <patternFill>
          <bgColor rgb="FFFFFF00"/>
        </patternFill>
      </fill>
    </dxf>
    <dxf>
      <fill>
        <patternFill>
          <bgColor rgb="FFFF0000"/>
        </patternFill>
      </fill>
    </dxf>
    <dxf>
      <fill>
        <patternFill>
          <bgColor rgb="FF00B050"/>
        </patternFill>
      </fill>
    </dxf>
    <dxf>
      <fill>
        <patternFill>
          <bgColor rgb="FFFFC000"/>
        </patternFill>
      </fill>
    </dxf>
    <dxf>
      <fill>
        <patternFill>
          <bgColor rgb="FF92D050"/>
        </patternFill>
      </fill>
    </dxf>
    <dxf>
      <fill>
        <patternFill>
          <bgColor rgb="FFFFFF00"/>
        </patternFill>
      </fill>
    </dxf>
    <dxf>
      <fill>
        <patternFill>
          <bgColor rgb="FFFF7C80"/>
        </patternFill>
      </fill>
    </dxf>
    <dxf>
      <fill>
        <patternFill>
          <bgColor theme="0" tint="-0.24994659260841701"/>
        </patternFill>
      </fill>
    </dxf>
    <dxf>
      <font>
        <color auto="1"/>
      </font>
      <fill>
        <patternFill patternType="solid">
          <bgColor rgb="FF00B0F0"/>
        </patternFill>
      </fill>
    </dxf>
    <dxf>
      <fill>
        <patternFill>
          <bgColor rgb="FF92D050"/>
        </patternFill>
      </fill>
    </dxf>
    <dxf>
      <fill>
        <patternFill>
          <bgColor rgb="FFFFFF00"/>
        </patternFill>
      </fill>
    </dxf>
    <dxf>
      <fill>
        <patternFill>
          <bgColor rgb="FFFF7C80"/>
        </patternFill>
      </fill>
    </dxf>
    <dxf>
      <fill>
        <patternFill>
          <bgColor theme="0" tint="-0.24994659260841701"/>
        </patternFill>
      </fill>
    </dxf>
    <dxf>
      <font>
        <color auto="1"/>
      </font>
      <fill>
        <patternFill patternType="solid">
          <bgColor rgb="FF00B0F0"/>
        </patternFill>
      </fill>
    </dxf>
    <dxf>
      <fill>
        <patternFill>
          <bgColor rgb="FF92D050"/>
        </patternFill>
      </fill>
    </dxf>
    <dxf>
      <fill>
        <patternFill>
          <bgColor rgb="FFFFFF00"/>
        </patternFill>
      </fill>
    </dxf>
    <dxf>
      <fill>
        <patternFill>
          <bgColor rgb="FFFF7C80"/>
        </patternFill>
      </fill>
    </dxf>
    <dxf>
      <fill>
        <patternFill>
          <bgColor theme="0" tint="-0.24994659260841701"/>
        </patternFill>
      </fill>
    </dxf>
    <dxf>
      <font>
        <color auto="1"/>
      </font>
      <fill>
        <patternFill patternType="solid">
          <bgColor rgb="FF00B0F0"/>
        </patternFill>
      </fill>
    </dxf>
    <dxf>
      <fill>
        <patternFill>
          <bgColor rgb="FF92D050"/>
        </patternFill>
      </fill>
    </dxf>
    <dxf>
      <fill>
        <patternFill>
          <bgColor rgb="FFFFFF00"/>
        </patternFill>
      </fill>
    </dxf>
    <dxf>
      <fill>
        <patternFill>
          <bgColor rgb="FFFF7C80"/>
        </patternFill>
      </fill>
    </dxf>
    <dxf>
      <fill>
        <patternFill>
          <bgColor theme="0" tint="-0.24994659260841701"/>
        </patternFill>
      </fill>
    </dxf>
    <dxf>
      <font>
        <color auto="1"/>
      </font>
      <fill>
        <patternFill patternType="solid">
          <bgColor rgb="FF00B0F0"/>
        </patternFill>
      </fill>
    </dxf>
    <dxf>
      <fill>
        <patternFill>
          <bgColor rgb="FF92D050"/>
        </patternFill>
      </fill>
    </dxf>
    <dxf>
      <fill>
        <patternFill>
          <bgColor rgb="FFFFFF00"/>
        </patternFill>
      </fill>
    </dxf>
    <dxf>
      <fill>
        <patternFill>
          <bgColor rgb="FFFF7C80"/>
        </patternFill>
      </fill>
    </dxf>
    <dxf>
      <fill>
        <patternFill>
          <bgColor theme="0" tint="-0.24994659260841701"/>
        </patternFill>
      </fill>
    </dxf>
    <dxf>
      <font>
        <color auto="1"/>
      </font>
      <fill>
        <patternFill patternType="solid">
          <bgColor rgb="FF00B0F0"/>
        </patternFill>
      </fill>
    </dxf>
  </dxfs>
  <tableStyles count="0" defaultTableStyle="TableStyleMedium2" defaultPivotStyle="PivotStyleLight16"/>
  <colors>
    <mruColors>
      <color rgb="FFD06AE4"/>
      <color rgb="FFFF7C80"/>
      <color rgb="FFFFFF00"/>
      <color rgb="FFEFFF5B"/>
      <color rgb="FFFF3300"/>
      <color rgb="FFFF0000"/>
      <color rgb="FFFF5050"/>
      <color rgb="FF05FF76"/>
      <color rgb="FFF48484"/>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4.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clustered"/>
        <c:varyColors val="0"/>
        <c:ser>
          <c:idx val="0"/>
          <c:order val="0"/>
          <c:tx>
            <c:strRef>
              <c:f>Outbound_Monitor!$A$1:$A$3</c:f>
              <c:strCache>
                <c:ptCount val="3"/>
                <c:pt idx="0">
                  <c:v>Auto</c:v>
                </c:pt>
                <c:pt idx="1">
                  <c:v>KW</c:v>
                </c:pt>
                <c:pt idx="2">
                  <c:v>nn</c:v>
                </c:pt>
              </c:strCache>
            </c:strRef>
          </c:tx>
          <c:spPr>
            <a:solidFill>
              <a:schemeClr val="accent1"/>
            </a:solidFill>
            <a:ln>
              <a:noFill/>
            </a:ln>
            <a:effectLst/>
          </c:spPr>
          <c:invertIfNegative val="0"/>
          <c:val>
            <c:numRef>
              <c:f>Outbound_Monitor!$A$4:$A$16</c:f>
              <c:numCache>
                <c:formatCode>General</c:formatCode>
                <c:ptCount val="13"/>
                <c:pt idx="0">
                  <c:v>1</c:v>
                </c:pt>
                <c:pt idx="1">
                  <c:v>1</c:v>
                </c:pt>
                <c:pt idx="2">
                  <c:v>1</c:v>
                </c:pt>
                <c:pt idx="3">
                  <c:v>1</c:v>
                </c:pt>
                <c:pt idx="4">
                  <c:v>1</c:v>
                </c:pt>
                <c:pt idx="5">
                  <c:v>1</c:v>
                </c:pt>
                <c:pt idx="6">
                  <c:v>1</c:v>
                </c:pt>
                <c:pt idx="7">
                  <c:v>1</c:v>
                </c:pt>
                <c:pt idx="8">
                  <c:v>1</c:v>
                </c:pt>
                <c:pt idx="9">
                  <c:v>1</c:v>
                </c:pt>
                <c:pt idx="10">
                  <c:v>1</c:v>
                </c:pt>
                <c:pt idx="11">
                  <c:v>1</c:v>
                </c:pt>
                <c:pt idx="12">
                  <c:v>1</c:v>
                </c:pt>
              </c:numCache>
            </c:numRef>
          </c:val>
          <c:extLst>
            <c:ext xmlns:c16="http://schemas.microsoft.com/office/drawing/2014/chart" uri="{C3380CC4-5D6E-409C-BE32-E72D297353CC}">
              <c16:uniqueId val="{00000000-079F-4D12-AA98-B251F64D3588}"/>
            </c:ext>
          </c:extLst>
        </c:ser>
        <c:ser>
          <c:idx val="1"/>
          <c:order val="1"/>
          <c:tx>
            <c:strRef>
              <c:f>Outbound_Monitor!$B$1:$B$3</c:f>
              <c:strCache>
                <c:ptCount val="3"/>
                <c:pt idx="0">
                  <c:v>Auto</c:v>
                </c:pt>
                <c:pt idx="1">
                  <c:v>Geplantes Ankunftsdatum</c:v>
                </c:pt>
                <c:pt idx="2">
                  <c:v>dd.mm.yy</c:v>
                </c:pt>
              </c:strCache>
            </c:strRef>
          </c:tx>
          <c:spPr>
            <a:solidFill>
              <a:schemeClr val="accent2"/>
            </a:solidFill>
            <a:ln>
              <a:noFill/>
            </a:ln>
            <a:effectLst/>
          </c:spPr>
          <c:invertIfNegative val="0"/>
          <c:val>
            <c:numRef>
              <c:f>Outbound_Monitor!$B$4:$B$16</c:f>
              <c:numCache>
                <c:formatCode>dd/mm/yy;@</c:formatCode>
                <c:ptCount val="13"/>
                <c:pt idx="0">
                  <c:v>43831</c:v>
                </c:pt>
                <c:pt idx="1">
                  <c:v>43831</c:v>
                </c:pt>
                <c:pt idx="2">
                  <c:v>43831</c:v>
                </c:pt>
                <c:pt idx="3">
                  <c:v>43831</c:v>
                </c:pt>
                <c:pt idx="4">
                  <c:v>43831</c:v>
                </c:pt>
                <c:pt idx="5">
                  <c:v>43831</c:v>
                </c:pt>
                <c:pt idx="6">
                  <c:v>43831</c:v>
                </c:pt>
                <c:pt idx="7">
                  <c:v>43831</c:v>
                </c:pt>
                <c:pt idx="8">
                  <c:v>43831</c:v>
                </c:pt>
                <c:pt idx="9">
                  <c:v>43831</c:v>
                </c:pt>
                <c:pt idx="10">
                  <c:v>43831</c:v>
                </c:pt>
                <c:pt idx="11">
                  <c:v>43831</c:v>
                </c:pt>
                <c:pt idx="12">
                  <c:v>43831</c:v>
                </c:pt>
              </c:numCache>
            </c:numRef>
          </c:val>
          <c:extLst>
            <c:ext xmlns:c16="http://schemas.microsoft.com/office/drawing/2014/chart" uri="{C3380CC4-5D6E-409C-BE32-E72D297353CC}">
              <c16:uniqueId val="{00000001-079F-4D12-AA98-B251F64D3588}"/>
            </c:ext>
          </c:extLst>
        </c:ser>
        <c:ser>
          <c:idx val="2"/>
          <c:order val="2"/>
          <c:tx>
            <c:strRef>
              <c:f>Outbound_Monitor!$C$1:$C$3</c:f>
              <c:strCache>
                <c:ptCount val="3"/>
                <c:pt idx="0">
                  <c:v>Auto</c:v>
                </c:pt>
                <c:pt idx="1">
                  <c:v>Ist Datum</c:v>
                </c:pt>
                <c:pt idx="2">
                  <c:v>dd.mm.yy</c:v>
                </c:pt>
              </c:strCache>
            </c:strRef>
          </c:tx>
          <c:spPr>
            <a:solidFill>
              <a:schemeClr val="accent3"/>
            </a:solidFill>
            <a:ln>
              <a:noFill/>
            </a:ln>
            <a:effectLst/>
          </c:spPr>
          <c:invertIfNegative val="0"/>
          <c:val>
            <c:numRef>
              <c:f>Outbound_Monitor!$C$4:$C$16</c:f>
              <c:numCache>
                <c:formatCode>dd/mm/yy;@</c:formatCode>
                <c:ptCount val="13"/>
                <c:pt idx="0">
                  <c:v>43831</c:v>
                </c:pt>
                <c:pt idx="1">
                  <c:v>43831</c:v>
                </c:pt>
                <c:pt idx="2">
                  <c:v>43831</c:v>
                </c:pt>
                <c:pt idx="3">
                  <c:v>43831</c:v>
                </c:pt>
                <c:pt idx="4">
                  <c:v>43831</c:v>
                </c:pt>
                <c:pt idx="5">
                  <c:v>43831</c:v>
                </c:pt>
                <c:pt idx="6">
                  <c:v>43831</c:v>
                </c:pt>
                <c:pt idx="7">
                  <c:v>43831</c:v>
                </c:pt>
                <c:pt idx="8">
                  <c:v>43831</c:v>
                </c:pt>
                <c:pt idx="9">
                  <c:v>43831</c:v>
                </c:pt>
                <c:pt idx="10">
                  <c:v>43831</c:v>
                </c:pt>
                <c:pt idx="11">
                  <c:v>43831</c:v>
                </c:pt>
                <c:pt idx="12">
                  <c:v>43831</c:v>
                </c:pt>
              </c:numCache>
            </c:numRef>
          </c:val>
          <c:extLst>
            <c:ext xmlns:c16="http://schemas.microsoft.com/office/drawing/2014/chart" uri="{C3380CC4-5D6E-409C-BE32-E72D297353CC}">
              <c16:uniqueId val="{00000002-079F-4D12-AA98-B251F64D3588}"/>
            </c:ext>
          </c:extLst>
        </c:ser>
        <c:ser>
          <c:idx val="3"/>
          <c:order val="3"/>
          <c:tx>
            <c:strRef>
              <c:f>Outbound_Monitor!$D$1:$D$3</c:f>
              <c:strCache>
                <c:ptCount val="3"/>
                <c:pt idx="0">
                  <c:v>Auto</c:v>
                </c:pt>
                <c:pt idx="1">
                  <c:v>Timeslot getroffen 
(Ja / Nein)</c:v>
                </c:pt>
                <c:pt idx="2">
                  <c:v>Auswahlliste</c:v>
                </c:pt>
              </c:strCache>
            </c:strRef>
          </c:tx>
          <c:spPr>
            <a:solidFill>
              <a:schemeClr val="accent4"/>
            </a:solidFill>
            <a:ln>
              <a:noFill/>
            </a:ln>
            <a:effectLst/>
          </c:spPr>
          <c:invertIfNegative val="0"/>
          <c:val>
            <c:numRef>
              <c:f>Outbound_Monitor!$D$4:$D$16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079F-4D12-AA98-B251F64D3588}"/>
            </c:ext>
          </c:extLst>
        </c:ser>
        <c:ser>
          <c:idx val="4"/>
          <c:order val="4"/>
          <c:tx>
            <c:strRef>
              <c:f>Outbound_Monitor!$E$1:$E$3</c:f>
              <c:strCache>
                <c:ptCount val="3"/>
                <c:pt idx="0">
                  <c:v>Auto</c:v>
                </c:pt>
                <c:pt idx="1">
                  <c:v>SCI</c:v>
                </c:pt>
                <c:pt idx="2">
                  <c:v>1000xxxxx</c:v>
                </c:pt>
              </c:strCache>
            </c:strRef>
          </c:tx>
          <c:spPr>
            <a:solidFill>
              <a:schemeClr val="accent5"/>
            </a:solidFill>
            <a:ln>
              <a:noFill/>
            </a:ln>
            <a:effectLst/>
          </c:spPr>
          <c:invertIfNegative val="0"/>
          <c:val>
            <c:numRef>
              <c:f>Outbound_Monitor!$E$4:$E$16</c:f>
              <c:numCache>
                <c:formatCode>General</c:formatCode>
                <c:ptCount val="13"/>
                <c:pt idx="6">
                  <c:v>1000448467</c:v>
                </c:pt>
                <c:pt idx="7">
                  <c:v>1000448468</c:v>
                </c:pt>
                <c:pt idx="8">
                  <c:v>1000448727</c:v>
                </c:pt>
                <c:pt idx="9">
                  <c:v>1000448473</c:v>
                </c:pt>
                <c:pt idx="10">
                  <c:v>1000448489</c:v>
                </c:pt>
                <c:pt idx="11">
                  <c:v>1000448491</c:v>
                </c:pt>
                <c:pt idx="12">
                  <c:v>1000448493</c:v>
                </c:pt>
              </c:numCache>
            </c:numRef>
          </c:val>
          <c:extLst>
            <c:ext xmlns:c16="http://schemas.microsoft.com/office/drawing/2014/chart" uri="{C3380CC4-5D6E-409C-BE32-E72D297353CC}">
              <c16:uniqueId val="{00000004-079F-4D12-AA98-B251F64D3588}"/>
            </c:ext>
          </c:extLst>
        </c:ser>
        <c:ser>
          <c:idx val="5"/>
          <c:order val="5"/>
          <c:tx>
            <c:strRef>
              <c:f>Outbound_Monitor!$F$1:$F$3</c:f>
              <c:strCache>
                <c:ptCount val="3"/>
                <c:pt idx="0">
                  <c:v>Auto</c:v>
                </c:pt>
                <c:pt idx="1">
                  <c:v>Lenkzeit</c:v>
                </c:pt>
                <c:pt idx="2">
                  <c:v>in Minuten</c:v>
                </c:pt>
              </c:strCache>
            </c:strRef>
          </c:tx>
          <c:spPr>
            <a:solidFill>
              <a:schemeClr val="accent6"/>
            </a:solidFill>
            <a:ln>
              <a:noFill/>
            </a:ln>
            <a:effectLst/>
          </c:spPr>
          <c:invertIfNegative val="0"/>
          <c:val>
            <c:numRef>
              <c:f>Outbound_Monitor!$F$4:$F$16</c:f>
              <c:numCache>
                <c:formatCode>General</c:formatCode>
                <c:ptCount val="13"/>
                <c:pt idx="0">
                  <c:v>540</c:v>
                </c:pt>
                <c:pt idx="1">
                  <c:v>540</c:v>
                </c:pt>
                <c:pt idx="2">
                  <c:v>540</c:v>
                </c:pt>
                <c:pt idx="3">
                  <c:v>540</c:v>
                </c:pt>
                <c:pt idx="4">
                  <c:v>540</c:v>
                </c:pt>
                <c:pt idx="5">
                  <c:v>540</c:v>
                </c:pt>
                <c:pt idx="6">
                  <c:v>480</c:v>
                </c:pt>
                <c:pt idx="7">
                  <c:v>480</c:v>
                </c:pt>
                <c:pt idx="8">
                  <c:v>360</c:v>
                </c:pt>
                <c:pt idx="9">
                  <c:v>300</c:v>
                </c:pt>
                <c:pt idx="10">
                  <c:v>300</c:v>
                </c:pt>
                <c:pt idx="11">
                  <c:v>240</c:v>
                </c:pt>
                <c:pt idx="12">
                  <c:v>240</c:v>
                </c:pt>
              </c:numCache>
            </c:numRef>
          </c:val>
          <c:extLst>
            <c:ext xmlns:c16="http://schemas.microsoft.com/office/drawing/2014/chart" uri="{C3380CC4-5D6E-409C-BE32-E72D297353CC}">
              <c16:uniqueId val="{00000005-079F-4D12-AA98-B251F64D3588}"/>
            </c:ext>
          </c:extLst>
        </c:ser>
        <c:ser>
          <c:idx val="6"/>
          <c:order val="6"/>
          <c:tx>
            <c:strRef>
              <c:f>Outbound_Monitor!$G$1:$G$3</c:f>
              <c:strCache>
                <c:ptCount val="3"/>
                <c:pt idx="0">
                  <c:v>Auto</c:v>
                </c:pt>
                <c:pt idx="1">
                  <c:v>Destination City</c:v>
                </c:pt>
                <c:pt idx="2">
                  <c:v>Schreibe</c:v>
                </c:pt>
              </c:strCache>
            </c:strRef>
          </c:tx>
          <c:spPr>
            <a:solidFill>
              <a:schemeClr val="accent1">
                <a:lumMod val="60000"/>
              </a:schemeClr>
            </a:solidFill>
            <a:ln>
              <a:noFill/>
            </a:ln>
            <a:effectLst/>
          </c:spPr>
          <c:invertIfNegative val="0"/>
          <c:val>
            <c:numRef>
              <c:f>Outbound_Monitor!$G$4:$G$16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079F-4D12-AA98-B251F64D3588}"/>
            </c:ext>
          </c:extLst>
        </c:ser>
        <c:ser>
          <c:idx val="7"/>
          <c:order val="7"/>
          <c:tx>
            <c:strRef>
              <c:f>Outbound_Monitor!$H$1:$H$3</c:f>
              <c:strCache>
                <c:ptCount val="3"/>
                <c:pt idx="0">
                  <c:v>Auto</c:v>
                </c:pt>
                <c:pt idx="1">
                  <c:v>Trailer</c:v>
                </c:pt>
                <c:pt idx="2">
                  <c:v>Schreibe</c:v>
                </c:pt>
              </c:strCache>
            </c:strRef>
          </c:tx>
          <c:spPr>
            <a:solidFill>
              <a:schemeClr val="accent2">
                <a:lumMod val="60000"/>
              </a:schemeClr>
            </a:solidFill>
            <a:ln>
              <a:noFill/>
            </a:ln>
            <a:effectLst/>
          </c:spPr>
          <c:invertIfNegative val="0"/>
          <c:val>
            <c:numRef>
              <c:f>Outbound_Monitor!$H$4:$H$16</c:f>
              <c:numCache>
                <c:formatCode>General</c:formatCode>
                <c:ptCount val="13"/>
                <c:pt idx="0">
                  <c:v>0</c:v>
                </c:pt>
                <c:pt idx="1">
                  <c:v>0</c:v>
                </c:pt>
                <c:pt idx="2">
                  <c:v>0</c:v>
                </c:pt>
                <c:pt idx="3">
                  <c:v>0</c:v>
                </c:pt>
                <c:pt idx="4">
                  <c:v>0</c:v>
                </c:pt>
                <c:pt idx="5">
                  <c:v>0</c:v>
                </c:pt>
                <c:pt idx="6" formatCode="0.00E+00">
                  <c:v>0</c:v>
                </c:pt>
                <c:pt idx="7" formatCode="0.00E+00">
                  <c:v>0</c:v>
                </c:pt>
                <c:pt idx="8" formatCode="0.00E+00">
                  <c:v>0</c:v>
                </c:pt>
                <c:pt idx="9" formatCode="0.00E+00">
                  <c:v>0</c:v>
                </c:pt>
                <c:pt idx="10" formatCode="0.00E+00">
                  <c:v>0</c:v>
                </c:pt>
                <c:pt idx="11" formatCode="0.00E+00">
                  <c:v>0</c:v>
                </c:pt>
                <c:pt idx="12" formatCode="0.00E+00">
                  <c:v>0</c:v>
                </c:pt>
              </c:numCache>
            </c:numRef>
          </c:val>
          <c:extLst>
            <c:ext xmlns:c16="http://schemas.microsoft.com/office/drawing/2014/chart" uri="{C3380CC4-5D6E-409C-BE32-E72D297353CC}">
              <c16:uniqueId val="{00000007-079F-4D12-AA98-B251F64D3588}"/>
            </c:ext>
          </c:extLst>
        </c:ser>
        <c:ser>
          <c:idx val="8"/>
          <c:order val="8"/>
          <c:tx>
            <c:strRef>
              <c:f>Outbound_Monitor!$I$1:$I$3</c:f>
              <c:strCache>
                <c:ptCount val="3"/>
                <c:pt idx="0">
                  <c:v>Auto</c:v>
                </c:pt>
                <c:pt idx="1">
                  <c:v>LS Nummern</c:v>
                </c:pt>
                <c:pt idx="2">
                  <c:v>Schreibe</c:v>
                </c:pt>
              </c:strCache>
            </c:strRef>
          </c:tx>
          <c:spPr>
            <a:solidFill>
              <a:schemeClr val="accent3">
                <a:lumMod val="60000"/>
              </a:schemeClr>
            </a:solidFill>
            <a:ln>
              <a:noFill/>
            </a:ln>
            <a:effectLst/>
          </c:spPr>
          <c:invertIfNegative val="0"/>
          <c:val>
            <c:numRef>
              <c:f>Outbound_Monitor!$I$4:$I$16</c:f>
              <c:numCache>
                <c:formatCode>General</c:formatCode>
                <c:ptCount val="13"/>
                <c:pt idx="0">
                  <c:v>0</c:v>
                </c:pt>
                <c:pt idx="1">
                  <c:v>0</c:v>
                </c:pt>
                <c:pt idx="2">
                  <c:v>0</c:v>
                </c:pt>
                <c:pt idx="3">
                  <c:v>0</c:v>
                </c:pt>
                <c:pt idx="4">
                  <c:v>0</c:v>
                </c:pt>
                <c:pt idx="5">
                  <c:v>0</c:v>
                </c:pt>
                <c:pt idx="6">
                  <c:v>0</c:v>
                </c:pt>
                <c:pt idx="7">
                  <c:v>3202678287</c:v>
                </c:pt>
                <c:pt idx="8">
                  <c:v>0</c:v>
                </c:pt>
                <c:pt idx="9">
                  <c:v>0</c:v>
                </c:pt>
                <c:pt idx="10">
                  <c:v>0</c:v>
                </c:pt>
                <c:pt idx="11">
                  <c:v>0</c:v>
                </c:pt>
                <c:pt idx="12">
                  <c:v>0</c:v>
                </c:pt>
              </c:numCache>
            </c:numRef>
          </c:val>
          <c:extLst>
            <c:ext xmlns:c16="http://schemas.microsoft.com/office/drawing/2014/chart" uri="{C3380CC4-5D6E-409C-BE32-E72D297353CC}">
              <c16:uniqueId val="{00000008-079F-4D12-AA98-B251F64D3588}"/>
            </c:ext>
          </c:extLst>
        </c:ser>
        <c:ser>
          <c:idx val="9"/>
          <c:order val="9"/>
          <c:tx>
            <c:strRef>
              <c:f>Outbound_Monitor!$J$1:$J$3</c:f>
              <c:strCache>
                <c:ptCount val="3"/>
                <c:pt idx="0">
                  <c:v>Auto</c:v>
                </c:pt>
                <c:pt idx="1">
                  <c:v>Status Auftrag fertig fürs Lager</c:v>
                </c:pt>
                <c:pt idx="2">
                  <c:v>Auswahlliste</c:v>
                </c:pt>
              </c:strCache>
            </c:strRef>
          </c:tx>
          <c:spPr>
            <a:solidFill>
              <a:schemeClr val="accent4">
                <a:lumMod val="60000"/>
              </a:schemeClr>
            </a:solidFill>
            <a:ln>
              <a:noFill/>
            </a:ln>
            <a:effectLst/>
          </c:spPr>
          <c:invertIfNegative val="0"/>
          <c:val>
            <c:numRef>
              <c:f>Outbound_Monitor!$J$4:$J$16</c:f>
              <c:numCache>
                <c:formatCode>General</c:formatCode>
                <c:ptCount val="13"/>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9-079F-4D12-AA98-B251F64D3588}"/>
            </c:ext>
          </c:extLst>
        </c:ser>
        <c:ser>
          <c:idx val="10"/>
          <c:order val="10"/>
          <c:tx>
            <c:strRef>
              <c:f>Outbound_Monitor!$K$1:$K$3</c:f>
              <c:strCache>
                <c:ptCount val="3"/>
                <c:pt idx="0">
                  <c:v>Auto</c:v>
                </c:pt>
                <c:pt idx="1">
                  <c:v>Nachträgliche Änderugen (Ja/Nein)</c:v>
                </c:pt>
                <c:pt idx="2">
                  <c:v>Auswahlliste</c:v>
                </c:pt>
              </c:strCache>
            </c:strRef>
          </c:tx>
          <c:spPr>
            <a:solidFill>
              <a:schemeClr val="accent5">
                <a:lumMod val="60000"/>
              </a:schemeClr>
            </a:solidFill>
            <a:ln>
              <a:noFill/>
            </a:ln>
            <a:effectLst/>
          </c:spPr>
          <c:invertIfNegative val="0"/>
          <c:val>
            <c:numRef>
              <c:f>Outbound_Monitor!$K$4:$K$16</c:f>
              <c:numCache>
                <c:formatCode>General</c:formatCode>
                <c:ptCount val="13"/>
              </c:numCache>
            </c:numRef>
          </c:val>
          <c:extLst>
            <c:ext xmlns:c16="http://schemas.microsoft.com/office/drawing/2014/chart" uri="{C3380CC4-5D6E-409C-BE32-E72D297353CC}">
              <c16:uniqueId val="{0000000A-079F-4D12-AA98-B251F64D3588}"/>
            </c:ext>
          </c:extLst>
        </c:ser>
        <c:ser>
          <c:idx val="11"/>
          <c:order val="11"/>
          <c:tx>
            <c:strRef>
              <c:f>Outbound_Monitor!$L$1:$L$3</c:f>
              <c:strCache>
                <c:ptCount val="3"/>
                <c:pt idx="0">
                  <c:v>Auto</c:v>
                </c:pt>
                <c:pt idx="1">
                  <c:v>Status Verladung </c:v>
                </c:pt>
                <c:pt idx="2">
                  <c:v>Auswahlliste</c:v>
                </c:pt>
              </c:strCache>
            </c:strRef>
          </c:tx>
          <c:spPr>
            <a:solidFill>
              <a:schemeClr val="accent6">
                <a:lumMod val="60000"/>
              </a:schemeClr>
            </a:solidFill>
            <a:ln>
              <a:noFill/>
            </a:ln>
            <a:effectLst/>
          </c:spPr>
          <c:invertIfNegative val="0"/>
          <c:val>
            <c:numRef>
              <c:f>Outbound_Monitor!$L$4:$L$16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B-079F-4D12-AA98-B251F64D3588}"/>
            </c:ext>
          </c:extLst>
        </c:ser>
        <c:ser>
          <c:idx val="12"/>
          <c:order val="12"/>
          <c:tx>
            <c:strRef>
              <c:f>Outbound_Monitor!$M$1:$M$3</c:f>
              <c:strCache>
                <c:ptCount val="3"/>
                <c:pt idx="0">
                  <c:v>Auto</c:v>
                </c:pt>
                <c:pt idx="1">
                  <c:v>ATTP Portal Status </c:v>
                </c:pt>
                <c:pt idx="2">
                  <c:v>soll 80</c:v>
                </c:pt>
              </c:strCache>
            </c:strRef>
          </c:tx>
          <c:spPr>
            <a:solidFill>
              <a:schemeClr val="accent1">
                <a:lumMod val="80000"/>
                <a:lumOff val="20000"/>
              </a:schemeClr>
            </a:solidFill>
            <a:ln>
              <a:noFill/>
            </a:ln>
            <a:effectLst/>
          </c:spPr>
          <c:invertIfNegative val="0"/>
          <c:val>
            <c:numRef>
              <c:f>Outbound_Monitor!$M$4:$M$16</c:f>
              <c:numCache>
                <c:formatCode>General</c:formatCode>
                <c:ptCount val="13"/>
                <c:pt idx="6">
                  <c:v>80</c:v>
                </c:pt>
                <c:pt idx="7">
                  <c:v>80</c:v>
                </c:pt>
                <c:pt idx="8">
                  <c:v>80</c:v>
                </c:pt>
                <c:pt idx="9">
                  <c:v>80</c:v>
                </c:pt>
                <c:pt idx="10">
                  <c:v>80</c:v>
                </c:pt>
                <c:pt idx="11">
                  <c:v>80</c:v>
                </c:pt>
                <c:pt idx="12">
                  <c:v>80</c:v>
                </c:pt>
              </c:numCache>
            </c:numRef>
          </c:val>
          <c:extLst>
            <c:ext xmlns:c16="http://schemas.microsoft.com/office/drawing/2014/chart" uri="{C3380CC4-5D6E-409C-BE32-E72D297353CC}">
              <c16:uniqueId val="{0000000C-079F-4D12-AA98-B251F64D3588}"/>
            </c:ext>
          </c:extLst>
        </c:ser>
        <c:ser>
          <c:idx val="13"/>
          <c:order val="13"/>
          <c:tx>
            <c:strRef>
              <c:f>Outbound_Monitor!$N$1:$N$3</c:f>
              <c:strCache>
                <c:ptCount val="3"/>
                <c:pt idx="0">
                  <c:v>Auto</c:v>
                </c:pt>
                <c:pt idx="1">
                  <c:v>SCI OTM</c:v>
                </c:pt>
                <c:pt idx="2">
                  <c:v>ok</c:v>
                </c:pt>
              </c:strCache>
            </c:strRef>
          </c:tx>
          <c:spPr>
            <a:solidFill>
              <a:schemeClr val="accent2">
                <a:lumMod val="80000"/>
                <a:lumOff val="20000"/>
              </a:schemeClr>
            </a:solidFill>
            <a:ln>
              <a:noFill/>
            </a:ln>
            <a:effectLst/>
          </c:spPr>
          <c:invertIfNegative val="0"/>
          <c:val>
            <c:numRef>
              <c:f>Outbound_Monitor!$N$4:$N$16</c:f>
              <c:numCache>
                <c:formatCode>General</c:formatCode>
                <c:ptCount val="13"/>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D-079F-4D12-AA98-B251F64D3588}"/>
            </c:ext>
          </c:extLst>
        </c:ser>
        <c:ser>
          <c:idx val="14"/>
          <c:order val="14"/>
          <c:tx>
            <c:strRef>
              <c:f>Outbound_Monitor!$O$1:$O$3</c:f>
              <c:strCache>
                <c:ptCount val="3"/>
                <c:pt idx="0">
                  <c:v>Auto</c:v>
                </c:pt>
                <c:pt idx="1">
                  <c:v>Anzahl verladene Positionen laut Lieferschein (ingesamt)</c:v>
                </c:pt>
                <c:pt idx="2">
                  <c:v>nn</c:v>
                </c:pt>
              </c:strCache>
            </c:strRef>
          </c:tx>
          <c:spPr>
            <a:solidFill>
              <a:schemeClr val="accent3">
                <a:lumMod val="80000"/>
                <a:lumOff val="20000"/>
              </a:schemeClr>
            </a:solidFill>
            <a:ln>
              <a:noFill/>
            </a:ln>
            <a:effectLst/>
          </c:spPr>
          <c:invertIfNegative val="0"/>
          <c:val>
            <c:numRef>
              <c:f>Outbound_Monitor!$O$4:$O$16</c:f>
              <c:numCache>
                <c:formatCode>General</c:formatCode>
                <c:ptCount val="13"/>
                <c:pt idx="0">
                  <c:v>9</c:v>
                </c:pt>
                <c:pt idx="1">
                  <c:v>17</c:v>
                </c:pt>
                <c:pt idx="2">
                  <c:v>16</c:v>
                </c:pt>
                <c:pt idx="3">
                  <c:v>24</c:v>
                </c:pt>
                <c:pt idx="4">
                  <c:v>2</c:v>
                </c:pt>
                <c:pt idx="5">
                  <c:v>23</c:v>
                </c:pt>
                <c:pt idx="6">
                  <c:v>38</c:v>
                </c:pt>
                <c:pt idx="7">
                  <c:v>33</c:v>
                </c:pt>
                <c:pt idx="8">
                  <c:v>36</c:v>
                </c:pt>
                <c:pt idx="9">
                  <c:v>37</c:v>
                </c:pt>
                <c:pt idx="10">
                  <c:v>22</c:v>
                </c:pt>
                <c:pt idx="11">
                  <c:v>41</c:v>
                </c:pt>
                <c:pt idx="12">
                  <c:v>28</c:v>
                </c:pt>
              </c:numCache>
            </c:numRef>
          </c:val>
          <c:extLst>
            <c:ext xmlns:c16="http://schemas.microsoft.com/office/drawing/2014/chart" uri="{C3380CC4-5D6E-409C-BE32-E72D297353CC}">
              <c16:uniqueId val="{0000000E-079F-4D12-AA98-B251F64D3588}"/>
            </c:ext>
          </c:extLst>
        </c:ser>
        <c:ser>
          <c:idx val="15"/>
          <c:order val="15"/>
          <c:tx>
            <c:strRef>
              <c:f>Outbound_Monitor!$P$1:$P$3</c:f>
              <c:strCache>
                <c:ptCount val="3"/>
                <c:pt idx="0">
                  <c:v>?</c:v>
                </c:pt>
                <c:pt idx="1">
                  <c:v>Geplante Ladezeit</c:v>
                </c:pt>
                <c:pt idx="2">
                  <c:v>hh:mm</c:v>
                </c:pt>
              </c:strCache>
            </c:strRef>
          </c:tx>
          <c:spPr>
            <a:solidFill>
              <a:schemeClr val="accent4">
                <a:lumMod val="80000"/>
                <a:lumOff val="20000"/>
              </a:schemeClr>
            </a:solidFill>
            <a:ln>
              <a:noFill/>
            </a:ln>
            <a:effectLst/>
          </c:spPr>
          <c:invertIfNegative val="0"/>
          <c:val>
            <c:numRef>
              <c:f>Outbound_Monitor!$P$4:$P$16</c:f>
              <c:numCache>
                <c:formatCode>h:mm;@</c:formatCode>
                <c:ptCount val="13"/>
                <c:pt idx="0">
                  <c:v>0.66666666666666663</c:v>
                </c:pt>
                <c:pt idx="1">
                  <c:v>0.70833333333333337</c:v>
                </c:pt>
                <c:pt idx="2">
                  <c:v>0.70833333333333337</c:v>
                </c:pt>
                <c:pt idx="3">
                  <c:v>0.75</c:v>
                </c:pt>
                <c:pt idx="4">
                  <c:v>0.79166666666666663</c:v>
                </c:pt>
                <c:pt idx="5">
                  <c:v>0.83333333333333337</c:v>
                </c:pt>
                <c:pt idx="6">
                  <c:v>0.41666666666666669</c:v>
                </c:pt>
                <c:pt idx="7">
                  <c:v>0.41666666666666669</c:v>
                </c:pt>
                <c:pt idx="8">
                  <c:v>0.45833333333333331</c:v>
                </c:pt>
                <c:pt idx="9">
                  <c:v>0.45833333333333331</c:v>
                </c:pt>
                <c:pt idx="10">
                  <c:v>0.5</c:v>
                </c:pt>
                <c:pt idx="11">
                  <c:v>0.5</c:v>
                </c:pt>
                <c:pt idx="12">
                  <c:v>0.54166666666666663</c:v>
                </c:pt>
              </c:numCache>
            </c:numRef>
          </c:val>
          <c:extLst>
            <c:ext xmlns:c16="http://schemas.microsoft.com/office/drawing/2014/chart" uri="{C3380CC4-5D6E-409C-BE32-E72D297353CC}">
              <c16:uniqueId val="{0000000F-079F-4D12-AA98-B251F64D3588}"/>
            </c:ext>
          </c:extLst>
        </c:ser>
        <c:ser>
          <c:idx val="16"/>
          <c:order val="16"/>
          <c:tx>
            <c:strRef>
              <c:f>Outbound_Monitor!$Q$1:$Q$3</c:f>
              <c:strCache>
                <c:ptCount val="3"/>
                <c:pt idx="0">
                  <c:v>Echtzeit Büro</c:v>
                </c:pt>
                <c:pt idx="1">
                  <c:v>Ankunft Office</c:v>
                </c:pt>
                <c:pt idx="2">
                  <c:v>hh:mm</c:v>
                </c:pt>
              </c:strCache>
            </c:strRef>
          </c:tx>
          <c:spPr>
            <a:solidFill>
              <a:schemeClr val="accent5">
                <a:lumMod val="80000"/>
                <a:lumOff val="20000"/>
              </a:schemeClr>
            </a:solidFill>
            <a:ln>
              <a:noFill/>
            </a:ln>
            <a:effectLst/>
          </c:spPr>
          <c:invertIfNegative val="0"/>
          <c:val>
            <c:numRef>
              <c:f>Outbound_Monitor!$Q$4:$Q$16</c:f>
              <c:numCache>
                <c:formatCode>h:mm;@</c:formatCode>
                <c:ptCount val="13"/>
                <c:pt idx="0">
                  <c:v>0.63541666666666663</c:v>
                </c:pt>
                <c:pt idx="1">
                  <c:v>0.6875</c:v>
                </c:pt>
                <c:pt idx="2">
                  <c:v>0.72916666666666663</c:v>
                </c:pt>
                <c:pt idx="3">
                  <c:v>0.76388888888888884</c:v>
                </c:pt>
                <c:pt idx="4">
                  <c:v>0.75694444444444453</c:v>
                </c:pt>
                <c:pt idx="5">
                  <c:v>0.80208333333333337</c:v>
                </c:pt>
                <c:pt idx="6">
                  <c:v>0.36805555555555558</c:v>
                </c:pt>
                <c:pt idx="7">
                  <c:v>0.36805555555555558</c:v>
                </c:pt>
                <c:pt idx="8">
                  <c:v>0.54861111111111105</c:v>
                </c:pt>
                <c:pt idx="9">
                  <c:v>0.65625</c:v>
                </c:pt>
                <c:pt idx="10">
                  <c:v>0.50347222222222221</c:v>
                </c:pt>
                <c:pt idx="11">
                  <c:v>0.49305555555555558</c:v>
                </c:pt>
                <c:pt idx="12">
                  <c:v>0.55902777777777779</c:v>
                </c:pt>
              </c:numCache>
            </c:numRef>
          </c:val>
          <c:extLst>
            <c:ext xmlns:c16="http://schemas.microsoft.com/office/drawing/2014/chart" uri="{C3380CC4-5D6E-409C-BE32-E72D297353CC}">
              <c16:uniqueId val="{00000010-079F-4D12-AA98-B251F64D3588}"/>
            </c:ext>
          </c:extLst>
        </c:ser>
        <c:ser>
          <c:idx val="17"/>
          <c:order val="17"/>
          <c:tx>
            <c:strRef>
              <c:f>Outbound_Monitor!$R$1:$R$3</c:f>
              <c:strCache>
                <c:ptCount val="3"/>
                <c:pt idx="0">
                  <c:v>Echtzeit Büro</c:v>
                </c:pt>
                <c:pt idx="1">
                  <c:v>Verladung gestartet </c:v>
                </c:pt>
                <c:pt idx="2">
                  <c:v>hh:mm</c:v>
                </c:pt>
              </c:strCache>
            </c:strRef>
          </c:tx>
          <c:spPr>
            <a:solidFill>
              <a:schemeClr val="accent6">
                <a:lumMod val="80000"/>
                <a:lumOff val="20000"/>
              </a:schemeClr>
            </a:solidFill>
            <a:ln>
              <a:noFill/>
            </a:ln>
            <a:effectLst/>
          </c:spPr>
          <c:invertIfNegative val="0"/>
          <c:val>
            <c:numRef>
              <c:f>Outbound_Monitor!$R$4:$R$16</c:f>
              <c:numCache>
                <c:formatCode>h:mm;@</c:formatCode>
                <c:ptCount val="13"/>
                <c:pt idx="0">
                  <c:v>0.68055555555555547</c:v>
                </c:pt>
                <c:pt idx="1">
                  <c:v>0.69444444444444453</c:v>
                </c:pt>
                <c:pt idx="2">
                  <c:v>0.73958333333333337</c:v>
                </c:pt>
                <c:pt idx="3">
                  <c:v>0.77083333333333337</c:v>
                </c:pt>
                <c:pt idx="4">
                  <c:v>0.76041666666666663</c:v>
                </c:pt>
                <c:pt idx="5">
                  <c:v>0.80555555555555547</c:v>
                </c:pt>
                <c:pt idx="6">
                  <c:v>0.38194444444444442</c:v>
                </c:pt>
                <c:pt idx="7">
                  <c:v>0.38194444444444442</c:v>
                </c:pt>
                <c:pt idx="8">
                  <c:v>0.55208333333333337</c:v>
                </c:pt>
                <c:pt idx="9">
                  <c:v>0.65972222222222221</c:v>
                </c:pt>
                <c:pt idx="10">
                  <c:v>0.52777777777777779</c:v>
                </c:pt>
                <c:pt idx="11">
                  <c:v>0.50694444444444442</c:v>
                </c:pt>
                <c:pt idx="12">
                  <c:v>0.5625</c:v>
                </c:pt>
              </c:numCache>
            </c:numRef>
          </c:val>
          <c:extLst>
            <c:ext xmlns:c16="http://schemas.microsoft.com/office/drawing/2014/chart" uri="{C3380CC4-5D6E-409C-BE32-E72D297353CC}">
              <c16:uniqueId val="{00000011-079F-4D12-AA98-B251F64D3588}"/>
            </c:ext>
          </c:extLst>
        </c:ser>
        <c:ser>
          <c:idx val="18"/>
          <c:order val="18"/>
          <c:tx>
            <c:strRef>
              <c:f>Outbound_Monitor!$S$1:$S$3</c:f>
              <c:strCache>
                <c:ptCount val="3"/>
                <c:pt idx="0">
                  <c:v>Echtzeit Büro</c:v>
                </c:pt>
                <c:pt idx="1">
                  <c:v>Verladung beendet </c:v>
                </c:pt>
                <c:pt idx="2">
                  <c:v>hh:mm</c:v>
                </c:pt>
              </c:strCache>
            </c:strRef>
          </c:tx>
          <c:spPr>
            <a:solidFill>
              <a:schemeClr val="accent1">
                <a:lumMod val="80000"/>
              </a:schemeClr>
            </a:solidFill>
            <a:ln>
              <a:noFill/>
            </a:ln>
            <a:effectLst/>
          </c:spPr>
          <c:invertIfNegative val="0"/>
          <c:val>
            <c:numRef>
              <c:f>Outbound_Monitor!$S$4:$S$16</c:f>
              <c:numCache>
                <c:formatCode>h:mm;@</c:formatCode>
                <c:ptCount val="13"/>
                <c:pt idx="0">
                  <c:v>0.69444444444444453</c:v>
                </c:pt>
                <c:pt idx="1">
                  <c:v>0.71180555555555547</c:v>
                </c:pt>
                <c:pt idx="2">
                  <c:v>0.74652777777777779</c:v>
                </c:pt>
                <c:pt idx="3">
                  <c:v>0.78125</c:v>
                </c:pt>
                <c:pt idx="4">
                  <c:v>0.76388888888888884</c:v>
                </c:pt>
                <c:pt idx="5">
                  <c:v>0.81944444444444453</c:v>
                </c:pt>
                <c:pt idx="6">
                  <c:v>0.39583333333333331</c:v>
                </c:pt>
                <c:pt idx="7">
                  <c:v>0.39930555555555558</c:v>
                </c:pt>
                <c:pt idx="8">
                  <c:v>0.55902777777777779</c:v>
                </c:pt>
                <c:pt idx="9">
                  <c:v>0.67708333333333337</c:v>
                </c:pt>
                <c:pt idx="10">
                  <c:v>0.53819444444444442</c:v>
                </c:pt>
                <c:pt idx="11">
                  <c:v>0.51736111111111105</c:v>
                </c:pt>
                <c:pt idx="12">
                  <c:v>0.57638888888888895</c:v>
                </c:pt>
              </c:numCache>
            </c:numRef>
          </c:val>
          <c:extLst>
            <c:ext xmlns:c16="http://schemas.microsoft.com/office/drawing/2014/chart" uri="{C3380CC4-5D6E-409C-BE32-E72D297353CC}">
              <c16:uniqueId val="{00000012-079F-4D12-AA98-B251F64D3588}"/>
            </c:ext>
          </c:extLst>
        </c:ser>
        <c:ser>
          <c:idx val="19"/>
          <c:order val="19"/>
          <c:tx>
            <c:strRef>
              <c:f>Outbound_Monitor!$T$1:$T$3</c:f>
              <c:strCache>
                <c:ptCount val="3"/>
                <c:pt idx="0">
                  <c:v>Auto. </c:v>
                </c:pt>
                <c:pt idx="1">
                  <c:v>Wartezeit bis Verladebeginn </c:v>
                </c:pt>
                <c:pt idx="2">
                  <c:v>hh:mm</c:v>
                </c:pt>
              </c:strCache>
            </c:strRef>
          </c:tx>
          <c:spPr>
            <a:solidFill>
              <a:schemeClr val="accent2">
                <a:lumMod val="80000"/>
              </a:schemeClr>
            </a:solidFill>
            <a:ln>
              <a:noFill/>
            </a:ln>
            <a:effectLst/>
          </c:spPr>
          <c:invertIfNegative val="0"/>
          <c:val>
            <c:numRef>
              <c:f>Outbound_Monitor!$T$4:$T$16</c:f>
              <c:numCache>
                <c:formatCode>h:mm;@</c:formatCode>
                <c:ptCount val="13"/>
                <c:pt idx="0">
                  <c:v>4.513888888888884E-2</c:v>
                </c:pt>
                <c:pt idx="1">
                  <c:v>6.9444444444445308E-3</c:v>
                </c:pt>
                <c:pt idx="2">
                  <c:v>1.0416666666666741E-2</c:v>
                </c:pt>
                <c:pt idx="3">
                  <c:v>6.9444444444445308E-3</c:v>
                </c:pt>
                <c:pt idx="4">
                  <c:v>3.4722222222220989E-3</c:v>
                </c:pt>
                <c:pt idx="5">
                  <c:v>3.4722222222220989E-3</c:v>
                </c:pt>
                <c:pt idx="6">
                  <c:v>1.388888888888884E-2</c:v>
                </c:pt>
                <c:pt idx="7">
                  <c:v>1.388888888888884E-2</c:v>
                </c:pt>
                <c:pt idx="8">
                  <c:v>3.4722222222223209E-3</c:v>
                </c:pt>
                <c:pt idx="9">
                  <c:v>3.4722222222222099E-3</c:v>
                </c:pt>
                <c:pt idx="10">
                  <c:v>2.430555555555558E-2</c:v>
                </c:pt>
                <c:pt idx="11">
                  <c:v>1.388888888888884E-2</c:v>
                </c:pt>
                <c:pt idx="12">
                  <c:v>3.4722222222222099E-3</c:v>
                </c:pt>
              </c:numCache>
            </c:numRef>
          </c:val>
          <c:extLst>
            <c:ext xmlns:c16="http://schemas.microsoft.com/office/drawing/2014/chart" uri="{C3380CC4-5D6E-409C-BE32-E72D297353CC}">
              <c16:uniqueId val="{00000013-079F-4D12-AA98-B251F64D3588}"/>
            </c:ext>
          </c:extLst>
        </c:ser>
        <c:ser>
          <c:idx val="20"/>
          <c:order val="20"/>
          <c:tx>
            <c:strRef>
              <c:f>Outbound_Monitor!$U$1:$U$3</c:f>
              <c:strCache>
                <c:ptCount val="3"/>
                <c:pt idx="0">
                  <c:v>Auto. </c:v>
                </c:pt>
                <c:pt idx="1">
                  <c:v>Verladungszeit</c:v>
                </c:pt>
                <c:pt idx="2">
                  <c:v>hh:mm</c:v>
                </c:pt>
              </c:strCache>
            </c:strRef>
          </c:tx>
          <c:spPr>
            <a:solidFill>
              <a:schemeClr val="accent3">
                <a:lumMod val="80000"/>
              </a:schemeClr>
            </a:solidFill>
            <a:ln>
              <a:noFill/>
            </a:ln>
            <a:effectLst/>
          </c:spPr>
          <c:invertIfNegative val="0"/>
          <c:val>
            <c:numRef>
              <c:f>Outbound_Monitor!$U$4:$U$16</c:f>
              <c:numCache>
                <c:formatCode>h:mm;@</c:formatCode>
                <c:ptCount val="13"/>
                <c:pt idx="0">
                  <c:v>1.3888888888889062E-2</c:v>
                </c:pt>
                <c:pt idx="1">
                  <c:v>1.7361111111110938E-2</c:v>
                </c:pt>
                <c:pt idx="2">
                  <c:v>6.9444444444444198E-3</c:v>
                </c:pt>
                <c:pt idx="3">
                  <c:v>1.041666666666663E-2</c:v>
                </c:pt>
                <c:pt idx="4">
                  <c:v>3.4722222222222099E-3</c:v>
                </c:pt>
                <c:pt idx="5">
                  <c:v>1.3888888888889062E-2</c:v>
                </c:pt>
                <c:pt idx="6">
                  <c:v>1.3888888888888895E-2</c:v>
                </c:pt>
                <c:pt idx="7">
                  <c:v>1.736111111111116E-2</c:v>
                </c:pt>
                <c:pt idx="8">
                  <c:v>6.9444444444444198E-3</c:v>
                </c:pt>
                <c:pt idx="9">
                  <c:v>1.736111111111116E-2</c:v>
                </c:pt>
                <c:pt idx="10">
                  <c:v>1.041666666666663E-2</c:v>
                </c:pt>
                <c:pt idx="11">
                  <c:v>1.041666666666663E-2</c:v>
                </c:pt>
                <c:pt idx="12">
                  <c:v>1.3888888888888951E-2</c:v>
                </c:pt>
              </c:numCache>
            </c:numRef>
          </c:val>
          <c:extLst>
            <c:ext xmlns:c16="http://schemas.microsoft.com/office/drawing/2014/chart" uri="{C3380CC4-5D6E-409C-BE32-E72D297353CC}">
              <c16:uniqueId val="{00000014-079F-4D12-AA98-B251F64D3588}"/>
            </c:ext>
          </c:extLst>
        </c:ser>
        <c:ser>
          <c:idx val="21"/>
          <c:order val="21"/>
          <c:tx>
            <c:strRef>
              <c:f>Outbound_Monitor!$V$1:$V$3</c:f>
              <c:strCache>
                <c:ptCount val="3"/>
                <c:pt idx="0">
                  <c:v>Echtzeit Büro</c:v>
                </c:pt>
                <c:pt idx="1">
                  <c:v>Loaded at Bayreuth (Documents finished)</c:v>
                </c:pt>
                <c:pt idx="2">
                  <c:v>hh:mm</c:v>
                </c:pt>
              </c:strCache>
            </c:strRef>
          </c:tx>
          <c:spPr>
            <a:solidFill>
              <a:schemeClr val="accent4">
                <a:lumMod val="80000"/>
              </a:schemeClr>
            </a:solidFill>
            <a:ln>
              <a:noFill/>
            </a:ln>
            <a:effectLst/>
          </c:spPr>
          <c:invertIfNegative val="0"/>
          <c:val>
            <c:numRef>
              <c:f>Outbound_Monitor!$V$4:$V$16</c:f>
              <c:numCache>
                <c:formatCode>h:mm;@</c:formatCode>
                <c:ptCount val="13"/>
                <c:pt idx="0">
                  <c:v>0.69791666666666663</c:v>
                </c:pt>
                <c:pt idx="1">
                  <c:v>0.71527777777777779</c:v>
                </c:pt>
                <c:pt idx="2">
                  <c:v>0.75</c:v>
                </c:pt>
                <c:pt idx="3">
                  <c:v>0.78472222222222221</c:v>
                </c:pt>
                <c:pt idx="4">
                  <c:v>0.76736111111111116</c:v>
                </c:pt>
                <c:pt idx="5">
                  <c:v>0.82291666666666663</c:v>
                </c:pt>
                <c:pt idx="6">
                  <c:v>0.39930555555555558</c:v>
                </c:pt>
                <c:pt idx="7">
                  <c:v>0.40277777777777773</c:v>
                </c:pt>
                <c:pt idx="8">
                  <c:v>0.56944444444444442</c:v>
                </c:pt>
                <c:pt idx="9">
                  <c:v>0.68402777777777779</c:v>
                </c:pt>
                <c:pt idx="10">
                  <c:v>0.54166666666666663</c:v>
                </c:pt>
                <c:pt idx="11">
                  <c:v>0.52430555555555558</c:v>
                </c:pt>
                <c:pt idx="12">
                  <c:v>0.57986111111111105</c:v>
                </c:pt>
              </c:numCache>
            </c:numRef>
          </c:val>
          <c:extLst>
            <c:ext xmlns:c16="http://schemas.microsoft.com/office/drawing/2014/chart" uri="{C3380CC4-5D6E-409C-BE32-E72D297353CC}">
              <c16:uniqueId val="{00000015-079F-4D12-AA98-B251F64D3588}"/>
            </c:ext>
          </c:extLst>
        </c:ser>
        <c:ser>
          <c:idx val="22"/>
          <c:order val="22"/>
          <c:tx>
            <c:strRef>
              <c:f>Outbound_Monitor!$W$1:$W$3</c:f>
              <c:strCache>
                <c:ptCount val="3"/>
                <c:pt idx="0">
                  <c:v>Auto</c:v>
                </c:pt>
                <c:pt idx="1">
                  <c:v>On time innerhalb 2,5 Std. (Automatisch berechnet) </c:v>
                </c:pt>
                <c:pt idx="2">
                  <c:v>hh:mm</c:v>
                </c:pt>
              </c:strCache>
            </c:strRef>
          </c:tx>
          <c:spPr>
            <a:solidFill>
              <a:schemeClr val="accent5">
                <a:lumMod val="80000"/>
              </a:schemeClr>
            </a:solidFill>
            <a:ln>
              <a:noFill/>
            </a:ln>
            <a:effectLst/>
          </c:spPr>
          <c:invertIfNegative val="0"/>
          <c:val>
            <c:numRef>
              <c:f>Outbound_Monitor!$W$4:$W$16</c:f>
              <c:numCache>
                <c:formatCode>h:mm;@</c:formatCode>
                <c:ptCount val="13"/>
                <c:pt idx="0">
                  <c:v>6.25E-2</c:v>
                </c:pt>
                <c:pt idx="1">
                  <c:v>2.777777777777779E-2</c:v>
                </c:pt>
                <c:pt idx="2">
                  <c:v>2.083333333333337E-2</c:v>
                </c:pt>
                <c:pt idx="3">
                  <c:v>2.083333333333337E-2</c:v>
                </c:pt>
                <c:pt idx="4">
                  <c:v>1.1102230246251565E-16</c:v>
                </c:pt>
                <c:pt idx="5">
                  <c:v>1.0416666666666963E-2</c:v>
                </c:pt>
                <c:pt idx="6">
                  <c:v>5.5511151231257827E-17</c:v>
                </c:pt>
                <c:pt idx="7">
                  <c:v>3.4722222222222154E-2</c:v>
                </c:pt>
                <c:pt idx="8">
                  <c:v>2.083333333333337E-2</c:v>
                </c:pt>
                <c:pt idx="9">
                  <c:v>2.777777777777779E-2</c:v>
                </c:pt>
                <c:pt idx="10">
                  <c:v>3.819444444444442E-2</c:v>
                </c:pt>
                <c:pt idx="11">
                  <c:v>3.125E-2</c:v>
                </c:pt>
                <c:pt idx="12">
                  <c:v>2.0833333333333259E-2</c:v>
                </c:pt>
              </c:numCache>
            </c:numRef>
          </c:val>
          <c:extLst>
            <c:ext xmlns:c16="http://schemas.microsoft.com/office/drawing/2014/chart" uri="{C3380CC4-5D6E-409C-BE32-E72D297353CC}">
              <c16:uniqueId val="{00000016-079F-4D12-AA98-B251F64D3588}"/>
            </c:ext>
          </c:extLst>
        </c:ser>
        <c:ser>
          <c:idx val="23"/>
          <c:order val="23"/>
          <c:tx>
            <c:strRef>
              <c:f>Outbound_Monitor!$X$1:$X$3</c:f>
              <c:strCache>
                <c:ptCount val="3"/>
                <c:pt idx="0">
                  <c:v>Auto</c:v>
                </c:pt>
                <c:pt idx="1">
                  <c:v>Bemerkungen</c:v>
                </c:pt>
                <c:pt idx="2">
                  <c:v>Schreibe</c:v>
                </c:pt>
              </c:strCache>
            </c:strRef>
          </c:tx>
          <c:spPr>
            <a:solidFill>
              <a:schemeClr val="accent6">
                <a:lumMod val="80000"/>
              </a:schemeClr>
            </a:solidFill>
            <a:ln>
              <a:noFill/>
            </a:ln>
            <a:effectLst/>
          </c:spPr>
          <c:invertIfNegative val="0"/>
          <c:val>
            <c:numRef>
              <c:f>Outbound_Monitor!$X$4:$X$16</c:f>
              <c:numCache>
                <c:formatCode>General</c:formatCode>
                <c:ptCount val="13"/>
              </c:numCache>
            </c:numRef>
          </c:val>
          <c:extLst>
            <c:ext xmlns:c16="http://schemas.microsoft.com/office/drawing/2014/chart" uri="{C3380CC4-5D6E-409C-BE32-E72D297353CC}">
              <c16:uniqueId val="{00000017-079F-4D12-AA98-B251F64D3588}"/>
            </c:ext>
          </c:extLst>
        </c:ser>
        <c:dLbls>
          <c:showLegendKey val="0"/>
          <c:showVal val="0"/>
          <c:showCatName val="0"/>
          <c:showSerName val="0"/>
          <c:showPercent val="0"/>
          <c:showBubbleSize val="0"/>
        </c:dLbls>
        <c:gapWidth val="219"/>
        <c:overlap val="-27"/>
        <c:axId val="339417711"/>
        <c:axId val="339418543"/>
      </c:barChart>
      <c:catAx>
        <c:axId val="33941771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39418543"/>
        <c:crosses val="autoZero"/>
        <c:auto val="1"/>
        <c:lblAlgn val="ctr"/>
        <c:lblOffset val="100"/>
        <c:noMultiLvlLbl val="0"/>
      </c:catAx>
      <c:valAx>
        <c:axId val="3394185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394177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9A31BF1-8F75-473E-904B-6D35F25EE490}">
  <sheetPr/>
  <sheetViews>
    <sheetView zoomScale="184" workbookViewId="0" zoomToFit="1"/>
  </sheetViews>
  <pageMargins left="0.7" right="0.7" top="0.78740157499999996" bottom="0.78740157499999996"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6284429" cy="3794470"/>
    <xdr:graphicFrame macro="">
      <xdr:nvGraphicFramePr>
        <xdr:cNvPr id="2" name="Diagramm 1">
          <a:extLst>
            <a:ext uri="{FF2B5EF4-FFF2-40B4-BE49-F238E27FC236}">
              <a16:creationId xmlns:a16="http://schemas.microsoft.com/office/drawing/2014/main" id="{6755526A-DDD2-6535-834A-F5FA74C07C9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myoffice.conagrafoods.net/rqi/rtmopdad/Document%20Repository/CIL%20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WIN95\TEMP\GBP\Formatted%20Excel%20Report%20-%20Sorts%20and%20Filter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WIN95\TEMP\stock.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85026813/Desktop/IWS_Protokoll_LC.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WIN95\TEMP\GBP\2000-2-9%20GBU%20Activity%20Grid.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E:\WIN95\TEMP\GBP\GBU%20Activity%20Gri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Push Button Commands"/>
      <sheetName val="Copyright"/>
      <sheetName val="Instructions"/>
      <sheetName val="CustomTools"/>
      <sheetName val="dlgLineInputCode"/>
      <sheetName val="Misc Code"/>
      <sheetName val="Input"/>
      <sheetName val="InputCopy"/>
      <sheetName val="CreateCopyMacro"/>
      <sheetName val="ScheduleTemplate"/>
      <sheetName val="Language"/>
      <sheetName val="Language Change Code"/>
      <sheetName val="Startup"/>
      <sheetName val="dlgLineInput"/>
      <sheetName val="dlgGetType"/>
      <sheetName val="dlgGetFrequency"/>
      <sheetName val="dlgGetTime"/>
      <sheetName val="dlgGetMonthYear"/>
      <sheetName val="dlgCILPrint"/>
      <sheetName val="dlgScheduleSetupDays"/>
      <sheetName val="Dates"/>
      <sheetName val="dlgSetup"/>
      <sheetName val="Create Sched Macros"/>
      <sheetName val="Modify Sched Macros"/>
      <sheetName val="Misc"/>
      <sheetName val="Sheet1"/>
      <sheetName val="Process Flow"/>
      <sheetName val="Summary"/>
      <sheetName val="Step Up Card Summary_HDB"/>
      <sheetName val="HC Score Card"/>
    </sheetNames>
    <sheetDataSet>
      <sheetData sheetId="0" refreshError="1"/>
      <sheetData sheetId="1"/>
      <sheetData sheetId="2"/>
      <sheetData sheetId="3"/>
      <sheetData sheetId="4"/>
      <sheetData sheetId="5" refreshError="1"/>
      <sheetData sheetId="6" refreshError="1"/>
      <sheetData sheetId="7"/>
      <sheetData sheetId="8"/>
      <sheetData sheetId="9" refreshError="1"/>
      <sheetData sheetId="10"/>
      <sheetData sheetId="11">
        <row r="7">
          <cell r="C7" t="str">
            <v>Run</v>
          </cell>
        </row>
      </sheetData>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sheetData sheetId="22" refreshError="1"/>
      <sheetData sheetId="23" refreshError="1"/>
      <sheetData sheetId="24" refreshError="1"/>
      <sheetData sheetId="25">
        <row r="3">
          <cell r="AA3">
            <v>0</v>
          </cell>
        </row>
      </sheetData>
      <sheetData sheetId="26"/>
      <sheetData sheetId="27" refreshError="1"/>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ted Excel Report - Sorts "/>
      <sheetName val="Sched 8"/>
      <sheetName val="POS0398"/>
      <sheetName val="Linje 9"/>
      <sheetName val="Daglig Plan L9"/>
      <sheetName val="Långtidsplanering L9"/>
      <sheetName val="MP&amp;S DMS"/>
      <sheetName val="Sheet1"/>
      <sheetName val="MP&amp;S Health Check Tracking"/>
      <sheetName val="Sheet2"/>
      <sheetName val="MP&amp;S HC WK 5"/>
      <sheetName val="MP&amp;S WK 6"/>
      <sheetName val="MP&amp;S WK 7"/>
      <sheetName val="MP&amp;S Wk 8"/>
      <sheetName val="MP&amp;S Wk 9"/>
      <sheetName val="MP&amp;S Wk 10"/>
      <sheetName val="MP&amp;S Wk 11"/>
      <sheetName val="MP&amp;S Wk 12"/>
      <sheetName val="MP&amp;S Wk 13"/>
      <sheetName val="MP&amp;S Wk 14"/>
      <sheetName val="MP&amp;S Wk 15"/>
      <sheetName val="MP&amp;S Wk 16"/>
      <sheetName val="MP&amp;S Wk 17"/>
      <sheetName val="MP&amp;S Wk 18"/>
      <sheetName val="MP&amp;S Wk 19"/>
      <sheetName val="MP&amp;S Wk 20"/>
      <sheetName val="MP&amp;S Wk 44"/>
      <sheetName val="MP&amp;S Wk 45"/>
      <sheetName val="MP&amp;S wk4"/>
      <sheetName val="MP&amp;S wk5"/>
      <sheetName val="MP&amp;S wk6"/>
      <sheetName val="MP&amp;S wk7"/>
    </sheetNames>
    <definedNames>
      <definedName name="CancelMultiSort"/>
      <definedName name="MultiSort"/>
    </definedNames>
    <sheetDataSet>
      <sheetData sheetId="0" refreshError="1"/>
      <sheetData sheetId="1" refreshError="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hai Remnant"/>
      <sheetName val="case per pallet"/>
      <sheetName val="stock"/>
      <sheetName val="Summary"/>
    </sheetNames>
    <sheetDataSet>
      <sheetData sheetId="0" refreshError="1"/>
      <sheetData sheetId="1">
        <row r="3">
          <cell r="P3">
            <v>2007997</v>
          </cell>
          <cell r="Q3" t="str">
            <v>CS</v>
          </cell>
          <cell r="R3">
            <v>390</v>
          </cell>
        </row>
        <row r="4">
          <cell r="P4">
            <v>2008938</v>
          </cell>
          <cell r="Q4" t="str">
            <v>CS</v>
          </cell>
          <cell r="R4">
            <v>490</v>
          </cell>
        </row>
        <row r="5">
          <cell r="P5">
            <v>80963528</v>
          </cell>
          <cell r="Q5" t="str">
            <v>CS</v>
          </cell>
          <cell r="R5">
            <v>30</v>
          </cell>
        </row>
        <row r="6">
          <cell r="P6">
            <v>80968237</v>
          </cell>
          <cell r="Q6" t="str">
            <v>CS</v>
          </cell>
          <cell r="R6">
            <v>260</v>
          </cell>
        </row>
        <row r="7">
          <cell r="P7">
            <v>80972548</v>
          </cell>
          <cell r="Q7" t="str">
            <v>CS</v>
          </cell>
          <cell r="R7">
            <v>126</v>
          </cell>
        </row>
        <row r="8">
          <cell r="P8">
            <v>80972549</v>
          </cell>
          <cell r="Q8" t="str">
            <v>CS</v>
          </cell>
          <cell r="R8">
            <v>126</v>
          </cell>
        </row>
        <row r="9">
          <cell r="P9">
            <v>80975338</v>
          </cell>
          <cell r="Q9" t="str">
            <v>CS</v>
          </cell>
          <cell r="R9">
            <v>40</v>
          </cell>
        </row>
        <row r="10">
          <cell r="P10">
            <v>80978563</v>
          </cell>
          <cell r="Q10" t="str">
            <v>CS</v>
          </cell>
          <cell r="R10">
            <v>40</v>
          </cell>
        </row>
        <row r="11">
          <cell r="P11">
            <v>80978564</v>
          </cell>
          <cell r="Q11" t="str">
            <v>CS</v>
          </cell>
          <cell r="R11">
            <v>126</v>
          </cell>
        </row>
        <row r="12">
          <cell r="P12">
            <v>80979749</v>
          </cell>
          <cell r="Q12" t="str">
            <v>CS</v>
          </cell>
          <cell r="R12">
            <v>40</v>
          </cell>
        </row>
        <row r="13">
          <cell r="P13">
            <v>80979750</v>
          </cell>
          <cell r="Q13" t="str">
            <v>CS</v>
          </cell>
          <cell r="R13">
            <v>40</v>
          </cell>
        </row>
        <row r="14">
          <cell r="P14">
            <v>80979752</v>
          </cell>
          <cell r="Q14" t="str">
            <v>CS</v>
          </cell>
          <cell r="R14">
            <v>126</v>
          </cell>
        </row>
        <row r="15">
          <cell r="P15">
            <v>80979753</v>
          </cell>
          <cell r="Q15" t="str">
            <v>CS</v>
          </cell>
          <cell r="R15">
            <v>126</v>
          </cell>
        </row>
        <row r="16">
          <cell r="P16">
            <v>82004477</v>
          </cell>
          <cell r="Q16" t="str">
            <v>CS</v>
          </cell>
          <cell r="R16">
            <v>42</v>
          </cell>
        </row>
        <row r="17">
          <cell r="P17">
            <v>82012634</v>
          </cell>
          <cell r="Q17" t="str">
            <v>CS</v>
          </cell>
          <cell r="R17">
            <v>40</v>
          </cell>
        </row>
        <row r="18">
          <cell r="P18">
            <v>82012772</v>
          </cell>
          <cell r="Q18" t="str">
            <v>CS</v>
          </cell>
          <cell r="R18">
            <v>287</v>
          </cell>
        </row>
        <row r="19">
          <cell r="P19">
            <v>82012773</v>
          </cell>
          <cell r="Q19" t="str">
            <v>CS</v>
          </cell>
          <cell r="R19">
            <v>287</v>
          </cell>
        </row>
        <row r="20">
          <cell r="P20">
            <v>82012774</v>
          </cell>
          <cell r="Q20" t="str">
            <v>CS</v>
          </cell>
          <cell r="R20">
            <v>287</v>
          </cell>
        </row>
        <row r="21">
          <cell r="P21">
            <v>82012775</v>
          </cell>
          <cell r="Q21" t="str">
            <v>CS</v>
          </cell>
          <cell r="R21">
            <v>287</v>
          </cell>
        </row>
        <row r="22">
          <cell r="P22">
            <v>82012776</v>
          </cell>
          <cell r="Q22" t="str">
            <v>CS</v>
          </cell>
          <cell r="R22">
            <v>210</v>
          </cell>
        </row>
        <row r="23">
          <cell r="P23">
            <v>82012779</v>
          </cell>
          <cell r="Q23" t="str">
            <v>CS</v>
          </cell>
          <cell r="R23">
            <v>210</v>
          </cell>
        </row>
        <row r="24">
          <cell r="P24">
            <v>82012806</v>
          </cell>
          <cell r="Q24" t="str">
            <v>CS</v>
          </cell>
          <cell r="R24">
            <v>72</v>
          </cell>
        </row>
        <row r="25">
          <cell r="P25">
            <v>82013055</v>
          </cell>
          <cell r="Q25" t="str">
            <v>CS</v>
          </cell>
          <cell r="R25">
            <v>64</v>
          </cell>
        </row>
        <row r="26">
          <cell r="P26">
            <v>82013062</v>
          </cell>
          <cell r="Q26" t="str">
            <v>CS</v>
          </cell>
          <cell r="R26">
            <v>64</v>
          </cell>
        </row>
        <row r="27">
          <cell r="P27">
            <v>82013326</v>
          </cell>
          <cell r="Q27" t="str">
            <v>CS</v>
          </cell>
          <cell r="R27">
            <v>48</v>
          </cell>
        </row>
        <row r="28">
          <cell r="P28">
            <v>82013328</v>
          </cell>
          <cell r="Q28" t="str">
            <v>CS</v>
          </cell>
          <cell r="R28">
            <v>48</v>
          </cell>
        </row>
        <row r="29">
          <cell r="P29">
            <v>82013329</v>
          </cell>
          <cell r="Q29" t="str">
            <v>CS</v>
          </cell>
          <cell r="R29">
            <v>145</v>
          </cell>
        </row>
        <row r="30">
          <cell r="P30">
            <v>82013330</v>
          </cell>
          <cell r="Q30" t="str">
            <v>CS</v>
          </cell>
          <cell r="R30">
            <v>36</v>
          </cell>
        </row>
        <row r="31">
          <cell r="P31">
            <v>82013345</v>
          </cell>
          <cell r="Q31" t="str">
            <v>CS</v>
          </cell>
          <cell r="R31">
            <v>114</v>
          </cell>
        </row>
        <row r="32">
          <cell r="P32">
            <v>82013355</v>
          </cell>
          <cell r="Q32" t="str">
            <v>CS</v>
          </cell>
          <cell r="R32">
            <v>171</v>
          </cell>
        </row>
        <row r="33">
          <cell r="P33">
            <v>82013365</v>
          </cell>
          <cell r="Q33" t="str">
            <v>CS</v>
          </cell>
          <cell r="R33">
            <v>120</v>
          </cell>
        </row>
        <row r="34">
          <cell r="P34">
            <v>82013544</v>
          </cell>
          <cell r="Q34" t="str">
            <v>CS</v>
          </cell>
          <cell r="R34">
            <v>114</v>
          </cell>
        </row>
        <row r="35">
          <cell r="P35">
            <v>82013549</v>
          </cell>
          <cell r="Q35" t="str">
            <v>CS</v>
          </cell>
          <cell r="R35">
            <v>171</v>
          </cell>
        </row>
        <row r="36">
          <cell r="P36">
            <v>82013664</v>
          </cell>
          <cell r="Q36" t="str">
            <v>CS</v>
          </cell>
          <cell r="R36">
            <v>72</v>
          </cell>
        </row>
        <row r="37">
          <cell r="P37">
            <v>82013665</v>
          </cell>
          <cell r="Q37" t="str">
            <v>CS</v>
          </cell>
          <cell r="R37">
            <v>114</v>
          </cell>
        </row>
        <row r="38">
          <cell r="P38">
            <v>82013666</v>
          </cell>
          <cell r="Q38" t="str">
            <v>CS</v>
          </cell>
          <cell r="R38">
            <v>72</v>
          </cell>
        </row>
        <row r="39">
          <cell r="P39">
            <v>82013755</v>
          </cell>
          <cell r="Q39" t="str">
            <v>CS</v>
          </cell>
          <cell r="R39">
            <v>45</v>
          </cell>
        </row>
        <row r="40">
          <cell r="P40">
            <v>82013756</v>
          </cell>
          <cell r="Q40" t="str">
            <v>CS</v>
          </cell>
          <cell r="R40">
            <v>48</v>
          </cell>
        </row>
        <row r="41">
          <cell r="P41">
            <v>82013823</v>
          </cell>
          <cell r="Q41" t="str">
            <v>CS</v>
          </cell>
          <cell r="R41">
            <v>896</v>
          </cell>
        </row>
        <row r="42">
          <cell r="P42">
            <v>82023794</v>
          </cell>
          <cell r="Q42" t="str">
            <v>CS</v>
          </cell>
          <cell r="R42">
            <v>30</v>
          </cell>
        </row>
        <row r="43">
          <cell r="P43">
            <v>82023797</v>
          </cell>
          <cell r="Q43" t="str">
            <v>CS</v>
          </cell>
          <cell r="R43">
            <v>30</v>
          </cell>
        </row>
        <row r="44">
          <cell r="P44">
            <v>82024565</v>
          </cell>
          <cell r="Q44" t="str">
            <v>CS</v>
          </cell>
          <cell r="R44">
            <v>80</v>
          </cell>
        </row>
        <row r="45">
          <cell r="P45">
            <v>82026354</v>
          </cell>
          <cell r="Q45" t="str">
            <v>CS</v>
          </cell>
          <cell r="R45">
            <v>80</v>
          </cell>
        </row>
        <row r="46">
          <cell r="P46">
            <v>82026360</v>
          </cell>
          <cell r="Q46" t="str">
            <v>CS</v>
          </cell>
          <cell r="R46">
            <v>84</v>
          </cell>
        </row>
        <row r="47">
          <cell r="P47">
            <v>82026463</v>
          </cell>
          <cell r="Q47" t="str">
            <v>CS</v>
          </cell>
          <cell r="R47">
            <v>48</v>
          </cell>
        </row>
        <row r="48">
          <cell r="P48">
            <v>82026465</v>
          </cell>
          <cell r="Q48" t="str">
            <v>CS</v>
          </cell>
          <cell r="R48">
            <v>36</v>
          </cell>
        </row>
        <row r="49">
          <cell r="P49">
            <v>82026468</v>
          </cell>
          <cell r="Q49" t="str">
            <v>CS</v>
          </cell>
          <cell r="R49">
            <v>48</v>
          </cell>
        </row>
        <row r="50">
          <cell r="P50">
            <v>82026469</v>
          </cell>
          <cell r="Q50" t="str">
            <v>CS</v>
          </cell>
          <cell r="R50">
            <v>92</v>
          </cell>
        </row>
        <row r="51">
          <cell r="P51">
            <v>82026471</v>
          </cell>
          <cell r="Q51" t="str">
            <v>CS</v>
          </cell>
          <cell r="R51">
            <v>100</v>
          </cell>
        </row>
        <row r="52">
          <cell r="P52">
            <v>82026472</v>
          </cell>
          <cell r="Q52" t="str">
            <v>CS</v>
          </cell>
          <cell r="R52">
            <v>48</v>
          </cell>
        </row>
        <row r="53">
          <cell r="P53">
            <v>82026473</v>
          </cell>
          <cell r="Q53" t="str">
            <v>CS</v>
          </cell>
          <cell r="R53">
            <v>84</v>
          </cell>
        </row>
        <row r="54">
          <cell r="P54">
            <v>82031730</v>
          </cell>
          <cell r="Q54" t="str">
            <v>CS</v>
          </cell>
          <cell r="R54">
            <v>40</v>
          </cell>
        </row>
        <row r="55">
          <cell r="P55">
            <v>82031732</v>
          </cell>
          <cell r="Q55" t="str">
            <v>CS</v>
          </cell>
          <cell r="R55">
            <v>40</v>
          </cell>
        </row>
        <row r="56">
          <cell r="P56">
            <v>82031733</v>
          </cell>
          <cell r="Q56" t="str">
            <v>CS</v>
          </cell>
          <cell r="R56">
            <v>48</v>
          </cell>
        </row>
        <row r="57">
          <cell r="P57">
            <v>82031734</v>
          </cell>
          <cell r="Q57" t="str">
            <v>CS</v>
          </cell>
          <cell r="R57">
            <v>42</v>
          </cell>
        </row>
        <row r="58">
          <cell r="P58">
            <v>82031935</v>
          </cell>
          <cell r="Q58" t="str">
            <v>CS</v>
          </cell>
          <cell r="R58">
            <v>48</v>
          </cell>
        </row>
        <row r="59">
          <cell r="P59">
            <v>82031936</v>
          </cell>
          <cell r="Q59" t="str">
            <v>CS</v>
          </cell>
          <cell r="R59">
            <v>92</v>
          </cell>
        </row>
        <row r="60">
          <cell r="P60">
            <v>82031941</v>
          </cell>
          <cell r="Q60" t="str">
            <v>CS</v>
          </cell>
          <cell r="R60">
            <v>48</v>
          </cell>
        </row>
        <row r="61">
          <cell r="P61">
            <v>82032125</v>
          </cell>
          <cell r="Q61" t="str">
            <v>CS</v>
          </cell>
          <cell r="R61">
            <v>96</v>
          </cell>
        </row>
        <row r="62">
          <cell r="P62">
            <v>82032139</v>
          </cell>
          <cell r="Q62" t="str">
            <v>CS</v>
          </cell>
          <cell r="R62">
            <v>80</v>
          </cell>
        </row>
        <row r="63">
          <cell r="P63">
            <v>82032153</v>
          </cell>
          <cell r="Q63" t="str">
            <v>CS</v>
          </cell>
          <cell r="R63">
            <v>30</v>
          </cell>
        </row>
        <row r="64">
          <cell r="P64">
            <v>82032154</v>
          </cell>
          <cell r="Q64" t="str">
            <v>CS</v>
          </cell>
          <cell r="R64">
            <v>32</v>
          </cell>
        </row>
        <row r="65">
          <cell r="P65">
            <v>82032155</v>
          </cell>
          <cell r="Q65" t="str">
            <v>CS</v>
          </cell>
          <cell r="R65">
            <v>30</v>
          </cell>
        </row>
        <row r="66">
          <cell r="P66">
            <v>82032162</v>
          </cell>
          <cell r="Q66" t="str">
            <v>CS</v>
          </cell>
          <cell r="R66">
            <v>42</v>
          </cell>
        </row>
        <row r="67">
          <cell r="P67">
            <v>82032163</v>
          </cell>
          <cell r="Q67" t="str">
            <v>CS</v>
          </cell>
          <cell r="R67">
            <v>18</v>
          </cell>
        </row>
        <row r="68">
          <cell r="P68">
            <v>82032165</v>
          </cell>
          <cell r="Q68" t="str">
            <v>CS</v>
          </cell>
          <cell r="R68">
            <v>42</v>
          </cell>
        </row>
        <row r="69">
          <cell r="P69">
            <v>82032166</v>
          </cell>
          <cell r="Q69" t="str">
            <v>CS</v>
          </cell>
          <cell r="R69">
            <v>24</v>
          </cell>
        </row>
        <row r="70">
          <cell r="P70">
            <v>82032489</v>
          </cell>
          <cell r="Q70" t="str">
            <v>CS</v>
          </cell>
          <cell r="R70">
            <v>120</v>
          </cell>
        </row>
        <row r="71">
          <cell r="P71">
            <v>82032490</v>
          </cell>
          <cell r="Q71" t="str">
            <v>CS</v>
          </cell>
          <cell r="R71">
            <v>171</v>
          </cell>
        </row>
        <row r="72">
          <cell r="P72">
            <v>82032491</v>
          </cell>
          <cell r="Q72" t="str">
            <v>CS</v>
          </cell>
          <cell r="R72">
            <v>114</v>
          </cell>
        </row>
        <row r="73">
          <cell r="P73">
            <v>82032798</v>
          </cell>
          <cell r="Q73" t="str">
            <v>CS</v>
          </cell>
          <cell r="R73">
            <v>81</v>
          </cell>
        </row>
        <row r="74">
          <cell r="P74">
            <v>82032800</v>
          </cell>
          <cell r="Q74" t="str">
            <v>CS</v>
          </cell>
          <cell r="R74">
            <v>35</v>
          </cell>
        </row>
        <row r="75">
          <cell r="P75">
            <v>82032804</v>
          </cell>
          <cell r="Q75" t="str">
            <v>CS</v>
          </cell>
          <cell r="R75">
            <v>35</v>
          </cell>
        </row>
        <row r="76">
          <cell r="P76">
            <v>82032813</v>
          </cell>
          <cell r="Q76" t="str">
            <v>CS</v>
          </cell>
          <cell r="R76">
            <v>54</v>
          </cell>
        </row>
        <row r="77">
          <cell r="P77">
            <v>82032814</v>
          </cell>
          <cell r="Q77" t="str">
            <v>CS</v>
          </cell>
          <cell r="R77">
            <v>104</v>
          </cell>
        </row>
        <row r="78">
          <cell r="P78">
            <v>82032815</v>
          </cell>
          <cell r="Q78" t="str">
            <v>CS</v>
          </cell>
          <cell r="R78">
            <v>96</v>
          </cell>
        </row>
        <row r="79">
          <cell r="P79">
            <v>82032817</v>
          </cell>
          <cell r="Q79" t="str">
            <v>CS</v>
          </cell>
          <cell r="R79">
            <v>48</v>
          </cell>
        </row>
        <row r="80">
          <cell r="P80">
            <v>82032818</v>
          </cell>
          <cell r="Q80" t="str">
            <v>CS</v>
          </cell>
          <cell r="R80">
            <v>84</v>
          </cell>
        </row>
        <row r="81">
          <cell r="P81">
            <v>82032835</v>
          </cell>
          <cell r="Q81" t="str">
            <v>CS</v>
          </cell>
          <cell r="R81">
            <v>114</v>
          </cell>
        </row>
        <row r="82">
          <cell r="P82">
            <v>82032836</v>
          </cell>
          <cell r="Q82" t="str">
            <v>CS</v>
          </cell>
          <cell r="R82">
            <v>171</v>
          </cell>
        </row>
        <row r="83">
          <cell r="P83">
            <v>82033154</v>
          </cell>
          <cell r="Q83" t="str">
            <v>CS</v>
          </cell>
          <cell r="R83">
            <v>28</v>
          </cell>
        </row>
        <row r="84">
          <cell r="P84">
            <v>82033155</v>
          </cell>
          <cell r="Q84" t="str">
            <v>CS</v>
          </cell>
          <cell r="R84">
            <v>42</v>
          </cell>
        </row>
        <row r="85">
          <cell r="P85">
            <v>82033156</v>
          </cell>
          <cell r="Q85" t="str">
            <v>CS</v>
          </cell>
          <cell r="R85">
            <v>24</v>
          </cell>
        </row>
        <row r="86">
          <cell r="P86">
            <v>82033161</v>
          </cell>
          <cell r="Q86" t="str">
            <v>CS</v>
          </cell>
          <cell r="R86">
            <v>32</v>
          </cell>
        </row>
        <row r="87">
          <cell r="P87">
            <v>82033182</v>
          </cell>
          <cell r="Q87" t="str">
            <v>CS</v>
          </cell>
          <cell r="R87">
            <v>114</v>
          </cell>
        </row>
        <row r="88">
          <cell r="P88">
            <v>82033492</v>
          </cell>
          <cell r="Q88" t="str">
            <v>CS</v>
          </cell>
          <cell r="R88">
            <v>80</v>
          </cell>
        </row>
        <row r="89">
          <cell r="P89">
            <v>82033498</v>
          </cell>
          <cell r="Q89" t="str">
            <v>CS</v>
          </cell>
          <cell r="R89">
            <v>32</v>
          </cell>
        </row>
        <row r="90">
          <cell r="P90">
            <v>82033735</v>
          </cell>
          <cell r="Q90" t="str">
            <v>CS</v>
          </cell>
          <cell r="R90">
            <v>80</v>
          </cell>
        </row>
        <row r="91">
          <cell r="P91">
            <v>82033739</v>
          </cell>
          <cell r="Q91" t="str">
            <v>CS</v>
          </cell>
          <cell r="R91">
            <v>84</v>
          </cell>
        </row>
        <row r="92">
          <cell r="P92">
            <v>82033742</v>
          </cell>
          <cell r="Q92" t="str">
            <v>CS</v>
          </cell>
          <cell r="R92">
            <v>80</v>
          </cell>
        </row>
        <row r="93">
          <cell r="P93">
            <v>82033745</v>
          </cell>
          <cell r="Q93" t="str">
            <v>CS</v>
          </cell>
          <cell r="R93">
            <v>48</v>
          </cell>
        </row>
        <row r="94">
          <cell r="P94">
            <v>82034105</v>
          </cell>
          <cell r="Q94" t="str">
            <v>CS</v>
          </cell>
          <cell r="R94">
            <v>60</v>
          </cell>
        </row>
        <row r="95">
          <cell r="P95">
            <v>82034282</v>
          </cell>
          <cell r="Q95" t="str">
            <v>CS</v>
          </cell>
          <cell r="R95">
            <v>54</v>
          </cell>
        </row>
        <row r="96">
          <cell r="P96">
            <v>82034285</v>
          </cell>
          <cell r="Q96" t="str">
            <v>CS</v>
          </cell>
          <cell r="R96">
            <v>54</v>
          </cell>
        </row>
        <row r="97">
          <cell r="P97">
            <v>82037450</v>
          </cell>
          <cell r="Q97" t="str">
            <v>CS</v>
          </cell>
          <cell r="R97">
            <v>80</v>
          </cell>
        </row>
        <row r="98">
          <cell r="P98">
            <v>82037480</v>
          </cell>
          <cell r="Q98" t="str">
            <v>CS</v>
          </cell>
          <cell r="R98">
            <v>32</v>
          </cell>
        </row>
        <row r="99">
          <cell r="P99">
            <v>82037481</v>
          </cell>
          <cell r="Q99" t="str">
            <v>CS</v>
          </cell>
          <cell r="R99">
            <v>18</v>
          </cell>
        </row>
        <row r="100">
          <cell r="P100">
            <v>82037692</v>
          </cell>
          <cell r="Q100" t="str">
            <v>CS</v>
          </cell>
          <cell r="R100">
            <v>80</v>
          </cell>
        </row>
        <row r="101">
          <cell r="P101">
            <v>82038165</v>
          </cell>
          <cell r="Q101" t="str">
            <v>CS</v>
          </cell>
          <cell r="R101">
            <v>144</v>
          </cell>
        </row>
        <row r="102">
          <cell r="P102">
            <v>82038166</v>
          </cell>
          <cell r="Q102" t="str">
            <v>CS</v>
          </cell>
          <cell r="R102">
            <v>171</v>
          </cell>
        </row>
        <row r="103">
          <cell r="P103">
            <v>82038167</v>
          </cell>
          <cell r="Q103" t="str">
            <v>CS</v>
          </cell>
          <cell r="R103">
            <v>114</v>
          </cell>
        </row>
        <row r="104">
          <cell r="P104">
            <v>82038547</v>
          </cell>
          <cell r="Q104" t="str">
            <v>CS</v>
          </cell>
          <cell r="R104">
            <v>80</v>
          </cell>
        </row>
        <row r="105">
          <cell r="P105">
            <v>82038591</v>
          </cell>
          <cell r="Q105" t="str">
            <v>CS</v>
          </cell>
          <cell r="R105">
            <v>64</v>
          </cell>
        </row>
        <row r="106">
          <cell r="P106">
            <v>82038592</v>
          </cell>
          <cell r="Q106" t="str">
            <v>CS</v>
          </cell>
          <cell r="R106">
            <v>48</v>
          </cell>
        </row>
        <row r="107">
          <cell r="P107">
            <v>82038594</v>
          </cell>
          <cell r="Q107" t="str">
            <v>CS</v>
          </cell>
          <cell r="R107">
            <v>240</v>
          </cell>
        </row>
        <row r="108">
          <cell r="P108">
            <v>82038616</v>
          </cell>
          <cell r="Q108" t="str">
            <v>CS</v>
          </cell>
          <cell r="R108">
            <v>165</v>
          </cell>
        </row>
        <row r="109">
          <cell r="P109">
            <v>82038649</v>
          </cell>
          <cell r="Q109" t="str">
            <v>CS</v>
          </cell>
          <cell r="R109">
            <v>30</v>
          </cell>
        </row>
        <row r="110">
          <cell r="P110">
            <v>82038653</v>
          </cell>
          <cell r="Q110" t="str">
            <v>CS</v>
          </cell>
          <cell r="R110">
            <v>30</v>
          </cell>
        </row>
        <row r="111">
          <cell r="P111">
            <v>82038656</v>
          </cell>
          <cell r="Q111" t="str">
            <v>CS</v>
          </cell>
          <cell r="R111">
            <v>36</v>
          </cell>
        </row>
        <row r="112">
          <cell r="P112">
            <v>82038657</v>
          </cell>
          <cell r="Q112" t="str">
            <v>CS</v>
          </cell>
          <cell r="R112">
            <v>30</v>
          </cell>
        </row>
        <row r="113">
          <cell r="P113">
            <v>82038658</v>
          </cell>
          <cell r="Q113" t="str">
            <v>CS</v>
          </cell>
          <cell r="R113">
            <v>24</v>
          </cell>
        </row>
        <row r="114">
          <cell r="P114">
            <v>82038706</v>
          </cell>
          <cell r="Q114" t="str">
            <v>CS</v>
          </cell>
          <cell r="R114">
            <v>48</v>
          </cell>
        </row>
        <row r="115">
          <cell r="P115">
            <v>82038709</v>
          </cell>
          <cell r="Q115" t="str">
            <v>CS</v>
          </cell>
          <cell r="R115">
            <v>28</v>
          </cell>
        </row>
        <row r="116">
          <cell r="P116">
            <v>82038712</v>
          </cell>
          <cell r="Q116" t="str">
            <v>CS</v>
          </cell>
          <cell r="R116">
            <v>28</v>
          </cell>
        </row>
        <row r="117">
          <cell r="P117">
            <v>82038715</v>
          </cell>
          <cell r="Q117" t="str">
            <v>CS</v>
          </cell>
          <cell r="R117">
            <v>42</v>
          </cell>
        </row>
        <row r="118">
          <cell r="P118">
            <v>82038814</v>
          </cell>
          <cell r="Q118" t="str">
            <v>CS</v>
          </cell>
          <cell r="R118">
            <v>200</v>
          </cell>
        </row>
        <row r="119">
          <cell r="P119">
            <v>82038817</v>
          </cell>
          <cell r="Q119" t="str">
            <v>CS</v>
          </cell>
          <cell r="R119">
            <v>125</v>
          </cell>
        </row>
        <row r="120">
          <cell r="P120">
            <v>82038829</v>
          </cell>
          <cell r="Q120" t="str">
            <v>CS</v>
          </cell>
          <cell r="R120">
            <v>48</v>
          </cell>
        </row>
        <row r="121">
          <cell r="P121">
            <v>82039126</v>
          </cell>
          <cell r="Q121" t="str">
            <v>CS</v>
          </cell>
          <cell r="R121">
            <v>84</v>
          </cell>
        </row>
        <row r="122">
          <cell r="P122">
            <v>82039214</v>
          </cell>
          <cell r="Q122" t="str">
            <v>CS</v>
          </cell>
          <cell r="R122">
            <v>78</v>
          </cell>
        </row>
        <row r="123">
          <cell r="P123">
            <v>82039218</v>
          </cell>
          <cell r="Q123" t="str">
            <v>CS</v>
          </cell>
          <cell r="R123">
            <v>90</v>
          </cell>
        </row>
        <row r="124">
          <cell r="P124">
            <v>82039221</v>
          </cell>
          <cell r="Q124" t="str">
            <v>CS</v>
          </cell>
          <cell r="R124">
            <v>100</v>
          </cell>
        </row>
        <row r="125">
          <cell r="P125">
            <v>82039223</v>
          </cell>
          <cell r="Q125" t="str">
            <v>CS</v>
          </cell>
          <cell r="R125">
            <v>48</v>
          </cell>
        </row>
        <row r="126">
          <cell r="P126">
            <v>82039225</v>
          </cell>
          <cell r="Q126" t="str">
            <v>CS</v>
          </cell>
          <cell r="R126">
            <v>92</v>
          </cell>
        </row>
        <row r="127">
          <cell r="P127">
            <v>82039227</v>
          </cell>
          <cell r="Q127" t="str">
            <v>CS</v>
          </cell>
          <cell r="R127">
            <v>36</v>
          </cell>
        </row>
        <row r="128">
          <cell r="P128">
            <v>82039233</v>
          </cell>
          <cell r="Q128" t="str">
            <v>CS</v>
          </cell>
          <cell r="R128">
            <v>78</v>
          </cell>
        </row>
        <row r="129">
          <cell r="P129">
            <v>82039233</v>
          </cell>
          <cell r="Q129" t="str">
            <v>CS</v>
          </cell>
          <cell r="R129">
            <v>78</v>
          </cell>
        </row>
        <row r="130">
          <cell r="P130">
            <v>82039234</v>
          </cell>
          <cell r="Q130" t="str">
            <v>CS</v>
          </cell>
          <cell r="R130">
            <v>80</v>
          </cell>
        </row>
        <row r="131">
          <cell r="P131">
            <v>82039244</v>
          </cell>
          <cell r="Q131" t="str">
            <v>CS</v>
          </cell>
          <cell r="R131">
            <v>48</v>
          </cell>
        </row>
        <row r="132">
          <cell r="P132">
            <v>82039248</v>
          </cell>
          <cell r="Q132" t="str">
            <v>CS</v>
          </cell>
          <cell r="R132">
            <v>92</v>
          </cell>
        </row>
        <row r="133">
          <cell r="P133">
            <v>82039263</v>
          </cell>
          <cell r="Q133" t="str">
            <v>CS</v>
          </cell>
          <cell r="R133">
            <v>78</v>
          </cell>
        </row>
        <row r="134">
          <cell r="P134">
            <v>82039266</v>
          </cell>
          <cell r="Q134" t="str">
            <v>CS</v>
          </cell>
          <cell r="R134">
            <v>80</v>
          </cell>
        </row>
        <row r="135">
          <cell r="P135">
            <v>82039267</v>
          </cell>
          <cell r="Q135" t="str">
            <v>CS</v>
          </cell>
          <cell r="R135">
            <v>90</v>
          </cell>
        </row>
        <row r="136">
          <cell r="P136">
            <v>82039269</v>
          </cell>
          <cell r="Q136" t="str">
            <v>CS</v>
          </cell>
          <cell r="R136">
            <v>48</v>
          </cell>
        </row>
        <row r="137">
          <cell r="P137">
            <v>82039270</v>
          </cell>
          <cell r="Q137" t="str">
            <v>CS</v>
          </cell>
          <cell r="R137">
            <v>92</v>
          </cell>
        </row>
        <row r="138">
          <cell r="P138">
            <v>82039271</v>
          </cell>
          <cell r="Q138" t="str">
            <v>CS</v>
          </cell>
          <cell r="R138">
            <v>36</v>
          </cell>
        </row>
        <row r="139">
          <cell r="P139">
            <v>82039327</v>
          </cell>
          <cell r="Q139" t="str">
            <v>CS</v>
          </cell>
          <cell r="R139">
            <v>80</v>
          </cell>
        </row>
        <row r="140">
          <cell r="P140">
            <v>82039330</v>
          </cell>
          <cell r="Q140" t="str">
            <v>CS</v>
          </cell>
          <cell r="R140">
            <v>100</v>
          </cell>
        </row>
        <row r="141">
          <cell r="P141">
            <v>82039405</v>
          </cell>
          <cell r="Q141" t="str">
            <v>CS</v>
          </cell>
          <cell r="R141">
            <v>100</v>
          </cell>
        </row>
        <row r="142">
          <cell r="P142">
            <v>82039406</v>
          </cell>
          <cell r="Q142" t="str">
            <v>CS</v>
          </cell>
          <cell r="R142">
            <v>90</v>
          </cell>
        </row>
        <row r="143">
          <cell r="P143">
            <v>82039413</v>
          </cell>
          <cell r="Q143" t="str">
            <v>CS</v>
          </cell>
          <cell r="R143">
            <v>100</v>
          </cell>
        </row>
        <row r="144">
          <cell r="P144">
            <v>82039415</v>
          </cell>
          <cell r="Q144" t="str">
            <v>CS</v>
          </cell>
          <cell r="R144">
            <v>90</v>
          </cell>
        </row>
        <row r="145">
          <cell r="P145">
            <v>82039417</v>
          </cell>
          <cell r="Q145" t="str">
            <v>CS</v>
          </cell>
          <cell r="R145">
            <v>100</v>
          </cell>
        </row>
        <row r="146">
          <cell r="P146">
            <v>82039418</v>
          </cell>
          <cell r="Q146" t="str">
            <v>CS</v>
          </cell>
          <cell r="R146">
            <v>120</v>
          </cell>
        </row>
        <row r="147">
          <cell r="P147">
            <v>82039514</v>
          </cell>
          <cell r="Q147" t="str">
            <v>CS</v>
          </cell>
          <cell r="R147">
            <v>128</v>
          </cell>
        </row>
        <row r="148">
          <cell r="P148">
            <v>82039538</v>
          </cell>
          <cell r="Q148" t="str">
            <v>CS</v>
          </cell>
          <cell r="R148">
            <v>165</v>
          </cell>
        </row>
        <row r="149">
          <cell r="P149">
            <v>82039572</v>
          </cell>
          <cell r="Q149" t="str">
            <v>CS</v>
          </cell>
          <cell r="R149">
            <v>140</v>
          </cell>
        </row>
        <row r="150">
          <cell r="P150">
            <v>82039575</v>
          </cell>
          <cell r="Q150" t="str">
            <v>CS</v>
          </cell>
          <cell r="R150">
            <v>100</v>
          </cell>
        </row>
        <row r="151">
          <cell r="P151">
            <v>82039609</v>
          </cell>
          <cell r="Q151" t="str">
            <v>CS</v>
          </cell>
          <cell r="R151">
            <v>100</v>
          </cell>
        </row>
        <row r="152">
          <cell r="P152">
            <v>82039645</v>
          </cell>
          <cell r="Q152" t="str">
            <v>CS</v>
          </cell>
          <cell r="R152">
            <v>45</v>
          </cell>
        </row>
        <row r="153">
          <cell r="P153">
            <v>82039646</v>
          </cell>
          <cell r="Q153" t="str">
            <v>CS</v>
          </cell>
          <cell r="R153">
            <v>35</v>
          </cell>
        </row>
        <row r="154">
          <cell r="P154">
            <v>82039647</v>
          </cell>
          <cell r="Q154" t="str">
            <v>CS</v>
          </cell>
          <cell r="R154">
            <v>42</v>
          </cell>
        </row>
        <row r="155">
          <cell r="P155">
            <v>82039752</v>
          </cell>
          <cell r="Q155" t="str">
            <v>CS</v>
          </cell>
          <cell r="R155">
            <v>100</v>
          </cell>
        </row>
        <row r="156">
          <cell r="P156">
            <v>82039781</v>
          </cell>
          <cell r="Q156" t="str">
            <v>CS</v>
          </cell>
          <cell r="R156">
            <v>40</v>
          </cell>
        </row>
        <row r="157">
          <cell r="P157">
            <v>82039782</v>
          </cell>
          <cell r="Q157" t="str">
            <v>CS</v>
          </cell>
          <cell r="R157">
            <v>40</v>
          </cell>
        </row>
        <row r="158">
          <cell r="P158">
            <v>82039784</v>
          </cell>
          <cell r="Q158" t="str">
            <v>CS</v>
          </cell>
          <cell r="R158">
            <v>40</v>
          </cell>
        </row>
        <row r="159">
          <cell r="P159">
            <v>82039785</v>
          </cell>
          <cell r="Q159" t="str">
            <v>CS</v>
          </cell>
          <cell r="R159">
            <v>40</v>
          </cell>
        </row>
        <row r="160">
          <cell r="P160">
            <v>82039786</v>
          </cell>
          <cell r="Q160" t="str">
            <v>CS</v>
          </cell>
          <cell r="R160">
            <v>40</v>
          </cell>
        </row>
        <row r="161">
          <cell r="P161">
            <v>82039943</v>
          </cell>
          <cell r="Q161" t="str">
            <v>CS</v>
          </cell>
          <cell r="R161">
            <v>132</v>
          </cell>
        </row>
        <row r="162">
          <cell r="P162">
            <v>82039955</v>
          </cell>
          <cell r="Q162" t="str">
            <v>CS</v>
          </cell>
          <cell r="R162">
            <v>54</v>
          </cell>
        </row>
        <row r="163">
          <cell r="P163">
            <v>82039958</v>
          </cell>
          <cell r="Q163" t="str">
            <v>CS</v>
          </cell>
          <cell r="R163">
            <v>24</v>
          </cell>
        </row>
        <row r="164">
          <cell r="P164">
            <v>82040173</v>
          </cell>
          <cell r="Q164" t="str">
            <v>CS</v>
          </cell>
          <cell r="R164">
            <v>90</v>
          </cell>
        </row>
        <row r="165">
          <cell r="P165">
            <v>82040174</v>
          </cell>
          <cell r="Q165" t="str">
            <v>CS</v>
          </cell>
          <cell r="R165">
            <v>72</v>
          </cell>
        </row>
        <row r="166">
          <cell r="P166">
            <v>82040175</v>
          </cell>
          <cell r="Q166" t="str">
            <v>CS</v>
          </cell>
          <cell r="R166">
            <v>48</v>
          </cell>
        </row>
        <row r="167">
          <cell r="P167">
            <v>82040176</v>
          </cell>
          <cell r="Q167" t="str">
            <v>CS</v>
          </cell>
          <cell r="R167">
            <v>80</v>
          </cell>
        </row>
        <row r="168">
          <cell r="P168">
            <v>82040178</v>
          </cell>
          <cell r="Q168" t="str">
            <v>CS</v>
          </cell>
          <cell r="R168">
            <v>45</v>
          </cell>
        </row>
        <row r="169">
          <cell r="P169">
            <v>82040180</v>
          </cell>
          <cell r="Q169" t="str">
            <v>CS</v>
          </cell>
          <cell r="R169">
            <v>40</v>
          </cell>
        </row>
        <row r="170">
          <cell r="P170">
            <v>82040181</v>
          </cell>
          <cell r="Q170" t="str">
            <v>CS</v>
          </cell>
          <cell r="R170">
            <v>30</v>
          </cell>
        </row>
        <row r="171">
          <cell r="P171">
            <v>82040183</v>
          </cell>
          <cell r="Q171" t="str">
            <v>CS</v>
          </cell>
          <cell r="R171">
            <v>40</v>
          </cell>
        </row>
        <row r="172">
          <cell r="P172">
            <v>82040184</v>
          </cell>
          <cell r="Q172" t="str">
            <v>CS</v>
          </cell>
          <cell r="R172">
            <v>32</v>
          </cell>
        </row>
        <row r="173">
          <cell r="P173">
            <v>82040186</v>
          </cell>
          <cell r="Q173" t="str">
            <v>CS</v>
          </cell>
          <cell r="R173">
            <v>40</v>
          </cell>
        </row>
        <row r="174">
          <cell r="P174">
            <v>82040187</v>
          </cell>
          <cell r="Q174" t="str">
            <v>CS</v>
          </cell>
          <cell r="R174">
            <v>32</v>
          </cell>
        </row>
        <row r="175">
          <cell r="P175">
            <v>82040188</v>
          </cell>
          <cell r="Q175" t="str">
            <v>CS</v>
          </cell>
          <cell r="R175">
            <v>88</v>
          </cell>
        </row>
        <row r="176">
          <cell r="P176">
            <v>82040189</v>
          </cell>
          <cell r="Q176" t="str">
            <v>CS</v>
          </cell>
          <cell r="R176">
            <v>42</v>
          </cell>
        </row>
        <row r="177">
          <cell r="P177">
            <v>82040190</v>
          </cell>
          <cell r="Q177" t="str">
            <v>CS</v>
          </cell>
          <cell r="R177">
            <v>70</v>
          </cell>
        </row>
        <row r="178">
          <cell r="P178">
            <v>82040191</v>
          </cell>
          <cell r="Q178" t="str">
            <v>CS</v>
          </cell>
          <cell r="R178">
            <v>48</v>
          </cell>
        </row>
        <row r="179">
          <cell r="P179">
            <v>82040422</v>
          </cell>
          <cell r="Q179" t="str">
            <v>CS</v>
          </cell>
          <cell r="R179">
            <v>100</v>
          </cell>
        </row>
        <row r="180">
          <cell r="P180">
            <v>82040424</v>
          </cell>
          <cell r="Q180" t="str">
            <v>CS</v>
          </cell>
          <cell r="R180">
            <v>90</v>
          </cell>
        </row>
        <row r="181">
          <cell r="P181">
            <v>82040425</v>
          </cell>
          <cell r="Q181" t="str">
            <v>CS</v>
          </cell>
          <cell r="R181">
            <v>80</v>
          </cell>
        </row>
        <row r="182">
          <cell r="P182">
            <v>82040427</v>
          </cell>
          <cell r="Q182" t="str">
            <v>CS</v>
          </cell>
          <cell r="R182">
            <v>80</v>
          </cell>
        </row>
        <row r="183">
          <cell r="P183">
            <v>82040429</v>
          </cell>
          <cell r="Q183" t="str">
            <v>CS</v>
          </cell>
          <cell r="R183">
            <v>80</v>
          </cell>
        </row>
        <row r="184">
          <cell r="P184">
            <v>82040472</v>
          </cell>
          <cell r="Q184" t="str">
            <v>CS</v>
          </cell>
          <cell r="R184">
            <v>80</v>
          </cell>
        </row>
        <row r="185">
          <cell r="P185">
            <v>82040490</v>
          </cell>
          <cell r="Q185" t="str">
            <v>CS</v>
          </cell>
          <cell r="R185">
            <v>120</v>
          </cell>
        </row>
        <row r="186">
          <cell r="P186">
            <v>82040499</v>
          </cell>
          <cell r="Q186" t="str">
            <v>CS</v>
          </cell>
          <cell r="R186">
            <v>80</v>
          </cell>
        </row>
        <row r="187">
          <cell r="P187">
            <v>82040504</v>
          </cell>
          <cell r="Q187" t="str">
            <v>CS</v>
          </cell>
          <cell r="R187">
            <v>120</v>
          </cell>
        </row>
        <row r="188">
          <cell r="P188">
            <v>82040505</v>
          </cell>
          <cell r="Q188" t="str">
            <v>CS</v>
          </cell>
          <cell r="R188">
            <v>100</v>
          </cell>
        </row>
        <row r="189">
          <cell r="P189">
            <v>82040689</v>
          </cell>
          <cell r="Q189" t="str">
            <v>CS</v>
          </cell>
          <cell r="R189">
            <v>48</v>
          </cell>
        </row>
        <row r="190">
          <cell r="P190">
            <v>82040727</v>
          </cell>
          <cell r="Q190" t="str">
            <v>CS</v>
          </cell>
          <cell r="R190">
            <v>78</v>
          </cell>
        </row>
        <row r="191">
          <cell r="P191">
            <v>82040736</v>
          </cell>
          <cell r="Q191" t="str">
            <v>CS</v>
          </cell>
          <cell r="R191">
            <v>114</v>
          </cell>
        </row>
        <row r="192">
          <cell r="P192">
            <v>82040739</v>
          </cell>
          <cell r="Q192" t="str">
            <v>CS</v>
          </cell>
          <cell r="R192">
            <v>72</v>
          </cell>
        </row>
        <row r="193">
          <cell r="P193">
            <v>82040740</v>
          </cell>
          <cell r="Q193" t="str">
            <v>CS</v>
          </cell>
          <cell r="R193">
            <v>171</v>
          </cell>
        </row>
        <row r="194">
          <cell r="P194">
            <v>82040742</v>
          </cell>
          <cell r="Q194" t="str">
            <v>CS</v>
          </cell>
          <cell r="R194">
            <v>120</v>
          </cell>
        </row>
        <row r="195">
          <cell r="P195">
            <v>82040799</v>
          </cell>
          <cell r="Q195" t="str">
            <v>CS</v>
          </cell>
          <cell r="R195">
            <v>108</v>
          </cell>
        </row>
        <row r="196">
          <cell r="P196">
            <v>82040889</v>
          </cell>
          <cell r="Q196" t="str">
            <v>CS</v>
          </cell>
          <cell r="R196">
            <v>100</v>
          </cell>
        </row>
        <row r="197">
          <cell r="P197">
            <v>82040892</v>
          </cell>
          <cell r="Q197" t="str">
            <v>CS</v>
          </cell>
          <cell r="R197">
            <v>80</v>
          </cell>
        </row>
        <row r="198">
          <cell r="P198">
            <v>82041095</v>
          </cell>
          <cell r="Q198" t="str">
            <v>CS</v>
          </cell>
          <cell r="R198">
            <v>75</v>
          </cell>
        </row>
        <row r="199">
          <cell r="P199">
            <v>82041325</v>
          </cell>
          <cell r="Q199" t="str">
            <v>CS</v>
          </cell>
          <cell r="R199">
            <v>108</v>
          </cell>
        </row>
        <row r="200">
          <cell r="P200">
            <v>82041375</v>
          </cell>
          <cell r="Q200" t="str">
            <v>CS</v>
          </cell>
          <cell r="R200">
            <v>100</v>
          </cell>
        </row>
        <row r="201">
          <cell r="P201">
            <v>82041376</v>
          </cell>
          <cell r="Q201" t="str">
            <v>CS</v>
          </cell>
          <cell r="R201">
            <v>112</v>
          </cell>
        </row>
        <row r="202">
          <cell r="P202">
            <v>82041504</v>
          </cell>
          <cell r="Q202" t="str">
            <v>CS</v>
          </cell>
          <cell r="R202">
            <v>114</v>
          </cell>
        </row>
        <row r="203">
          <cell r="P203">
            <v>82041505</v>
          </cell>
          <cell r="Q203" t="str">
            <v>CS</v>
          </cell>
          <cell r="R203">
            <v>72</v>
          </cell>
        </row>
        <row r="204">
          <cell r="P204">
            <v>82041506</v>
          </cell>
          <cell r="Q204" t="str">
            <v>CS</v>
          </cell>
          <cell r="R204">
            <v>144</v>
          </cell>
        </row>
        <row r="205">
          <cell r="P205">
            <v>82041507</v>
          </cell>
          <cell r="Q205" t="str">
            <v>CS</v>
          </cell>
          <cell r="R205">
            <v>120</v>
          </cell>
        </row>
        <row r="206">
          <cell r="P206">
            <v>82041903</v>
          </cell>
          <cell r="Q206" t="str">
            <v>CS</v>
          </cell>
          <cell r="R206">
            <v>35</v>
          </cell>
        </row>
        <row r="207">
          <cell r="P207">
            <v>82041905</v>
          </cell>
          <cell r="Q207" t="str">
            <v>CS</v>
          </cell>
          <cell r="R207">
            <v>28</v>
          </cell>
        </row>
        <row r="208">
          <cell r="P208">
            <v>82041906</v>
          </cell>
          <cell r="Q208" t="str">
            <v>CS</v>
          </cell>
          <cell r="R208">
            <v>28</v>
          </cell>
        </row>
        <row r="209">
          <cell r="P209">
            <v>82041907</v>
          </cell>
          <cell r="Q209" t="str">
            <v>CS</v>
          </cell>
          <cell r="R209">
            <v>16</v>
          </cell>
        </row>
        <row r="210">
          <cell r="P210">
            <v>82041909</v>
          </cell>
          <cell r="Q210" t="str">
            <v>CS</v>
          </cell>
          <cell r="R210">
            <v>32</v>
          </cell>
        </row>
        <row r="211">
          <cell r="P211">
            <v>82041910</v>
          </cell>
          <cell r="Q211" t="str">
            <v>CS</v>
          </cell>
          <cell r="R211">
            <v>24</v>
          </cell>
        </row>
        <row r="212">
          <cell r="P212">
            <v>82041911</v>
          </cell>
          <cell r="Q212" t="str">
            <v>CS</v>
          </cell>
          <cell r="R212">
            <v>24</v>
          </cell>
        </row>
        <row r="213">
          <cell r="P213">
            <v>82041914</v>
          </cell>
          <cell r="Q213" t="str">
            <v>CS</v>
          </cell>
          <cell r="R213">
            <v>24</v>
          </cell>
        </row>
        <row r="214">
          <cell r="P214">
            <v>82041954</v>
          </cell>
          <cell r="Q214" t="str">
            <v>CS</v>
          </cell>
          <cell r="R214">
            <v>90</v>
          </cell>
        </row>
        <row r="215">
          <cell r="P215">
            <v>82041956</v>
          </cell>
          <cell r="Q215" t="str">
            <v>CS</v>
          </cell>
          <cell r="R215">
            <v>90</v>
          </cell>
        </row>
        <row r="216">
          <cell r="P216">
            <v>82041957</v>
          </cell>
          <cell r="Q216" t="str">
            <v>CS</v>
          </cell>
          <cell r="R216">
            <v>90</v>
          </cell>
        </row>
        <row r="217">
          <cell r="P217">
            <v>82041958</v>
          </cell>
          <cell r="Q217" t="str">
            <v>CS</v>
          </cell>
          <cell r="R217">
            <v>90</v>
          </cell>
        </row>
        <row r="218">
          <cell r="P218">
            <v>82041959</v>
          </cell>
          <cell r="Q218" t="str">
            <v>CS</v>
          </cell>
          <cell r="R218">
            <v>90</v>
          </cell>
        </row>
        <row r="219">
          <cell r="P219">
            <v>82041963</v>
          </cell>
          <cell r="Q219" t="str">
            <v>CS</v>
          </cell>
          <cell r="R219">
            <v>90</v>
          </cell>
        </row>
        <row r="220">
          <cell r="P220">
            <v>82042112</v>
          </cell>
          <cell r="Q220" t="str">
            <v>CS</v>
          </cell>
          <cell r="R220">
            <v>136</v>
          </cell>
        </row>
        <row r="221">
          <cell r="P221">
            <v>82042154</v>
          </cell>
          <cell r="Q221" t="str">
            <v>CS</v>
          </cell>
          <cell r="R221">
            <v>260</v>
          </cell>
        </row>
        <row r="222">
          <cell r="P222">
            <v>82042161</v>
          </cell>
          <cell r="Q222" t="str">
            <v>CS</v>
          </cell>
          <cell r="R222">
            <v>144</v>
          </cell>
        </row>
        <row r="223">
          <cell r="P223">
            <v>82042165</v>
          </cell>
          <cell r="Q223" t="str">
            <v>CS</v>
          </cell>
          <cell r="R223">
            <v>114</v>
          </cell>
        </row>
        <row r="224">
          <cell r="P224">
            <v>82042166</v>
          </cell>
          <cell r="Q224" t="str">
            <v>CS</v>
          </cell>
          <cell r="R224">
            <v>114</v>
          </cell>
        </row>
        <row r="225">
          <cell r="P225">
            <v>82042167</v>
          </cell>
          <cell r="Q225" t="str">
            <v>CS</v>
          </cell>
          <cell r="R225">
            <v>72</v>
          </cell>
        </row>
        <row r="226">
          <cell r="P226">
            <v>82042168</v>
          </cell>
          <cell r="Q226" t="str">
            <v>CS</v>
          </cell>
          <cell r="R226">
            <v>120</v>
          </cell>
        </row>
        <row r="227">
          <cell r="P227">
            <v>82042169</v>
          </cell>
          <cell r="Q227" t="str">
            <v>CS</v>
          </cell>
          <cell r="R227">
            <v>171</v>
          </cell>
        </row>
        <row r="228">
          <cell r="P228">
            <v>82042170</v>
          </cell>
          <cell r="Q228" t="str">
            <v>CS</v>
          </cell>
          <cell r="R228">
            <v>171</v>
          </cell>
        </row>
        <row r="229">
          <cell r="P229">
            <v>82042390</v>
          </cell>
          <cell r="Q229" t="str">
            <v>CS</v>
          </cell>
          <cell r="R229">
            <v>84</v>
          </cell>
        </row>
        <row r="230">
          <cell r="P230">
            <v>82042767</v>
          </cell>
          <cell r="Q230" t="str">
            <v>CS</v>
          </cell>
          <cell r="R230">
            <v>56</v>
          </cell>
        </row>
        <row r="231">
          <cell r="P231">
            <v>82042770</v>
          </cell>
          <cell r="Q231" t="str">
            <v>CS</v>
          </cell>
          <cell r="R231">
            <v>63</v>
          </cell>
        </row>
        <row r="232">
          <cell r="P232">
            <v>82042771</v>
          </cell>
          <cell r="Q232" t="str">
            <v>CS</v>
          </cell>
          <cell r="R232">
            <v>54</v>
          </cell>
        </row>
        <row r="233">
          <cell r="P233">
            <v>82042779</v>
          </cell>
          <cell r="Q233" t="str">
            <v>CS</v>
          </cell>
          <cell r="R233">
            <v>54</v>
          </cell>
        </row>
        <row r="234">
          <cell r="P234">
            <v>82042780</v>
          </cell>
          <cell r="Q234" t="str">
            <v>CS</v>
          </cell>
          <cell r="R234">
            <v>54</v>
          </cell>
        </row>
        <row r="235">
          <cell r="P235">
            <v>82042783</v>
          </cell>
          <cell r="Q235" t="str">
            <v>CS</v>
          </cell>
          <cell r="R235">
            <v>56</v>
          </cell>
        </row>
        <row r="236">
          <cell r="P236">
            <v>82042989</v>
          </cell>
          <cell r="Q236" t="str">
            <v>CS</v>
          </cell>
          <cell r="R236">
            <v>80</v>
          </cell>
        </row>
        <row r="237">
          <cell r="P237">
            <v>82042992</v>
          </cell>
          <cell r="Q237" t="str">
            <v>CS</v>
          </cell>
          <cell r="R237">
            <v>48</v>
          </cell>
        </row>
        <row r="238">
          <cell r="P238">
            <v>82043004</v>
          </cell>
          <cell r="Q238" t="str">
            <v>CS</v>
          </cell>
          <cell r="R238">
            <v>64</v>
          </cell>
        </row>
        <row r="239">
          <cell r="P239">
            <v>82043007</v>
          </cell>
          <cell r="Q239" t="str">
            <v>CS</v>
          </cell>
          <cell r="R239">
            <v>48</v>
          </cell>
        </row>
        <row r="240">
          <cell r="P240">
            <v>82043589</v>
          </cell>
          <cell r="Q240" t="str">
            <v>CS</v>
          </cell>
          <cell r="R240">
            <v>80</v>
          </cell>
        </row>
        <row r="241">
          <cell r="P241">
            <v>82043636</v>
          </cell>
          <cell r="Q241" t="str">
            <v>CS</v>
          </cell>
          <cell r="R241">
            <v>104</v>
          </cell>
        </row>
        <row r="242">
          <cell r="P242">
            <v>82043684</v>
          </cell>
          <cell r="Q242" t="str">
            <v>CS</v>
          </cell>
          <cell r="R242">
            <v>24</v>
          </cell>
        </row>
        <row r="243">
          <cell r="P243">
            <v>82043685</v>
          </cell>
          <cell r="Q243" t="str">
            <v>CS</v>
          </cell>
          <cell r="R243">
            <v>44</v>
          </cell>
        </row>
        <row r="244">
          <cell r="P244">
            <v>82043686</v>
          </cell>
          <cell r="Q244" t="str">
            <v>CS</v>
          </cell>
          <cell r="R244">
            <v>15</v>
          </cell>
        </row>
        <row r="245">
          <cell r="P245">
            <v>82043687</v>
          </cell>
          <cell r="Q245" t="str">
            <v>CS</v>
          </cell>
          <cell r="R245">
            <v>30</v>
          </cell>
        </row>
        <row r="246">
          <cell r="P246">
            <v>82043688</v>
          </cell>
          <cell r="Q246" t="str">
            <v>CS</v>
          </cell>
          <cell r="R246">
            <v>30</v>
          </cell>
        </row>
        <row r="247">
          <cell r="P247">
            <v>82043698</v>
          </cell>
          <cell r="Q247" t="str">
            <v>CS</v>
          </cell>
          <cell r="R247">
            <v>66</v>
          </cell>
        </row>
        <row r="248">
          <cell r="P248">
            <v>82043699</v>
          </cell>
          <cell r="Q248" t="str">
            <v>CS</v>
          </cell>
          <cell r="R248">
            <v>66</v>
          </cell>
        </row>
        <row r="249">
          <cell r="P249">
            <v>82043700</v>
          </cell>
          <cell r="Q249" t="str">
            <v>CS</v>
          </cell>
          <cell r="R249">
            <v>92</v>
          </cell>
        </row>
        <row r="250">
          <cell r="P250">
            <v>82043714</v>
          </cell>
          <cell r="Q250" t="str">
            <v>CS</v>
          </cell>
          <cell r="R250">
            <v>64</v>
          </cell>
        </row>
        <row r="251">
          <cell r="P251">
            <v>82043717</v>
          </cell>
          <cell r="Q251" t="str">
            <v>CS</v>
          </cell>
          <cell r="R251">
            <v>64</v>
          </cell>
        </row>
        <row r="252">
          <cell r="P252">
            <v>82043736</v>
          </cell>
          <cell r="Q252" t="str">
            <v>CS</v>
          </cell>
          <cell r="R252">
            <v>92</v>
          </cell>
        </row>
        <row r="253">
          <cell r="P253">
            <v>82043737</v>
          </cell>
          <cell r="Q253" t="str">
            <v>CS</v>
          </cell>
          <cell r="R253">
            <v>36</v>
          </cell>
        </row>
        <row r="254">
          <cell r="P254">
            <v>82043738</v>
          </cell>
          <cell r="Q254" t="str">
            <v>CS</v>
          </cell>
          <cell r="R254">
            <v>80</v>
          </cell>
        </row>
        <row r="255">
          <cell r="P255">
            <v>82043741</v>
          </cell>
          <cell r="Q255" t="str">
            <v>CS</v>
          </cell>
          <cell r="R255">
            <v>92</v>
          </cell>
        </row>
        <row r="256">
          <cell r="P256">
            <v>82043742</v>
          </cell>
          <cell r="Q256" t="str">
            <v>CS</v>
          </cell>
          <cell r="R256">
            <v>36</v>
          </cell>
        </row>
        <row r="257">
          <cell r="P257">
            <v>82043746</v>
          </cell>
          <cell r="Q257" t="str">
            <v>CS</v>
          </cell>
          <cell r="R257">
            <v>92</v>
          </cell>
        </row>
        <row r="258">
          <cell r="P258">
            <v>82043747</v>
          </cell>
          <cell r="Q258" t="str">
            <v>CS</v>
          </cell>
          <cell r="R258">
            <v>80</v>
          </cell>
        </row>
        <row r="259">
          <cell r="P259">
            <v>82043748</v>
          </cell>
          <cell r="Q259" t="str">
            <v>CS</v>
          </cell>
          <cell r="R259">
            <v>36</v>
          </cell>
        </row>
        <row r="260">
          <cell r="P260">
            <v>82043754</v>
          </cell>
          <cell r="Q260" t="str">
            <v>CS</v>
          </cell>
          <cell r="R260">
            <v>64</v>
          </cell>
        </row>
        <row r="261">
          <cell r="P261">
            <v>82043755</v>
          </cell>
          <cell r="Q261" t="str">
            <v>CS</v>
          </cell>
          <cell r="R261">
            <v>48</v>
          </cell>
        </row>
        <row r="262">
          <cell r="P262">
            <v>82043908</v>
          </cell>
          <cell r="Q262" t="str">
            <v>CS</v>
          </cell>
          <cell r="R262">
            <v>78</v>
          </cell>
        </row>
        <row r="263">
          <cell r="P263">
            <v>82043933</v>
          </cell>
          <cell r="Q263" t="str">
            <v>CS</v>
          </cell>
          <cell r="R263">
            <v>90</v>
          </cell>
        </row>
        <row r="264">
          <cell r="P264">
            <v>82043978</v>
          </cell>
          <cell r="Q264" t="str">
            <v>CS</v>
          </cell>
          <cell r="R264">
            <v>96</v>
          </cell>
        </row>
        <row r="265">
          <cell r="P265">
            <v>82043992</v>
          </cell>
          <cell r="Q265" t="str">
            <v>CS</v>
          </cell>
          <cell r="R265">
            <v>99</v>
          </cell>
        </row>
        <row r="266">
          <cell r="P266">
            <v>82043993</v>
          </cell>
          <cell r="Q266" t="str">
            <v>CS</v>
          </cell>
          <cell r="R266">
            <v>96</v>
          </cell>
        </row>
        <row r="267">
          <cell r="P267">
            <v>82043994</v>
          </cell>
          <cell r="Q267" t="str">
            <v>CS</v>
          </cell>
          <cell r="R267">
            <v>108</v>
          </cell>
        </row>
        <row r="268">
          <cell r="P268">
            <v>82044083</v>
          </cell>
          <cell r="Q268" t="str">
            <v>CS</v>
          </cell>
          <cell r="R268">
            <v>48</v>
          </cell>
        </row>
        <row r="269">
          <cell r="P269">
            <v>82044084</v>
          </cell>
          <cell r="Q269" t="str">
            <v>CS</v>
          </cell>
          <cell r="R269">
            <v>64</v>
          </cell>
        </row>
        <row r="270">
          <cell r="P270">
            <v>82044204</v>
          </cell>
          <cell r="Q270" t="str">
            <v>CS</v>
          </cell>
          <cell r="R270">
            <v>144</v>
          </cell>
        </row>
        <row r="271">
          <cell r="P271">
            <v>82044272</v>
          </cell>
          <cell r="Q271" t="str">
            <v>CS</v>
          </cell>
          <cell r="R271">
            <v>80</v>
          </cell>
        </row>
        <row r="272">
          <cell r="P272">
            <v>82044435</v>
          </cell>
          <cell r="Q272" t="str">
            <v>CS</v>
          </cell>
          <cell r="R272">
            <v>200</v>
          </cell>
        </row>
        <row r="273">
          <cell r="P273">
            <v>82044437</v>
          </cell>
          <cell r="Q273" t="str">
            <v>CS</v>
          </cell>
          <cell r="R273">
            <v>140</v>
          </cell>
        </row>
        <row r="274">
          <cell r="P274">
            <v>82044540</v>
          </cell>
          <cell r="Q274" t="str">
            <v>CS</v>
          </cell>
          <cell r="R274">
            <v>100</v>
          </cell>
        </row>
        <row r="275">
          <cell r="P275">
            <v>82044663</v>
          </cell>
          <cell r="Q275" t="str">
            <v>CS</v>
          </cell>
          <cell r="R275">
            <v>40</v>
          </cell>
        </row>
        <row r="276">
          <cell r="P276">
            <v>82044666</v>
          </cell>
          <cell r="Q276" t="str">
            <v>CS</v>
          </cell>
          <cell r="R276">
            <v>40</v>
          </cell>
        </row>
        <row r="277">
          <cell r="P277">
            <v>82044678</v>
          </cell>
          <cell r="Q277" t="str">
            <v>CS</v>
          </cell>
          <cell r="R277">
            <v>64</v>
          </cell>
        </row>
        <row r="278">
          <cell r="P278">
            <v>82044690</v>
          </cell>
          <cell r="Q278" t="str">
            <v>CS</v>
          </cell>
          <cell r="R278">
            <v>66</v>
          </cell>
        </row>
        <row r="279">
          <cell r="P279">
            <v>82044710</v>
          </cell>
          <cell r="Q279" t="str">
            <v>CS</v>
          </cell>
          <cell r="R279">
            <v>92</v>
          </cell>
        </row>
        <row r="280">
          <cell r="P280">
            <v>82044713</v>
          </cell>
          <cell r="Q280" t="str">
            <v>CS</v>
          </cell>
          <cell r="R280">
            <v>92</v>
          </cell>
        </row>
        <row r="281">
          <cell r="P281">
            <v>82044723</v>
          </cell>
          <cell r="Q281" t="str">
            <v>CS</v>
          </cell>
          <cell r="R281">
            <v>90</v>
          </cell>
        </row>
        <row r="282">
          <cell r="P282">
            <v>82044752</v>
          </cell>
          <cell r="Q282" t="str">
            <v>CS</v>
          </cell>
          <cell r="R282">
            <v>80</v>
          </cell>
        </row>
        <row r="283">
          <cell r="P283">
            <v>82044757</v>
          </cell>
          <cell r="Q283" t="str">
            <v>CS</v>
          </cell>
          <cell r="R283">
            <v>100</v>
          </cell>
        </row>
        <row r="284">
          <cell r="P284">
            <v>82044766</v>
          </cell>
          <cell r="Q284" t="str">
            <v>CS</v>
          </cell>
          <cell r="R284">
            <v>92</v>
          </cell>
        </row>
        <row r="285">
          <cell r="P285">
            <v>82044772</v>
          </cell>
          <cell r="Q285" t="str">
            <v>CS</v>
          </cell>
          <cell r="R285">
            <v>92</v>
          </cell>
        </row>
        <row r="286">
          <cell r="P286">
            <v>82044780</v>
          </cell>
          <cell r="Q286" t="str">
            <v>CS</v>
          </cell>
          <cell r="R286">
            <v>104</v>
          </cell>
        </row>
        <row r="287">
          <cell r="P287">
            <v>82044815</v>
          </cell>
          <cell r="Q287" t="str">
            <v>CS</v>
          </cell>
          <cell r="R287">
            <v>92</v>
          </cell>
        </row>
        <row r="288">
          <cell r="P288">
            <v>82044822</v>
          </cell>
          <cell r="Q288" t="str">
            <v>CS</v>
          </cell>
          <cell r="R288">
            <v>92</v>
          </cell>
        </row>
        <row r="289">
          <cell r="P289">
            <v>82044824</v>
          </cell>
          <cell r="Q289" t="str">
            <v>CS</v>
          </cell>
          <cell r="R289">
            <v>80</v>
          </cell>
        </row>
        <row r="290">
          <cell r="P290">
            <v>82044859</v>
          </cell>
          <cell r="Q290" t="str">
            <v>CS</v>
          </cell>
          <cell r="R290">
            <v>100</v>
          </cell>
        </row>
        <row r="291">
          <cell r="P291">
            <v>82044873</v>
          </cell>
          <cell r="Q291" t="str">
            <v>CS</v>
          </cell>
          <cell r="R291">
            <v>100</v>
          </cell>
        </row>
        <row r="292">
          <cell r="P292">
            <v>82044875</v>
          </cell>
          <cell r="Q292" t="str">
            <v>CS</v>
          </cell>
          <cell r="R292">
            <v>100</v>
          </cell>
        </row>
        <row r="293">
          <cell r="P293">
            <v>82044876</v>
          </cell>
          <cell r="Q293" t="str">
            <v>CS</v>
          </cell>
          <cell r="R293">
            <v>100</v>
          </cell>
        </row>
        <row r="294">
          <cell r="P294">
            <v>82044878</v>
          </cell>
          <cell r="Q294" t="str">
            <v>CS</v>
          </cell>
          <cell r="R294">
            <v>92</v>
          </cell>
        </row>
        <row r="295">
          <cell r="P295">
            <v>82044879</v>
          </cell>
          <cell r="Q295" t="str">
            <v>CS</v>
          </cell>
          <cell r="R295">
            <v>92</v>
          </cell>
        </row>
        <row r="296">
          <cell r="P296">
            <v>82044889</v>
          </cell>
          <cell r="Q296" t="str">
            <v>CS</v>
          </cell>
          <cell r="R296">
            <v>80</v>
          </cell>
        </row>
        <row r="297">
          <cell r="P297">
            <v>82044890</v>
          </cell>
          <cell r="Q297" t="str">
            <v>CS</v>
          </cell>
          <cell r="R297">
            <v>92</v>
          </cell>
        </row>
        <row r="298">
          <cell r="P298">
            <v>82044892</v>
          </cell>
          <cell r="Q298" t="str">
            <v>CS</v>
          </cell>
          <cell r="R298">
            <v>80</v>
          </cell>
        </row>
        <row r="299">
          <cell r="P299">
            <v>82044897</v>
          </cell>
          <cell r="Q299" t="str">
            <v>CS</v>
          </cell>
          <cell r="R299">
            <v>80</v>
          </cell>
        </row>
        <row r="300">
          <cell r="P300">
            <v>82044902</v>
          </cell>
          <cell r="Q300" t="str">
            <v>CS</v>
          </cell>
          <cell r="R300">
            <v>80</v>
          </cell>
        </row>
        <row r="301">
          <cell r="P301">
            <v>82044909</v>
          </cell>
          <cell r="Q301" t="str">
            <v>CS</v>
          </cell>
          <cell r="R301">
            <v>40</v>
          </cell>
        </row>
        <row r="302">
          <cell r="P302">
            <v>82044910</v>
          </cell>
          <cell r="Q302" t="str">
            <v>CS</v>
          </cell>
          <cell r="R302">
            <v>40</v>
          </cell>
        </row>
        <row r="303">
          <cell r="P303">
            <v>82044912</v>
          </cell>
          <cell r="Q303" t="str">
            <v>CS</v>
          </cell>
          <cell r="R303">
            <v>40</v>
          </cell>
        </row>
        <row r="304">
          <cell r="P304">
            <v>82044913</v>
          </cell>
          <cell r="Q304" t="str">
            <v>CS</v>
          </cell>
          <cell r="R304">
            <v>40</v>
          </cell>
        </row>
        <row r="305">
          <cell r="P305">
            <v>82044914</v>
          </cell>
          <cell r="Q305" t="str">
            <v>CS</v>
          </cell>
          <cell r="R305">
            <v>40</v>
          </cell>
        </row>
        <row r="306">
          <cell r="P306">
            <v>82044922</v>
          </cell>
          <cell r="Q306" t="str">
            <v>CS</v>
          </cell>
          <cell r="R306">
            <v>36</v>
          </cell>
        </row>
        <row r="307">
          <cell r="P307">
            <v>82044923</v>
          </cell>
          <cell r="Q307" t="str">
            <v>CS</v>
          </cell>
          <cell r="R307">
            <v>36</v>
          </cell>
        </row>
        <row r="308">
          <cell r="P308">
            <v>82045011</v>
          </cell>
          <cell r="Q308" t="str">
            <v>CS</v>
          </cell>
          <cell r="R308">
            <v>75</v>
          </cell>
        </row>
        <row r="309">
          <cell r="P309">
            <v>82045013</v>
          </cell>
          <cell r="Q309" t="str">
            <v>CS</v>
          </cell>
          <cell r="R309">
            <v>96</v>
          </cell>
        </row>
        <row r="310">
          <cell r="P310">
            <v>82045057</v>
          </cell>
          <cell r="Q310" t="str">
            <v>CS</v>
          </cell>
          <cell r="R310">
            <v>48</v>
          </cell>
        </row>
        <row r="311">
          <cell r="P311">
            <v>82045066</v>
          </cell>
          <cell r="Q311" t="str">
            <v>CS</v>
          </cell>
          <cell r="R311">
            <v>84</v>
          </cell>
        </row>
        <row r="312">
          <cell r="P312">
            <v>82045067</v>
          </cell>
          <cell r="Q312" t="str">
            <v>CS</v>
          </cell>
          <cell r="R312">
            <v>80</v>
          </cell>
        </row>
        <row r="313">
          <cell r="P313">
            <v>82045068</v>
          </cell>
          <cell r="Q313" t="str">
            <v>CS</v>
          </cell>
          <cell r="R313">
            <v>80</v>
          </cell>
        </row>
        <row r="314">
          <cell r="P314">
            <v>82045073</v>
          </cell>
          <cell r="Q314" t="str">
            <v>CS</v>
          </cell>
          <cell r="R314">
            <v>80</v>
          </cell>
        </row>
        <row r="315">
          <cell r="P315">
            <v>82045074</v>
          </cell>
          <cell r="Q315" t="str">
            <v>CS</v>
          </cell>
          <cell r="R315">
            <v>80</v>
          </cell>
        </row>
        <row r="316">
          <cell r="P316">
            <v>82045077</v>
          </cell>
          <cell r="Q316" t="str">
            <v>CS</v>
          </cell>
          <cell r="R316">
            <v>90</v>
          </cell>
        </row>
        <row r="317">
          <cell r="P317">
            <v>82045078</v>
          </cell>
          <cell r="Q317" t="str">
            <v>CS</v>
          </cell>
          <cell r="R317">
            <v>90</v>
          </cell>
        </row>
        <row r="318">
          <cell r="P318">
            <v>82045080</v>
          </cell>
          <cell r="Q318" t="str">
            <v>CS</v>
          </cell>
          <cell r="R318">
            <v>80</v>
          </cell>
        </row>
        <row r="319">
          <cell r="P319">
            <v>82045081</v>
          </cell>
          <cell r="Q319" t="str">
            <v>CS</v>
          </cell>
          <cell r="R319">
            <v>80</v>
          </cell>
        </row>
        <row r="320">
          <cell r="P320">
            <v>82045081</v>
          </cell>
          <cell r="Q320" t="str">
            <v>CS</v>
          </cell>
          <cell r="R320">
            <v>80</v>
          </cell>
        </row>
        <row r="321">
          <cell r="P321">
            <v>82045083</v>
          </cell>
          <cell r="Q321" t="str">
            <v>CS</v>
          </cell>
          <cell r="R321">
            <v>78</v>
          </cell>
        </row>
        <row r="322">
          <cell r="P322">
            <v>82045088</v>
          </cell>
          <cell r="Q322" t="str">
            <v>CS</v>
          </cell>
          <cell r="R322">
            <v>78</v>
          </cell>
        </row>
        <row r="323">
          <cell r="P323">
            <v>82045089</v>
          </cell>
          <cell r="Q323" t="str">
            <v>CS</v>
          </cell>
          <cell r="R323">
            <v>64</v>
          </cell>
        </row>
        <row r="324">
          <cell r="P324">
            <v>82045092</v>
          </cell>
          <cell r="Q324" t="str">
            <v>CS</v>
          </cell>
          <cell r="R324">
            <v>64</v>
          </cell>
        </row>
        <row r="325">
          <cell r="P325">
            <v>82045093</v>
          </cell>
          <cell r="Q325" t="str">
            <v>CS</v>
          </cell>
          <cell r="R325">
            <v>90</v>
          </cell>
        </row>
        <row r="326">
          <cell r="P326">
            <v>82045094</v>
          </cell>
          <cell r="Q326" t="str">
            <v>CS</v>
          </cell>
          <cell r="R326">
            <v>96</v>
          </cell>
        </row>
        <row r="327">
          <cell r="P327">
            <v>82045097</v>
          </cell>
          <cell r="Q327" t="str">
            <v>CS</v>
          </cell>
          <cell r="R327">
            <v>96</v>
          </cell>
        </row>
        <row r="328">
          <cell r="P328">
            <v>82045098</v>
          </cell>
          <cell r="Q328" t="str">
            <v>CS</v>
          </cell>
          <cell r="R328">
            <v>96</v>
          </cell>
        </row>
        <row r="329">
          <cell r="P329">
            <v>82045099</v>
          </cell>
          <cell r="Q329" t="str">
            <v>CS</v>
          </cell>
          <cell r="R329">
            <v>64</v>
          </cell>
        </row>
        <row r="330">
          <cell r="P330">
            <v>82045100</v>
          </cell>
          <cell r="Q330" t="str">
            <v>CS</v>
          </cell>
          <cell r="R330">
            <v>64</v>
          </cell>
        </row>
        <row r="331">
          <cell r="P331">
            <v>82045101</v>
          </cell>
          <cell r="Q331" t="str">
            <v>CS</v>
          </cell>
          <cell r="R331">
            <v>64</v>
          </cell>
        </row>
        <row r="332">
          <cell r="P332">
            <v>82045102</v>
          </cell>
          <cell r="Q332" t="str">
            <v>CS</v>
          </cell>
          <cell r="R332">
            <v>48</v>
          </cell>
        </row>
        <row r="333">
          <cell r="P333">
            <v>82045103</v>
          </cell>
          <cell r="Q333" t="str">
            <v>CS</v>
          </cell>
          <cell r="R333">
            <v>48</v>
          </cell>
        </row>
        <row r="334">
          <cell r="P334">
            <v>82045104</v>
          </cell>
          <cell r="Q334" t="str">
            <v>CS</v>
          </cell>
          <cell r="R334">
            <v>48</v>
          </cell>
        </row>
        <row r="335">
          <cell r="P335">
            <v>82045106</v>
          </cell>
          <cell r="Q335" t="str">
            <v>CS</v>
          </cell>
          <cell r="R335">
            <v>100</v>
          </cell>
        </row>
        <row r="336">
          <cell r="P336">
            <v>82045107</v>
          </cell>
          <cell r="Q336" t="str">
            <v>CS</v>
          </cell>
          <cell r="R336">
            <v>48</v>
          </cell>
        </row>
        <row r="337">
          <cell r="P337">
            <v>82045108</v>
          </cell>
          <cell r="Q337" t="str">
            <v>CS</v>
          </cell>
          <cell r="R337">
            <v>92</v>
          </cell>
        </row>
        <row r="338">
          <cell r="P338">
            <v>82045109</v>
          </cell>
          <cell r="Q338" t="str">
            <v>CS</v>
          </cell>
          <cell r="R338">
            <v>64</v>
          </cell>
        </row>
        <row r="339">
          <cell r="P339">
            <v>82045112</v>
          </cell>
          <cell r="Q339" t="str">
            <v>CS</v>
          </cell>
          <cell r="R339">
            <v>92</v>
          </cell>
        </row>
        <row r="340">
          <cell r="P340">
            <v>82045114</v>
          </cell>
          <cell r="Q340" t="str">
            <v>CS</v>
          </cell>
          <cell r="R340">
            <v>80</v>
          </cell>
        </row>
        <row r="341">
          <cell r="P341">
            <v>82045115</v>
          </cell>
          <cell r="Q341" t="str">
            <v>CS</v>
          </cell>
          <cell r="R341">
            <v>80</v>
          </cell>
        </row>
        <row r="342">
          <cell r="P342">
            <v>82045119</v>
          </cell>
          <cell r="Q342" t="str">
            <v>CS</v>
          </cell>
          <cell r="R342">
            <v>78</v>
          </cell>
        </row>
        <row r="343">
          <cell r="P343">
            <v>82045120</v>
          </cell>
          <cell r="Q343" t="str">
            <v>CS</v>
          </cell>
          <cell r="R343">
            <v>80</v>
          </cell>
        </row>
        <row r="344">
          <cell r="P344">
            <v>82045130</v>
          </cell>
          <cell r="Q344" t="str">
            <v>CS</v>
          </cell>
          <cell r="R344">
            <v>100</v>
          </cell>
        </row>
        <row r="345">
          <cell r="P345">
            <v>82045140</v>
          </cell>
          <cell r="Q345" t="str">
            <v>CS</v>
          </cell>
          <cell r="R345">
            <v>48</v>
          </cell>
        </row>
        <row r="346">
          <cell r="P346">
            <v>82045141</v>
          </cell>
          <cell r="Q346" t="str">
            <v>CS</v>
          </cell>
          <cell r="R346">
            <v>64</v>
          </cell>
        </row>
        <row r="347">
          <cell r="P347">
            <v>82045142</v>
          </cell>
          <cell r="Q347" t="str">
            <v>CS</v>
          </cell>
          <cell r="R347">
            <v>96</v>
          </cell>
        </row>
        <row r="348">
          <cell r="P348">
            <v>82045144</v>
          </cell>
          <cell r="Q348" t="str">
            <v>CS</v>
          </cell>
          <cell r="R348">
            <v>92</v>
          </cell>
        </row>
        <row r="349">
          <cell r="P349">
            <v>82045145</v>
          </cell>
          <cell r="Q349" t="str">
            <v>CS</v>
          </cell>
          <cell r="R349">
            <v>80</v>
          </cell>
        </row>
        <row r="350">
          <cell r="P350">
            <v>82045146</v>
          </cell>
          <cell r="Q350" t="str">
            <v>CS</v>
          </cell>
          <cell r="R350">
            <v>80</v>
          </cell>
        </row>
        <row r="351">
          <cell r="P351">
            <v>82045173</v>
          </cell>
          <cell r="Q351" t="str">
            <v>CS</v>
          </cell>
          <cell r="R351">
            <v>100</v>
          </cell>
        </row>
        <row r="352">
          <cell r="P352">
            <v>82045178</v>
          </cell>
          <cell r="Q352" t="str">
            <v>CS</v>
          </cell>
          <cell r="R352">
            <v>100</v>
          </cell>
        </row>
        <row r="353">
          <cell r="P353">
            <v>82045181</v>
          </cell>
          <cell r="Q353" t="str">
            <v>CS</v>
          </cell>
          <cell r="R353">
            <v>104</v>
          </cell>
        </row>
        <row r="354">
          <cell r="P354">
            <v>82045189</v>
          </cell>
          <cell r="Q354" t="str">
            <v>CS</v>
          </cell>
          <cell r="R354">
            <v>80</v>
          </cell>
        </row>
        <row r="355">
          <cell r="P355">
            <v>82045190</v>
          </cell>
          <cell r="Q355" t="str">
            <v>CS</v>
          </cell>
          <cell r="R355">
            <v>80</v>
          </cell>
        </row>
        <row r="356">
          <cell r="P356">
            <v>82045193</v>
          </cell>
          <cell r="Q356" t="str">
            <v>CS</v>
          </cell>
          <cell r="R356">
            <v>80</v>
          </cell>
        </row>
        <row r="357">
          <cell r="P357">
            <v>82045194</v>
          </cell>
          <cell r="Q357" t="str">
            <v>CS</v>
          </cell>
          <cell r="R357">
            <v>84</v>
          </cell>
        </row>
        <row r="358">
          <cell r="P358">
            <v>82045195</v>
          </cell>
          <cell r="Q358" t="str">
            <v>CS</v>
          </cell>
          <cell r="R358">
            <v>84</v>
          </cell>
        </row>
        <row r="359">
          <cell r="P359">
            <v>82045196</v>
          </cell>
          <cell r="Q359" t="str">
            <v>CS</v>
          </cell>
          <cell r="R359">
            <v>90</v>
          </cell>
        </row>
        <row r="360">
          <cell r="P360">
            <v>82045197</v>
          </cell>
          <cell r="Q360" t="str">
            <v>CS</v>
          </cell>
          <cell r="R360">
            <v>104</v>
          </cell>
        </row>
        <row r="361">
          <cell r="P361">
            <v>82045198</v>
          </cell>
          <cell r="Q361" t="str">
            <v>CS</v>
          </cell>
          <cell r="R361">
            <v>80</v>
          </cell>
        </row>
        <row r="362">
          <cell r="P362">
            <v>82045201</v>
          </cell>
          <cell r="Q362" t="str">
            <v>CS</v>
          </cell>
          <cell r="R362">
            <v>90</v>
          </cell>
        </row>
        <row r="363">
          <cell r="P363">
            <v>82045203</v>
          </cell>
          <cell r="Q363" t="str">
            <v>CS</v>
          </cell>
          <cell r="R363">
            <v>78</v>
          </cell>
        </row>
        <row r="364">
          <cell r="P364">
            <v>82045204</v>
          </cell>
          <cell r="Q364" t="str">
            <v>CS</v>
          </cell>
          <cell r="R364">
            <v>78</v>
          </cell>
        </row>
        <row r="365">
          <cell r="P365">
            <v>82045206</v>
          </cell>
          <cell r="Q365" t="str">
            <v>CS</v>
          </cell>
          <cell r="R365">
            <v>75</v>
          </cell>
        </row>
        <row r="366">
          <cell r="P366">
            <v>82045207</v>
          </cell>
          <cell r="Q366" t="str">
            <v>CS</v>
          </cell>
          <cell r="R366">
            <v>80</v>
          </cell>
        </row>
        <row r="367">
          <cell r="P367">
            <v>82045209</v>
          </cell>
          <cell r="Q367" t="str">
            <v>CS</v>
          </cell>
          <cell r="R367">
            <v>90</v>
          </cell>
        </row>
        <row r="368">
          <cell r="P368">
            <v>82045210</v>
          </cell>
          <cell r="Q368" t="str">
            <v>CS</v>
          </cell>
          <cell r="R368">
            <v>80</v>
          </cell>
        </row>
        <row r="369">
          <cell r="P369">
            <v>82045216</v>
          </cell>
          <cell r="Q369" t="str">
            <v>CS</v>
          </cell>
          <cell r="R369">
            <v>75</v>
          </cell>
        </row>
        <row r="370">
          <cell r="P370">
            <v>82045217</v>
          </cell>
          <cell r="Q370" t="str">
            <v>CS</v>
          </cell>
          <cell r="R370">
            <v>84</v>
          </cell>
        </row>
        <row r="371">
          <cell r="P371">
            <v>82045218</v>
          </cell>
          <cell r="Q371" t="str">
            <v>CS</v>
          </cell>
          <cell r="R371">
            <v>90</v>
          </cell>
        </row>
        <row r="372">
          <cell r="P372">
            <v>82045219</v>
          </cell>
          <cell r="Q372" t="str">
            <v>CS</v>
          </cell>
          <cell r="R372">
            <v>80</v>
          </cell>
        </row>
        <row r="373">
          <cell r="P373">
            <v>82045220</v>
          </cell>
          <cell r="Q373" t="str">
            <v>CS</v>
          </cell>
          <cell r="R373">
            <v>90</v>
          </cell>
        </row>
        <row r="374">
          <cell r="P374">
            <v>82045221</v>
          </cell>
          <cell r="Q374" t="str">
            <v>CS</v>
          </cell>
          <cell r="R374">
            <v>80</v>
          </cell>
        </row>
        <row r="375">
          <cell r="P375">
            <v>82045222</v>
          </cell>
          <cell r="Q375" t="str">
            <v>CS</v>
          </cell>
          <cell r="R375">
            <v>48</v>
          </cell>
        </row>
        <row r="376">
          <cell r="P376">
            <v>82045223</v>
          </cell>
          <cell r="Q376" t="str">
            <v>CS</v>
          </cell>
          <cell r="R376">
            <v>92</v>
          </cell>
        </row>
        <row r="377">
          <cell r="P377">
            <v>82045224</v>
          </cell>
          <cell r="Q377" t="str">
            <v>CS</v>
          </cell>
          <cell r="R377">
            <v>80</v>
          </cell>
        </row>
        <row r="378">
          <cell r="P378">
            <v>82045226</v>
          </cell>
          <cell r="Q378" t="str">
            <v>CS</v>
          </cell>
          <cell r="R378">
            <v>100</v>
          </cell>
        </row>
        <row r="379">
          <cell r="P379">
            <v>82045227</v>
          </cell>
          <cell r="Q379" t="str">
            <v>CS</v>
          </cell>
          <cell r="R379">
            <v>140</v>
          </cell>
        </row>
        <row r="380">
          <cell r="P380">
            <v>82045228</v>
          </cell>
          <cell r="Q380" t="str">
            <v>CS</v>
          </cell>
          <cell r="R380">
            <v>75</v>
          </cell>
        </row>
        <row r="381">
          <cell r="P381">
            <v>82045239</v>
          </cell>
          <cell r="Q381" t="str">
            <v>CS</v>
          </cell>
          <cell r="R381">
            <v>80</v>
          </cell>
        </row>
        <row r="382">
          <cell r="P382">
            <v>82045242</v>
          </cell>
          <cell r="Q382" t="str">
            <v>CS</v>
          </cell>
          <cell r="R382">
            <v>90</v>
          </cell>
        </row>
        <row r="383">
          <cell r="P383">
            <v>82045243</v>
          </cell>
          <cell r="Q383" t="str">
            <v>CS</v>
          </cell>
          <cell r="R383">
            <v>80</v>
          </cell>
        </row>
        <row r="384">
          <cell r="P384">
            <v>82045256</v>
          </cell>
          <cell r="Q384" t="str">
            <v>CS</v>
          </cell>
          <cell r="R384">
            <v>104</v>
          </cell>
        </row>
        <row r="385">
          <cell r="P385">
            <v>82045257</v>
          </cell>
          <cell r="Q385" t="str">
            <v>CS</v>
          </cell>
          <cell r="R385">
            <v>32</v>
          </cell>
        </row>
        <row r="386">
          <cell r="P386">
            <v>82045258</v>
          </cell>
          <cell r="Q386" t="str">
            <v>CS</v>
          </cell>
          <cell r="R386">
            <v>18</v>
          </cell>
        </row>
        <row r="387">
          <cell r="P387">
            <v>82045264</v>
          </cell>
          <cell r="Q387" t="str">
            <v>CS</v>
          </cell>
          <cell r="R387">
            <v>54</v>
          </cell>
        </row>
        <row r="388">
          <cell r="P388">
            <v>82045265</v>
          </cell>
          <cell r="Q388" t="str">
            <v>CS</v>
          </cell>
          <cell r="R388">
            <v>42</v>
          </cell>
        </row>
        <row r="389">
          <cell r="P389">
            <v>82045266</v>
          </cell>
          <cell r="Q389" t="str">
            <v>CS</v>
          </cell>
          <cell r="R389">
            <v>30</v>
          </cell>
        </row>
        <row r="390">
          <cell r="P390">
            <v>82045268</v>
          </cell>
          <cell r="Q390" t="str">
            <v>CS</v>
          </cell>
          <cell r="R390">
            <v>30</v>
          </cell>
        </row>
        <row r="391">
          <cell r="P391">
            <v>82045269</v>
          </cell>
          <cell r="Q391" t="str">
            <v>CS</v>
          </cell>
          <cell r="R391">
            <v>24</v>
          </cell>
        </row>
        <row r="392">
          <cell r="P392">
            <v>82045270</v>
          </cell>
          <cell r="Q392" t="str">
            <v>CS</v>
          </cell>
          <cell r="R392">
            <v>30</v>
          </cell>
        </row>
        <row r="393">
          <cell r="P393">
            <v>82045271</v>
          </cell>
          <cell r="Q393" t="str">
            <v>CS</v>
          </cell>
          <cell r="R393">
            <v>92</v>
          </cell>
        </row>
        <row r="394">
          <cell r="P394">
            <v>82045274</v>
          </cell>
          <cell r="Q394" t="str">
            <v>CS</v>
          </cell>
          <cell r="R394">
            <v>92</v>
          </cell>
        </row>
        <row r="395">
          <cell r="P395">
            <v>82045286</v>
          </cell>
          <cell r="Q395" t="str">
            <v>CS</v>
          </cell>
          <cell r="R395">
            <v>104</v>
          </cell>
        </row>
        <row r="396">
          <cell r="P396">
            <v>82045287</v>
          </cell>
          <cell r="Q396" t="str">
            <v>CS</v>
          </cell>
          <cell r="R396">
            <v>80</v>
          </cell>
        </row>
        <row r="397">
          <cell r="P397">
            <v>82045288</v>
          </cell>
          <cell r="Q397" t="str">
            <v>CS</v>
          </cell>
          <cell r="R397">
            <v>104</v>
          </cell>
        </row>
        <row r="398">
          <cell r="P398">
            <v>82045291</v>
          </cell>
          <cell r="Q398" t="str">
            <v>CS</v>
          </cell>
          <cell r="R398">
            <v>100</v>
          </cell>
        </row>
        <row r="399">
          <cell r="P399">
            <v>82045306</v>
          </cell>
          <cell r="Q399" t="str">
            <v>CS</v>
          </cell>
          <cell r="R399">
            <v>104</v>
          </cell>
        </row>
        <row r="400">
          <cell r="P400">
            <v>82045342</v>
          </cell>
          <cell r="Q400" t="str">
            <v>CS</v>
          </cell>
          <cell r="R400">
            <v>90</v>
          </cell>
        </row>
        <row r="401">
          <cell r="P401">
            <v>82045343</v>
          </cell>
          <cell r="Q401" t="str">
            <v>CS</v>
          </cell>
          <cell r="R401">
            <v>90</v>
          </cell>
        </row>
        <row r="402">
          <cell r="P402">
            <v>82045344</v>
          </cell>
          <cell r="Q402" t="str">
            <v>CS</v>
          </cell>
          <cell r="R402">
            <v>90</v>
          </cell>
        </row>
        <row r="403">
          <cell r="P403">
            <v>82045345</v>
          </cell>
          <cell r="Q403" t="str">
            <v>CS</v>
          </cell>
          <cell r="R403">
            <v>90</v>
          </cell>
        </row>
        <row r="404">
          <cell r="P404">
            <v>82045346</v>
          </cell>
          <cell r="Q404" t="str">
            <v>CS</v>
          </cell>
          <cell r="R404">
            <v>90</v>
          </cell>
        </row>
        <row r="405">
          <cell r="P405">
            <v>82045359</v>
          </cell>
          <cell r="Q405" t="str">
            <v>CS</v>
          </cell>
          <cell r="R405">
            <v>90</v>
          </cell>
        </row>
        <row r="406">
          <cell r="P406">
            <v>82045360</v>
          </cell>
          <cell r="Q406" t="str">
            <v>CS</v>
          </cell>
          <cell r="R406">
            <v>117</v>
          </cell>
        </row>
        <row r="407">
          <cell r="P407">
            <v>82045400</v>
          </cell>
          <cell r="Q407" t="str">
            <v>CS</v>
          </cell>
          <cell r="R407">
            <v>96</v>
          </cell>
        </row>
        <row r="408">
          <cell r="P408">
            <v>82045401</v>
          </cell>
          <cell r="Q408" t="str">
            <v>CS</v>
          </cell>
          <cell r="R408">
            <v>84</v>
          </cell>
        </row>
        <row r="409">
          <cell r="P409">
            <v>82045402</v>
          </cell>
          <cell r="Q409" t="str">
            <v>CS</v>
          </cell>
          <cell r="R409">
            <v>80</v>
          </cell>
        </row>
        <row r="410">
          <cell r="P410">
            <v>82045405</v>
          </cell>
          <cell r="Q410" t="str">
            <v>CS</v>
          </cell>
          <cell r="R410">
            <v>90</v>
          </cell>
        </row>
        <row r="411">
          <cell r="P411">
            <v>82045408</v>
          </cell>
          <cell r="Q411" t="str">
            <v>CS</v>
          </cell>
          <cell r="R411">
            <v>100</v>
          </cell>
        </row>
        <row r="412">
          <cell r="P412">
            <v>82045467</v>
          </cell>
          <cell r="Q412" t="str">
            <v>CS</v>
          </cell>
          <cell r="R412">
            <v>48</v>
          </cell>
        </row>
        <row r="413">
          <cell r="P413">
            <v>82045468</v>
          </cell>
          <cell r="Q413" t="str">
            <v>CS</v>
          </cell>
          <cell r="R413">
            <v>92</v>
          </cell>
        </row>
        <row r="414">
          <cell r="P414">
            <v>82045469</v>
          </cell>
          <cell r="Q414" t="str">
            <v>CS</v>
          </cell>
          <cell r="R414">
            <v>90</v>
          </cell>
        </row>
        <row r="415">
          <cell r="P415">
            <v>82045470</v>
          </cell>
          <cell r="Q415" t="str">
            <v>CS</v>
          </cell>
          <cell r="R415">
            <v>100</v>
          </cell>
        </row>
        <row r="416">
          <cell r="P416">
            <v>82045471</v>
          </cell>
          <cell r="Q416" t="str">
            <v>CS</v>
          </cell>
          <cell r="R416">
            <v>180</v>
          </cell>
        </row>
        <row r="417">
          <cell r="P417">
            <v>82045472</v>
          </cell>
          <cell r="Q417" t="str">
            <v>CS</v>
          </cell>
          <cell r="R417">
            <v>100</v>
          </cell>
        </row>
        <row r="418">
          <cell r="P418">
            <v>82045473</v>
          </cell>
          <cell r="Q418" t="str">
            <v>CS</v>
          </cell>
          <cell r="R418">
            <v>171</v>
          </cell>
        </row>
        <row r="419">
          <cell r="P419">
            <v>82045474</v>
          </cell>
          <cell r="Q419" t="str">
            <v>CS</v>
          </cell>
          <cell r="R419">
            <v>171</v>
          </cell>
        </row>
        <row r="420">
          <cell r="P420">
            <v>82045478</v>
          </cell>
          <cell r="Q420" t="str">
            <v>CS</v>
          </cell>
          <cell r="R420">
            <v>72</v>
          </cell>
        </row>
        <row r="421">
          <cell r="P421">
            <v>82045479</v>
          </cell>
          <cell r="Q421" t="str">
            <v>CS</v>
          </cell>
          <cell r="R421">
            <v>114</v>
          </cell>
        </row>
        <row r="422">
          <cell r="P422">
            <v>82045481</v>
          </cell>
          <cell r="Q422" t="str">
            <v>CS</v>
          </cell>
          <cell r="R422">
            <v>44</v>
          </cell>
        </row>
        <row r="423">
          <cell r="P423">
            <v>82045482</v>
          </cell>
          <cell r="Q423" t="str">
            <v>CS</v>
          </cell>
          <cell r="R423">
            <v>90</v>
          </cell>
        </row>
        <row r="424">
          <cell r="P424">
            <v>82045483</v>
          </cell>
          <cell r="Q424" t="str">
            <v>CS</v>
          </cell>
          <cell r="R424">
            <v>54</v>
          </cell>
        </row>
        <row r="425">
          <cell r="P425">
            <v>82045487</v>
          </cell>
          <cell r="Q425" t="str">
            <v>CS</v>
          </cell>
          <cell r="R425">
            <v>120</v>
          </cell>
        </row>
        <row r="426">
          <cell r="P426">
            <v>82045488</v>
          </cell>
          <cell r="Q426" t="str">
            <v>CS</v>
          </cell>
          <cell r="R426">
            <v>120</v>
          </cell>
        </row>
        <row r="427">
          <cell r="P427">
            <v>82045490</v>
          </cell>
          <cell r="Q427" t="str">
            <v>CS</v>
          </cell>
          <cell r="R427">
            <v>48</v>
          </cell>
        </row>
        <row r="428">
          <cell r="P428">
            <v>82045495</v>
          </cell>
          <cell r="Q428" t="str">
            <v>CS</v>
          </cell>
          <cell r="R428">
            <v>88</v>
          </cell>
        </row>
        <row r="429">
          <cell r="P429">
            <v>82045511</v>
          </cell>
          <cell r="Q429" t="str">
            <v>CS</v>
          </cell>
          <cell r="R429">
            <v>287</v>
          </cell>
        </row>
        <row r="430">
          <cell r="P430">
            <v>82045512</v>
          </cell>
          <cell r="Q430" t="str">
            <v>CS</v>
          </cell>
          <cell r="R430">
            <v>287</v>
          </cell>
        </row>
        <row r="431">
          <cell r="P431">
            <v>82045517</v>
          </cell>
          <cell r="Q431" t="str">
            <v>CS</v>
          </cell>
          <cell r="R431">
            <v>210</v>
          </cell>
        </row>
        <row r="432">
          <cell r="P432">
            <v>82045518</v>
          </cell>
          <cell r="Q432" t="str">
            <v>CS</v>
          </cell>
          <cell r="R432">
            <v>210</v>
          </cell>
        </row>
        <row r="433">
          <cell r="P433">
            <v>82045521</v>
          </cell>
          <cell r="Q433" t="str">
            <v>CS</v>
          </cell>
          <cell r="R433">
            <v>48</v>
          </cell>
        </row>
        <row r="434">
          <cell r="P434">
            <v>82045524</v>
          </cell>
          <cell r="Q434" t="str">
            <v>CS</v>
          </cell>
          <cell r="R434">
            <v>92</v>
          </cell>
        </row>
        <row r="435">
          <cell r="P435">
            <v>82045530</v>
          </cell>
          <cell r="Q435" t="str">
            <v>CS</v>
          </cell>
          <cell r="R435">
            <v>45</v>
          </cell>
        </row>
        <row r="436">
          <cell r="P436">
            <v>82045531</v>
          </cell>
          <cell r="Q436" t="str">
            <v>CS</v>
          </cell>
          <cell r="R436">
            <v>80</v>
          </cell>
        </row>
        <row r="437">
          <cell r="P437">
            <v>82045541</v>
          </cell>
          <cell r="Q437" t="str">
            <v>CS</v>
          </cell>
          <cell r="R437">
            <v>90</v>
          </cell>
        </row>
        <row r="438">
          <cell r="P438">
            <v>82045542</v>
          </cell>
          <cell r="Q438" t="str">
            <v>CS</v>
          </cell>
          <cell r="R438">
            <v>48</v>
          </cell>
        </row>
        <row r="439">
          <cell r="P439">
            <v>82045543</v>
          </cell>
          <cell r="Q439" t="str">
            <v>CS</v>
          </cell>
          <cell r="R439">
            <v>92</v>
          </cell>
        </row>
        <row r="440">
          <cell r="P440">
            <v>82045544</v>
          </cell>
          <cell r="Q440" t="str">
            <v>CS</v>
          </cell>
          <cell r="R440">
            <v>80</v>
          </cell>
        </row>
        <row r="441">
          <cell r="P441">
            <v>82045547</v>
          </cell>
          <cell r="Q441" t="str">
            <v>CS</v>
          </cell>
          <cell r="R441">
            <v>64</v>
          </cell>
        </row>
        <row r="442">
          <cell r="P442">
            <v>82045548</v>
          </cell>
          <cell r="Q442" t="str">
            <v>CS</v>
          </cell>
          <cell r="R442">
            <v>90</v>
          </cell>
        </row>
        <row r="443">
          <cell r="P443">
            <v>82045549</v>
          </cell>
          <cell r="Q443" t="str">
            <v>CS</v>
          </cell>
          <cell r="R443">
            <v>100</v>
          </cell>
        </row>
        <row r="444">
          <cell r="P444">
            <v>82045550</v>
          </cell>
          <cell r="Q444" t="str">
            <v>CS</v>
          </cell>
          <cell r="R444">
            <v>92</v>
          </cell>
        </row>
        <row r="445">
          <cell r="P445">
            <v>82045554</v>
          </cell>
          <cell r="Q445" t="str">
            <v>CS</v>
          </cell>
          <cell r="R445">
            <v>90</v>
          </cell>
        </row>
        <row r="446">
          <cell r="P446">
            <v>82045555</v>
          </cell>
          <cell r="Q446" t="str">
            <v>CS</v>
          </cell>
          <cell r="R446">
            <v>100</v>
          </cell>
        </row>
        <row r="447">
          <cell r="P447">
            <v>82045556</v>
          </cell>
          <cell r="Q447" t="str">
            <v>CS</v>
          </cell>
          <cell r="R447">
            <v>92</v>
          </cell>
        </row>
        <row r="448">
          <cell r="P448">
            <v>82045557</v>
          </cell>
          <cell r="Q448" t="str">
            <v>CS</v>
          </cell>
          <cell r="R448">
            <v>90</v>
          </cell>
        </row>
        <row r="449">
          <cell r="P449">
            <v>82045558</v>
          </cell>
          <cell r="Q449" t="str">
            <v>CS</v>
          </cell>
          <cell r="R449">
            <v>100</v>
          </cell>
        </row>
        <row r="450">
          <cell r="P450">
            <v>82045559</v>
          </cell>
          <cell r="Q450" t="str">
            <v>CS</v>
          </cell>
          <cell r="R450">
            <v>92</v>
          </cell>
        </row>
        <row r="451">
          <cell r="P451">
            <v>82045578</v>
          </cell>
          <cell r="Q451" t="str">
            <v>CS</v>
          </cell>
          <cell r="R451">
            <v>80</v>
          </cell>
        </row>
        <row r="452">
          <cell r="P452">
            <v>82045589</v>
          </cell>
          <cell r="Q452" t="str">
            <v>CS</v>
          </cell>
          <cell r="R452">
            <v>90</v>
          </cell>
        </row>
        <row r="453">
          <cell r="P453">
            <v>82045590</v>
          </cell>
          <cell r="Q453" t="str">
            <v>CS</v>
          </cell>
          <cell r="R453">
            <v>90</v>
          </cell>
        </row>
        <row r="454">
          <cell r="P454">
            <v>82045591</v>
          </cell>
          <cell r="Q454" t="str">
            <v>CS</v>
          </cell>
          <cell r="R454">
            <v>90</v>
          </cell>
        </row>
        <row r="455">
          <cell r="P455">
            <v>82045601</v>
          </cell>
          <cell r="Q455" t="str">
            <v>CS</v>
          </cell>
          <cell r="R455">
            <v>36</v>
          </cell>
        </row>
        <row r="456">
          <cell r="P456">
            <v>82045610</v>
          </cell>
          <cell r="Q456" t="str">
            <v>CS</v>
          </cell>
          <cell r="R456">
            <v>15</v>
          </cell>
        </row>
        <row r="457">
          <cell r="P457">
            <v>82045617</v>
          </cell>
          <cell r="Q457" t="str">
            <v>CS</v>
          </cell>
          <cell r="R457">
            <v>48</v>
          </cell>
        </row>
        <row r="458">
          <cell r="P458">
            <v>82045618</v>
          </cell>
          <cell r="Q458" t="str">
            <v>CS</v>
          </cell>
          <cell r="R458">
            <v>64</v>
          </cell>
        </row>
        <row r="459">
          <cell r="P459">
            <v>82045619</v>
          </cell>
          <cell r="Q459" t="str">
            <v>CS</v>
          </cell>
          <cell r="R459">
            <v>48</v>
          </cell>
        </row>
        <row r="460">
          <cell r="P460">
            <v>82045620</v>
          </cell>
          <cell r="Q460" t="str">
            <v>CS</v>
          </cell>
          <cell r="R460">
            <v>64</v>
          </cell>
        </row>
        <row r="461">
          <cell r="P461">
            <v>82045622</v>
          </cell>
          <cell r="Q461" t="str">
            <v>CS</v>
          </cell>
          <cell r="R461">
            <v>165</v>
          </cell>
        </row>
        <row r="462">
          <cell r="P462">
            <v>82045625</v>
          </cell>
          <cell r="Q462" t="str">
            <v>CS</v>
          </cell>
          <cell r="R462">
            <v>80</v>
          </cell>
        </row>
        <row r="463">
          <cell r="P463">
            <v>82045644</v>
          </cell>
          <cell r="Q463" t="str">
            <v>CS</v>
          </cell>
          <cell r="R463">
            <v>64</v>
          </cell>
        </row>
        <row r="464">
          <cell r="P464">
            <v>82045664</v>
          </cell>
          <cell r="Q464" t="str">
            <v>CS</v>
          </cell>
          <cell r="R464">
            <v>42</v>
          </cell>
        </row>
        <row r="465">
          <cell r="P465">
            <v>82045742</v>
          </cell>
          <cell r="Q465" t="str">
            <v>CS</v>
          </cell>
          <cell r="R465">
            <v>92</v>
          </cell>
        </row>
        <row r="466">
          <cell r="P466">
            <v>82045788</v>
          </cell>
          <cell r="Q466" t="str">
            <v>CS</v>
          </cell>
          <cell r="R466">
            <v>104</v>
          </cell>
        </row>
        <row r="467">
          <cell r="P467">
            <v>82045824</v>
          </cell>
          <cell r="Q467" t="str">
            <v>CS</v>
          </cell>
          <cell r="R467">
            <v>104</v>
          </cell>
        </row>
        <row r="468">
          <cell r="P468">
            <v>82045989</v>
          </cell>
          <cell r="Q468" t="str">
            <v>CS</v>
          </cell>
          <cell r="R468">
            <v>108</v>
          </cell>
        </row>
        <row r="469">
          <cell r="P469">
            <v>82045999</v>
          </cell>
          <cell r="Q469" t="str">
            <v>CS</v>
          </cell>
          <cell r="R469">
            <v>45</v>
          </cell>
        </row>
        <row r="470">
          <cell r="P470">
            <v>82046009</v>
          </cell>
          <cell r="Q470" t="str">
            <v>CS</v>
          </cell>
          <cell r="R470">
            <v>40</v>
          </cell>
        </row>
        <row r="471">
          <cell r="P471">
            <v>82046037</v>
          </cell>
          <cell r="Q471" t="str">
            <v>CS</v>
          </cell>
          <cell r="R471">
            <v>96</v>
          </cell>
        </row>
        <row r="472">
          <cell r="P472">
            <v>82046040</v>
          </cell>
          <cell r="Q472" t="str">
            <v>CS</v>
          </cell>
          <cell r="R472">
            <v>84</v>
          </cell>
        </row>
        <row r="473">
          <cell r="P473">
            <v>82046070</v>
          </cell>
          <cell r="Q473" t="str">
            <v>CS</v>
          </cell>
          <cell r="R473">
            <v>52</v>
          </cell>
        </row>
        <row r="474">
          <cell r="P474">
            <v>82046071</v>
          </cell>
          <cell r="Q474" t="str">
            <v>CS</v>
          </cell>
          <cell r="R474">
            <v>52</v>
          </cell>
        </row>
        <row r="475">
          <cell r="P475">
            <v>82046072</v>
          </cell>
          <cell r="Q475" t="str">
            <v>CS</v>
          </cell>
          <cell r="R475">
            <v>52</v>
          </cell>
        </row>
        <row r="476">
          <cell r="P476">
            <v>82046073</v>
          </cell>
          <cell r="Q476" t="str">
            <v>CS</v>
          </cell>
          <cell r="R476">
            <v>52</v>
          </cell>
        </row>
        <row r="477">
          <cell r="P477">
            <v>82046083</v>
          </cell>
          <cell r="Q477" t="str">
            <v>CS</v>
          </cell>
          <cell r="R477">
            <v>24</v>
          </cell>
        </row>
        <row r="478">
          <cell r="P478">
            <v>82046110</v>
          </cell>
          <cell r="Q478" t="str">
            <v>CS</v>
          </cell>
          <cell r="R478">
            <v>40</v>
          </cell>
        </row>
        <row r="479">
          <cell r="P479">
            <v>82046111</v>
          </cell>
          <cell r="Q479" t="str">
            <v>CS</v>
          </cell>
          <cell r="R479">
            <v>40</v>
          </cell>
        </row>
        <row r="480">
          <cell r="P480">
            <v>82046112</v>
          </cell>
          <cell r="Q480" t="str">
            <v>CS</v>
          </cell>
          <cell r="R480">
            <v>40</v>
          </cell>
        </row>
        <row r="481">
          <cell r="P481">
            <v>82046113</v>
          </cell>
          <cell r="Q481" t="str">
            <v>CS</v>
          </cell>
          <cell r="R481">
            <v>40</v>
          </cell>
        </row>
        <row r="482">
          <cell r="P482">
            <v>82046115</v>
          </cell>
          <cell r="Q482" t="str">
            <v>CS</v>
          </cell>
          <cell r="R482">
            <v>40</v>
          </cell>
        </row>
        <row r="483">
          <cell r="P483">
            <v>82046116</v>
          </cell>
          <cell r="Q483" t="str">
            <v>CS</v>
          </cell>
          <cell r="R483">
            <v>40</v>
          </cell>
        </row>
        <row r="484">
          <cell r="P484">
            <v>82046117</v>
          </cell>
          <cell r="Q484" t="str">
            <v>CS</v>
          </cell>
          <cell r="R484">
            <v>40</v>
          </cell>
        </row>
        <row r="485">
          <cell r="P485">
            <v>82046122</v>
          </cell>
          <cell r="Q485" t="str">
            <v>CS</v>
          </cell>
          <cell r="R485">
            <v>64</v>
          </cell>
        </row>
        <row r="486">
          <cell r="P486">
            <v>82046233</v>
          </cell>
          <cell r="Q486" t="str">
            <v>CS</v>
          </cell>
          <cell r="R486">
            <v>64</v>
          </cell>
        </row>
        <row r="487">
          <cell r="P487">
            <v>82046242</v>
          </cell>
          <cell r="Q487" t="str">
            <v>CS</v>
          </cell>
          <cell r="R487">
            <v>465</v>
          </cell>
        </row>
        <row r="488">
          <cell r="P488">
            <v>82046243</v>
          </cell>
          <cell r="Q488" t="str">
            <v>CS</v>
          </cell>
          <cell r="R488">
            <v>465</v>
          </cell>
        </row>
        <row r="489">
          <cell r="P489">
            <v>82046282</v>
          </cell>
          <cell r="Q489" t="str">
            <v>CS</v>
          </cell>
          <cell r="R489">
            <v>16</v>
          </cell>
        </row>
        <row r="490">
          <cell r="P490">
            <v>82046293</v>
          </cell>
          <cell r="Q490" t="str">
            <v>CS</v>
          </cell>
          <cell r="R490">
            <v>90</v>
          </cell>
        </row>
        <row r="491">
          <cell r="P491">
            <v>82046295</v>
          </cell>
          <cell r="Q491" t="str">
            <v>CS</v>
          </cell>
          <cell r="R491">
            <v>100</v>
          </cell>
        </row>
        <row r="492">
          <cell r="P492">
            <v>82046297</v>
          </cell>
          <cell r="Q492" t="str">
            <v>CS</v>
          </cell>
          <cell r="R492">
            <v>92</v>
          </cell>
        </row>
        <row r="493">
          <cell r="P493">
            <v>82046309</v>
          </cell>
          <cell r="Q493" t="str">
            <v>CS</v>
          </cell>
          <cell r="R493">
            <v>80</v>
          </cell>
        </row>
        <row r="494">
          <cell r="P494">
            <v>82046313</v>
          </cell>
          <cell r="Q494" t="str">
            <v>CS</v>
          </cell>
          <cell r="R494">
            <v>92</v>
          </cell>
        </row>
        <row r="495">
          <cell r="P495">
            <v>82046315</v>
          </cell>
          <cell r="Q495" t="str">
            <v>CS</v>
          </cell>
          <cell r="R495">
            <v>92</v>
          </cell>
        </row>
        <row r="496">
          <cell r="P496">
            <v>82046316</v>
          </cell>
          <cell r="Q496" t="str">
            <v>CS</v>
          </cell>
          <cell r="R496">
            <v>80</v>
          </cell>
        </row>
        <row r="497">
          <cell r="P497">
            <v>82046317</v>
          </cell>
          <cell r="Q497" t="str">
            <v>CS</v>
          </cell>
          <cell r="R497">
            <v>36</v>
          </cell>
        </row>
        <row r="498">
          <cell r="P498">
            <v>82046318</v>
          </cell>
          <cell r="Q498" t="str">
            <v>CS</v>
          </cell>
          <cell r="R498">
            <v>92</v>
          </cell>
        </row>
        <row r="499">
          <cell r="P499">
            <v>82046319</v>
          </cell>
          <cell r="Q499" t="str">
            <v>CS</v>
          </cell>
          <cell r="R499">
            <v>80</v>
          </cell>
        </row>
        <row r="500">
          <cell r="P500">
            <v>82046320</v>
          </cell>
          <cell r="Q500" t="str">
            <v>CS</v>
          </cell>
          <cell r="R500">
            <v>36</v>
          </cell>
        </row>
        <row r="501">
          <cell r="P501">
            <v>82046321</v>
          </cell>
          <cell r="Q501" t="str">
            <v>CS</v>
          </cell>
          <cell r="R501">
            <v>80</v>
          </cell>
        </row>
        <row r="502">
          <cell r="P502">
            <v>82046323</v>
          </cell>
          <cell r="Q502" t="str">
            <v>CS</v>
          </cell>
          <cell r="R502">
            <v>90</v>
          </cell>
        </row>
        <row r="503">
          <cell r="P503">
            <v>82046325</v>
          </cell>
          <cell r="Q503" t="str">
            <v>CS</v>
          </cell>
          <cell r="R503">
            <v>90</v>
          </cell>
        </row>
        <row r="504">
          <cell r="P504">
            <v>82046326</v>
          </cell>
          <cell r="Q504" t="str">
            <v>CS</v>
          </cell>
          <cell r="R504">
            <v>90</v>
          </cell>
        </row>
        <row r="505">
          <cell r="P505">
            <v>82046327</v>
          </cell>
          <cell r="Q505" t="str">
            <v>CS</v>
          </cell>
          <cell r="R505">
            <v>90</v>
          </cell>
        </row>
        <row r="506">
          <cell r="P506">
            <v>82046332</v>
          </cell>
          <cell r="Q506" t="str">
            <v>CS</v>
          </cell>
          <cell r="R506">
            <v>100</v>
          </cell>
        </row>
        <row r="507">
          <cell r="P507">
            <v>82046333</v>
          </cell>
          <cell r="Q507" t="str">
            <v>CS</v>
          </cell>
          <cell r="R507">
            <v>100</v>
          </cell>
        </row>
        <row r="508">
          <cell r="P508">
            <v>82046338</v>
          </cell>
          <cell r="Q508" t="str">
            <v>CS</v>
          </cell>
          <cell r="R508">
            <v>90</v>
          </cell>
        </row>
        <row r="509">
          <cell r="P509">
            <v>82046339</v>
          </cell>
          <cell r="Q509" t="str">
            <v>CS</v>
          </cell>
          <cell r="R509">
            <v>100</v>
          </cell>
        </row>
        <row r="510">
          <cell r="P510">
            <v>82046340</v>
          </cell>
          <cell r="Q510" t="str">
            <v>CS</v>
          </cell>
          <cell r="R510">
            <v>80</v>
          </cell>
        </row>
        <row r="511">
          <cell r="P511">
            <v>82046341</v>
          </cell>
          <cell r="Q511" t="str">
            <v>CS</v>
          </cell>
          <cell r="R511">
            <v>90</v>
          </cell>
        </row>
        <row r="512">
          <cell r="P512">
            <v>82046342</v>
          </cell>
          <cell r="Q512" t="str">
            <v>CS</v>
          </cell>
          <cell r="R512">
            <v>100</v>
          </cell>
        </row>
        <row r="513">
          <cell r="P513">
            <v>82046343</v>
          </cell>
          <cell r="Q513" t="str">
            <v>CS</v>
          </cell>
          <cell r="R513">
            <v>92</v>
          </cell>
        </row>
        <row r="514">
          <cell r="P514">
            <v>82046345</v>
          </cell>
          <cell r="Q514" t="str">
            <v>CS</v>
          </cell>
          <cell r="R514">
            <v>78</v>
          </cell>
        </row>
        <row r="515">
          <cell r="P515">
            <v>82046346</v>
          </cell>
          <cell r="Q515" t="str">
            <v>CS</v>
          </cell>
          <cell r="R515">
            <v>80</v>
          </cell>
        </row>
        <row r="516">
          <cell r="P516">
            <v>82046347</v>
          </cell>
          <cell r="Q516" t="str">
            <v>CS</v>
          </cell>
          <cell r="R516">
            <v>92</v>
          </cell>
        </row>
        <row r="517">
          <cell r="P517">
            <v>82046348</v>
          </cell>
          <cell r="Q517" t="str">
            <v>CS</v>
          </cell>
          <cell r="R517">
            <v>36</v>
          </cell>
        </row>
        <row r="518">
          <cell r="P518">
            <v>82046350</v>
          </cell>
          <cell r="Q518" t="str">
            <v>CS</v>
          </cell>
          <cell r="R518">
            <v>80</v>
          </cell>
        </row>
        <row r="519">
          <cell r="P519">
            <v>82046351</v>
          </cell>
          <cell r="Q519" t="str">
            <v>CS</v>
          </cell>
          <cell r="R519">
            <v>90</v>
          </cell>
        </row>
        <row r="520">
          <cell r="P520">
            <v>82046352</v>
          </cell>
          <cell r="Q520" t="str">
            <v>CS</v>
          </cell>
          <cell r="R520">
            <v>100</v>
          </cell>
        </row>
        <row r="521">
          <cell r="P521">
            <v>82046353</v>
          </cell>
          <cell r="Q521" t="str">
            <v>CS</v>
          </cell>
          <cell r="R521">
            <v>92</v>
          </cell>
        </row>
        <row r="522">
          <cell r="P522">
            <v>82046371</v>
          </cell>
          <cell r="Q522" t="str">
            <v>CS</v>
          </cell>
          <cell r="R522">
            <v>100</v>
          </cell>
        </row>
        <row r="523">
          <cell r="P523">
            <v>82046374</v>
          </cell>
          <cell r="Q523" t="str">
            <v>CS</v>
          </cell>
          <cell r="R523">
            <v>90</v>
          </cell>
        </row>
        <row r="524">
          <cell r="P524">
            <v>82046377</v>
          </cell>
          <cell r="Q524" t="str">
            <v>CS</v>
          </cell>
          <cell r="R524">
            <v>100</v>
          </cell>
        </row>
        <row r="525">
          <cell r="P525">
            <v>82046378</v>
          </cell>
          <cell r="Q525" t="str">
            <v>CS</v>
          </cell>
          <cell r="R525">
            <v>90</v>
          </cell>
        </row>
        <row r="526">
          <cell r="P526">
            <v>82046385</v>
          </cell>
          <cell r="Q526" t="str">
            <v>CS</v>
          </cell>
          <cell r="R526">
            <v>90</v>
          </cell>
        </row>
        <row r="527">
          <cell r="P527">
            <v>82046386</v>
          </cell>
          <cell r="Q527" t="str">
            <v>CS</v>
          </cell>
          <cell r="R527">
            <v>80</v>
          </cell>
        </row>
        <row r="528">
          <cell r="P528">
            <v>82046418</v>
          </cell>
          <cell r="Q528" t="str">
            <v>CS</v>
          </cell>
          <cell r="R528">
            <v>56</v>
          </cell>
        </row>
        <row r="529">
          <cell r="P529">
            <v>82046421</v>
          </cell>
          <cell r="Q529" t="str">
            <v>CS</v>
          </cell>
          <cell r="R529">
            <v>100</v>
          </cell>
        </row>
        <row r="530">
          <cell r="P530">
            <v>82046422</v>
          </cell>
          <cell r="Q530" t="str">
            <v>CS</v>
          </cell>
          <cell r="R530">
            <v>100</v>
          </cell>
        </row>
        <row r="531">
          <cell r="P531">
            <v>82046426</v>
          </cell>
          <cell r="Q531" t="str">
            <v>CS</v>
          </cell>
          <cell r="R531">
            <v>100</v>
          </cell>
        </row>
        <row r="532">
          <cell r="P532">
            <v>82046442</v>
          </cell>
          <cell r="Q532" t="str">
            <v>CS</v>
          </cell>
          <cell r="R532">
            <v>144</v>
          </cell>
        </row>
        <row r="533">
          <cell r="P533">
            <v>82046444</v>
          </cell>
          <cell r="Q533" t="str">
            <v>CS</v>
          </cell>
          <cell r="R533">
            <v>114</v>
          </cell>
        </row>
        <row r="534">
          <cell r="P534">
            <v>82046445</v>
          </cell>
          <cell r="Q534" t="str">
            <v>CS</v>
          </cell>
          <cell r="R534">
            <v>72</v>
          </cell>
        </row>
        <row r="535">
          <cell r="P535">
            <v>82046446</v>
          </cell>
          <cell r="Q535" t="str">
            <v>CS</v>
          </cell>
          <cell r="R535">
            <v>120</v>
          </cell>
        </row>
        <row r="536">
          <cell r="P536">
            <v>82046447</v>
          </cell>
          <cell r="Q536" t="str">
            <v>CS</v>
          </cell>
          <cell r="R536">
            <v>171</v>
          </cell>
        </row>
        <row r="537">
          <cell r="P537">
            <v>82046449</v>
          </cell>
          <cell r="Q537" t="str">
            <v>CS</v>
          </cell>
          <cell r="R537">
            <v>240</v>
          </cell>
        </row>
        <row r="538">
          <cell r="P538">
            <v>82046456</v>
          </cell>
          <cell r="Q538" t="str">
            <v>CS</v>
          </cell>
          <cell r="R538">
            <v>36</v>
          </cell>
        </row>
        <row r="539">
          <cell r="P539">
            <v>82046463</v>
          </cell>
          <cell r="Q539" t="str">
            <v>CS</v>
          </cell>
          <cell r="R539">
            <v>80</v>
          </cell>
        </row>
        <row r="540">
          <cell r="P540">
            <v>82046506</v>
          </cell>
          <cell r="Q540" t="str">
            <v>CS</v>
          </cell>
          <cell r="R540">
            <v>40</v>
          </cell>
        </row>
        <row r="541">
          <cell r="P541">
            <v>82046508</v>
          </cell>
          <cell r="Q541" t="str">
            <v>CS</v>
          </cell>
          <cell r="R541">
            <v>32</v>
          </cell>
        </row>
        <row r="542">
          <cell r="P542">
            <v>82046525</v>
          </cell>
          <cell r="Q542" t="str">
            <v>CS</v>
          </cell>
          <cell r="R542">
            <v>90</v>
          </cell>
        </row>
        <row r="543">
          <cell r="P543">
            <v>82046526</v>
          </cell>
          <cell r="Q543" t="str">
            <v>CS</v>
          </cell>
          <cell r="R543">
            <v>90</v>
          </cell>
        </row>
        <row r="544">
          <cell r="P544">
            <v>82046527</v>
          </cell>
          <cell r="Q544" t="str">
            <v>CS</v>
          </cell>
          <cell r="R544">
            <v>90</v>
          </cell>
        </row>
        <row r="545">
          <cell r="P545">
            <v>82046528</v>
          </cell>
          <cell r="Q545" t="str">
            <v>CS</v>
          </cell>
          <cell r="R545">
            <v>120</v>
          </cell>
        </row>
        <row r="546">
          <cell r="P546">
            <v>82046573</v>
          </cell>
          <cell r="Q546" t="str">
            <v>CS</v>
          </cell>
          <cell r="R546">
            <v>56</v>
          </cell>
        </row>
        <row r="547">
          <cell r="P547">
            <v>82046578</v>
          </cell>
          <cell r="Q547" t="str">
            <v>CS</v>
          </cell>
          <cell r="R547">
            <v>100</v>
          </cell>
        </row>
        <row r="548">
          <cell r="P548">
            <v>82046579</v>
          </cell>
          <cell r="Q548" t="str">
            <v>CS</v>
          </cell>
          <cell r="R548">
            <v>92</v>
          </cell>
        </row>
        <row r="549">
          <cell r="P549">
            <v>82046583</v>
          </cell>
          <cell r="Q549" t="str">
            <v>CS</v>
          </cell>
          <cell r="R549">
            <v>100</v>
          </cell>
        </row>
        <row r="550">
          <cell r="P550">
            <v>82046586</v>
          </cell>
          <cell r="Q550" t="str">
            <v>CS</v>
          </cell>
          <cell r="R550">
            <v>64</v>
          </cell>
        </row>
        <row r="551">
          <cell r="P551">
            <v>82046587</v>
          </cell>
          <cell r="Q551" t="str">
            <v>CS</v>
          </cell>
          <cell r="R551">
            <v>100</v>
          </cell>
        </row>
        <row r="552">
          <cell r="P552">
            <v>82046621</v>
          </cell>
          <cell r="Q552" t="str">
            <v>CS</v>
          </cell>
          <cell r="R552">
            <v>90</v>
          </cell>
        </row>
        <row r="553">
          <cell r="P553">
            <v>82046623</v>
          </cell>
          <cell r="Q553" t="str">
            <v>CS</v>
          </cell>
          <cell r="R553">
            <v>80</v>
          </cell>
        </row>
        <row r="554">
          <cell r="P554">
            <v>82046624</v>
          </cell>
          <cell r="Q554" t="str">
            <v>CS</v>
          </cell>
          <cell r="R554">
            <v>88</v>
          </cell>
        </row>
        <row r="555">
          <cell r="P555">
            <v>82046625</v>
          </cell>
          <cell r="Q555" t="str">
            <v>CS</v>
          </cell>
          <cell r="R555">
            <v>80</v>
          </cell>
        </row>
        <row r="556">
          <cell r="P556">
            <v>82046626</v>
          </cell>
          <cell r="Q556" t="str">
            <v>CS</v>
          </cell>
          <cell r="R556">
            <v>64</v>
          </cell>
        </row>
        <row r="557">
          <cell r="P557">
            <v>82046628</v>
          </cell>
          <cell r="Q557" t="str">
            <v>CS</v>
          </cell>
          <cell r="R557">
            <v>48</v>
          </cell>
        </row>
        <row r="558">
          <cell r="P558">
            <v>82046629</v>
          </cell>
          <cell r="Q558" t="str">
            <v>CS</v>
          </cell>
          <cell r="R558">
            <v>42</v>
          </cell>
        </row>
        <row r="559">
          <cell r="P559">
            <v>82046632</v>
          </cell>
          <cell r="Q559" t="str">
            <v>CS</v>
          </cell>
          <cell r="R559">
            <v>50</v>
          </cell>
        </row>
        <row r="560">
          <cell r="P560">
            <v>82046633</v>
          </cell>
          <cell r="Q560" t="str">
            <v>CS</v>
          </cell>
          <cell r="R560">
            <v>48</v>
          </cell>
        </row>
        <row r="561">
          <cell r="P561">
            <v>82046634</v>
          </cell>
          <cell r="Q561" t="str">
            <v>CS</v>
          </cell>
          <cell r="R561">
            <v>28</v>
          </cell>
        </row>
        <row r="562">
          <cell r="P562">
            <v>82046635</v>
          </cell>
          <cell r="Q562" t="str">
            <v>CS</v>
          </cell>
          <cell r="R562">
            <v>28</v>
          </cell>
        </row>
        <row r="563">
          <cell r="P563">
            <v>82046636</v>
          </cell>
          <cell r="Q563" t="str">
            <v>CS</v>
          </cell>
          <cell r="R563">
            <v>40</v>
          </cell>
        </row>
        <row r="564">
          <cell r="P564">
            <v>82046644</v>
          </cell>
          <cell r="Q564" t="str">
            <v>CS</v>
          </cell>
          <cell r="R564">
            <v>40</v>
          </cell>
        </row>
        <row r="565">
          <cell r="P565">
            <v>82046646</v>
          </cell>
          <cell r="Q565" t="str">
            <v>CS</v>
          </cell>
          <cell r="R565">
            <v>40</v>
          </cell>
        </row>
        <row r="566">
          <cell r="P566">
            <v>82046647</v>
          </cell>
          <cell r="Q566" t="str">
            <v>CS</v>
          </cell>
          <cell r="R566">
            <v>30</v>
          </cell>
        </row>
        <row r="567">
          <cell r="P567">
            <v>82046648</v>
          </cell>
          <cell r="Q567" t="str">
            <v>CS</v>
          </cell>
          <cell r="R567">
            <v>32</v>
          </cell>
        </row>
        <row r="568">
          <cell r="P568">
            <v>82046649</v>
          </cell>
          <cell r="Q568" t="str">
            <v>CS</v>
          </cell>
          <cell r="R568">
            <v>24</v>
          </cell>
        </row>
        <row r="569">
          <cell r="P569">
            <v>82046659</v>
          </cell>
          <cell r="Q569" t="str">
            <v>CS</v>
          </cell>
          <cell r="R569">
            <v>45</v>
          </cell>
        </row>
        <row r="570">
          <cell r="P570">
            <v>82046661</v>
          </cell>
          <cell r="Q570" t="str">
            <v>CS</v>
          </cell>
          <cell r="R570">
            <v>90</v>
          </cell>
        </row>
        <row r="571">
          <cell r="P571">
            <v>82046698</v>
          </cell>
          <cell r="Q571" t="str">
            <v>CS</v>
          </cell>
          <cell r="R571">
            <v>40</v>
          </cell>
        </row>
        <row r="572">
          <cell r="P572">
            <v>82046705</v>
          </cell>
          <cell r="Q572" t="str">
            <v>CS</v>
          </cell>
          <cell r="R572">
            <v>92</v>
          </cell>
        </row>
        <row r="573">
          <cell r="P573">
            <v>82046719</v>
          </cell>
          <cell r="Q573" t="str">
            <v>CS</v>
          </cell>
          <cell r="R573">
            <v>36</v>
          </cell>
        </row>
        <row r="574">
          <cell r="P574">
            <v>82046734</v>
          </cell>
          <cell r="Q574" t="str">
            <v>CS</v>
          </cell>
          <cell r="R574">
            <v>64</v>
          </cell>
        </row>
        <row r="575">
          <cell r="P575">
            <v>82046750</v>
          </cell>
          <cell r="Q575" t="str">
            <v>CS</v>
          </cell>
          <cell r="R575">
            <v>100</v>
          </cell>
        </row>
        <row r="576">
          <cell r="P576">
            <v>82046768</v>
          </cell>
          <cell r="Q576" t="str">
            <v>CS</v>
          </cell>
          <cell r="R576">
            <v>108</v>
          </cell>
        </row>
        <row r="577">
          <cell r="P577">
            <v>82046775</v>
          </cell>
          <cell r="Q577" t="str">
            <v>CS</v>
          </cell>
          <cell r="R577">
            <v>108</v>
          </cell>
        </row>
        <row r="578">
          <cell r="P578">
            <v>82046776</v>
          </cell>
          <cell r="Q578" t="str">
            <v>CS</v>
          </cell>
          <cell r="R578">
            <v>140</v>
          </cell>
        </row>
        <row r="579">
          <cell r="P579">
            <v>82046777</v>
          </cell>
          <cell r="Q579" t="str">
            <v>CS</v>
          </cell>
          <cell r="R579">
            <v>140</v>
          </cell>
        </row>
        <row r="580">
          <cell r="P580">
            <v>82046843</v>
          </cell>
          <cell r="Q580" t="str">
            <v>CS</v>
          </cell>
          <cell r="R580">
            <v>140</v>
          </cell>
        </row>
        <row r="581">
          <cell r="P581">
            <v>82046845</v>
          </cell>
          <cell r="Q581" t="str">
            <v>CS</v>
          </cell>
          <cell r="R581">
            <v>88</v>
          </cell>
        </row>
        <row r="582">
          <cell r="P582">
            <v>82046846</v>
          </cell>
          <cell r="Q582" t="str">
            <v>CS</v>
          </cell>
          <cell r="R582">
            <v>70</v>
          </cell>
        </row>
        <row r="583">
          <cell r="P583">
            <v>82046851</v>
          </cell>
          <cell r="Q583" t="str">
            <v>CS</v>
          </cell>
          <cell r="R583">
            <v>90</v>
          </cell>
        </row>
        <row r="584">
          <cell r="P584">
            <v>82046852</v>
          </cell>
          <cell r="Q584" t="str">
            <v>CS</v>
          </cell>
          <cell r="R584">
            <v>80</v>
          </cell>
        </row>
        <row r="585">
          <cell r="P585">
            <v>82046854</v>
          </cell>
          <cell r="Q585" t="str">
            <v>CS</v>
          </cell>
          <cell r="R585">
            <v>80</v>
          </cell>
        </row>
        <row r="586">
          <cell r="P586">
            <v>82046864</v>
          </cell>
          <cell r="Q586" t="str">
            <v>CS</v>
          </cell>
          <cell r="R586">
            <v>108</v>
          </cell>
        </row>
        <row r="587">
          <cell r="P587">
            <v>82046868</v>
          </cell>
          <cell r="Q587" t="str">
            <v>CS</v>
          </cell>
          <cell r="R587">
            <v>140</v>
          </cell>
        </row>
        <row r="588">
          <cell r="P588">
            <v>82046869</v>
          </cell>
          <cell r="Q588" t="str">
            <v>CS</v>
          </cell>
          <cell r="R588">
            <v>108</v>
          </cell>
        </row>
        <row r="589">
          <cell r="P589">
            <v>82046878</v>
          </cell>
          <cell r="Q589" t="str">
            <v>CS</v>
          </cell>
          <cell r="R589">
            <v>80</v>
          </cell>
        </row>
        <row r="590">
          <cell r="P590">
            <v>82046882</v>
          </cell>
          <cell r="Q590" t="str">
            <v>CS</v>
          </cell>
          <cell r="R590">
            <v>112</v>
          </cell>
        </row>
        <row r="591">
          <cell r="P591">
            <v>82046883</v>
          </cell>
          <cell r="Q591" t="str">
            <v>CS</v>
          </cell>
          <cell r="R591">
            <v>69</v>
          </cell>
        </row>
        <row r="592">
          <cell r="P592">
            <v>82046884</v>
          </cell>
          <cell r="Q592" t="str">
            <v>CS</v>
          </cell>
          <cell r="R592">
            <v>69</v>
          </cell>
        </row>
        <row r="593">
          <cell r="P593">
            <v>82046885</v>
          </cell>
          <cell r="Q593" t="str">
            <v>CS</v>
          </cell>
          <cell r="R593">
            <v>69</v>
          </cell>
        </row>
        <row r="594">
          <cell r="P594">
            <v>82046888</v>
          </cell>
          <cell r="Q594" t="str">
            <v>CS</v>
          </cell>
          <cell r="R594">
            <v>112</v>
          </cell>
        </row>
        <row r="595">
          <cell r="P595">
            <v>82046907</v>
          </cell>
          <cell r="Q595" t="str">
            <v>CS</v>
          </cell>
          <cell r="R595">
            <v>112</v>
          </cell>
        </row>
        <row r="596">
          <cell r="P596">
            <v>82046922</v>
          </cell>
          <cell r="Q596" t="str">
            <v>CS</v>
          </cell>
          <cell r="R596">
            <v>66</v>
          </cell>
        </row>
        <row r="597">
          <cell r="P597">
            <v>82046924</v>
          </cell>
          <cell r="Q597" t="str">
            <v>CS</v>
          </cell>
          <cell r="R597">
            <v>69</v>
          </cell>
        </row>
        <row r="598">
          <cell r="P598">
            <v>82046931</v>
          </cell>
          <cell r="Q598" t="str">
            <v>CS</v>
          </cell>
          <cell r="R598">
            <v>112</v>
          </cell>
        </row>
        <row r="599">
          <cell r="P599">
            <v>82046932</v>
          </cell>
          <cell r="Q599" t="str">
            <v>CS</v>
          </cell>
          <cell r="R599">
            <v>69</v>
          </cell>
        </row>
        <row r="600">
          <cell r="P600">
            <v>82046933</v>
          </cell>
          <cell r="Q600" t="str">
            <v>CS</v>
          </cell>
          <cell r="R600">
            <v>112</v>
          </cell>
        </row>
        <row r="601">
          <cell r="P601">
            <v>82046934</v>
          </cell>
          <cell r="Q601" t="str">
            <v>CS</v>
          </cell>
          <cell r="R601">
            <v>100</v>
          </cell>
        </row>
        <row r="602">
          <cell r="P602">
            <v>82046946</v>
          </cell>
          <cell r="Q602" t="str">
            <v>CS</v>
          </cell>
          <cell r="R602">
            <v>56</v>
          </cell>
        </row>
        <row r="603">
          <cell r="P603">
            <v>82046949</v>
          </cell>
          <cell r="Q603" t="str">
            <v>CS</v>
          </cell>
          <cell r="R603">
            <v>69</v>
          </cell>
        </row>
        <row r="604">
          <cell r="P604">
            <v>82046972</v>
          </cell>
          <cell r="Q604" t="str">
            <v>CS</v>
          </cell>
          <cell r="R604">
            <v>84</v>
          </cell>
        </row>
        <row r="605">
          <cell r="P605">
            <v>82046979</v>
          </cell>
          <cell r="Q605" t="str">
            <v>CS</v>
          </cell>
          <cell r="R605">
            <v>45</v>
          </cell>
        </row>
        <row r="606">
          <cell r="P606">
            <v>82046982</v>
          </cell>
          <cell r="Q606" t="str">
            <v>CS</v>
          </cell>
          <cell r="R606">
            <v>42</v>
          </cell>
        </row>
        <row r="607">
          <cell r="P607">
            <v>82046983</v>
          </cell>
          <cell r="Q607" t="str">
            <v>CS</v>
          </cell>
          <cell r="R607">
            <v>72</v>
          </cell>
        </row>
        <row r="608">
          <cell r="P608">
            <v>82046984</v>
          </cell>
          <cell r="Q608" t="str">
            <v>CS</v>
          </cell>
          <cell r="R608">
            <v>48</v>
          </cell>
        </row>
        <row r="609">
          <cell r="P609">
            <v>82046985</v>
          </cell>
          <cell r="Q609" t="str">
            <v>CS</v>
          </cell>
          <cell r="R609">
            <v>48</v>
          </cell>
        </row>
        <row r="610">
          <cell r="P610">
            <v>82046986</v>
          </cell>
          <cell r="Q610" t="str">
            <v>CS</v>
          </cell>
          <cell r="R610">
            <v>28</v>
          </cell>
        </row>
        <row r="611">
          <cell r="P611">
            <v>82046987</v>
          </cell>
          <cell r="Q611" t="str">
            <v>CS</v>
          </cell>
          <cell r="R611">
            <v>28</v>
          </cell>
        </row>
        <row r="612">
          <cell r="P612">
            <v>82046989</v>
          </cell>
          <cell r="Q612" t="str">
            <v>CS</v>
          </cell>
          <cell r="R612">
            <v>42</v>
          </cell>
        </row>
        <row r="613">
          <cell r="P613">
            <v>82046993</v>
          </cell>
          <cell r="Q613" t="str">
            <v>CS</v>
          </cell>
          <cell r="R613">
            <v>32</v>
          </cell>
        </row>
        <row r="614">
          <cell r="P614">
            <v>82046994</v>
          </cell>
          <cell r="Q614" t="str">
            <v>CS</v>
          </cell>
          <cell r="R614">
            <v>32</v>
          </cell>
        </row>
        <row r="615">
          <cell r="P615">
            <v>82046994</v>
          </cell>
          <cell r="Q615" t="str">
            <v>CS</v>
          </cell>
          <cell r="R615">
            <v>32</v>
          </cell>
        </row>
        <row r="616">
          <cell r="P616">
            <v>82047001</v>
          </cell>
          <cell r="Q616" t="str">
            <v>CS</v>
          </cell>
          <cell r="R616">
            <v>30</v>
          </cell>
        </row>
        <row r="617">
          <cell r="P617">
            <v>82047003</v>
          </cell>
          <cell r="Q617" t="str">
            <v>CS</v>
          </cell>
          <cell r="R617">
            <v>96</v>
          </cell>
        </row>
        <row r="618">
          <cell r="P618">
            <v>82047004</v>
          </cell>
          <cell r="Q618" t="str">
            <v>CS</v>
          </cell>
          <cell r="R618">
            <v>96</v>
          </cell>
        </row>
        <row r="619">
          <cell r="P619">
            <v>82047005</v>
          </cell>
          <cell r="Q619" t="str">
            <v>CS</v>
          </cell>
          <cell r="R619">
            <v>64</v>
          </cell>
        </row>
        <row r="620">
          <cell r="P620">
            <v>82047006</v>
          </cell>
          <cell r="Q620" t="str">
            <v>CS</v>
          </cell>
          <cell r="R620">
            <v>64</v>
          </cell>
        </row>
        <row r="621">
          <cell r="P621">
            <v>82047007</v>
          </cell>
          <cell r="Q621" t="str">
            <v>CS</v>
          </cell>
          <cell r="R621">
            <v>69</v>
          </cell>
        </row>
        <row r="622">
          <cell r="P622">
            <v>82047008</v>
          </cell>
          <cell r="Q622" t="str">
            <v>CS</v>
          </cell>
          <cell r="R622">
            <v>69</v>
          </cell>
        </row>
        <row r="623">
          <cell r="P623">
            <v>82047040</v>
          </cell>
          <cell r="Q623" t="str">
            <v>CS</v>
          </cell>
          <cell r="R623">
            <v>80</v>
          </cell>
        </row>
        <row r="624">
          <cell r="P624">
            <v>82047041</v>
          </cell>
          <cell r="Q624" t="str">
            <v>CS</v>
          </cell>
          <cell r="R624">
            <v>92</v>
          </cell>
        </row>
        <row r="625">
          <cell r="P625">
            <v>82047045</v>
          </cell>
          <cell r="Q625" t="str">
            <v>CS</v>
          </cell>
          <cell r="R625">
            <v>92</v>
          </cell>
        </row>
        <row r="626">
          <cell r="P626">
            <v>82047140</v>
          </cell>
          <cell r="Q626" t="str">
            <v>CS</v>
          </cell>
          <cell r="R626">
            <v>84</v>
          </cell>
        </row>
        <row r="627">
          <cell r="P627">
            <v>82047142</v>
          </cell>
          <cell r="Q627" t="str">
            <v>CS</v>
          </cell>
          <cell r="R627">
            <v>84</v>
          </cell>
        </row>
        <row r="628">
          <cell r="P628">
            <v>82047144</v>
          </cell>
          <cell r="Q628" t="str">
            <v>CS</v>
          </cell>
          <cell r="R628">
            <v>69</v>
          </cell>
        </row>
        <row r="629">
          <cell r="P629">
            <v>82047145</v>
          </cell>
          <cell r="Q629" t="str">
            <v>CS</v>
          </cell>
          <cell r="R629">
            <v>120</v>
          </cell>
        </row>
        <row r="630">
          <cell r="P630">
            <v>82047146</v>
          </cell>
          <cell r="Q630" t="str">
            <v>CS</v>
          </cell>
          <cell r="R630">
            <v>120</v>
          </cell>
        </row>
        <row r="631">
          <cell r="P631">
            <v>82047148</v>
          </cell>
          <cell r="Q631" t="str">
            <v>CS</v>
          </cell>
          <cell r="R631">
            <v>120</v>
          </cell>
        </row>
        <row r="632">
          <cell r="P632">
            <v>82047149</v>
          </cell>
          <cell r="Q632" t="str">
            <v>CS</v>
          </cell>
          <cell r="R632">
            <v>120</v>
          </cell>
        </row>
        <row r="633">
          <cell r="P633">
            <v>82047150</v>
          </cell>
          <cell r="Q633" t="str">
            <v>CS</v>
          </cell>
          <cell r="R633">
            <v>69</v>
          </cell>
        </row>
        <row r="634">
          <cell r="P634">
            <v>82047190</v>
          </cell>
          <cell r="Q634" t="str">
            <v>CS</v>
          </cell>
          <cell r="R634">
            <v>90</v>
          </cell>
        </row>
        <row r="635">
          <cell r="P635">
            <v>82047192</v>
          </cell>
          <cell r="Q635" t="str">
            <v>CS</v>
          </cell>
          <cell r="R635">
            <v>80</v>
          </cell>
        </row>
        <row r="636">
          <cell r="P636">
            <v>82047193</v>
          </cell>
          <cell r="Q636" t="str">
            <v>CS</v>
          </cell>
          <cell r="R636">
            <v>84</v>
          </cell>
        </row>
        <row r="637">
          <cell r="P637">
            <v>82047195</v>
          </cell>
          <cell r="Q637" t="str">
            <v>CS</v>
          </cell>
          <cell r="R637">
            <v>80</v>
          </cell>
        </row>
        <row r="638">
          <cell r="P638">
            <v>82047270</v>
          </cell>
          <cell r="Q638" t="str">
            <v>CS</v>
          </cell>
          <cell r="R638">
            <v>84</v>
          </cell>
        </row>
        <row r="639">
          <cell r="P639">
            <v>82047271</v>
          </cell>
          <cell r="Q639" t="str">
            <v>CS</v>
          </cell>
          <cell r="R639">
            <v>90</v>
          </cell>
        </row>
        <row r="640">
          <cell r="P640">
            <v>82047330</v>
          </cell>
          <cell r="Q640" t="str">
            <v>CS</v>
          </cell>
          <cell r="R640">
            <v>90</v>
          </cell>
        </row>
        <row r="641">
          <cell r="P641">
            <v>82047332</v>
          </cell>
          <cell r="Q641" t="str">
            <v>CS</v>
          </cell>
          <cell r="R641">
            <v>48</v>
          </cell>
        </row>
        <row r="642">
          <cell r="P642">
            <v>82047335</v>
          </cell>
          <cell r="Q642" t="str">
            <v>CS</v>
          </cell>
          <cell r="R642">
            <v>108</v>
          </cell>
        </row>
        <row r="643">
          <cell r="P643">
            <v>82047336</v>
          </cell>
          <cell r="Q643" t="str">
            <v>CS</v>
          </cell>
          <cell r="R643">
            <v>108</v>
          </cell>
        </row>
        <row r="644">
          <cell r="P644">
            <v>82047345</v>
          </cell>
          <cell r="Q644" t="str">
            <v>CS</v>
          </cell>
          <cell r="R644">
            <v>140</v>
          </cell>
        </row>
        <row r="645">
          <cell r="P645">
            <v>82047354</v>
          </cell>
          <cell r="Q645" t="str">
            <v>CS</v>
          </cell>
          <cell r="R645">
            <v>84</v>
          </cell>
        </row>
        <row r="646">
          <cell r="P646">
            <v>82047374</v>
          </cell>
          <cell r="Q646" t="str">
            <v>CS</v>
          </cell>
          <cell r="R646">
            <v>84</v>
          </cell>
        </row>
        <row r="647">
          <cell r="P647">
            <v>82047375</v>
          </cell>
          <cell r="Q647" t="str">
            <v>CS</v>
          </cell>
          <cell r="R647">
            <v>84</v>
          </cell>
        </row>
        <row r="648">
          <cell r="P648">
            <v>82047376</v>
          </cell>
          <cell r="Q648" t="str">
            <v>CS</v>
          </cell>
          <cell r="R648">
            <v>84</v>
          </cell>
        </row>
        <row r="649">
          <cell r="P649">
            <v>82047384</v>
          </cell>
          <cell r="Q649" t="str">
            <v>CS</v>
          </cell>
          <cell r="R649">
            <v>75</v>
          </cell>
        </row>
        <row r="650">
          <cell r="P650">
            <v>82047385</v>
          </cell>
          <cell r="Q650" t="str">
            <v>CS</v>
          </cell>
          <cell r="R650">
            <v>75</v>
          </cell>
        </row>
        <row r="651">
          <cell r="P651">
            <v>82047387</v>
          </cell>
          <cell r="Q651" t="str">
            <v>CS</v>
          </cell>
          <cell r="R651">
            <v>75</v>
          </cell>
        </row>
        <row r="652">
          <cell r="P652">
            <v>82047389</v>
          </cell>
          <cell r="Q652" t="str">
            <v>CS</v>
          </cell>
          <cell r="R652">
            <v>64</v>
          </cell>
        </row>
        <row r="653">
          <cell r="P653">
            <v>82047390</v>
          </cell>
          <cell r="Q653" t="str">
            <v>CS</v>
          </cell>
          <cell r="R653">
            <v>64</v>
          </cell>
        </row>
        <row r="654">
          <cell r="P654">
            <v>82047392</v>
          </cell>
          <cell r="Q654" t="str">
            <v>CS</v>
          </cell>
          <cell r="R654">
            <v>96</v>
          </cell>
        </row>
        <row r="655">
          <cell r="P655">
            <v>82047393</v>
          </cell>
          <cell r="Q655" t="str">
            <v>CS</v>
          </cell>
          <cell r="R655">
            <v>96</v>
          </cell>
        </row>
        <row r="656">
          <cell r="P656">
            <v>82047458</v>
          </cell>
          <cell r="Q656" t="str">
            <v>CS</v>
          </cell>
          <cell r="R656">
            <v>80</v>
          </cell>
        </row>
        <row r="657">
          <cell r="P657">
            <v>82047559</v>
          </cell>
          <cell r="Q657" t="str">
            <v>CS</v>
          </cell>
          <cell r="R657">
            <v>24</v>
          </cell>
        </row>
        <row r="658">
          <cell r="P658">
            <v>82047561</v>
          </cell>
          <cell r="Q658" t="str">
            <v>CS</v>
          </cell>
          <cell r="R658">
            <v>30</v>
          </cell>
        </row>
        <row r="659">
          <cell r="P659">
            <v>82047562</v>
          </cell>
          <cell r="Q659" t="str">
            <v>CS</v>
          </cell>
          <cell r="R659">
            <v>60</v>
          </cell>
        </row>
        <row r="660">
          <cell r="P660">
            <v>82047583</v>
          </cell>
          <cell r="Q660" t="str">
            <v>CS</v>
          </cell>
          <cell r="R660">
            <v>60</v>
          </cell>
        </row>
        <row r="661">
          <cell r="P661">
            <v>82047587</v>
          </cell>
          <cell r="Q661" t="str">
            <v>CS</v>
          </cell>
          <cell r="R661">
            <v>56</v>
          </cell>
        </row>
        <row r="662">
          <cell r="P662">
            <v>82047590</v>
          </cell>
          <cell r="Q662" t="str">
            <v>CS</v>
          </cell>
          <cell r="R662">
            <v>90</v>
          </cell>
        </row>
        <row r="663">
          <cell r="P663">
            <v>82047591</v>
          </cell>
          <cell r="Q663" t="str">
            <v>CS</v>
          </cell>
          <cell r="R663">
            <v>80</v>
          </cell>
        </row>
        <row r="664">
          <cell r="P664">
            <v>82047599</v>
          </cell>
          <cell r="Q664" t="str">
            <v>CS</v>
          </cell>
          <cell r="R664">
            <v>84</v>
          </cell>
        </row>
        <row r="665">
          <cell r="P665">
            <v>82047601</v>
          </cell>
          <cell r="Q665" t="str">
            <v>CS</v>
          </cell>
          <cell r="R665">
            <v>75</v>
          </cell>
        </row>
        <row r="666">
          <cell r="P666">
            <v>82047606</v>
          </cell>
          <cell r="Q666" t="str">
            <v>CS</v>
          </cell>
          <cell r="R666">
            <v>90</v>
          </cell>
        </row>
        <row r="667">
          <cell r="P667">
            <v>82047610</v>
          </cell>
          <cell r="Q667" t="str">
            <v>CS</v>
          </cell>
          <cell r="R667">
            <v>80</v>
          </cell>
        </row>
        <row r="668">
          <cell r="P668">
            <v>82047611</v>
          </cell>
          <cell r="Q668" t="str">
            <v>CS</v>
          </cell>
          <cell r="R668">
            <v>84</v>
          </cell>
        </row>
        <row r="669">
          <cell r="P669">
            <v>82047612</v>
          </cell>
          <cell r="Q669" t="str">
            <v>CS</v>
          </cell>
          <cell r="R669">
            <v>90</v>
          </cell>
        </row>
        <row r="670">
          <cell r="P670">
            <v>82047613</v>
          </cell>
          <cell r="Q670" t="str">
            <v>CS</v>
          </cell>
          <cell r="R670">
            <v>80</v>
          </cell>
        </row>
        <row r="671">
          <cell r="P671">
            <v>82047628</v>
          </cell>
          <cell r="Q671" t="str">
            <v>CS</v>
          </cell>
          <cell r="R671">
            <v>84</v>
          </cell>
        </row>
        <row r="672">
          <cell r="P672">
            <v>82047663</v>
          </cell>
          <cell r="Q672" t="str">
            <v>CS</v>
          </cell>
          <cell r="R672">
            <v>144</v>
          </cell>
        </row>
        <row r="673">
          <cell r="P673">
            <v>82047672</v>
          </cell>
          <cell r="Q673" t="str">
            <v>CS</v>
          </cell>
          <cell r="R673">
            <v>90</v>
          </cell>
        </row>
        <row r="674">
          <cell r="P674">
            <v>82047688</v>
          </cell>
          <cell r="Q674" t="str">
            <v>CS</v>
          </cell>
          <cell r="R674">
            <v>80</v>
          </cell>
        </row>
        <row r="675">
          <cell r="P675">
            <v>82047689</v>
          </cell>
          <cell r="Q675" t="str">
            <v>CS</v>
          </cell>
          <cell r="R675">
            <v>84</v>
          </cell>
        </row>
        <row r="676">
          <cell r="P676">
            <v>82047698</v>
          </cell>
          <cell r="Q676" t="str">
            <v>CS</v>
          </cell>
          <cell r="R676">
            <v>56</v>
          </cell>
        </row>
        <row r="677">
          <cell r="P677">
            <v>82047712</v>
          </cell>
          <cell r="Q677" t="str">
            <v>CS</v>
          </cell>
          <cell r="R677">
            <v>48</v>
          </cell>
        </row>
        <row r="678">
          <cell r="P678">
            <v>82047720</v>
          </cell>
          <cell r="Q678" t="str">
            <v>CS</v>
          </cell>
          <cell r="R678">
            <v>64</v>
          </cell>
        </row>
        <row r="679">
          <cell r="P679">
            <v>82047728</v>
          </cell>
          <cell r="Q679" t="str">
            <v>CS</v>
          </cell>
          <cell r="R679">
            <v>96</v>
          </cell>
        </row>
        <row r="680">
          <cell r="P680">
            <v>82047731</v>
          </cell>
          <cell r="Q680" t="str">
            <v>CS</v>
          </cell>
          <cell r="R680">
            <v>64</v>
          </cell>
        </row>
        <row r="681">
          <cell r="P681">
            <v>82047761</v>
          </cell>
          <cell r="Q681" t="str">
            <v>CS</v>
          </cell>
          <cell r="R681">
            <v>96</v>
          </cell>
        </row>
        <row r="682">
          <cell r="P682">
            <v>82047764</v>
          </cell>
          <cell r="Q682" t="str">
            <v>CS</v>
          </cell>
          <cell r="R682">
            <v>48</v>
          </cell>
        </row>
        <row r="683">
          <cell r="P683">
            <v>82047768</v>
          </cell>
          <cell r="Q683" t="str">
            <v>CS</v>
          </cell>
          <cell r="R683">
            <v>64</v>
          </cell>
        </row>
        <row r="684">
          <cell r="P684">
            <v>82047773</v>
          </cell>
          <cell r="Q684" t="str">
            <v>CS</v>
          </cell>
          <cell r="R684">
            <v>96</v>
          </cell>
        </row>
        <row r="685">
          <cell r="P685">
            <v>82047831</v>
          </cell>
          <cell r="Q685" t="str">
            <v>CS</v>
          </cell>
          <cell r="R685">
            <v>56</v>
          </cell>
        </row>
        <row r="686">
          <cell r="P686">
            <v>82047842</v>
          </cell>
          <cell r="Q686" t="str">
            <v>CS</v>
          </cell>
          <cell r="R686">
            <v>36</v>
          </cell>
        </row>
        <row r="687">
          <cell r="P687">
            <v>82047844</v>
          </cell>
          <cell r="Q687" t="str">
            <v>CS</v>
          </cell>
          <cell r="R687">
            <v>30</v>
          </cell>
        </row>
        <row r="688">
          <cell r="P688">
            <v>82047846</v>
          </cell>
          <cell r="Q688" t="str">
            <v>CS</v>
          </cell>
          <cell r="R688">
            <v>30</v>
          </cell>
        </row>
        <row r="689">
          <cell r="P689">
            <v>82047883</v>
          </cell>
          <cell r="Q689" t="str">
            <v>CS</v>
          </cell>
          <cell r="R689">
            <v>90</v>
          </cell>
        </row>
        <row r="690">
          <cell r="P690">
            <v>82047884</v>
          </cell>
          <cell r="Q690" t="str">
            <v>CS</v>
          </cell>
          <cell r="R690">
            <v>80</v>
          </cell>
        </row>
        <row r="691">
          <cell r="P691">
            <v>82047886</v>
          </cell>
          <cell r="Q691" t="str">
            <v>CS</v>
          </cell>
          <cell r="R691">
            <v>84</v>
          </cell>
        </row>
        <row r="692">
          <cell r="P692">
            <v>82047892</v>
          </cell>
          <cell r="Q692" t="str">
            <v>CS</v>
          </cell>
          <cell r="R692">
            <v>90</v>
          </cell>
        </row>
        <row r="693">
          <cell r="P693">
            <v>82047894</v>
          </cell>
          <cell r="Q693" t="str">
            <v>CS</v>
          </cell>
          <cell r="R693">
            <v>80</v>
          </cell>
        </row>
        <row r="694">
          <cell r="P694">
            <v>82047942</v>
          </cell>
          <cell r="Q694" t="str">
            <v>CS</v>
          </cell>
          <cell r="R694">
            <v>84</v>
          </cell>
        </row>
        <row r="695">
          <cell r="P695">
            <v>82047947</v>
          </cell>
          <cell r="Q695" t="str">
            <v>CS</v>
          </cell>
          <cell r="R695">
            <v>80</v>
          </cell>
        </row>
        <row r="696">
          <cell r="P696">
            <v>82047950</v>
          </cell>
          <cell r="Q696" t="str">
            <v>CS</v>
          </cell>
          <cell r="R696">
            <v>84</v>
          </cell>
        </row>
        <row r="697">
          <cell r="P697">
            <v>82047951</v>
          </cell>
          <cell r="Q697" t="str">
            <v>CS</v>
          </cell>
          <cell r="R697">
            <v>90</v>
          </cell>
        </row>
        <row r="698">
          <cell r="P698">
            <v>82047953</v>
          </cell>
          <cell r="Q698" t="str">
            <v>CS</v>
          </cell>
          <cell r="R698">
            <v>80</v>
          </cell>
        </row>
        <row r="699">
          <cell r="P699">
            <v>82047955</v>
          </cell>
          <cell r="Q699" t="str">
            <v>CS</v>
          </cell>
          <cell r="R699">
            <v>84</v>
          </cell>
        </row>
        <row r="700">
          <cell r="P700">
            <v>82047960</v>
          </cell>
          <cell r="Q700" t="str">
            <v>CS</v>
          </cell>
          <cell r="R700">
            <v>100</v>
          </cell>
        </row>
        <row r="701">
          <cell r="P701">
            <v>82047963</v>
          </cell>
          <cell r="Q701" t="str">
            <v>CS</v>
          </cell>
          <cell r="R701">
            <v>92</v>
          </cell>
        </row>
        <row r="702">
          <cell r="P702">
            <v>82047964</v>
          </cell>
          <cell r="Q702" t="str">
            <v>CS</v>
          </cell>
          <cell r="R702">
            <v>100</v>
          </cell>
        </row>
        <row r="703">
          <cell r="P703">
            <v>82047970</v>
          </cell>
          <cell r="Q703" t="str">
            <v>CS</v>
          </cell>
          <cell r="R703">
            <v>92</v>
          </cell>
        </row>
        <row r="704">
          <cell r="P704">
            <v>82047973</v>
          </cell>
          <cell r="Q704" t="str">
            <v>CS</v>
          </cell>
          <cell r="R704">
            <v>92</v>
          </cell>
        </row>
        <row r="705">
          <cell r="P705">
            <v>82047975</v>
          </cell>
          <cell r="Q705" t="str">
            <v>CS</v>
          </cell>
          <cell r="R705">
            <v>100</v>
          </cell>
        </row>
        <row r="706">
          <cell r="P706">
            <v>82047978</v>
          </cell>
          <cell r="Q706" t="str">
            <v>CS</v>
          </cell>
          <cell r="R706">
            <v>92</v>
          </cell>
        </row>
        <row r="707">
          <cell r="P707">
            <v>82047981</v>
          </cell>
          <cell r="Q707" t="str">
            <v>CS</v>
          </cell>
          <cell r="R707">
            <v>64</v>
          </cell>
        </row>
        <row r="708">
          <cell r="P708">
            <v>82047982</v>
          </cell>
          <cell r="Q708" t="str">
            <v>CS</v>
          </cell>
          <cell r="R708">
            <v>64</v>
          </cell>
        </row>
        <row r="709">
          <cell r="P709">
            <v>82047983</v>
          </cell>
          <cell r="Q709" t="str">
            <v>CS</v>
          </cell>
          <cell r="R709">
            <v>64</v>
          </cell>
        </row>
        <row r="710">
          <cell r="P710">
            <v>82047988</v>
          </cell>
          <cell r="Q710" t="str">
            <v>CS</v>
          </cell>
          <cell r="R710">
            <v>200</v>
          </cell>
        </row>
        <row r="711">
          <cell r="P711">
            <v>82047990</v>
          </cell>
          <cell r="Q711" t="str">
            <v>CS</v>
          </cell>
          <cell r="R711">
            <v>48</v>
          </cell>
        </row>
        <row r="712">
          <cell r="P712">
            <v>82047992</v>
          </cell>
          <cell r="Q712" t="str">
            <v>CS</v>
          </cell>
          <cell r="R712">
            <v>64</v>
          </cell>
        </row>
        <row r="713">
          <cell r="P713">
            <v>82047994</v>
          </cell>
          <cell r="Q713" t="str">
            <v>CS</v>
          </cell>
          <cell r="R713">
            <v>64</v>
          </cell>
        </row>
        <row r="714">
          <cell r="P714">
            <v>82048037</v>
          </cell>
          <cell r="Q714" t="str">
            <v>CS</v>
          </cell>
          <cell r="R714">
            <v>48</v>
          </cell>
        </row>
        <row r="715">
          <cell r="P715">
            <v>82048039</v>
          </cell>
          <cell r="Q715" t="str">
            <v>CS</v>
          </cell>
          <cell r="R715">
            <v>64</v>
          </cell>
        </row>
        <row r="716">
          <cell r="P716">
            <v>82048062</v>
          </cell>
          <cell r="Q716" t="str">
            <v>CS</v>
          </cell>
          <cell r="R716">
            <v>36</v>
          </cell>
        </row>
        <row r="717">
          <cell r="P717">
            <v>82048064</v>
          </cell>
          <cell r="Q717" t="str">
            <v>CS</v>
          </cell>
          <cell r="R717">
            <v>56</v>
          </cell>
        </row>
        <row r="718">
          <cell r="P718">
            <v>82048065</v>
          </cell>
          <cell r="Q718" t="str">
            <v>CS</v>
          </cell>
          <cell r="R718">
            <v>56</v>
          </cell>
        </row>
        <row r="719">
          <cell r="P719">
            <v>82048127</v>
          </cell>
          <cell r="Q719" t="str">
            <v>CS</v>
          </cell>
          <cell r="R719">
            <v>90</v>
          </cell>
        </row>
        <row r="720">
          <cell r="P720">
            <v>82048166</v>
          </cell>
          <cell r="Q720" t="str">
            <v>CS</v>
          </cell>
          <cell r="R720">
            <v>80</v>
          </cell>
        </row>
        <row r="721">
          <cell r="P721">
            <v>82048180</v>
          </cell>
          <cell r="Q721" t="str">
            <v>CS</v>
          </cell>
          <cell r="R721">
            <v>80</v>
          </cell>
        </row>
        <row r="722">
          <cell r="P722">
            <v>82048182</v>
          </cell>
          <cell r="Q722" t="str">
            <v>CS</v>
          </cell>
          <cell r="R722">
            <v>80</v>
          </cell>
        </row>
        <row r="723">
          <cell r="P723">
            <v>82048183</v>
          </cell>
          <cell r="Q723" t="str">
            <v>CS</v>
          </cell>
          <cell r="R723">
            <v>100</v>
          </cell>
        </row>
        <row r="724">
          <cell r="P724">
            <v>82048186</v>
          </cell>
          <cell r="Q724" t="str">
            <v>CS</v>
          </cell>
          <cell r="R724">
            <v>104</v>
          </cell>
        </row>
        <row r="725">
          <cell r="P725">
            <v>82048190</v>
          </cell>
          <cell r="Q725" t="str">
            <v>CS</v>
          </cell>
          <cell r="R725">
            <v>92</v>
          </cell>
        </row>
        <row r="726">
          <cell r="P726">
            <v>82048192</v>
          </cell>
          <cell r="Q726" t="str">
            <v>CS</v>
          </cell>
          <cell r="R726">
            <v>80</v>
          </cell>
        </row>
        <row r="727">
          <cell r="P727">
            <v>82048198</v>
          </cell>
          <cell r="Q727" t="str">
            <v>CS</v>
          </cell>
          <cell r="R727">
            <v>92</v>
          </cell>
        </row>
        <row r="728">
          <cell r="P728">
            <v>82048201</v>
          </cell>
          <cell r="Q728" t="str">
            <v>CS</v>
          </cell>
          <cell r="R728">
            <v>80</v>
          </cell>
        </row>
        <row r="729">
          <cell r="P729">
            <v>82048273</v>
          </cell>
          <cell r="Q729" t="str">
            <v>CS</v>
          </cell>
          <cell r="R729">
            <v>80</v>
          </cell>
        </row>
        <row r="730">
          <cell r="P730">
            <v>82048299</v>
          </cell>
          <cell r="Q730" t="str">
            <v>CS</v>
          </cell>
          <cell r="R730">
            <v>80</v>
          </cell>
        </row>
        <row r="731">
          <cell r="P731">
            <v>82048342</v>
          </cell>
          <cell r="Q731" t="str">
            <v>CS</v>
          </cell>
          <cell r="R731">
            <v>56</v>
          </cell>
        </row>
        <row r="732">
          <cell r="P732">
            <v>82048372</v>
          </cell>
          <cell r="Q732" t="str">
            <v>CS</v>
          </cell>
          <cell r="R732">
            <v>90</v>
          </cell>
        </row>
        <row r="733">
          <cell r="P733">
            <v>82048389</v>
          </cell>
          <cell r="Q733" t="str">
            <v>CS</v>
          </cell>
          <cell r="R733">
            <v>90</v>
          </cell>
        </row>
        <row r="734">
          <cell r="P734">
            <v>82048392</v>
          </cell>
          <cell r="Q734" t="str">
            <v>CS</v>
          </cell>
          <cell r="R734">
            <v>80</v>
          </cell>
        </row>
        <row r="735">
          <cell r="P735">
            <v>82048395</v>
          </cell>
          <cell r="Q735" t="str">
            <v>CS</v>
          </cell>
          <cell r="R735">
            <v>88</v>
          </cell>
        </row>
        <row r="736">
          <cell r="P736">
            <v>82048396</v>
          </cell>
          <cell r="Q736" t="str">
            <v>CS</v>
          </cell>
          <cell r="R736">
            <v>70</v>
          </cell>
        </row>
        <row r="737">
          <cell r="P737">
            <v>82048465</v>
          </cell>
          <cell r="Q737" t="str">
            <v>CS</v>
          </cell>
          <cell r="R737">
            <v>108</v>
          </cell>
        </row>
        <row r="738">
          <cell r="P738">
            <v>82048489</v>
          </cell>
          <cell r="Q738" t="str">
            <v>CS</v>
          </cell>
          <cell r="R738">
            <v>90</v>
          </cell>
        </row>
        <row r="739">
          <cell r="P739">
            <v>82048490</v>
          </cell>
          <cell r="Q739" t="str">
            <v>CS</v>
          </cell>
          <cell r="R739">
            <v>90</v>
          </cell>
        </row>
        <row r="740">
          <cell r="P740">
            <v>82048496</v>
          </cell>
          <cell r="Q740" t="str">
            <v>CS</v>
          </cell>
          <cell r="R740">
            <v>90</v>
          </cell>
        </row>
        <row r="741">
          <cell r="P741">
            <v>82048497</v>
          </cell>
          <cell r="Q741" t="str">
            <v>CS</v>
          </cell>
          <cell r="R741">
            <v>100</v>
          </cell>
        </row>
        <row r="742">
          <cell r="P742">
            <v>82048499</v>
          </cell>
          <cell r="Q742" t="str">
            <v>CS</v>
          </cell>
          <cell r="R742">
            <v>100</v>
          </cell>
        </row>
        <row r="743">
          <cell r="P743">
            <v>82048501</v>
          </cell>
          <cell r="Q743" t="str">
            <v>CS</v>
          </cell>
          <cell r="R743">
            <v>92</v>
          </cell>
        </row>
        <row r="744">
          <cell r="P744">
            <v>82048504</v>
          </cell>
          <cell r="Q744" t="str">
            <v>CS</v>
          </cell>
          <cell r="R744">
            <v>100</v>
          </cell>
        </row>
        <row r="745">
          <cell r="P745">
            <v>82048505</v>
          </cell>
          <cell r="Q745" t="str">
            <v>CS</v>
          </cell>
          <cell r="R745">
            <v>92</v>
          </cell>
        </row>
        <row r="746">
          <cell r="P746">
            <v>82048507</v>
          </cell>
          <cell r="Q746" t="str">
            <v>CS</v>
          </cell>
          <cell r="R746">
            <v>92</v>
          </cell>
        </row>
        <row r="747">
          <cell r="P747">
            <v>82048520</v>
          </cell>
          <cell r="Q747" t="str">
            <v>CS</v>
          </cell>
          <cell r="R747">
            <v>100</v>
          </cell>
        </row>
        <row r="748">
          <cell r="P748">
            <v>82048521</v>
          </cell>
          <cell r="Q748" t="str">
            <v>CS</v>
          </cell>
          <cell r="R748">
            <v>100</v>
          </cell>
        </row>
        <row r="749">
          <cell r="P749">
            <v>82048522</v>
          </cell>
          <cell r="Q749" t="str">
            <v>CS</v>
          </cell>
          <cell r="R749">
            <v>100</v>
          </cell>
        </row>
        <row r="750">
          <cell r="P750">
            <v>82048523</v>
          </cell>
          <cell r="Q750" t="str">
            <v>CS</v>
          </cell>
          <cell r="R750">
            <v>100</v>
          </cell>
        </row>
        <row r="751">
          <cell r="P751">
            <v>82048524</v>
          </cell>
          <cell r="Q751" t="str">
            <v>CS</v>
          </cell>
          <cell r="R751">
            <v>92</v>
          </cell>
        </row>
        <row r="752">
          <cell r="P752">
            <v>82048525</v>
          </cell>
          <cell r="Q752" t="str">
            <v>CS</v>
          </cell>
          <cell r="R752">
            <v>84</v>
          </cell>
        </row>
        <row r="753">
          <cell r="P753">
            <v>82048526</v>
          </cell>
          <cell r="Q753" t="str">
            <v>CS</v>
          </cell>
          <cell r="R753">
            <v>84</v>
          </cell>
        </row>
        <row r="754">
          <cell r="P754">
            <v>82048527</v>
          </cell>
          <cell r="Q754" t="str">
            <v>CS</v>
          </cell>
          <cell r="R754">
            <v>92</v>
          </cell>
        </row>
        <row r="755">
          <cell r="P755">
            <v>82048528</v>
          </cell>
          <cell r="Q755" t="str">
            <v>CS</v>
          </cell>
          <cell r="R755">
            <v>100</v>
          </cell>
        </row>
        <row r="756">
          <cell r="P756">
            <v>82048529</v>
          </cell>
          <cell r="Q756" t="str">
            <v>CS</v>
          </cell>
          <cell r="R756">
            <v>92</v>
          </cell>
        </row>
        <row r="757">
          <cell r="P757">
            <v>82048530</v>
          </cell>
          <cell r="Q757" t="str">
            <v>CS</v>
          </cell>
          <cell r="R757">
            <v>64</v>
          </cell>
        </row>
        <row r="758">
          <cell r="P758">
            <v>82048539</v>
          </cell>
          <cell r="Q758" t="str">
            <v>CS</v>
          </cell>
          <cell r="R758">
            <v>120</v>
          </cell>
        </row>
        <row r="759">
          <cell r="P759">
            <v>82048541</v>
          </cell>
          <cell r="Q759" t="str">
            <v>CS</v>
          </cell>
          <cell r="R759">
            <v>171</v>
          </cell>
        </row>
        <row r="760">
          <cell r="P760">
            <v>82048548</v>
          </cell>
          <cell r="Q760" t="str">
            <v>CS</v>
          </cell>
          <cell r="R760">
            <v>465</v>
          </cell>
        </row>
        <row r="761">
          <cell r="P761">
            <v>82048582</v>
          </cell>
          <cell r="Q761" t="str">
            <v>CS</v>
          </cell>
          <cell r="R761">
            <v>40</v>
          </cell>
        </row>
        <row r="762">
          <cell r="P762">
            <v>82048587</v>
          </cell>
          <cell r="Q762" t="str">
            <v>CS</v>
          </cell>
          <cell r="R762">
            <v>48</v>
          </cell>
        </row>
        <row r="763">
          <cell r="P763">
            <v>82048588</v>
          </cell>
          <cell r="Q763" t="str">
            <v>CS</v>
          </cell>
          <cell r="R763">
            <v>42</v>
          </cell>
        </row>
        <row r="764">
          <cell r="P764">
            <v>82048589</v>
          </cell>
          <cell r="Q764" t="str">
            <v>CS</v>
          </cell>
          <cell r="R764">
            <v>40</v>
          </cell>
        </row>
        <row r="765">
          <cell r="P765">
            <v>82048590</v>
          </cell>
          <cell r="Q765" t="str">
            <v>CS</v>
          </cell>
          <cell r="R765">
            <v>40</v>
          </cell>
        </row>
        <row r="766">
          <cell r="P766">
            <v>82048591</v>
          </cell>
          <cell r="Q766" t="str">
            <v>CS</v>
          </cell>
          <cell r="R766">
            <v>40</v>
          </cell>
        </row>
        <row r="767">
          <cell r="P767">
            <v>82048659</v>
          </cell>
          <cell r="Q767" t="str">
            <v>CS</v>
          </cell>
          <cell r="R767">
            <v>95</v>
          </cell>
        </row>
        <row r="768">
          <cell r="P768">
            <v>82048660</v>
          </cell>
          <cell r="Q768" t="str">
            <v>CS</v>
          </cell>
          <cell r="R768">
            <v>200</v>
          </cell>
        </row>
        <row r="769">
          <cell r="P769">
            <v>82048661</v>
          </cell>
          <cell r="Q769" t="str">
            <v>CS</v>
          </cell>
          <cell r="R769">
            <v>90</v>
          </cell>
        </row>
        <row r="770">
          <cell r="P770">
            <v>82048669</v>
          </cell>
          <cell r="Q770" t="str">
            <v>CS</v>
          </cell>
          <cell r="R770">
            <v>200</v>
          </cell>
        </row>
        <row r="771">
          <cell r="P771">
            <v>82048670</v>
          </cell>
          <cell r="Q771" t="str">
            <v>CS</v>
          </cell>
          <cell r="R771">
            <v>240</v>
          </cell>
        </row>
        <row r="772">
          <cell r="P772">
            <v>82048681</v>
          </cell>
          <cell r="Q772" t="str">
            <v>CS</v>
          </cell>
          <cell r="R772">
            <v>72</v>
          </cell>
        </row>
        <row r="773">
          <cell r="P773">
            <v>82048682</v>
          </cell>
          <cell r="Q773" t="str">
            <v>CS</v>
          </cell>
          <cell r="R773">
            <v>114</v>
          </cell>
        </row>
        <row r="774">
          <cell r="P774">
            <v>82048683</v>
          </cell>
          <cell r="Q774" t="str">
            <v>CS</v>
          </cell>
          <cell r="R774">
            <v>120</v>
          </cell>
        </row>
        <row r="775">
          <cell r="P775">
            <v>82048744</v>
          </cell>
          <cell r="Q775" t="str">
            <v>CS</v>
          </cell>
          <cell r="R775">
            <v>171</v>
          </cell>
        </row>
        <row r="776">
          <cell r="P776">
            <v>82048794</v>
          </cell>
          <cell r="Q776" t="str">
            <v>CS</v>
          </cell>
          <cell r="R776">
            <v>28</v>
          </cell>
        </row>
        <row r="777">
          <cell r="P777">
            <v>82048807</v>
          </cell>
          <cell r="Q777" t="str">
            <v>CS</v>
          </cell>
          <cell r="R777">
            <v>64</v>
          </cell>
        </row>
        <row r="778">
          <cell r="P778">
            <v>82048808</v>
          </cell>
          <cell r="Q778" t="str">
            <v>CS</v>
          </cell>
          <cell r="R778">
            <v>48</v>
          </cell>
        </row>
        <row r="779">
          <cell r="P779">
            <v>82048809</v>
          </cell>
          <cell r="Q779" t="str">
            <v>CS</v>
          </cell>
          <cell r="R779">
            <v>42</v>
          </cell>
        </row>
        <row r="780">
          <cell r="P780">
            <v>82048810</v>
          </cell>
          <cell r="Q780" t="str">
            <v>CS</v>
          </cell>
          <cell r="R780">
            <v>50</v>
          </cell>
        </row>
        <row r="781">
          <cell r="P781">
            <v>82048816</v>
          </cell>
          <cell r="Q781" t="str">
            <v>CS</v>
          </cell>
          <cell r="R781">
            <v>28</v>
          </cell>
        </row>
        <row r="782">
          <cell r="P782">
            <v>82048817</v>
          </cell>
          <cell r="Q782" t="str">
            <v>CS</v>
          </cell>
          <cell r="R782">
            <v>42</v>
          </cell>
        </row>
        <row r="783">
          <cell r="P783">
            <v>82048825</v>
          </cell>
          <cell r="Q783" t="str">
            <v>CS</v>
          </cell>
          <cell r="R783">
            <v>95</v>
          </cell>
        </row>
        <row r="784">
          <cell r="P784">
            <v>82048877</v>
          </cell>
          <cell r="Q784" t="str">
            <v>CS</v>
          </cell>
          <cell r="R784">
            <v>60</v>
          </cell>
        </row>
        <row r="785">
          <cell r="P785">
            <v>82049156</v>
          </cell>
          <cell r="Q785" t="str">
            <v>CS</v>
          </cell>
          <cell r="R785">
            <v>51</v>
          </cell>
        </row>
        <row r="786">
          <cell r="P786">
            <v>82049157</v>
          </cell>
          <cell r="Q786" t="str">
            <v>CS</v>
          </cell>
          <cell r="R786">
            <v>80</v>
          </cell>
        </row>
        <row r="787">
          <cell r="P787">
            <v>82049397</v>
          </cell>
          <cell r="Q787" t="str">
            <v>CS</v>
          </cell>
          <cell r="R787">
            <v>90</v>
          </cell>
        </row>
        <row r="788">
          <cell r="P788">
            <v>82049398</v>
          </cell>
          <cell r="Q788" t="str">
            <v>CS</v>
          </cell>
          <cell r="R788">
            <v>88</v>
          </cell>
        </row>
        <row r="789">
          <cell r="P789">
            <v>82049399</v>
          </cell>
          <cell r="Q789" t="str">
            <v>CS</v>
          </cell>
          <cell r="R789">
            <v>80</v>
          </cell>
        </row>
        <row r="790">
          <cell r="P790">
            <v>82049400</v>
          </cell>
          <cell r="Q790" t="str">
            <v>CS</v>
          </cell>
          <cell r="R790">
            <v>70</v>
          </cell>
        </row>
        <row r="791">
          <cell r="P791">
            <v>82049580</v>
          </cell>
          <cell r="Q791" t="str">
            <v>CS</v>
          </cell>
          <cell r="R791">
            <v>200</v>
          </cell>
        </row>
        <row r="792">
          <cell r="P792">
            <v>82049581</v>
          </cell>
          <cell r="Q792" t="str">
            <v>CS</v>
          </cell>
          <cell r="R792">
            <v>200</v>
          </cell>
        </row>
        <row r="793">
          <cell r="P793">
            <v>82049588</v>
          </cell>
          <cell r="Q793" t="str">
            <v>CS</v>
          </cell>
          <cell r="R793">
            <v>240</v>
          </cell>
        </row>
        <row r="794">
          <cell r="P794">
            <v>83028611</v>
          </cell>
          <cell r="Q794" t="str">
            <v>CS</v>
          </cell>
          <cell r="R794">
            <v>30</v>
          </cell>
        </row>
        <row r="795">
          <cell r="P795">
            <v>83036012</v>
          </cell>
          <cell r="Q795" t="str">
            <v>CS</v>
          </cell>
          <cell r="R795">
            <v>45</v>
          </cell>
        </row>
        <row r="796">
          <cell r="P796">
            <v>83036015</v>
          </cell>
          <cell r="Q796" t="str">
            <v>CS</v>
          </cell>
          <cell r="R796">
            <v>45</v>
          </cell>
        </row>
        <row r="797">
          <cell r="P797">
            <v>83036146</v>
          </cell>
          <cell r="Q797" t="str">
            <v>CS</v>
          </cell>
          <cell r="R797">
            <v>160</v>
          </cell>
        </row>
        <row r="798">
          <cell r="P798">
            <v>83036157</v>
          </cell>
          <cell r="Q798" t="str">
            <v>CS</v>
          </cell>
          <cell r="R798">
            <v>128</v>
          </cell>
        </row>
        <row r="799">
          <cell r="P799">
            <v>83036158</v>
          </cell>
          <cell r="Q799" t="str">
            <v>CS</v>
          </cell>
          <cell r="R799">
            <v>128</v>
          </cell>
        </row>
        <row r="800">
          <cell r="P800">
            <v>83036159</v>
          </cell>
          <cell r="Q800" t="str">
            <v>CS</v>
          </cell>
          <cell r="R800">
            <v>128</v>
          </cell>
        </row>
        <row r="801">
          <cell r="P801">
            <v>83036164</v>
          </cell>
          <cell r="Q801" t="str">
            <v>CS</v>
          </cell>
          <cell r="R801">
            <v>128</v>
          </cell>
        </row>
        <row r="802">
          <cell r="P802">
            <v>83036169</v>
          </cell>
          <cell r="Q802" t="str">
            <v>CS</v>
          </cell>
          <cell r="R802">
            <v>80</v>
          </cell>
        </row>
        <row r="803">
          <cell r="P803">
            <v>83036175</v>
          </cell>
          <cell r="Q803" t="str">
            <v>CS</v>
          </cell>
          <cell r="R803">
            <v>192</v>
          </cell>
        </row>
        <row r="804">
          <cell r="P804">
            <v>83036176</v>
          </cell>
          <cell r="Q804" t="str">
            <v>CS</v>
          </cell>
          <cell r="R804">
            <v>304</v>
          </cell>
        </row>
        <row r="805">
          <cell r="P805">
            <v>83036178</v>
          </cell>
          <cell r="Q805" t="str">
            <v>CS</v>
          </cell>
          <cell r="R805">
            <v>168</v>
          </cell>
        </row>
        <row r="806">
          <cell r="P806">
            <v>83036179</v>
          </cell>
          <cell r="Q806" t="str">
            <v>CS</v>
          </cell>
          <cell r="R806">
            <v>160</v>
          </cell>
        </row>
        <row r="807">
          <cell r="P807">
            <v>83036186</v>
          </cell>
          <cell r="Q807" t="str">
            <v>CS</v>
          </cell>
          <cell r="R807">
            <v>225</v>
          </cell>
        </row>
        <row r="808">
          <cell r="P808">
            <v>83036191</v>
          </cell>
          <cell r="Q808" t="str">
            <v>CS</v>
          </cell>
          <cell r="R808">
            <v>252</v>
          </cell>
        </row>
        <row r="809">
          <cell r="P809">
            <v>83036193</v>
          </cell>
          <cell r="Q809" t="str">
            <v>CS</v>
          </cell>
          <cell r="R809">
            <v>200</v>
          </cell>
        </row>
        <row r="810">
          <cell r="P810">
            <v>83036194</v>
          </cell>
          <cell r="Q810" t="str">
            <v>CS</v>
          </cell>
          <cell r="R810">
            <v>663</v>
          </cell>
        </row>
        <row r="811">
          <cell r="P811">
            <v>83037054</v>
          </cell>
          <cell r="Q811" t="str">
            <v>CS</v>
          </cell>
          <cell r="R811">
            <v>80</v>
          </cell>
        </row>
        <row r="812">
          <cell r="P812">
            <v>83039855</v>
          </cell>
          <cell r="Q812" t="str">
            <v>CS</v>
          </cell>
          <cell r="R812">
            <v>180</v>
          </cell>
        </row>
        <row r="813">
          <cell r="P813">
            <v>83039856</v>
          </cell>
          <cell r="Q813" t="str">
            <v>CS</v>
          </cell>
          <cell r="R813">
            <v>180</v>
          </cell>
        </row>
        <row r="814">
          <cell r="P814">
            <v>83039858</v>
          </cell>
          <cell r="Q814" t="str">
            <v>CS</v>
          </cell>
          <cell r="R814">
            <v>160</v>
          </cell>
        </row>
        <row r="815">
          <cell r="P815">
            <v>83039859</v>
          </cell>
          <cell r="Q815" t="str">
            <v>CS</v>
          </cell>
          <cell r="R815">
            <v>160</v>
          </cell>
        </row>
        <row r="816">
          <cell r="P816">
            <v>83039860</v>
          </cell>
          <cell r="Q816" t="str">
            <v>CS</v>
          </cell>
          <cell r="R816">
            <v>304</v>
          </cell>
        </row>
        <row r="817">
          <cell r="P817">
            <v>83039861</v>
          </cell>
          <cell r="Q817" t="str">
            <v>CS</v>
          </cell>
          <cell r="R817">
            <v>304</v>
          </cell>
        </row>
        <row r="818">
          <cell r="P818">
            <v>83039867</v>
          </cell>
          <cell r="Q818" t="str">
            <v>CS</v>
          </cell>
          <cell r="R818">
            <v>304</v>
          </cell>
        </row>
        <row r="819">
          <cell r="P819">
            <v>83039868</v>
          </cell>
          <cell r="Q819" t="str">
            <v>CS</v>
          </cell>
          <cell r="R819">
            <v>480</v>
          </cell>
        </row>
        <row r="820">
          <cell r="P820">
            <v>83039869</v>
          </cell>
          <cell r="Q820" t="str">
            <v>CS</v>
          </cell>
          <cell r="R820">
            <v>255</v>
          </cell>
        </row>
        <row r="821">
          <cell r="P821">
            <v>83039873</v>
          </cell>
          <cell r="Q821" t="str">
            <v>CS</v>
          </cell>
          <cell r="R821">
            <v>125</v>
          </cell>
        </row>
        <row r="822">
          <cell r="P822">
            <v>83039874</v>
          </cell>
          <cell r="Q822" t="str">
            <v>CS</v>
          </cell>
          <cell r="R822">
            <v>252</v>
          </cell>
        </row>
        <row r="823">
          <cell r="P823">
            <v>83039875</v>
          </cell>
          <cell r="Q823" t="str">
            <v>CS</v>
          </cell>
          <cell r="R823">
            <v>180</v>
          </cell>
        </row>
        <row r="824">
          <cell r="P824">
            <v>83040060</v>
          </cell>
          <cell r="Q824" t="str">
            <v>CS</v>
          </cell>
          <cell r="R824">
            <v>180</v>
          </cell>
        </row>
        <row r="825">
          <cell r="P825">
            <v>83040064</v>
          </cell>
          <cell r="Q825" t="str">
            <v>CS</v>
          </cell>
          <cell r="R825">
            <v>100</v>
          </cell>
        </row>
        <row r="826">
          <cell r="P826">
            <v>83042135</v>
          </cell>
          <cell r="Q826" t="str">
            <v>CS</v>
          </cell>
          <cell r="R826">
            <v>40</v>
          </cell>
        </row>
        <row r="827">
          <cell r="P827">
            <v>83046407</v>
          </cell>
          <cell r="Q827" t="str">
            <v>CS</v>
          </cell>
          <cell r="R827">
            <v>40</v>
          </cell>
        </row>
        <row r="828">
          <cell r="P828">
            <v>83046413</v>
          </cell>
          <cell r="Q828" t="str">
            <v>CS</v>
          </cell>
          <cell r="R828">
            <v>40</v>
          </cell>
        </row>
        <row r="829">
          <cell r="P829">
            <v>83046415</v>
          </cell>
          <cell r="Q829" t="str">
            <v>CS</v>
          </cell>
          <cell r="R829">
            <v>40</v>
          </cell>
        </row>
        <row r="830">
          <cell r="P830">
            <v>83046418</v>
          </cell>
          <cell r="Q830" t="str">
            <v>CS</v>
          </cell>
          <cell r="R830">
            <v>126</v>
          </cell>
        </row>
        <row r="831">
          <cell r="P831">
            <v>83046419</v>
          </cell>
          <cell r="Q831" t="str">
            <v>CS</v>
          </cell>
          <cell r="R831">
            <v>126</v>
          </cell>
        </row>
        <row r="832">
          <cell r="P832">
            <v>83046828</v>
          </cell>
          <cell r="Q832" t="str">
            <v>CS</v>
          </cell>
          <cell r="R832">
            <v>90</v>
          </cell>
        </row>
        <row r="833">
          <cell r="P833">
            <v>83046830</v>
          </cell>
          <cell r="Q833" t="str">
            <v>CS</v>
          </cell>
          <cell r="R833">
            <v>30</v>
          </cell>
        </row>
        <row r="834">
          <cell r="P834">
            <v>83236183</v>
          </cell>
          <cell r="Q834" t="str">
            <v>CS</v>
          </cell>
          <cell r="R834">
            <v>252</v>
          </cell>
        </row>
        <row r="835">
          <cell r="P835">
            <v>83300048</v>
          </cell>
          <cell r="Q835" t="str">
            <v>CS</v>
          </cell>
          <cell r="R835">
            <v>896</v>
          </cell>
        </row>
        <row r="836">
          <cell r="P836">
            <v>83309622</v>
          </cell>
          <cell r="Q836" t="str">
            <v>CS</v>
          </cell>
          <cell r="R836">
            <v>304</v>
          </cell>
        </row>
        <row r="837">
          <cell r="P837">
            <v>83360136</v>
          </cell>
          <cell r="Q837" t="str">
            <v>CS</v>
          </cell>
          <cell r="R837">
            <v>236</v>
          </cell>
        </row>
        <row r="838">
          <cell r="P838">
            <v>83360136</v>
          </cell>
          <cell r="Q838" t="str">
            <v>CS</v>
          </cell>
          <cell r="R838">
            <v>236</v>
          </cell>
        </row>
        <row r="839">
          <cell r="P839">
            <v>84900854</v>
          </cell>
          <cell r="Q839" t="str">
            <v>CS</v>
          </cell>
          <cell r="R839">
            <v>44</v>
          </cell>
        </row>
        <row r="840">
          <cell r="P840">
            <v>84900854</v>
          </cell>
          <cell r="Q840" t="str">
            <v>CS</v>
          </cell>
          <cell r="R840">
            <v>44</v>
          </cell>
        </row>
        <row r="841">
          <cell r="P841">
            <v>84900859</v>
          </cell>
          <cell r="Q841" t="str">
            <v>CS</v>
          </cell>
          <cell r="R841">
            <v>48</v>
          </cell>
        </row>
        <row r="842">
          <cell r="P842">
            <v>84900859</v>
          </cell>
          <cell r="Q842" t="str">
            <v>CS</v>
          </cell>
          <cell r="R842">
            <v>48</v>
          </cell>
        </row>
        <row r="843">
          <cell r="P843">
            <v>84902681</v>
          </cell>
          <cell r="Q843" t="str">
            <v>CS</v>
          </cell>
          <cell r="R843">
            <v>126</v>
          </cell>
        </row>
        <row r="844">
          <cell r="P844">
            <v>84902681</v>
          </cell>
          <cell r="Q844" t="str">
            <v>CS</v>
          </cell>
          <cell r="R844">
            <v>126</v>
          </cell>
        </row>
        <row r="845">
          <cell r="P845">
            <v>84902682</v>
          </cell>
          <cell r="Q845" t="str">
            <v>CS</v>
          </cell>
          <cell r="R845">
            <v>126</v>
          </cell>
        </row>
        <row r="846">
          <cell r="P846">
            <v>84902682</v>
          </cell>
          <cell r="Q846" t="str">
            <v>CS</v>
          </cell>
          <cell r="R846">
            <v>126</v>
          </cell>
        </row>
        <row r="847">
          <cell r="P847">
            <v>84902688</v>
          </cell>
          <cell r="Q847" t="str">
            <v>CS</v>
          </cell>
          <cell r="R847">
            <v>40</v>
          </cell>
        </row>
        <row r="848">
          <cell r="P848">
            <v>84902688</v>
          </cell>
          <cell r="Q848" t="str">
            <v>CS</v>
          </cell>
          <cell r="R848">
            <v>40</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tokoll"/>
      <sheetName val="Mischungszeiten VP"/>
      <sheetName val="DDS_KPI"/>
      <sheetName val="Actions &amp; Follow Up"/>
      <sheetName val="CIL"/>
      <sheetName val="CIL_alt"/>
      <sheetName val="CL-Abweichungsbericht"/>
      <sheetName val="Defect Log"/>
      <sheetName val="Defect Log_alt"/>
      <sheetName val="Archiv"/>
      <sheetName val="CIL Liste Draft"/>
      <sheetName val="Daten"/>
      <sheetName val="Daten_al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000-2-9 GBU Activity Grid"/>
      <sheetName val="SUMMARY REPORTS"/>
      <sheetName val="FORECAST IN DOLLARS"/>
      <sheetName val="case per pallet"/>
      <sheetName val="Linje 9"/>
      <sheetName val="Daglig Plan L9"/>
      <sheetName val="Långtidsplanering L9"/>
      <sheetName val="Weekly DMS Progress"/>
      <sheetName val="Constants"/>
      <sheetName val="Monthly DMS Progress"/>
      <sheetName val="Pivot"/>
      <sheetName val="PM DMS Weekly Result"/>
      <sheetName val="Database"/>
      <sheetName val="AM DMS Weekly Result"/>
      <sheetName val="LS Tracker"/>
      <sheetName val="BDE"/>
      <sheetName val="Location"/>
      <sheetName val="Indepth"/>
      <sheetName val="MO"/>
      <sheetName val="PM Pillar action"/>
      <sheetName val="BDE _ Module 7"/>
      <sheetName val="BDE _ Module 12"/>
      <sheetName val="Data Collection"/>
      <sheetName val="Graphs"/>
      <sheetName val="Indepth analysis schedule"/>
      <sheetName val="Data Collection 2"/>
      <sheetName val="Graphs (2)"/>
      <sheetName val="break down type"/>
      <sheetName val="BD summary"/>
      <sheetName val="BDE HC Wk  5"/>
      <sheetName val="BDE HC Wk  6"/>
      <sheetName val="BDE HC Wk 7"/>
      <sheetName val="BDE HC Wk 8"/>
      <sheetName val="BDE HC Wk 9"/>
      <sheetName val="BDE HC Wk 10"/>
      <sheetName val="BDE HC Wk 11"/>
      <sheetName val="BDE HC Wk 12"/>
      <sheetName val="BDE HC Wk 13"/>
      <sheetName val="BDE HC Wk 14"/>
      <sheetName val="BDE HC wk15"/>
      <sheetName val="BDE HC wk16"/>
      <sheetName val="BDE HC wk17"/>
      <sheetName val="BDE HC wk18"/>
      <sheetName val="BDE HC wk19"/>
      <sheetName val="BDE HC 20"/>
      <sheetName val="BDE HC 21"/>
      <sheetName val="BDE HC 22"/>
      <sheetName val="BDE HC 23"/>
      <sheetName val="BDE HC 25"/>
      <sheetName val="BDE HC 26"/>
      <sheetName val="BDE HC 27"/>
      <sheetName val="BDE HC 29"/>
      <sheetName val="BDE HC 30"/>
      <sheetName val="BDE HC 33"/>
      <sheetName val="BDE HC 34"/>
      <sheetName val="BDE HC 35"/>
      <sheetName val="health checks"/>
      <sheetName val="BDE HC 4"/>
      <sheetName val="BDE HC 5"/>
      <sheetName val="BDE Champions"/>
      <sheetName val="Sheet2"/>
      <sheetName val="Indepth analysis schedule (2)"/>
      <sheetName val="Action Plan"/>
      <sheetName val="Look up"/>
      <sheetName val="Push Button Commands"/>
    </sheetNames>
    <definedNames>
      <definedName name="Module1.PrintMacro"/>
    </definedNames>
    <sheetDataSet>
      <sheetData sheetId="0" refreshError="1"/>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BU Activity Grid"/>
      <sheetName val="Other INPUT"/>
      <sheetName val="F. I. Step Up Card"/>
      <sheetName val="PM Card Page 1"/>
      <sheetName val="Timisoara"/>
      <sheetName val="WPI Pillar Attendance"/>
      <sheetName val="95-96 Actual Detail"/>
      <sheetName val="Содержание "/>
      <sheetName val="Титульный лист ВО 57"/>
      <sheetName val="CBN + Поведения"/>
      <sheetName val="AM Pillar Team "/>
      <sheetName val="Понятия и определения"/>
      <sheetName val="AM Step1-SUC"/>
      <sheetName val="Map1"/>
      <sheetName val="Map2"/>
      <sheetName val="Оценка риска"/>
      <sheetName val="карто показателей ВО "/>
      <sheetName val="Карта трансформации"/>
      <sheetName val="Цели Линии 57  "/>
      <sheetName val="DH list-57"/>
      <sheetName val="DH list-58"/>
      <sheetName val="Los1"/>
      <sheetName val="План действий"/>
      <sheetName val="OEE+Reject PLAN"/>
      <sheetName val="Logistik DE DDS (tbd)"/>
      <sheetName val="17032020 SMD"/>
      <sheetName val="17032020 FMD &amp; VIDES"/>
    </sheetNames>
    <definedNames>
      <definedName name="PrintMacro"/>
    </defined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Tobias Neubig (External)" id="{1A8A867A-7D16-4F56-9B53-741F3F25A262}" userId="S::85170446@bat.com::78c3f852-e12d-412f-b48f-cf2cc9ec52cb"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O269" dT="2024-02-05T13:55:48.59" personId="{1A8A867A-7D16-4F56-9B53-741F3F25A262}" id="{7B8ACC35-B15B-466F-9B29-2149C19B179F}">
    <text>33 EU</text>
  </threadedComment>
  <threadedComment ref="O281" dT="2024-02-08T14:58:12.75" personId="{1A8A867A-7D16-4F56-9B53-741F3F25A262}" id="{BA826051-06CC-47C3-A6EF-B99B4A91FD24}">
    <text>Ist 32</text>
  </threadedComment>
  <threadedComment ref="O282" dT="2024-02-08T14:58:22.10" personId="{1A8A867A-7D16-4F56-9B53-741F3F25A262}" id="{767A1BB3-DF12-47FA-9EB5-DC3DA05F4B52}">
    <text xml:space="preserve">= 8
</text>
  </threadedComment>
  <threadedComment ref="O289" dT="2024-02-09T17:22:08.84" personId="{1A8A867A-7D16-4F56-9B53-741F3F25A262}" id="{830FF239-3691-4580-9E11-73DBF8943BBB}">
    <text xml:space="preserve">38
</text>
  </threadedComment>
  <threadedComment ref="O290" dT="2024-02-09T17:22:18.06" personId="{1A8A867A-7D16-4F56-9B53-741F3F25A262}" id="{1FABD417-2669-4759-8F70-9D2AE307FD18}">
    <text>21</text>
  </threadedComment>
  <threadedComment ref="O291" dT="2024-02-09T17:22:26.66" personId="{1A8A867A-7D16-4F56-9B53-741F3F25A262}" id="{3EF71C3A-BA42-4567-8231-3BE109FB9057}">
    <text xml:space="preserve">18
</text>
  </threadedComment>
  <threadedComment ref="O292" dT="2024-02-09T17:23:13.71" personId="{1A8A867A-7D16-4F56-9B53-741F3F25A262}" id="{49283442-87E1-4B5F-BB89-72A4EC55F644}">
    <text>20</text>
  </threadedComment>
  <threadedComment ref="O293" dT="2024-02-09T17:23:20.50" personId="{1A8A867A-7D16-4F56-9B53-741F3F25A262}" id="{A1E6C27E-744A-40D4-8B7C-8019C8EFFD4A}">
    <text>41</text>
  </threadedComment>
  <threadedComment ref="O294" dT="2024-02-09T17:23:26.94" personId="{1A8A867A-7D16-4F56-9B53-741F3F25A262}" id="{6D66A9EB-7888-4328-AFC5-C12ECA281C42}">
    <text>29</text>
  </threadedComment>
  <threadedComment ref="O295" dT="2024-02-09T17:58:59.65" personId="{1A8A867A-7D16-4F56-9B53-741F3F25A262}" id="{8D0217E0-4DA1-4E98-9429-6077933CD66C}">
    <text>45</text>
  </threadedComment>
  <threadedComment ref="O296" dT="2024-02-09T17:59:20.67" personId="{1A8A867A-7D16-4F56-9B53-741F3F25A262}" id="{90C28F41-7D65-4BCE-B982-E463662744D3}">
    <text>23</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B2512E3-DD4C-4D50-BDB9-987A792FD943}">
  <we:reference id="6602af15-b52b-5a02-8a1d-faa7f3a1da28" version="11.2.200.1149" store="EXCatalog" storeType="EXCatalog"/>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9" Type="http://schemas.openxmlformats.org/officeDocument/2006/relationships/printerSettings" Target="../printerSettings/printerSettings39.bin"/><Relationship Id="rId21" Type="http://schemas.openxmlformats.org/officeDocument/2006/relationships/printerSettings" Target="../printerSettings/printerSettings21.bin"/><Relationship Id="rId34" Type="http://schemas.openxmlformats.org/officeDocument/2006/relationships/printerSettings" Target="../printerSettings/printerSettings34.bin"/><Relationship Id="rId42" Type="http://schemas.openxmlformats.org/officeDocument/2006/relationships/printerSettings" Target="../printerSettings/printerSettings42.bin"/><Relationship Id="rId47" Type="http://schemas.openxmlformats.org/officeDocument/2006/relationships/comments" Target="../comments1.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9" Type="http://schemas.openxmlformats.org/officeDocument/2006/relationships/printerSettings" Target="../printerSettings/printerSettings29.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32" Type="http://schemas.openxmlformats.org/officeDocument/2006/relationships/printerSettings" Target="../printerSettings/printerSettings32.bin"/><Relationship Id="rId37" Type="http://schemas.openxmlformats.org/officeDocument/2006/relationships/printerSettings" Target="../printerSettings/printerSettings37.bin"/><Relationship Id="rId40" Type="http://schemas.openxmlformats.org/officeDocument/2006/relationships/printerSettings" Target="../printerSettings/printerSettings40.bin"/><Relationship Id="rId45" Type="http://schemas.openxmlformats.org/officeDocument/2006/relationships/printerSettings" Target="../printerSettings/printerSettings45.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printerSettings" Target="../printerSettings/printerSettings28.bin"/><Relationship Id="rId36" Type="http://schemas.openxmlformats.org/officeDocument/2006/relationships/printerSettings" Target="../printerSettings/printerSettings36.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31" Type="http://schemas.openxmlformats.org/officeDocument/2006/relationships/printerSettings" Target="../printerSettings/printerSettings31.bin"/><Relationship Id="rId44" Type="http://schemas.openxmlformats.org/officeDocument/2006/relationships/printerSettings" Target="../printerSettings/printerSettings44.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 Id="rId30" Type="http://schemas.openxmlformats.org/officeDocument/2006/relationships/printerSettings" Target="../printerSettings/printerSettings30.bin"/><Relationship Id="rId35" Type="http://schemas.openxmlformats.org/officeDocument/2006/relationships/printerSettings" Target="../printerSettings/printerSettings35.bin"/><Relationship Id="rId43" Type="http://schemas.openxmlformats.org/officeDocument/2006/relationships/printerSettings" Target="../printerSettings/printerSettings43.bin"/><Relationship Id="rId48" Type="http://schemas.microsoft.com/office/2017/10/relationships/threadedComment" Target="../threadedComments/threadedComment1.xml"/><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33" Type="http://schemas.openxmlformats.org/officeDocument/2006/relationships/printerSettings" Target="../printerSettings/printerSettings33.bin"/><Relationship Id="rId38" Type="http://schemas.openxmlformats.org/officeDocument/2006/relationships/printerSettings" Target="../printerSettings/printerSettings38.bin"/><Relationship Id="rId46" Type="http://schemas.openxmlformats.org/officeDocument/2006/relationships/vmlDrawing" Target="../drawings/vmlDrawing1.vml"/><Relationship Id="rId20" Type="http://schemas.openxmlformats.org/officeDocument/2006/relationships/printerSettings" Target="../printerSettings/printerSettings20.bin"/><Relationship Id="rId41" Type="http://schemas.openxmlformats.org/officeDocument/2006/relationships/printerSettings" Target="../printerSettings/printerSettings41.bin"/></Relationships>
</file>

<file path=xl/worksheets/_rels/sheet2.xml.rels><?xml version="1.0" encoding="UTF-8" standalone="yes"?>
<Relationships xmlns="http://schemas.openxmlformats.org/package/2006/relationships"><Relationship Id="rId13" Type="http://schemas.openxmlformats.org/officeDocument/2006/relationships/printerSettings" Target="../printerSettings/printerSettings58.bin"/><Relationship Id="rId18" Type="http://schemas.openxmlformats.org/officeDocument/2006/relationships/printerSettings" Target="../printerSettings/printerSettings63.bin"/><Relationship Id="rId26" Type="http://schemas.openxmlformats.org/officeDocument/2006/relationships/printerSettings" Target="../printerSettings/printerSettings71.bin"/><Relationship Id="rId39" Type="http://schemas.openxmlformats.org/officeDocument/2006/relationships/printerSettings" Target="../printerSettings/printerSettings84.bin"/><Relationship Id="rId21" Type="http://schemas.openxmlformats.org/officeDocument/2006/relationships/printerSettings" Target="../printerSettings/printerSettings66.bin"/><Relationship Id="rId34" Type="http://schemas.openxmlformats.org/officeDocument/2006/relationships/printerSettings" Target="../printerSettings/printerSettings79.bin"/><Relationship Id="rId42" Type="http://schemas.openxmlformats.org/officeDocument/2006/relationships/printerSettings" Target="../printerSettings/printerSettings87.bin"/><Relationship Id="rId47" Type="http://schemas.openxmlformats.org/officeDocument/2006/relationships/comments" Target="../comments2.xml"/><Relationship Id="rId7" Type="http://schemas.openxmlformats.org/officeDocument/2006/relationships/printerSettings" Target="../printerSettings/printerSettings52.bin"/><Relationship Id="rId2" Type="http://schemas.openxmlformats.org/officeDocument/2006/relationships/printerSettings" Target="../printerSettings/printerSettings47.bin"/><Relationship Id="rId16" Type="http://schemas.openxmlformats.org/officeDocument/2006/relationships/printerSettings" Target="../printerSettings/printerSettings61.bin"/><Relationship Id="rId29" Type="http://schemas.openxmlformats.org/officeDocument/2006/relationships/printerSettings" Target="../printerSettings/printerSettings74.bin"/><Relationship Id="rId1" Type="http://schemas.openxmlformats.org/officeDocument/2006/relationships/printerSettings" Target="../printerSettings/printerSettings46.bin"/><Relationship Id="rId6" Type="http://schemas.openxmlformats.org/officeDocument/2006/relationships/printerSettings" Target="../printerSettings/printerSettings51.bin"/><Relationship Id="rId11" Type="http://schemas.openxmlformats.org/officeDocument/2006/relationships/printerSettings" Target="../printerSettings/printerSettings56.bin"/><Relationship Id="rId24" Type="http://schemas.openxmlformats.org/officeDocument/2006/relationships/printerSettings" Target="../printerSettings/printerSettings69.bin"/><Relationship Id="rId32" Type="http://schemas.openxmlformats.org/officeDocument/2006/relationships/printerSettings" Target="../printerSettings/printerSettings77.bin"/><Relationship Id="rId37" Type="http://schemas.openxmlformats.org/officeDocument/2006/relationships/printerSettings" Target="../printerSettings/printerSettings82.bin"/><Relationship Id="rId40" Type="http://schemas.openxmlformats.org/officeDocument/2006/relationships/printerSettings" Target="../printerSettings/printerSettings85.bin"/><Relationship Id="rId45" Type="http://schemas.openxmlformats.org/officeDocument/2006/relationships/printerSettings" Target="../printerSettings/printerSettings90.bin"/><Relationship Id="rId5" Type="http://schemas.openxmlformats.org/officeDocument/2006/relationships/printerSettings" Target="../printerSettings/printerSettings50.bin"/><Relationship Id="rId15" Type="http://schemas.openxmlformats.org/officeDocument/2006/relationships/printerSettings" Target="../printerSettings/printerSettings60.bin"/><Relationship Id="rId23" Type="http://schemas.openxmlformats.org/officeDocument/2006/relationships/printerSettings" Target="../printerSettings/printerSettings68.bin"/><Relationship Id="rId28" Type="http://schemas.openxmlformats.org/officeDocument/2006/relationships/printerSettings" Target="../printerSettings/printerSettings73.bin"/><Relationship Id="rId36" Type="http://schemas.openxmlformats.org/officeDocument/2006/relationships/printerSettings" Target="../printerSettings/printerSettings81.bin"/><Relationship Id="rId10" Type="http://schemas.openxmlformats.org/officeDocument/2006/relationships/printerSettings" Target="../printerSettings/printerSettings55.bin"/><Relationship Id="rId19" Type="http://schemas.openxmlformats.org/officeDocument/2006/relationships/printerSettings" Target="../printerSettings/printerSettings64.bin"/><Relationship Id="rId31" Type="http://schemas.openxmlformats.org/officeDocument/2006/relationships/printerSettings" Target="../printerSettings/printerSettings76.bin"/><Relationship Id="rId44" Type="http://schemas.openxmlformats.org/officeDocument/2006/relationships/printerSettings" Target="../printerSettings/printerSettings89.bin"/><Relationship Id="rId4" Type="http://schemas.openxmlformats.org/officeDocument/2006/relationships/printerSettings" Target="../printerSettings/printerSettings49.bin"/><Relationship Id="rId9" Type="http://schemas.openxmlformats.org/officeDocument/2006/relationships/printerSettings" Target="../printerSettings/printerSettings54.bin"/><Relationship Id="rId14" Type="http://schemas.openxmlformats.org/officeDocument/2006/relationships/printerSettings" Target="../printerSettings/printerSettings59.bin"/><Relationship Id="rId22" Type="http://schemas.openxmlformats.org/officeDocument/2006/relationships/printerSettings" Target="../printerSettings/printerSettings67.bin"/><Relationship Id="rId27" Type="http://schemas.openxmlformats.org/officeDocument/2006/relationships/printerSettings" Target="../printerSettings/printerSettings72.bin"/><Relationship Id="rId30" Type="http://schemas.openxmlformats.org/officeDocument/2006/relationships/printerSettings" Target="../printerSettings/printerSettings75.bin"/><Relationship Id="rId35" Type="http://schemas.openxmlformats.org/officeDocument/2006/relationships/printerSettings" Target="../printerSettings/printerSettings80.bin"/><Relationship Id="rId43" Type="http://schemas.openxmlformats.org/officeDocument/2006/relationships/printerSettings" Target="../printerSettings/printerSettings88.bin"/><Relationship Id="rId8" Type="http://schemas.openxmlformats.org/officeDocument/2006/relationships/printerSettings" Target="../printerSettings/printerSettings53.bin"/><Relationship Id="rId3" Type="http://schemas.openxmlformats.org/officeDocument/2006/relationships/printerSettings" Target="../printerSettings/printerSettings48.bin"/><Relationship Id="rId12" Type="http://schemas.openxmlformats.org/officeDocument/2006/relationships/printerSettings" Target="../printerSettings/printerSettings57.bin"/><Relationship Id="rId17" Type="http://schemas.openxmlformats.org/officeDocument/2006/relationships/printerSettings" Target="../printerSettings/printerSettings62.bin"/><Relationship Id="rId25" Type="http://schemas.openxmlformats.org/officeDocument/2006/relationships/printerSettings" Target="../printerSettings/printerSettings70.bin"/><Relationship Id="rId33" Type="http://schemas.openxmlformats.org/officeDocument/2006/relationships/printerSettings" Target="../printerSettings/printerSettings78.bin"/><Relationship Id="rId38" Type="http://schemas.openxmlformats.org/officeDocument/2006/relationships/printerSettings" Target="../printerSettings/printerSettings83.bin"/><Relationship Id="rId46" Type="http://schemas.openxmlformats.org/officeDocument/2006/relationships/vmlDrawing" Target="../drawings/vmlDrawing2.vml"/><Relationship Id="rId20" Type="http://schemas.openxmlformats.org/officeDocument/2006/relationships/printerSettings" Target="../printerSettings/printerSettings65.bin"/><Relationship Id="rId41" Type="http://schemas.openxmlformats.org/officeDocument/2006/relationships/printerSettings" Target="../printerSettings/printerSettings86.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98.bin"/><Relationship Id="rId13" Type="http://schemas.openxmlformats.org/officeDocument/2006/relationships/printerSettings" Target="../printerSettings/printerSettings103.bin"/><Relationship Id="rId18" Type="http://schemas.openxmlformats.org/officeDocument/2006/relationships/printerSettings" Target="../printerSettings/printerSettings108.bin"/><Relationship Id="rId26" Type="http://schemas.openxmlformats.org/officeDocument/2006/relationships/printerSettings" Target="../printerSettings/printerSettings116.bin"/><Relationship Id="rId3" Type="http://schemas.openxmlformats.org/officeDocument/2006/relationships/printerSettings" Target="../printerSettings/printerSettings93.bin"/><Relationship Id="rId21" Type="http://schemas.openxmlformats.org/officeDocument/2006/relationships/printerSettings" Target="../printerSettings/printerSettings111.bin"/><Relationship Id="rId7" Type="http://schemas.openxmlformats.org/officeDocument/2006/relationships/printerSettings" Target="../printerSettings/printerSettings97.bin"/><Relationship Id="rId12" Type="http://schemas.openxmlformats.org/officeDocument/2006/relationships/printerSettings" Target="../printerSettings/printerSettings102.bin"/><Relationship Id="rId17" Type="http://schemas.openxmlformats.org/officeDocument/2006/relationships/printerSettings" Target="../printerSettings/printerSettings107.bin"/><Relationship Id="rId25" Type="http://schemas.openxmlformats.org/officeDocument/2006/relationships/printerSettings" Target="../printerSettings/printerSettings115.bin"/><Relationship Id="rId2" Type="http://schemas.openxmlformats.org/officeDocument/2006/relationships/printerSettings" Target="../printerSettings/printerSettings92.bin"/><Relationship Id="rId16" Type="http://schemas.openxmlformats.org/officeDocument/2006/relationships/printerSettings" Target="../printerSettings/printerSettings106.bin"/><Relationship Id="rId20" Type="http://schemas.openxmlformats.org/officeDocument/2006/relationships/printerSettings" Target="../printerSettings/printerSettings110.bin"/><Relationship Id="rId1" Type="http://schemas.openxmlformats.org/officeDocument/2006/relationships/printerSettings" Target="../printerSettings/printerSettings91.bin"/><Relationship Id="rId6" Type="http://schemas.openxmlformats.org/officeDocument/2006/relationships/printerSettings" Target="../printerSettings/printerSettings96.bin"/><Relationship Id="rId11" Type="http://schemas.openxmlformats.org/officeDocument/2006/relationships/printerSettings" Target="../printerSettings/printerSettings101.bin"/><Relationship Id="rId24" Type="http://schemas.openxmlformats.org/officeDocument/2006/relationships/printerSettings" Target="../printerSettings/printerSettings114.bin"/><Relationship Id="rId5" Type="http://schemas.openxmlformats.org/officeDocument/2006/relationships/printerSettings" Target="../printerSettings/printerSettings95.bin"/><Relationship Id="rId15" Type="http://schemas.openxmlformats.org/officeDocument/2006/relationships/printerSettings" Target="../printerSettings/printerSettings105.bin"/><Relationship Id="rId23" Type="http://schemas.openxmlformats.org/officeDocument/2006/relationships/printerSettings" Target="../printerSettings/printerSettings113.bin"/><Relationship Id="rId28" Type="http://schemas.openxmlformats.org/officeDocument/2006/relationships/printerSettings" Target="../printerSettings/printerSettings118.bin"/><Relationship Id="rId10" Type="http://schemas.openxmlformats.org/officeDocument/2006/relationships/printerSettings" Target="../printerSettings/printerSettings100.bin"/><Relationship Id="rId19" Type="http://schemas.openxmlformats.org/officeDocument/2006/relationships/printerSettings" Target="../printerSettings/printerSettings109.bin"/><Relationship Id="rId4" Type="http://schemas.openxmlformats.org/officeDocument/2006/relationships/printerSettings" Target="../printerSettings/printerSettings94.bin"/><Relationship Id="rId9" Type="http://schemas.openxmlformats.org/officeDocument/2006/relationships/printerSettings" Target="../printerSettings/printerSettings99.bin"/><Relationship Id="rId14" Type="http://schemas.openxmlformats.org/officeDocument/2006/relationships/printerSettings" Target="../printerSettings/printerSettings104.bin"/><Relationship Id="rId22" Type="http://schemas.openxmlformats.org/officeDocument/2006/relationships/printerSettings" Target="../printerSettings/printerSettings112.bin"/><Relationship Id="rId27" Type="http://schemas.openxmlformats.org/officeDocument/2006/relationships/printerSettings" Target="../printerSettings/printerSettings117.bin"/></Relationships>
</file>

<file path=xl/worksheets/_rels/sheet4.xml.rels><?xml version="1.0" encoding="UTF-8" standalone="yes"?>
<Relationships xmlns="http://schemas.openxmlformats.org/package/2006/relationships"><Relationship Id="rId13" Type="http://schemas.openxmlformats.org/officeDocument/2006/relationships/printerSettings" Target="../printerSettings/printerSettings131.bin"/><Relationship Id="rId18" Type="http://schemas.openxmlformats.org/officeDocument/2006/relationships/printerSettings" Target="../printerSettings/printerSettings136.bin"/><Relationship Id="rId26" Type="http://schemas.openxmlformats.org/officeDocument/2006/relationships/printerSettings" Target="../printerSettings/printerSettings144.bin"/><Relationship Id="rId39" Type="http://schemas.openxmlformats.org/officeDocument/2006/relationships/printerSettings" Target="../printerSettings/printerSettings157.bin"/><Relationship Id="rId21" Type="http://schemas.openxmlformats.org/officeDocument/2006/relationships/printerSettings" Target="../printerSettings/printerSettings139.bin"/><Relationship Id="rId34" Type="http://schemas.openxmlformats.org/officeDocument/2006/relationships/printerSettings" Target="../printerSettings/printerSettings152.bin"/><Relationship Id="rId42" Type="http://schemas.openxmlformats.org/officeDocument/2006/relationships/printerSettings" Target="../printerSettings/printerSettings160.bin"/><Relationship Id="rId7" Type="http://schemas.openxmlformats.org/officeDocument/2006/relationships/printerSettings" Target="../printerSettings/printerSettings125.bin"/><Relationship Id="rId2" Type="http://schemas.openxmlformats.org/officeDocument/2006/relationships/printerSettings" Target="../printerSettings/printerSettings120.bin"/><Relationship Id="rId16" Type="http://schemas.openxmlformats.org/officeDocument/2006/relationships/printerSettings" Target="../printerSettings/printerSettings134.bin"/><Relationship Id="rId29" Type="http://schemas.openxmlformats.org/officeDocument/2006/relationships/printerSettings" Target="../printerSettings/printerSettings147.bin"/><Relationship Id="rId1" Type="http://schemas.openxmlformats.org/officeDocument/2006/relationships/printerSettings" Target="../printerSettings/printerSettings119.bin"/><Relationship Id="rId6" Type="http://schemas.openxmlformats.org/officeDocument/2006/relationships/printerSettings" Target="../printerSettings/printerSettings124.bin"/><Relationship Id="rId11" Type="http://schemas.openxmlformats.org/officeDocument/2006/relationships/printerSettings" Target="../printerSettings/printerSettings129.bin"/><Relationship Id="rId24" Type="http://schemas.openxmlformats.org/officeDocument/2006/relationships/printerSettings" Target="../printerSettings/printerSettings142.bin"/><Relationship Id="rId32" Type="http://schemas.openxmlformats.org/officeDocument/2006/relationships/printerSettings" Target="../printerSettings/printerSettings150.bin"/><Relationship Id="rId37" Type="http://schemas.openxmlformats.org/officeDocument/2006/relationships/printerSettings" Target="../printerSettings/printerSettings155.bin"/><Relationship Id="rId40" Type="http://schemas.openxmlformats.org/officeDocument/2006/relationships/printerSettings" Target="../printerSettings/printerSettings158.bin"/><Relationship Id="rId45" Type="http://schemas.openxmlformats.org/officeDocument/2006/relationships/printerSettings" Target="../printerSettings/printerSettings163.bin"/><Relationship Id="rId5" Type="http://schemas.openxmlformats.org/officeDocument/2006/relationships/printerSettings" Target="../printerSettings/printerSettings123.bin"/><Relationship Id="rId15" Type="http://schemas.openxmlformats.org/officeDocument/2006/relationships/printerSettings" Target="../printerSettings/printerSettings133.bin"/><Relationship Id="rId23" Type="http://schemas.openxmlformats.org/officeDocument/2006/relationships/printerSettings" Target="../printerSettings/printerSettings141.bin"/><Relationship Id="rId28" Type="http://schemas.openxmlformats.org/officeDocument/2006/relationships/printerSettings" Target="../printerSettings/printerSettings146.bin"/><Relationship Id="rId36" Type="http://schemas.openxmlformats.org/officeDocument/2006/relationships/printerSettings" Target="../printerSettings/printerSettings154.bin"/><Relationship Id="rId10" Type="http://schemas.openxmlformats.org/officeDocument/2006/relationships/printerSettings" Target="../printerSettings/printerSettings128.bin"/><Relationship Id="rId19" Type="http://schemas.openxmlformats.org/officeDocument/2006/relationships/printerSettings" Target="../printerSettings/printerSettings137.bin"/><Relationship Id="rId31" Type="http://schemas.openxmlformats.org/officeDocument/2006/relationships/printerSettings" Target="../printerSettings/printerSettings149.bin"/><Relationship Id="rId44" Type="http://schemas.openxmlformats.org/officeDocument/2006/relationships/printerSettings" Target="../printerSettings/printerSettings162.bin"/><Relationship Id="rId4" Type="http://schemas.openxmlformats.org/officeDocument/2006/relationships/printerSettings" Target="../printerSettings/printerSettings122.bin"/><Relationship Id="rId9" Type="http://schemas.openxmlformats.org/officeDocument/2006/relationships/printerSettings" Target="../printerSettings/printerSettings127.bin"/><Relationship Id="rId14" Type="http://schemas.openxmlformats.org/officeDocument/2006/relationships/printerSettings" Target="../printerSettings/printerSettings132.bin"/><Relationship Id="rId22" Type="http://schemas.openxmlformats.org/officeDocument/2006/relationships/printerSettings" Target="../printerSettings/printerSettings140.bin"/><Relationship Id="rId27" Type="http://schemas.openxmlformats.org/officeDocument/2006/relationships/printerSettings" Target="../printerSettings/printerSettings145.bin"/><Relationship Id="rId30" Type="http://schemas.openxmlformats.org/officeDocument/2006/relationships/printerSettings" Target="../printerSettings/printerSettings148.bin"/><Relationship Id="rId35" Type="http://schemas.openxmlformats.org/officeDocument/2006/relationships/printerSettings" Target="../printerSettings/printerSettings153.bin"/><Relationship Id="rId43" Type="http://schemas.openxmlformats.org/officeDocument/2006/relationships/printerSettings" Target="../printerSettings/printerSettings161.bin"/><Relationship Id="rId8" Type="http://schemas.openxmlformats.org/officeDocument/2006/relationships/printerSettings" Target="../printerSettings/printerSettings126.bin"/><Relationship Id="rId3" Type="http://schemas.openxmlformats.org/officeDocument/2006/relationships/printerSettings" Target="../printerSettings/printerSettings121.bin"/><Relationship Id="rId12" Type="http://schemas.openxmlformats.org/officeDocument/2006/relationships/printerSettings" Target="../printerSettings/printerSettings130.bin"/><Relationship Id="rId17" Type="http://schemas.openxmlformats.org/officeDocument/2006/relationships/printerSettings" Target="../printerSettings/printerSettings135.bin"/><Relationship Id="rId25" Type="http://schemas.openxmlformats.org/officeDocument/2006/relationships/printerSettings" Target="../printerSettings/printerSettings143.bin"/><Relationship Id="rId33" Type="http://schemas.openxmlformats.org/officeDocument/2006/relationships/printerSettings" Target="../printerSettings/printerSettings151.bin"/><Relationship Id="rId38" Type="http://schemas.openxmlformats.org/officeDocument/2006/relationships/printerSettings" Target="../printerSettings/printerSettings156.bin"/><Relationship Id="rId20" Type="http://schemas.openxmlformats.org/officeDocument/2006/relationships/printerSettings" Target="../printerSettings/printerSettings138.bin"/><Relationship Id="rId41" Type="http://schemas.openxmlformats.org/officeDocument/2006/relationships/printerSettings" Target="../printerSettings/printerSettings159.bin"/></Relationships>
</file>

<file path=xl/worksheets/_rels/sheet5.xml.rels><?xml version="1.0" encoding="UTF-8" standalone="yes"?>
<Relationships xmlns="http://schemas.openxmlformats.org/package/2006/relationships"><Relationship Id="rId13" Type="http://schemas.openxmlformats.org/officeDocument/2006/relationships/printerSettings" Target="../printerSettings/printerSettings176.bin"/><Relationship Id="rId18" Type="http://schemas.openxmlformats.org/officeDocument/2006/relationships/printerSettings" Target="../printerSettings/printerSettings181.bin"/><Relationship Id="rId26" Type="http://schemas.openxmlformats.org/officeDocument/2006/relationships/printerSettings" Target="../printerSettings/printerSettings189.bin"/><Relationship Id="rId39" Type="http://schemas.openxmlformats.org/officeDocument/2006/relationships/printerSettings" Target="../printerSettings/printerSettings202.bin"/><Relationship Id="rId21" Type="http://schemas.openxmlformats.org/officeDocument/2006/relationships/printerSettings" Target="../printerSettings/printerSettings184.bin"/><Relationship Id="rId34" Type="http://schemas.openxmlformats.org/officeDocument/2006/relationships/printerSettings" Target="../printerSettings/printerSettings197.bin"/><Relationship Id="rId42" Type="http://schemas.openxmlformats.org/officeDocument/2006/relationships/printerSettings" Target="../printerSettings/printerSettings205.bin"/><Relationship Id="rId7" Type="http://schemas.openxmlformats.org/officeDocument/2006/relationships/printerSettings" Target="../printerSettings/printerSettings170.bin"/><Relationship Id="rId2" Type="http://schemas.openxmlformats.org/officeDocument/2006/relationships/printerSettings" Target="../printerSettings/printerSettings165.bin"/><Relationship Id="rId16" Type="http://schemas.openxmlformats.org/officeDocument/2006/relationships/printerSettings" Target="../printerSettings/printerSettings179.bin"/><Relationship Id="rId29" Type="http://schemas.openxmlformats.org/officeDocument/2006/relationships/printerSettings" Target="../printerSettings/printerSettings192.bin"/><Relationship Id="rId1" Type="http://schemas.openxmlformats.org/officeDocument/2006/relationships/printerSettings" Target="../printerSettings/printerSettings164.bin"/><Relationship Id="rId6" Type="http://schemas.openxmlformats.org/officeDocument/2006/relationships/printerSettings" Target="../printerSettings/printerSettings169.bin"/><Relationship Id="rId11" Type="http://schemas.openxmlformats.org/officeDocument/2006/relationships/printerSettings" Target="../printerSettings/printerSettings174.bin"/><Relationship Id="rId24" Type="http://schemas.openxmlformats.org/officeDocument/2006/relationships/printerSettings" Target="../printerSettings/printerSettings187.bin"/><Relationship Id="rId32" Type="http://schemas.openxmlformats.org/officeDocument/2006/relationships/printerSettings" Target="../printerSettings/printerSettings195.bin"/><Relationship Id="rId37" Type="http://schemas.openxmlformats.org/officeDocument/2006/relationships/printerSettings" Target="../printerSettings/printerSettings200.bin"/><Relationship Id="rId40" Type="http://schemas.openxmlformats.org/officeDocument/2006/relationships/printerSettings" Target="../printerSettings/printerSettings203.bin"/><Relationship Id="rId45" Type="http://schemas.openxmlformats.org/officeDocument/2006/relationships/printerSettings" Target="../printerSettings/printerSettings208.bin"/><Relationship Id="rId5" Type="http://schemas.openxmlformats.org/officeDocument/2006/relationships/printerSettings" Target="../printerSettings/printerSettings168.bin"/><Relationship Id="rId15" Type="http://schemas.openxmlformats.org/officeDocument/2006/relationships/printerSettings" Target="../printerSettings/printerSettings178.bin"/><Relationship Id="rId23" Type="http://schemas.openxmlformats.org/officeDocument/2006/relationships/printerSettings" Target="../printerSettings/printerSettings186.bin"/><Relationship Id="rId28" Type="http://schemas.openxmlformats.org/officeDocument/2006/relationships/printerSettings" Target="../printerSettings/printerSettings191.bin"/><Relationship Id="rId36" Type="http://schemas.openxmlformats.org/officeDocument/2006/relationships/printerSettings" Target="../printerSettings/printerSettings199.bin"/><Relationship Id="rId10" Type="http://schemas.openxmlformats.org/officeDocument/2006/relationships/printerSettings" Target="../printerSettings/printerSettings173.bin"/><Relationship Id="rId19" Type="http://schemas.openxmlformats.org/officeDocument/2006/relationships/printerSettings" Target="../printerSettings/printerSettings182.bin"/><Relationship Id="rId31" Type="http://schemas.openxmlformats.org/officeDocument/2006/relationships/printerSettings" Target="../printerSettings/printerSettings194.bin"/><Relationship Id="rId44" Type="http://schemas.openxmlformats.org/officeDocument/2006/relationships/printerSettings" Target="../printerSettings/printerSettings207.bin"/><Relationship Id="rId4" Type="http://schemas.openxmlformats.org/officeDocument/2006/relationships/printerSettings" Target="../printerSettings/printerSettings167.bin"/><Relationship Id="rId9" Type="http://schemas.openxmlformats.org/officeDocument/2006/relationships/printerSettings" Target="../printerSettings/printerSettings172.bin"/><Relationship Id="rId14" Type="http://schemas.openxmlformats.org/officeDocument/2006/relationships/printerSettings" Target="../printerSettings/printerSettings177.bin"/><Relationship Id="rId22" Type="http://schemas.openxmlformats.org/officeDocument/2006/relationships/printerSettings" Target="../printerSettings/printerSettings185.bin"/><Relationship Id="rId27" Type="http://schemas.openxmlformats.org/officeDocument/2006/relationships/printerSettings" Target="../printerSettings/printerSettings190.bin"/><Relationship Id="rId30" Type="http://schemas.openxmlformats.org/officeDocument/2006/relationships/printerSettings" Target="../printerSettings/printerSettings193.bin"/><Relationship Id="rId35" Type="http://schemas.openxmlformats.org/officeDocument/2006/relationships/printerSettings" Target="../printerSettings/printerSettings198.bin"/><Relationship Id="rId43" Type="http://schemas.openxmlformats.org/officeDocument/2006/relationships/printerSettings" Target="../printerSettings/printerSettings206.bin"/><Relationship Id="rId8" Type="http://schemas.openxmlformats.org/officeDocument/2006/relationships/printerSettings" Target="../printerSettings/printerSettings171.bin"/><Relationship Id="rId3" Type="http://schemas.openxmlformats.org/officeDocument/2006/relationships/printerSettings" Target="../printerSettings/printerSettings166.bin"/><Relationship Id="rId12" Type="http://schemas.openxmlformats.org/officeDocument/2006/relationships/printerSettings" Target="../printerSettings/printerSettings175.bin"/><Relationship Id="rId17" Type="http://schemas.openxmlformats.org/officeDocument/2006/relationships/printerSettings" Target="../printerSettings/printerSettings180.bin"/><Relationship Id="rId25" Type="http://schemas.openxmlformats.org/officeDocument/2006/relationships/printerSettings" Target="../printerSettings/printerSettings188.bin"/><Relationship Id="rId33" Type="http://schemas.openxmlformats.org/officeDocument/2006/relationships/printerSettings" Target="../printerSettings/printerSettings196.bin"/><Relationship Id="rId38" Type="http://schemas.openxmlformats.org/officeDocument/2006/relationships/printerSettings" Target="../printerSettings/printerSettings201.bin"/><Relationship Id="rId20" Type="http://schemas.openxmlformats.org/officeDocument/2006/relationships/printerSettings" Target="../printerSettings/printerSettings183.bin"/><Relationship Id="rId41" Type="http://schemas.openxmlformats.org/officeDocument/2006/relationships/printerSettings" Target="../printerSettings/printerSettings20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8EFAD-CC97-45FD-B3C6-6AB924619E4E}">
  <sheetPr codeName="Tabelle2">
    <tabColor rgb="FF00B050"/>
    <pageSetUpPr autoPageBreaks="0"/>
  </sheetPr>
  <dimension ref="A1:XFD1321"/>
  <sheetViews>
    <sheetView zoomScale="80" zoomScaleNormal="80" workbookViewId="0">
      <pane xSplit="5" ySplit="3" topLeftCell="F446" activePane="bottomRight" state="frozen"/>
      <selection pane="topRight" activeCell="F1" sqref="F1"/>
      <selection pane="bottomLeft" activeCell="A4" sqref="A4"/>
      <selection pane="bottomRight" activeCell="I466" sqref="I466"/>
    </sheetView>
  </sheetViews>
  <sheetFormatPr baseColWidth="10" defaultColWidth="11.42578125" defaultRowHeight="15.75" x14ac:dyDescent="0.25"/>
  <cols>
    <col min="1" max="1" width="6.28515625" style="103" customWidth="1"/>
    <col min="2" max="2" width="12.7109375" style="136" customWidth="1"/>
    <col min="3" max="3" width="13.28515625" style="136" customWidth="1"/>
    <col min="4" max="4" width="8.28515625" style="229" customWidth="1"/>
    <col min="5" max="5" width="14.140625" style="78" customWidth="1"/>
    <col min="6" max="6" width="11.85546875" style="150" customWidth="1"/>
    <col min="7" max="7" width="22.5703125" style="104" customWidth="1"/>
    <col min="8" max="8" width="14.28515625" style="104" customWidth="1"/>
    <col min="9" max="9" width="49.7109375" style="79" customWidth="1"/>
    <col min="10" max="10" width="15.28515625" style="139" customWidth="1"/>
    <col min="11" max="11" width="9.28515625" style="139" customWidth="1"/>
    <col min="12" max="12" width="17.42578125" style="78" customWidth="1"/>
    <col min="13" max="13" width="14.28515625" style="78" customWidth="1"/>
    <col min="14" max="14" width="9.7109375" style="101" customWidth="1"/>
    <col min="15" max="15" width="9.5703125" style="139" customWidth="1"/>
    <col min="16" max="16" width="13.140625" style="82" customWidth="1"/>
    <col min="17" max="17" width="13.5703125" style="105" customWidth="1"/>
    <col min="18" max="18" width="12.42578125" style="105" customWidth="1"/>
    <col min="19" max="19" width="13.42578125" style="105" customWidth="1"/>
    <col min="20" max="21" width="16.28515625" style="80" customWidth="1"/>
    <col min="22" max="23" width="16.7109375" style="105" customWidth="1"/>
    <col min="24" max="24" width="80.28515625" style="81" customWidth="1"/>
    <col min="25" max="16384" width="11.42578125" style="71"/>
  </cols>
  <sheetData>
    <row r="1" spans="1:25" ht="44.25" customHeight="1" x14ac:dyDescent="0.25">
      <c r="A1" s="107" t="s">
        <v>20</v>
      </c>
      <c r="B1" s="154"/>
      <c r="C1" s="154"/>
      <c r="D1" s="233"/>
      <c r="E1" s="159"/>
      <c r="F1" s="149"/>
      <c r="G1" s="107"/>
      <c r="H1" s="107"/>
      <c r="I1" s="72"/>
      <c r="J1" s="152"/>
      <c r="K1" s="152"/>
      <c r="L1" s="72"/>
      <c r="M1" s="72"/>
      <c r="N1" s="152"/>
      <c r="O1" s="152"/>
      <c r="P1" s="74" t="s">
        <v>21</v>
      </c>
      <c r="Q1" s="106" t="s">
        <v>22</v>
      </c>
      <c r="R1" s="106" t="s">
        <v>22</v>
      </c>
      <c r="S1" s="106" t="s">
        <v>22</v>
      </c>
      <c r="T1" s="145" t="s">
        <v>23</v>
      </c>
      <c r="U1" s="145" t="s">
        <v>23</v>
      </c>
      <c r="V1" s="146" t="s">
        <v>22</v>
      </c>
      <c r="W1" s="106" t="s">
        <v>20</v>
      </c>
      <c r="X1" s="75"/>
    </row>
    <row r="2" spans="1:25" s="76" customFormat="1" ht="102.75" customHeight="1" x14ac:dyDescent="0.25">
      <c r="A2" s="135" t="s">
        <v>24</v>
      </c>
      <c r="B2" s="155" t="s">
        <v>25</v>
      </c>
      <c r="C2" s="155" t="s">
        <v>26</v>
      </c>
      <c r="D2" s="234" t="s">
        <v>27</v>
      </c>
      <c r="E2" s="160" t="s">
        <v>28</v>
      </c>
      <c r="F2" s="149" t="s">
        <v>29</v>
      </c>
      <c r="G2" s="107" t="s">
        <v>30</v>
      </c>
      <c r="H2" s="107" t="s">
        <v>31</v>
      </c>
      <c r="I2" s="145" t="s">
        <v>32</v>
      </c>
      <c r="J2" s="152" t="s">
        <v>33</v>
      </c>
      <c r="K2" s="106" t="s">
        <v>34</v>
      </c>
      <c r="L2" s="145" t="s">
        <v>35</v>
      </c>
      <c r="M2" s="145" t="s">
        <v>36</v>
      </c>
      <c r="N2" s="106" t="s">
        <v>37</v>
      </c>
      <c r="O2" s="106" t="s">
        <v>932</v>
      </c>
      <c r="P2" s="193" t="s">
        <v>38</v>
      </c>
      <c r="Q2" s="106" t="s">
        <v>39</v>
      </c>
      <c r="R2" s="106" t="s">
        <v>40</v>
      </c>
      <c r="S2" s="106" t="s">
        <v>41</v>
      </c>
      <c r="T2" s="145" t="s">
        <v>42</v>
      </c>
      <c r="U2" s="145" t="s">
        <v>43</v>
      </c>
      <c r="V2" s="106" t="s">
        <v>44</v>
      </c>
      <c r="W2" s="106" t="s">
        <v>45</v>
      </c>
      <c r="X2" s="73" t="s">
        <v>46</v>
      </c>
    </row>
    <row r="3" spans="1:25" s="77" customFormat="1" ht="31.5" customHeight="1" x14ac:dyDescent="0.25">
      <c r="A3" s="135" t="s">
        <v>13</v>
      </c>
      <c r="B3" s="155" t="s">
        <v>14</v>
      </c>
      <c r="C3" s="155" t="s">
        <v>14</v>
      </c>
      <c r="D3" s="234" t="s">
        <v>18</v>
      </c>
      <c r="E3" s="161" t="s">
        <v>47</v>
      </c>
      <c r="F3" s="149" t="s">
        <v>48</v>
      </c>
      <c r="G3" s="135" t="s">
        <v>49</v>
      </c>
      <c r="H3" s="135" t="s">
        <v>49</v>
      </c>
      <c r="I3" s="145" t="s">
        <v>49</v>
      </c>
      <c r="J3" s="106" t="s">
        <v>18</v>
      </c>
      <c r="K3" s="106" t="s">
        <v>18</v>
      </c>
      <c r="L3" s="145" t="s">
        <v>18</v>
      </c>
      <c r="M3" s="145" t="s">
        <v>50</v>
      </c>
      <c r="N3" s="106" t="s">
        <v>51</v>
      </c>
      <c r="O3" s="106" t="s">
        <v>13</v>
      </c>
      <c r="P3" s="193" t="s">
        <v>52</v>
      </c>
      <c r="Q3" s="106" t="s">
        <v>52</v>
      </c>
      <c r="R3" s="106" t="s">
        <v>52</v>
      </c>
      <c r="S3" s="106" t="s">
        <v>52</v>
      </c>
      <c r="T3" s="145" t="s">
        <v>52</v>
      </c>
      <c r="U3" s="145" t="s">
        <v>52</v>
      </c>
      <c r="V3" s="106" t="s">
        <v>52</v>
      </c>
      <c r="W3" s="106" t="s">
        <v>52</v>
      </c>
      <c r="X3" s="73" t="s">
        <v>49</v>
      </c>
    </row>
    <row r="4" spans="1:25" s="134" customFormat="1" x14ac:dyDescent="0.25">
      <c r="A4" s="133">
        <f t="shared" ref="A4:A5" si="0">WEEKNUM(B4,21)</f>
        <v>1</v>
      </c>
      <c r="B4" s="156">
        <v>43831</v>
      </c>
      <c r="C4" s="156">
        <v>43831</v>
      </c>
      <c r="D4" s="228" t="s">
        <v>337</v>
      </c>
      <c r="E4" s="97"/>
      <c r="F4" s="151">
        <v>540</v>
      </c>
      <c r="G4" s="141" t="s">
        <v>53</v>
      </c>
      <c r="H4" s="175" t="s">
        <v>330</v>
      </c>
      <c r="I4" s="143" t="s">
        <v>54</v>
      </c>
      <c r="J4" s="142"/>
      <c r="K4" s="142"/>
      <c r="L4" s="97" t="s">
        <v>55</v>
      </c>
      <c r="M4" s="97"/>
      <c r="N4" s="108"/>
      <c r="O4" s="142">
        <v>9</v>
      </c>
      <c r="P4" s="99">
        <v>0.66666666666666663</v>
      </c>
      <c r="Q4" s="109">
        <v>0.63541666666666663</v>
      </c>
      <c r="R4" s="109">
        <v>0.68055555555555547</v>
      </c>
      <c r="S4" s="109">
        <v>0.69444444444444453</v>
      </c>
      <c r="T4" s="99">
        <f t="shared" ref="T4:U69" si="1">R4-Q4</f>
        <v>4.513888888888884E-2</v>
      </c>
      <c r="U4" s="99">
        <f t="shared" ref="U4:U69" si="2">S4-R4</f>
        <v>1.3888888888889062E-2</v>
      </c>
      <c r="V4" s="109">
        <v>0.69791666666666663</v>
      </c>
      <c r="W4" s="109">
        <f t="shared" ref="W4:W69" si="3">V4-Q4</f>
        <v>6.25E-2</v>
      </c>
      <c r="X4" s="96"/>
    </row>
    <row r="5" spans="1:25" s="113" customFormat="1" x14ac:dyDescent="0.25">
      <c r="A5" s="133">
        <f t="shared" si="0"/>
        <v>1</v>
      </c>
      <c r="B5" s="156">
        <v>43831</v>
      </c>
      <c r="C5" s="156">
        <v>43831</v>
      </c>
      <c r="D5" s="229" t="s">
        <v>337</v>
      </c>
      <c r="E5" s="78"/>
      <c r="F5" s="150">
        <v>540</v>
      </c>
      <c r="G5" s="78" t="s">
        <v>56</v>
      </c>
      <c r="H5" s="176" t="s">
        <v>76</v>
      </c>
      <c r="I5" s="143" t="s">
        <v>58</v>
      </c>
      <c r="J5" s="139"/>
      <c r="K5" s="139"/>
      <c r="L5" s="97" t="s">
        <v>55</v>
      </c>
      <c r="M5" s="78"/>
      <c r="N5" s="101"/>
      <c r="O5" s="139">
        <v>17</v>
      </c>
      <c r="P5" s="80">
        <v>0.70833333333333337</v>
      </c>
      <c r="Q5" s="105">
        <v>0.6875</v>
      </c>
      <c r="R5" s="105">
        <v>0.69444444444444453</v>
      </c>
      <c r="S5" s="105">
        <v>0.71180555555555547</v>
      </c>
      <c r="T5" s="80">
        <f t="shared" si="1"/>
        <v>6.9444444444445308E-3</v>
      </c>
      <c r="U5" s="80">
        <f t="shared" si="2"/>
        <v>1.7361111111110938E-2</v>
      </c>
      <c r="V5" s="105">
        <v>0.71527777777777779</v>
      </c>
      <c r="W5" s="109">
        <f t="shared" si="3"/>
        <v>2.777777777777779E-2</v>
      </c>
      <c r="X5" s="81"/>
    </row>
    <row r="6" spans="1:25" s="113" customFormat="1" x14ac:dyDescent="0.25">
      <c r="A6" s="133">
        <f t="shared" ref="A6:A15" si="4">WEEKNUM(B6,21)</f>
        <v>1</v>
      </c>
      <c r="B6" s="156">
        <v>43831</v>
      </c>
      <c r="C6" s="156">
        <v>43831</v>
      </c>
      <c r="D6" s="229" t="s">
        <v>337</v>
      </c>
      <c r="E6" s="78"/>
      <c r="F6" s="150">
        <v>540</v>
      </c>
      <c r="G6" s="97" t="s">
        <v>59</v>
      </c>
      <c r="H6" s="104" t="s">
        <v>317</v>
      </c>
      <c r="I6" s="143" t="s">
        <v>60</v>
      </c>
      <c r="J6" s="139"/>
      <c r="K6" s="139"/>
      <c r="L6" s="97" t="s">
        <v>55</v>
      </c>
      <c r="M6" s="78"/>
      <c r="N6" s="101"/>
      <c r="O6" s="139">
        <v>16</v>
      </c>
      <c r="P6" s="80">
        <v>0.70833333333333337</v>
      </c>
      <c r="Q6" s="105">
        <v>0.72916666666666663</v>
      </c>
      <c r="R6" s="105">
        <v>0.73958333333333337</v>
      </c>
      <c r="S6" s="105">
        <v>0.74652777777777779</v>
      </c>
      <c r="T6" s="80">
        <f t="shared" si="1"/>
        <v>1.0416666666666741E-2</v>
      </c>
      <c r="U6" s="80">
        <f t="shared" si="2"/>
        <v>6.9444444444444198E-3</v>
      </c>
      <c r="V6" s="105">
        <v>0.75</v>
      </c>
      <c r="W6" s="109">
        <f t="shared" si="3"/>
        <v>2.083333333333337E-2</v>
      </c>
      <c r="X6" s="81"/>
    </row>
    <row r="7" spans="1:25" s="113" customFormat="1" x14ac:dyDescent="0.25">
      <c r="A7" s="133">
        <f t="shared" si="4"/>
        <v>1</v>
      </c>
      <c r="B7" s="156">
        <v>43831</v>
      </c>
      <c r="C7" s="156">
        <v>43831</v>
      </c>
      <c r="D7" s="229" t="s">
        <v>337</v>
      </c>
      <c r="E7" s="78"/>
      <c r="F7" s="150">
        <v>540</v>
      </c>
      <c r="G7" s="78" t="s">
        <v>61</v>
      </c>
      <c r="H7" s="150" t="s">
        <v>62</v>
      </c>
      <c r="I7" s="144" t="s">
        <v>63</v>
      </c>
      <c r="J7" s="139"/>
      <c r="K7" s="139"/>
      <c r="L7" s="97" t="s">
        <v>55</v>
      </c>
      <c r="M7" s="78"/>
      <c r="N7" s="101"/>
      <c r="O7" s="139">
        <v>24</v>
      </c>
      <c r="P7" s="80">
        <v>0.75</v>
      </c>
      <c r="Q7" s="105">
        <v>0.76388888888888884</v>
      </c>
      <c r="R7" s="105">
        <v>0.77083333333333337</v>
      </c>
      <c r="S7" s="105">
        <v>0.78125</v>
      </c>
      <c r="T7" s="80">
        <f t="shared" si="1"/>
        <v>6.9444444444445308E-3</v>
      </c>
      <c r="U7" s="80">
        <f t="shared" si="2"/>
        <v>1.041666666666663E-2</v>
      </c>
      <c r="V7" s="105">
        <v>0.78472222222222221</v>
      </c>
      <c r="W7" s="109">
        <f t="shared" si="3"/>
        <v>2.083333333333337E-2</v>
      </c>
      <c r="X7" s="81"/>
    </row>
    <row r="8" spans="1:25" s="113" customFormat="1" x14ac:dyDescent="0.25">
      <c r="A8" s="133">
        <f>WEEKNUM(B8,21)</f>
        <v>1</v>
      </c>
      <c r="B8" s="156">
        <v>43831</v>
      </c>
      <c r="C8" s="156">
        <v>43831</v>
      </c>
      <c r="D8" s="229" t="s">
        <v>337</v>
      </c>
      <c r="E8" s="78"/>
      <c r="F8" s="150">
        <v>540</v>
      </c>
      <c r="G8" s="78" t="s">
        <v>64</v>
      </c>
      <c r="H8" s="150" t="s">
        <v>57</v>
      </c>
      <c r="I8" s="144" t="s">
        <v>78</v>
      </c>
      <c r="J8" s="139"/>
      <c r="K8" s="139"/>
      <c r="L8" s="97" t="s">
        <v>55</v>
      </c>
      <c r="M8" s="78"/>
      <c r="N8" s="101"/>
      <c r="O8" s="139">
        <v>2</v>
      </c>
      <c r="P8" s="80">
        <v>0.79166666666666663</v>
      </c>
      <c r="Q8" s="105">
        <v>0.75694444444444453</v>
      </c>
      <c r="R8" s="105">
        <v>0.76041666666666663</v>
      </c>
      <c r="S8" s="105">
        <v>0.76388888888888884</v>
      </c>
      <c r="T8" s="80">
        <f t="shared" ref="T8:U9" si="5">R8-Q8</f>
        <v>3.4722222222220989E-3</v>
      </c>
      <c r="U8" s="80">
        <f t="shared" si="5"/>
        <v>3.4722222222222099E-3</v>
      </c>
      <c r="V8" s="105">
        <v>0.76736111111111116</v>
      </c>
      <c r="W8" s="80">
        <f>U8-T8</f>
        <v>1.1102230246251565E-16</v>
      </c>
      <c r="X8" s="81"/>
    </row>
    <row r="9" spans="1:25" s="113" customFormat="1" x14ac:dyDescent="0.25">
      <c r="A9" s="133">
        <f>WEEKNUM(B9,21)</f>
        <v>1</v>
      </c>
      <c r="B9" s="156">
        <v>43831</v>
      </c>
      <c r="C9" s="156">
        <v>43831</v>
      </c>
      <c r="D9" s="229" t="s">
        <v>337</v>
      </c>
      <c r="E9" s="78"/>
      <c r="F9" s="150">
        <v>540</v>
      </c>
      <c r="G9" s="78" t="s">
        <v>77</v>
      </c>
      <c r="H9" s="150" t="s">
        <v>65</v>
      </c>
      <c r="I9" s="144" t="s">
        <v>79</v>
      </c>
      <c r="J9" s="139"/>
      <c r="K9" s="139"/>
      <c r="L9" s="97" t="s">
        <v>55</v>
      </c>
      <c r="M9" s="78"/>
      <c r="N9" s="101"/>
      <c r="O9" s="139">
        <v>23</v>
      </c>
      <c r="P9" s="80">
        <v>0.83333333333333337</v>
      </c>
      <c r="Q9" s="105">
        <v>0.80208333333333337</v>
      </c>
      <c r="R9" s="105">
        <v>0.80555555555555547</v>
      </c>
      <c r="S9" s="105">
        <v>0.81944444444444453</v>
      </c>
      <c r="T9" s="80">
        <f t="shared" si="5"/>
        <v>3.4722222222220989E-3</v>
      </c>
      <c r="U9" s="80">
        <f t="shared" si="5"/>
        <v>1.3888888888889062E-2</v>
      </c>
      <c r="V9" s="105">
        <v>0.82291666666666663</v>
      </c>
      <c r="W9" s="80">
        <f>U9-T9</f>
        <v>1.0416666666666963E-2</v>
      </c>
      <c r="X9" s="81"/>
    </row>
    <row r="10" spans="1:25" s="114" customFormat="1" ht="31.5" x14ac:dyDescent="0.25">
      <c r="A10" s="140">
        <f t="shared" si="4"/>
        <v>1</v>
      </c>
      <c r="B10" s="157">
        <v>43831</v>
      </c>
      <c r="C10" s="157">
        <v>43831</v>
      </c>
      <c r="D10" s="229" t="s">
        <v>68</v>
      </c>
      <c r="E10" s="79">
        <v>1000448467</v>
      </c>
      <c r="F10" s="153">
        <v>480</v>
      </c>
      <c r="G10" s="140" t="s">
        <v>67</v>
      </c>
      <c r="H10" s="158" t="s">
        <v>87</v>
      </c>
      <c r="I10" s="98" t="s">
        <v>321</v>
      </c>
      <c r="J10" s="139" t="s">
        <v>19</v>
      </c>
      <c r="K10" s="139"/>
      <c r="L10" s="98" t="s">
        <v>55</v>
      </c>
      <c r="M10" s="79">
        <v>80</v>
      </c>
      <c r="N10" s="139" t="s">
        <v>51</v>
      </c>
      <c r="O10" s="139">
        <v>38</v>
      </c>
      <c r="P10" s="138">
        <v>0.41666666666666669</v>
      </c>
      <c r="Q10" s="147">
        <v>0.36805555555555558</v>
      </c>
      <c r="R10" s="147">
        <v>0.38194444444444442</v>
      </c>
      <c r="S10" s="147">
        <v>0.39583333333333331</v>
      </c>
      <c r="T10" s="138">
        <f t="shared" si="1"/>
        <v>1.388888888888884E-2</v>
      </c>
      <c r="U10" s="138">
        <f t="shared" si="2"/>
        <v>1.3888888888888895E-2</v>
      </c>
      <c r="V10" s="147">
        <v>0.39930555555555558</v>
      </c>
      <c r="W10" s="138">
        <f>U10-T10</f>
        <v>5.5511151231257827E-17</v>
      </c>
      <c r="X10" s="81"/>
    </row>
    <row r="11" spans="1:25" s="114" customFormat="1" x14ac:dyDescent="0.25">
      <c r="A11" s="140">
        <f t="shared" si="4"/>
        <v>1</v>
      </c>
      <c r="B11" s="157">
        <v>43831</v>
      </c>
      <c r="C11" s="157">
        <v>43831</v>
      </c>
      <c r="D11" s="229" t="s">
        <v>68</v>
      </c>
      <c r="E11" s="79">
        <v>1000448468</v>
      </c>
      <c r="F11" s="153">
        <v>480</v>
      </c>
      <c r="G11" s="137" t="s">
        <v>69</v>
      </c>
      <c r="H11" s="158" t="s">
        <v>86</v>
      </c>
      <c r="I11" s="79">
        <v>3202678287</v>
      </c>
      <c r="J11" s="139" t="s">
        <v>19</v>
      </c>
      <c r="K11" s="139"/>
      <c r="L11" s="98" t="s">
        <v>55</v>
      </c>
      <c r="M11" s="79">
        <v>80</v>
      </c>
      <c r="N11" s="139" t="s">
        <v>51</v>
      </c>
      <c r="O11" s="139">
        <v>33</v>
      </c>
      <c r="P11" s="138">
        <v>0.41666666666666669</v>
      </c>
      <c r="Q11" s="147">
        <v>0.36805555555555558</v>
      </c>
      <c r="R11" s="147">
        <v>0.38194444444444442</v>
      </c>
      <c r="S11" s="147">
        <v>0.39930555555555558</v>
      </c>
      <c r="T11" s="138">
        <f t="shared" si="1"/>
        <v>1.388888888888884E-2</v>
      </c>
      <c r="U11" s="138">
        <f t="shared" si="2"/>
        <v>1.736111111111116E-2</v>
      </c>
      <c r="V11" s="147">
        <v>0.40277777777777773</v>
      </c>
      <c r="W11" s="148">
        <f t="shared" si="3"/>
        <v>3.4722222222222154E-2</v>
      </c>
      <c r="X11" s="81"/>
    </row>
    <row r="12" spans="1:25" s="114" customFormat="1" ht="31.5" x14ac:dyDescent="0.25">
      <c r="A12" s="140">
        <f t="shared" si="4"/>
        <v>1</v>
      </c>
      <c r="B12" s="157">
        <v>43831</v>
      </c>
      <c r="C12" s="157">
        <v>43831</v>
      </c>
      <c r="D12" s="229" t="s">
        <v>68</v>
      </c>
      <c r="E12" s="79">
        <v>1000448727</v>
      </c>
      <c r="F12" s="153">
        <v>360</v>
      </c>
      <c r="G12" s="137" t="s">
        <v>70</v>
      </c>
      <c r="H12" s="158" t="s">
        <v>81</v>
      </c>
      <c r="I12" s="79" t="s">
        <v>322</v>
      </c>
      <c r="J12" s="139" t="s">
        <v>19</v>
      </c>
      <c r="K12" s="139"/>
      <c r="L12" s="98" t="s">
        <v>55</v>
      </c>
      <c r="M12" s="79">
        <v>80</v>
      </c>
      <c r="N12" s="139" t="s">
        <v>51</v>
      </c>
      <c r="O12" s="139">
        <v>36</v>
      </c>
      <c r="P12" s="138">
        <v>0.45833333333333331</v>
      </c>
      <c r="Q12" s="147">
        <v>0.54861111111111105</v>
      </c>
      <c r="R12" s="147">
        <v>0.55208333333333337</v>
      </c>
      <c r="S12" s="147">
        <v>0.55902777777777779</v>
      </c>
      <c r="T12" s="138">
        <f t="shared" si="1"/>
        <v>3.4722222222223209E-3</v>
      </c>
      <c r="U12" s="138">
        <f t="shared" si="2"/>
        <v>6.9444444444444198E-3</v>
      </c>
      <c r="V12" s="147">
        <v>0.56944444444444442</v>
      </c>
      <c r="W12" s="148">
        <f t="shared" si="3"/>
        <v>2.083333333333337E-2</v>
      </c>
      <c r="X12" s="81"/>
    </row>
    <row r="13" spans="1:25" s="114" customFormat="1" x14ac:dyDescent="0.25">
      <c r="A13" s="140">
        <f t="shared" si="4"/>
        <v>1</v>
      </c>
      <c r="B13" s="157">
        <v>43831</v>
      </c>
      <c r="C13" s="157">
        <v>43831</v>
      </c>
      <c r="D13" s="229" t="s">
        <v>337</v>
      </c>
      <c r="E13" s="79">
        <v>1000448473</v>
      </c>
      <c r="F13" s="153">
        <v>300</v>
      </c>
      <c r="G13" s="137" t="s">
        <v>71</v>
      </c>
      <c r="H13" s="158" t="s">
        <v>315</v>
      </c>
      <c r="I13" s="79" t="s">
        <v>319</v>
      </c>
      <c r="J13" s="139" t="s">
        <v>19</v>
      </c>
      <c r="K13" s="139"/>
      <c r="L13" s="98" t="s">
        <v>55</v>
      </c>
      <c r="M13" s="79">
        <v>80</v>
      </c>
      <c r="N13" s="139" t="s">
        <v>51</v>
      </c>
      <c r="O13" s="139">
        <v>37</v>
      </c>
      <c r="P13" s="138">
        <v>0.45833333333333331</v>
      </c>
      <c r="Q13" s="147">
        <v>0.65625</v>
      </c>
      <c r="R13" s="147">
        <v>0.65972222222222221</v>
      </c>
      <c r="S13" s="147">
        <v>0.67708333333333337</v>
      </c>
      <c r="T13" s="138">
        <f t="shared" si="1"/>
        <v>3.4722222222222099E-3</v>
      </c>
      <c r="U13" s="138">
        <f t="shared" si="2"/>
        <v>1.736111111111116E-2</v>
      </c>
      <c r="V13" s="147">
        <v>0.68402777777777779</v>
      </c>
      <c r="W13" s="148">
        <f t="shared" si="3"/>
        <v>2.777777777777779E-2</v>
      </c>
      <c r="X13" s="81"/>
    </row>
    <row r="14" spans="1:25" s="114" customFormat="1" ht="31.5" x14ac:dyDescent="0.25">
      <c r="A14" s="140">
        <f t="shared" si="4"/>
        <v>1</v>
      </c>
      <c r="B14" s="157">
        <v>43831</v>
      </c>
      <c r="C14" s="157">
        <v>43831</v>
      </c>
      <c r="D14" s="229" t="s">
        <v>66</v>
      </c>
      <c r="E14" s="79">
        <v>1000448489</v>
      </c>
      <c r="F14" s="153">
        <v>300</v>
      </c>
      <c r="G14" s="137" t="s">
        <v>72</v>
      </c>
      <c r="H14" s="158" t="s">
        <v>85</v>
      </c>
      <c r="I14" s="79" t="s">
        <v>338</v>
      </c>
      <c r="J14" s="139" t="s">
        <v>19</v>
      </c>
      <c r="K14" s="139"/>
      <c r="L14" s="98" t="s">
        <v>55</v>
      </c>
      <c r="M14" s="79">
        <v>80</v>
      </c>
      <c r="N14" s="139" t="s">
        <v>51</v>
      </c>
      <c r="O14" s="139">
        <v>22</v>
      </c>
      <c r="P14" s="138">
        <v>0.5</v>
      </c>
      <c r="Q14" s="147">
        <v>0.50347222222222221</v>
      </c>
      <c r="R14" s="147">
        <v>0.52777777777777779</v>
      </c>
      <c r="S14" s="147">
        <v>0.53819444444444442</v>
      </c>
      <c r="T14" s="138">
        <f t="shared" si="1"/>
        <v>2.430555555555558E-2</v>
      </c>
      <c r="U14" s="138">
        <f t="shared" si="2"/>
        <v>1.041666666666663E-2</v>
      </c>
      <c r="V14" s="147">
        <v>0.54166666666666663</v>
      </c>
      <c r="W14" s="148">
        <f t="shared" si="3"/>
        <v>3.819444444444442E-2</v>
      </c>
      <c r="X14" s="81"/>
    </row>
    <row r="15" spans="1:25" s="114" customFormat="1" x14ac:dyDescent="0.25">
      <c r="A15" s="140">
        <f t="shared" si="4"/>
        <v>1</v>
      </c>
      <c r="B15" s="157">
        <v>43831</v>
      </c>
      <c r="C15" s="157">
        <v>43831</v>
      </c>
      <c r="D15" s="229" t="s">
        <v>66</v>
      </c>
      <c r="E15" s="79">
        <v>1000448491</v>
      </c>
      <c r="F15" s="153">
        <v>240</v>
      </c>
      <c r="G15" s="137" t="s">
        <v>73</v>
      </c>
      <c r="H15" s="158" t="s">
        <v>83</v>
      </c>
      <c r="I15" s="79" t="s">
        <v>318</v>
      </c>
      <c r="J15" s="139" t="s">
        <v>19</v>
      </c>
      <c r="K15" s="139"/>
      <c r="L15" s="98" t="s">
        <v>55</v>
      </c>
      <c r="M15" s="79">
        <v>80</v>
      </c>
      <c r="N15" s="139" t="s">
        <v>51</v>
      </c>
      <c r="O15" s="139">
        <v>41</v>
      </c>
      <c r="P15" s="138">
        <v>0.5</v>
      </c>
      <c r="Q15" s="147">
        <v>0.49305555555555558</v>
      </c>
      <c r="R15" s="147">
        <v>0.50694444444444442</v>
      </c>
      <c r="S15" s="147">
        <v>0.51736111111111105</v>
      </c>
      <c r="T15" s="138">
        <f t="shared" si="1"/>
        <v>1.388888888888884E-2</v>
      </c>
      <c r="U15" s="138">
        <f t="shared" si="2"/>
        <v>1.041666666666663E-2</v>
      </c>
      <c r="V15" s="147">
        <v>0.52430555555555558</v>
      </c>
      <c r="W15" s="148">
        <f>V15-Q15</f>
        <v>3.125E-2</v>
      </c>
      <c r="X15" s="81"/>
    </row>
    <row r="16" spans="1:25" s="184" customFormat="1" ht="16.5" thickBot="1" x14ac:dyDescent="0.3">
      <c r="A16" s="169">
        <f>WEEKNUM(B16,21)</f>
        <v>1</v>
      </c>
      <c r="B16" s="170">
        <v>43831</v>
      </c>
      <c r="C16" s="170">
        <v>43831</v>
      </c>
      <c r="D16" s="230" t="s">
        <v>66</v>
      </c>
      <c r="E16" s="169">
        <v>1000448493</v>
      </c>
      <c r="F16" s="169">
        <v>240</v>
      </c>
      <c r="G16" s="169" t="s">
        <v>74</v>
      </c>
      <c r="H16" s="171" t="s">
        <v>316</v>
      </c>
      <c r="I16" s="172" t="s">
        <v>320</v>
      </c>
      <c r="J16" s="172" t="s">
        <v>19</v>
      </c>
      <c r="K16" s="172"/>
      <c r="L16" s="169" t="s">
        <v>55</v>
      </c>
      <c r="M16" s="169">
        <v>80</v>
      </c>
      <c r="N16" s="169" t="s">
        <v>51</v>
      </c>
      <c r="O16" s="172">
        <v>28</v>
      </c>
      <c r="P16" s="173">
        <v>0.54166666666666663</v>
      </c>
      <c r="Q16" s="173">
        <v>0.55902777777777779</v>
      </c>
      <c r="R16" s="173">
        <v>0.5625</v>
      </c>
      <c r="S16" s="173">
        <v>0.57638888888888895</v>
      </c>
      <c r="T16" s="173">
        <f t="shared" si="1"/>
        <v>3.4722222222222099E-3</v>
      </c>
      <c r="U16" s="173">
        <f t="shared" si="2"/>
        <v>1.3888888888888951E-2</v>
      </c>
      <c r="V16" s="173">
        <v>0.57986111111111105</v>
      </c>
      <c r="W16" s="190">
        <f t="shared" ref="W16:W34" si="6">V16-Q16</f>
        <v>2.0833333333333259E-2</v>
      </c>
      <c r="X16" s="174"/>
      <c r="Y16" s="183"/>
    </row>
    <row r="17" spans="1:41" s="134" customFormat="1" x14ac:dyDescent="0.25">
      <c r="A17" s="140">
        <f t="shared" ref="A17:A22" si="7">WEEKNUM(B17,21)</f>
        <v>1</v>
      </c>
      <c r="B17" s="157">
        <v>43832</v>
      </c>
      <c r="C17" s="157">
        <v>43832</v>
      </c>
      <c r="D17" s="231" t="s">
        <v>337</v>
      </c>
      <c r="E17" s="97"/>
      <c r="F17" s="97">
        <v>540</v>
      </c>
      <c r="G17" s="141" t="s">
        <v>53</v>
      </c>
      <c r="H17" s="182" t="s">
        <v>57</v>
      </c>
      <c r="I17" s="143" t="s">
        <v>54</v>
      </c>
      <c r="J17" s="98"/>
      <c r="K17" s="98"/>
      <c r="L17" s="97" t="s">
        <v>55</v>
      </c>
      <c r="M17" s="97"/>
      <c r="N17" s="97"/>
      <c r="O17" s="98">
        <v>8</v>
      </c>
      <c r="P17" s="99">
        <v>0.66666666666666663</v>
      </c>
      <c r="Q17" s="99">
        <v>0.63888888888888895</v>
      </c>
      <c r="R17" s="99">
        <v>0.65972222222222221</v>
      </c>
      <c r="S17" s="99">
        <v>0.66666666666666663</v>
      </c>
      <c r="T17" s="179">
        <f t="shared" si="1"/>
        <v>2.0833333333333259E-2</v>
      </c>
      <c r="U17" s="179">
        <f>S17-R17</f>
        <v>6.9444444444444198E-3</v>
      </c>
      <c r="V17" s="99">
        <v>0.67013888888888884</v>
      </c>
      <c r="W17" s="148">
        <f t="shared" si="6"/>
        <v>3.1249999999999889E-2</v>
      </c>
      <c r="X17" s="96"/>
    </row>
    <row r="18" spans="1:41" s="113" customFormat="1" x14ac:dyDescent="0.25">
      <c r="A18" s="140">
        <f t="shared" si="7"/>
        <v>1</v>
      </c>
      <c r="B18" s="157">
        <v>43832</v>
      </c>
      <c r="C18" s="157">
        <v>43832</v>
      </c>
      <c r="D18" s="232" t="s">
        <v>361</v>
      </c>
      <c r="E18" s="78"/>
      <c r="F18" s="78">
        <v>540</v>
      </c>
      <c r="G18" s="78" t="s">
        <v>56</v>
      </c>
      <c r="H18" s="181" t="s">
        <v>76</v>
      </c>
      <c r="I18" s="143" t="s">
        <v>58</v>
      </c>
      <c r="J18" s="79"/>
      <c r="K18" s="79"/>
      <c r="L18" s="78" t="s">
        <v>55</v>
      </c>
      <c r="M18" s="78"/>
      <c r="N18" s="78"/>
      <c r="O18" s="79">
        <v>28</v>
      </c>
      <c r="P18" s="80">
        <v>0.70833333333333337</v>
      </c>
      <c r="Q18" s="80">
        <v>0.71527777777777779</v>
      </c>
      <c r="R18" s="140">
        <v>0.71875</v>
      </c>
      <c r="S18" s="157">
        <v>0.73263888888888884</v>
      </c>
      <c r="T18" s="157">
        <f t="shared" si="1"/>
        <v>3.4722222222222099E-3</v>
      </c>
      <c r="U18" s="100">
        <f t="shared" si="1"/>
        <v>1.388888888888884E-2</v>
      </c>
      <c r="V18" s="79">
        <v>0.73958333333333337</v>
      </c>
      <c r="W18" s="153">
        <f t="shared" si="6"/>
        <v>2.430555555555558E-2</v>
      </c>
      <c r="X18" s="137"/>
      <c r="Y18" s="158"/>
      <c r="Z18" s="79"/>
      <c r="AA18" s="139"/>
      <c r="AB18" s="139"/>
      <c r="AC18" s="98"/>
      <c r="AD18" s="79"/>
      <c r="AE18" s="139"/>
      <c r="AF18" s="139"/>
      <c r="AG18" s="138"/>
      <c r="AH18" s="147"/>
      <c r="AI18" s="147"/>
      <c r="AJ18" s="147"/>
      <c r="AK18" s="138"/>
      <c r="AL18" s="138"/>
      <c r="AM18" s="147"/>
      <c r="AN18" s="148"/>
      <c r="AO18" s="81"/>
    </row>
    <row r="19" spans="1:41" s="113" customFormat="1" x14ac:dyDescent="0.25">
      <c r="A19" s="140">
        <f t="shared" si="7"/>
        <v>1</v>
      </c>
      <c r="B19" s="157">
        <v>43832</v>
      </c>
      <c r="C19" s="157">
        <v>43832</v>
      </c>
      <c r="D19" s="232" t="s">
        <v>337</v>
      </c>
      <c r="E19" s="78"/>
      <c r="F19" s="78">
        <v>540</v>
      </c>
      <c r="G19" s="97" t="s">
        <v>59</v>
      </c>
      <c r="H19" s="181" t="s">
        <v>65</v>
      </c>
      <c r="I19" s="143" t="s">
        <v>60</v>
      </c>
      <c r="J19" s="79"/>
      <c r="K19" s="79"/>
      <c r="L19" s="78" t="s">
        <v>55</v>
      </c>
      <c r="M19" s="78"/>
      <c r="N19" s="78"/>
      <c r="O19" s="79">
        <v>21</v>
      </c>
      <c r="P19" s="80">
        <v>0.70833333333333337</v>
      </c>
      <c r="Q19" s="80">
        <v>0.65625</v>
      </c>
      <c r="R19" s="80">
        <v>0.67013888888888884</v>
      </c>
      <c r="S19" s="80">
        <v>0.69444444444444453</v>
      </c>
      <c r="T19" s="138">
        <f t="shared" si="1"/>
        <v>1.388888888888884E-2</v>
      </c>
      <c r="U19" s="138">
        <f t="shared" si="1"/>
        <v>2.4305555555555691E-2</v>
      </c>
      <c r="V19" s="80">
        <v>0.69791666666666663</v>
      </c>
      <c r="W19" s="148">
        <f t="shared" si="6"/>
        <v>4.166666666666663E-2</v>
      </c>
      <c r="X19" s="81"/>
    </row>
    <row r="20" spans="1:41" s="113" customFormat="1" x14ac:dyDescent="0.25">
      <c r="A20" s="140">
        <f t="shared" si="7"/>
        <v>1</v>
      </c>
      <c r="B20" s="157">
        <v>43832</v>
      </c>
      <c r="C20" s="157">
        <v>43832</v>
      </c>
      <c r="D20" s="232" t="s">
        <v>337</v>
      </c>
      <c r="E20" s="78"/>
      <c r="F20" s="78">
        <v>540</v>
      </c>
      <c r="G20" s="78" t="s">
        <v>61</v>
      </c>
      <c r="H20" s="181" t="s">
        <v>80</v>
      </c>
      <c r="I20" s="144" t="s">
        <v>63</v>
      </c>
      <c r="J20" s="79"/>
      <c r="K20" s="79"/>
      <c r="L20" s="78" t="s">
        <v>55</v>
      </c>
      <c r="M20" s="78"/>
      <c r="N20" s="78"/>
      <c r="O20" s="79">
        <v>26</v>
      </c>
      <c r="P20" s="80">
        <v>0.75</v>
      </c>
      <c r="Q20" s="80">
        <v>0.73263888888888884</v>
      </c>
      <c r="R20" s="80">
        <v>0.73958333333333337</v>
      </c>
      <c r="S20" s="80">
        <v>0.75694444444444453</v>
      </c>
      <c r="T20" s="138">
        <f t="shared" si="1"/>
        <v>6.9444444444445308E-3</v>
      </c>
      <c r="U20" s="138">
        <f t="shared" si="1"/>
        <v>1.736111111111116E-2</v>
      </c>
      <c r="V20" s="80">
        <v>0.76041666666666663</v>
      </c>
      <c r="W20" s="148">
        <f t="shared" si="6"/>
        <v>2.777777777777779E-2</v>
      </c>
      <c r="X20" s="81"/>
    </row>
    <row r="21" spans="1:41" s="113" customFormat="1" x14ac:dyDescent="0.25">
      <c r="A21" s="140">
        <f t="shared" si="7"/>
        <v>1</v>
      </c>
      <c r="B21" s="157">
        <v>43832</v>
      </c>
      <c r="C21" s="157">
        <v>43832</v>
      </c>
      <c r="D21" s="232" t="s">
        <v>361</v>
      </c>
      <c r="E21" s="78"/>
      <c r="F21" s="78">
        <v>540</v>
      </c>
      <c r="G21" s="78" t="s">
        <v>64</v>
      </c>
      <c r="H21" s="181" t="s">
        <v>317</v>
      </c>
      <c r="I21" s="144" t="s">
        <v>355</v>
      </c>
      <c r="J21" s="79"/>
      <c r="K21" s="79"/>
      <c r="L21" s="78" t="s">
        <v>55</v>
      </c>
      <c r="M21" s="78"/>
      <c r="N21" s="78"/>
      <c r="O21" s="79">
        <v>23</v>
      </c>
      <c r="P21" s="80">
        <v>0.79166666666666663</v>
      </c>
      <c r="Q21" s="80">
        <v>0.78125</v>
      </c>
      <c r="R21" s="80">
        <v>0.78819444444444453</v>
      </c>
      <c r="S21" s="80">
        <v>0.79861111111111116</v>
      </c>
      <c r="T21" s="138">
        <f t="shared" si="1"/>
        <v>6.9444444444445308E-3</v>
      </c>
      <c r="U21" s="138">
        <f t="shared" si="1"/>
        <v>1.041666666666663E-2</v>
      </c>
      <c r="V21" s="80">
        <v>0.80208333333333337</v>
      </c>
      <c r="W21" s="148">
        <f t="shared" si="6"/>
        <v>2.083333333333337E-2</v>
      </c>
      <c r="X21" s="81"/>
    </row>
    <row r="22" spans="1:41" s="113" customFormat="1" x14ac:dyDescent="0.25">
      <c r="A22" s="140">
        <f t="shared" si="7"/>
        <v>1</v>
      </c>
      <c r="B22" s="157">
        <v>43832</v>
      </c>
      <c r="C22" s="157">
        <v>43832</v>
      </c>
      <c r="D22" s="232" t="s">
        <v>361</v>
      </c>
      <c r="E22" s="78"/>
      <c r="F22" s="78">
        <v>540</v>
      </c>
      <c r="G22" s="78" t="s">
        <v>77</v>
      </c>
      <c r="H22" s="181" t="s">
        <v>62</v>
      </c>
      <c r="I22" s="144" t="s">
        <v>78</v>
      </c>
      <c r="J22" s="79"/>
      <c r="K22" s="79"/>
      <c r="L22" s="78" t="s">
        <v>55</v>
      </c>
      <c r="M22" s="78"/>
      <c r="N22" s="78"/>
      <c r="O22" s="79">
        <v>26</v>
      </c>
      <c r="P22" s="80">
        <v>0.83333333333333337</v>
      </c>
      <c r="Q22" s="80">
        <v>0.82291666666666663</v>
      </c>
      <c r="R22" s="80">
        <v>0.82986111111111116</v>
      </c>
      <c r="S22" s="80">
        <v>0.84027777777777779</v>
      </c>
      <c r="T22" s="138">
        <f t="shared" si="1"/>
        <v>6.9444444444445308E-3</v>
      </c>
      <c r="U22" s="138">
        <f t="shared" si="1"/>
        <v>1.041666666666663E-2</v>
      </c>
      <c r="V22" s="80">
        <v>0.84375</v>
      </c>
      <c r="W22" s="148">
        <f t="shared" si="6"/>
        <v>2.083333333333337E-2</v>
      </c>
      <c r="X22" s="81"/>
    </row>
    <row r="23" spans="1:41" s="180" customFormat="1" x14ac:dyDescent="0.25">
      <c r="A23" s="140">
        <f>WEEKNUM(B23,21)</f>
        <v>1</v>
      </c>
      <c r="B23" s="157">
        <v>43832</v>
      </c>
      <c r="C23" s="157">
        <v>43832</v>
      </c>
      <c r="D23" s="228" t="s">
        <v>337</v>
      </c>
      <c r="E23" s="98">
        <v>1000448469</v>
      </c>
      <c r="F23" s="177">
        <v>240</v>
      </c>
      <c r="G23" s="140" t="s">
        <v>323</v>
      </c>
      <c r="H23" s="178" t="s">
        <v>326</v>
      </c>
      <c r="I23" s="98" t="s">
        <v>329</v>
      </c>
      <c r="J23" s="142" t="s">
        <v>19</v>
      </c>
      <c r="K23" s="142"/>
      <c r="L23" s="98" t="s">
        <v>55</v>
      </c>
      <c r="M23" s="98">
        <v>80</v>
      </c>
      <c r="N23" s="142" t="s">
        <v>51</v>
      </c>
      <c r="O23" s="142">
        <v>34</v>
      </c>
      <c r="P23" s="179">
        <v>0.41666666666666669</v>
      </c>
      <c r="Q23" s="148">
        <v>0.4826388888888889</v>
      </c>
      <c r="R23" s="148">
        <v>0.5</v>
      </c>
      <c r="S23" s="148">
        <v>0.51388888888888895</v>
      </c>
      <c r="T23" s="179">
        <f t="shared" si="1"/>
        <v>1.7361111111111105E-2</v>
      </c>
      <c r="U23" s="179">
        <f t="shared" si="2"/>
        <v>1.3888888888888951E-2</v>
      </c>
      <c r="V23" s="148">
        <v>0.51736111111111105</v>
      </c>
      <c r="W23" s="148">
        <f t="shared" si="6"/>
        <v>3.4722222222222154E-2</v>
      </c>
      <c r="X23" s="96"/>
    </row>
    <row r="24" spans="1:41" s="114" customFormat="1" x14ac:dyDescent="0.25">
      <c r="A24" s="140">
        <f t="shared" ref="A24:A67" si="8">WEEKNUM(B24,21)</f>
        <v>1</v>
      </c>
      <c r="B24" s="157">
        <v>43832</v>
      </c>
      <c r="C24" s="157">
        <v>43832</v>
      </c>
      <c r="D24" s="229"/>
      <c r="E24" s="79">
        <v>1000448474</v>
      </c>
      <c r="F24" s="153"/>
      <c r="G24" s="137" t="s">
        <v>324</v>
      </c>
      <c r="H24" s="158" t="s">
        <v>327</v>
      </c>
      <c r="I24" s="79"/>
      <c r="J24" s="139"/>
      <c r="K24" s="139"/>
      <c r="L24" s="98" t="s">
        <v>84</v>
      </c>
      <c r="M24" s="79"/>
      <c r="N24" s="139"/>
      <c r="O24" s="139"/>
      <c r="P24" s="138">
        <v>0.45833333333333331</v>
      </c>
      <c r="Q24" s="147"/>
      <c r="R24" s="147"/>
      <c r="S24" s="147"/>
      <c r="T24" s="138">
        <f t="shared" si="1"/>
        <v>0</v>
      </c>
      <c r="U24" s="138">
        <f t="shared" si="2"/>
        <v>0</v>
      </c>
      <c r="V24" s="147"/>
      <c r="W24" s="148">
        <f t="shared" si="6"/>
        <v>0</v>
      </c>
      <c r="X24" s="81"/>
    </row>
    <row r="25" spans="1:41" s="192" customFormat="1" ht="16.5" thickBot="1" x14ac:dyDescent="0.3">
      <c r="A25" s="185">
        <f t="shared" si="8"/>
        <v>1</v>
      </c>
      <c r="B25" s="186">
        <v>43832</v>
      </c>
      <c r="C25" s="186">
        <v>43832</v>
      </c>
      <c r="D25" s="235"/>
      <c r="E25" s="172">
        <v>1000448728</v>
      </c>
      <c r="F25" s="187"/>
      <c r="G25" s="185" t="s">
        <v>325</v>
      </c>
      <c r="H25" s="188" t="s">
        <v>328</v>
      </c>
      <c r="I25" s="172"/>
      <c r="J25" s="189"/>
      <c r="K25" s="189"/>
      <c r="L25" s="172" t="s">
        <v>84</v>
      </c>
      <c r="M25" s="172"/>
      <c r="N25" s="189"/>
      <c r="O25" s="189"/>
      <c r="P25" s="190">
        <v>0.45833333333333331</v>
      </c>
      <c r="Q25" s="191"/>
      <c r="R25" s="191"/>
      <c r="S25" s="191"/>
      <c r="T25" s="190">
        <f t="shared" si="1"/>
        <v>0</v>
      </c>
      <c r="U25" s="190">
        <f t="shared" si="2"/>
        <v>0</v>
      </c>
      <c r="V25" s="191"/>
      <c r="W25" s="190">
        <f t="shared" si="6"/>
        <v>0</v>
      </c>
      <c r="X25" s="174"/>
    </row>
    <row r="26" spans="1:41" s="113" customFormat="1" x14ac:dyDescent="0.25">
      <c r="A26" s="140">
        <f t="shared" si="8"/>
        <v>1</v>
      </c>
      <c r="B26" s="157">
        <v>43833</v>
      </c>
      <c r="C26" s="157">
        <v>43833</v>
      </c>
      <c r="D26" s="232" t="s">
        <v>337</v>
      </c>
      <c r="E26" s="78"/>
      <c r="F26" s="78">
        <v>540</v>
      </c>
      <c r="G26" s="78" t="s">
        <v>53</v>
      </c>
      <c r="H26" s="181" t="s">
        <v>317</v>
      </c>
      <c r="I26" s="143" t="s">
        <v>54</v>
      </c>
      <c r="J26" s="79"/>
      <c r="K26" s="79"/>
      <c r="L26" s="78" t="s">
        <v>55</v>
      </c>
      <c r="M26" s="78"/>
      <c r="N26" s="78"/>
      <c r="O26" s="79">
        <v>21</v>
      </c>
      <c r="P26" s="80">
        <v>0.66666666666666663</v>
      </c>
      <c r="Q26" s="80">
        <v>0.59027777777777779</v>
      </c>
      <c r="R26" s="80">
        <v>0.66666666666666663</v>
      </c>
      <c r="S26" s="80">
        <v>0.69444444444444453</v>
      </c>
      <c r="T26" s="138">
        <f t="shared" si="1"/>
        <v>7.638888888888884E-2</v>
      </c>
      <c r="U26" s="138">
        <f t="shared" si="2"/>
        <v>2.7777777777777901E-2</v>
      </c>
      <c r="V26" s="80">
        <v>0.69791666666666663</v>
      </c>
      <c r="W26" s="148">
        <f t="shared" si="6"/>
        <v>0.10763888888888884</v>
      </c>
      <c r="X26" s="81" t="s">
        <v>380</v>
      </c>
    </row>
    <row r="27" spans="1:41" s="113" customFormat="1" x14ac:dyDescent="0.25">
      <c r="A27" s="140">
        <f t="shared" si="8"/>
        <v>1</v>
      </c>
      <c r="B27" s="157">
        <v>43833</v>
      </c>
      <c r="C27" s="157">
        <v>43833</v>
      </c>
      <c r="D27" s="232" t="s">
        <v>337</v>
      </c>
      <c r="E27" s="78"/>
      <c r="F27" s="78">
        <v>540</v>
      </c>
      <c r="G27" s="97" t="s">
        <v>56</v>
      </c>
      <c r="H27" s="181" t="s">
        <v>65</v>
      </c>
      <c r="I27" s="143" t="s">
        <v>58</v>
      </c>
      <c r="J27" s="79"/>
      <c r="K27" s="79"/>
      <c r="L27" s="78" t="s">
        <v>55</v>
      </c>
      <c r="M27" s="78"/>
      <c r="N27" s="78"/>
      <c r="O27" s="79">
        <v>26</v>
      </c>
      <c r="P27" s="80">
        <v>0.70833333333333337</v>
      </c>
      <c r="Q27" s="80">
        <v>0.64583333333333337</v>
      </c>
      <c r="R27" s="80">
        <v>0.69097222222222221</v>
      </c>
      <c r="S27" s="80">
        <v>0.71527777777777779</v>
      </c>
      <c r="T27" s="138">
        <f t="shared" si="1"/>
        <v>4.513888888888884E-2</v>
      </c>
      <c r="U27" s="138">
        <f t="shared" si="2"/>
        <v>2.430555555555558E-2</v>
      </c>
      <c r="V27" s="80">
        <v>0.71527777777777779</v>
      </c>
      <c r="W27" s="148">
        <f t="shared" si="6"/>
        <v>6.944444444444442E-2</v>
      </c>
      <c r="X27" s="81"/>
    </row>
    <row r="28" spans="1:41" s="113" customFormat="1" x14ac:dyDescent="0.25">
      <c r="A28" s="140">
        <f t="shared" si="8"/>
        <v>1</v>
      </c>
      <c r="B28" s="157">
        <v>43833</v>
      </c>
      <c r="C28" s="157">
        <v>43833</v>
      </c>
      <c r="D28" s="232" t="s">
        <v>361</v>
      </c>
      <c r="E28" s="78"/>
      <c r="F28" s="78">
        <v>540</v>
      </c>
      <c r="G28" s="78" t="s">
        <v>59</v>
      </c>
      <c r="H28" s="181" t="s">
        <v>62</v>
      </c>
      <c r="I28" s="144" t="s">
        <v>63</v>
      </c>
      <c r="J28" s="79"/>
      <c r="K28" s="79"/>
      <c r="L28" s="78" t="s">
        <v>55</v>
      </c>
      <c r="M28" s="78"/>
      <c r="N28" s="78"/>
      <c r="O28" s="79">
        <v>21</v>
      </c>
      <c r="P28" s="80">
        <v>0.79166666666666663</v>
      </c>
      <c r="Q28" s="80">
        <v>0.77777777777777779</v>
      </c>
      <c r="R28" s="80">
        <v>0.78472222222222221</v>
      </c>
      <c r="S28" s="80">
        <v>0.79861111111111116</v>
      </c>
      <c r="T28" s="138">
        <f t="shared" si="1"/>
        <v>6.9444444444444198E-3</v>
      </c>
      <c r="U28" s="138">
        <f t="shared" si="2"/>
        <v>1.3888888888888951E-2</v>
      </c>
      <c r="V28" s="80">
        <v>0.80208333333333337</v>
      </c>
      <c r="W28" s="148">
        <f t="shared" si="6"/>
        <v>2.430555555555558E-2</v>
      </c>
      <c r="X28" s="81"/>
    </row>
    <row r="29" spans="1:41" s="114" customFormat="1" x14ac:dyDescent="0.25">
      <c r="A29" s="140">
        <f t="shared" si="8"/>
        <v>1</v>
      </c>
      <c r="B29" s="157">
        <v>43833</v>
      </c>
      <c r="C29" s="157">
        <v>43833</v>
      </c>
      <c r="D29" s="229" t="s">
        <v>337</v>
      </c>
      <c r="E29" s="79">
        <v>1000448470</v>
      </c>
      <c r="F29" s="153">
        <v>600</v>
      </c>
      <c r="G29" s="137" t="s">
        <v>339</v>
      </c>
      <c r="H29" s="158" t="s">
        <v>345</v>
      </c>
      <c r="I29" s="79" t="s">
        <v>358</v>
      </c>
      <c r="J29" s="139" t="s">
        <v>19</v>
      </c>
      <c r="K29" s="139"/>
      <c r="L29" s="98" t="s">
        <v>55</v>
      </c>
      <c r="M29" s="98">
        <v>80</v>
      </c>
      <c r="N29" s="139" t="s">
        <v>51</v>
      </c>
      <c r="O29" s="139">
        <v>35</v>
      </c>
      <c r="P29" s="138">
        <v>0.41666666666666669</v>
      </c>
      <c r="Q29" s="147">
        <v>0.38541666666666669</v>
      </c>
      <c r="R29" s="147">
        <v>0.51736111111111105</v>
      </c>
      <c r="S29" s="147">
        <v>0.53125</v>
      </c>
      <c r="T29" s="138">
        <f t="shared" si="1"/>
        <v>0.13194444444444436</v>
      </c>
      <c r="U29" s="138">
        <f t="shared" si="2"/>
        <v>1.3888888888888951E-2</v>
      </c>
      <c r="V29" s="147">
        <v>0.54166666666666663</v>
      </c>
      <c r="W29" s="148">
        <f t="shared" si="6"/>
        <v>0.15624999999999994</v>
      </c>
      <c r="X29" s="81" t="s">
        <v>377</v>
      </c>
    </row>
    <row r="30" spans="1:41" s="114" customFormat="1" ht="31.5" x14ac:dyDescent="0.25">
      <c r="A30" s="140">
        <f t="shared" si="8"/>
        <v>1</v>
      </c>
      <c r="B30" s="157">
        <v>43832</v>
      </c>
      <c r="C30" s="157">
        <v>43833</v>
      </c>
      <c r="D30" s="229" t="s">
        <v>337</v>
      </c>
      <c r="E30" s="79">
        <v>1000448474</v>
      </c>
      <c r="F30" s="153">
        <v>180</v>
      </c>
      <c r="G30" s="137" t="s">
        <v>324</v>
      </c>
      <c r="H30" s="158" t="s">
        <v>346</v>
      </c>
      <c r="I30" s="79" t="s">
        <v>383</v>
      </c>
      <c r="J30" s="139" t="s">
        <v>19</v>
      </c>
      <c r="K30" s="139"/>
      <c r="L30" s="98" t="s">
        <v>55</v>
      </c>
      <c r="M30" s="98">
        <v>80</v>
      </c>
      <c r="N30" s="139" t="s">
        <v>51</v>
      </c>
      <c r="O30" s="139">
        <v>23</v>
      </c>
      <c r="P30" s="138">
        <v>0.45833333333333331</v>
      </c>
      <c r="Q30" s="147">
        <v>0.50347222222222221</v>
      </c>
      <c r="R30" s="147">
        <v>12</v>
      </c>
      <c r="S30" s="147">
        <v>0.52083333333333337</v>
      </c>
      <c r="T30" s="138">
        <f t="shared" si="1"/>
        <v>11.496527777777779</v>
      </c>
      <c r="U30" s="138">
        <f t="shared" si="2"/>
        <v>-11.479166666666666</v>
      </c>
      <c r="V30" s="147">
        <v>0.65277777777777779</v>
      </c>
      <c r="W30" s="148">
        <f t="shared" si="6"/>
        <v>0.14930555555555558</v>
      </c>
      <c r="X30" s="81" t="s">
        <v>382</v>
      </c>
    </row>
    <row r="31" spans="1:41" s="114" customFormat="1" x14ac:dyDescent="0.25">
      <c r="A31" s="140">
        <f t="shared" si="8"/>
        <v>1</v>
      </c>
      <c r="B31" s="157">
        <v>43832</v>
      </c>
      <c r="C31" s="157">
        <v>43833</v>
      </c>
      <c r="D31" s="229" t="s">
        <v>337</v>
      </c>
      <c r="E31" s="79">
        <v>1000448728</v>
      </c>
      <c r="F31" s="153">
        <v>180</v>
      </c>
      <c r="G31" s="137" t="s">
        <v>325</v>
      </c>
      <c r="H31" s="158" t="s">
        <v>347</v>
      </c>
      <c r="I31" s="79" t="s">
        <v>357</v>
      </c>
      <c r="J31" s="139" t="s">
        <v>19</v>
      </c>
      <c r="K31" s="139"/>
      <c r="L31" s="98" t="s">
        <v>55</v>
      </c>
      <c r="M31" s="98">
        <v>80</v>
      </c>
      <c r="N31" s="139" t="s">
        <v>51</v>
      </c>
      <c r="O31" s="139">
        <v>16</v>
      </c>
      <c r="P31" s="138">
        <v>0.45833333333333331</v>
      </c>
      <c r="Q31" s="147">
        <v>0.40277777777777773</v>
      </c>
      <c r="R31" s="147">
        <v>0.4375</v>
      </c>
      <c r="S31" s="147">
        <v>0.44444444444444442</v>
      </c>
      <c r="T31" s="138">
        <f t="shared" si="1"/>
        <v>3.4722222222222265E-2</v>
      </c>
      <c r="U31" s="138">
        <f t="shared" si="2"/>
        <v>6.9444444444444198E-3</v>
      </c>
      <c r="V31" s="147">
        <v>0.44791666666666669</v>
      </c>
      <c r="W31" s="148">
        <f t="shared" si="6"/>
        <v>4.5138888888888951E-2</v>
      </c>
      <c r="X31" s="81"/>
    </row>
    <row r="32" spans="1:41" s="114" customFormat="1" x14ac:dyDescent="0.25">
      <c r="A32" s="140">
        <f t="shared" si="8"/>
        <v>1</v>
      </c>
      <c r="B32" s="157">
        <v>43833</v>
      </c>
      <c r="C32" s="157">
        <v>43833</v>
      </c>
      <c r="D32" s="229" t="s">
        <v>337</v>
      </c>
      <c r="E32" s="79">
        <v>1000448492</v>
      </c>
      <c r="F32" s="153">
        <v>180</v>
      </c>
      <c r="G32" s="137" t="s">
        <v>340</v>
      </c>
      <c r="H32" s="158" t="s">
        <v>348</v>
      </c>
      <c r="I32" s="79" t="s">
        <v>360</v>
      </c>
      <c r="J32" s="139" t="s">
        <v>19</v>
      </c>
      <c r="K32" s="139"/>
      <c r="L32" s="98" t="s">
        <v>55</v>
      </c>
      <c r="M32" s="98">
        <v>80</v>
      </c>
      <c r="N32" s="139" t="s">
        <v>51</v>
      </c>
      <c r="O32" s="139">
        <v>22</v>
      </c>
      <c r="P32" s="138">
        <v>0.5</v>
      </c>
      <c r="Q32" s="147">
        <v>0.61111111111111105</v>
      </c>
      <c r="R32" s="147">
        <v>0.62152777777777779</v>
      </c>
      <c r="S32" s="147">
        <v>0.63194444444444442</v>
      </c>
      <c r="T32" s="138">
        <f t="shared" si="1"/>
        <v>1.0416666666666741E-2</v>
      </c>
      <c r="U32" s="138">
        <f t="shared" si="2"/>
        <v>1.041666666666663E-2</v>
      </c>
      <c r="V32" s="147">
        <v>0.63888888888888895</v>
      </c>
      <c r="W32" s="148">
        <f t="shared" si="6"/>
        <v>2.7777777777777901E-2</v>
      </c>
      <c r="X32" s="81"/>
    </row>
    <row r="33" spans="1:25" s="114" customFormat="1" x14ac:dyDescent="0.25">
      <c r="A33" s="140">
        <f t="shared" si="8"/>
        <v>1</v>
      </c>
      <c r="B33" s="157">
        <v>43833</v>
      </c>
      <c r="C33" s="157">
        <v>43833</v>
      </c>
      <c r="D33" s="229" t="s">
        <v>337</v>
      </c>
      <c r="E33" s="79">
        <v>1000448490</v>
      </c>
      <c r="F33" s="153">
        <v>420</v>
      </c>
      <c r="G33" s="137" t="s">
        <v>341</v>
      </c>
      <c r="H33" s="158" t="s">
        <v>349</v>
      </c>
      <c r="I33" s="79" t="s">
        <v>359</v>
      </c>
      <c r="J33" s="139" t="s">
        <v>19</v>
      </c>
      <c r="K33" s="139"/>
      <c r="L33" s="98" t="s">
        <v>55</v>
      </c>
      <c r="M33" s="98">
        <v>80</v>
      </c>
      <c r="N33" s="139" t="s">
        <v>51</v>
      </c>
      <c r="O33" s="139">
        <v>35</v>
      </c>
      <c r="P33" s="138">
        <v>0.5</v>
      </c>
      <c r="Q33" s="147">
        <v>0.46527777777777773</v>
      </c>
      <c r="R33" s="147">
        <v>0.4861111111111111</v>
      </c>
      <c r="S33" s="147">
        <v>0.5</v>
      </c>
      <c r="T33" s="138">
        <f t="shared" si="1"/>
        <v>2.083333333333337E-2</v>
      </c>
      <c r="U33" s="138">
        <f t="shared" si="2"/>
        <v>1.3888888888888895E-2</v>
      </c>
      <c r="V33" s="147">
        <v>0.50347222222222221</v>
      </c>
      <c r="W33" s="148">
        <f t="shared" si="6"/>
        <v>3.8194444444444475E-2</v>
      </c>
      <c r="X33" s="81"/>
    </row>
    <row r="34" spans="1:25" s="192" customFormat="1" ht="32.25" thickBot="1" x14ac:dyDescent="0.3">
      <c r="A34" s="185">
        <f t="shared" si="8"/>
        <v>1</v>
      </c>
      <c r="B34" s="186">
        <v>43833</v>
      </c>
      <c r="C34" s="186">
        <v>43833</v>
      </c>
      <c r="D34" s="230" t="s">
        <v>337</v>
      </c>
      <c r="E34" s="172">
        <v>1000448494</v>
      </c>
      <c r="F34" s="187">
        <v>540</v>
      </c>
      <c r="G34" s="185" t="s">
        <v>342</v>
      </c>
      <c r="H34" s="188" t="s">
        <v>350</v>
      </c>
      <c r="I34" s="172" t="s">
        <v>356</v>
      </c>
      <c r="J34" s="189" t="s">
        <v>19</v>
      </c>
      <c r="K34" s="189"/>
      <c r="L34" s="185" t="s">
        <v>55</v>
      </c>
      <c r="M34" s="172">
        <v>80</v>
      </c>
      <c r="N34" s="189" t="s">
        <v>51</v>
      </c>
      <c r="O34" s="189">
        <v>40</v>
      </c>
      <c r="P34" s="190">
        <v>0.54166666666666663</v>
      </c>
      <c r="Q34" s="191">
        <v>0.47222222222222227</v>
      </c>
      <c r="R34" s="191">
        <v>0.4826388888888889</v>
      </c>
      <c r="S34" s="191">
        <v>0.49652777777777773</v>
      </c>
      <c r="T34" s="190">
        <f t="shared" si="1"/>
        <v>1.041666666666663E-2</v>
      </c>
      <c r="U34" s="206">
        <f t="shared" si="2"/>
        <v>1.388888888888884E-2</v>
      </c>
      <c r="V34" s="190">
        <v>0.50347222222222221</v>
      </c>
      <c r="W34" s="191">
        <f t="shared" si="6"/>
        <v>3.1249999999999944E-2</v>
      </c>
      <c r="X34" s="174"/>
    </row>
    <row r="35" spans="1:25" s="113" customFormat="1" x14ac:dyDescent="0.25">
      <c r="A35" s="140">
        <f t="shared" si="8"/>
        <v>1</v>
      </c>
      <c r="B35" s="157">
        <v>43834</v>
      </c>
      <c r="C35" s="157">
        <v>43834</v>
      </c>
      <c r="D35" s="231" t="s">
        <v>337</v>
      </c>
      <c r="E35" s="78"/>
      <c r="F35" s="78">
        <v>540</v>
      </c>
      <c r="G35" s="97" t="s">
        <v>53</v>
      </c>
      <c r="H35" s="181" t="s">
        <v>57</v>
      </c>
      <c r="I35" s="143" t="s">
        <v>54</v>
      </c>
      <c r="J35" s="79"/>
      <c r="K35" s="79"/>
      <c r="L35" s="78" t="s">
        <v>55</v>
      </c>
      <c r="M35" s="78"/>
      <c r="N35" s="78"/>
      <c r="O35" s="79">
        <v>5</v>
      </c>
      <c r="P35" s="80">
        <v>0.66666666666666663</v>
      </c>
      <c r="Q35" s="80">
        <v>0.63541666666666663</v>
      </c>
      <c r="R35" s="80">
        <v>0.65625</v>
      </c>
      <c r="S35" s="80">
        <v>0.65972222222222221</v>
      </c>
      <c r="T35" s="138">
        <f t="shared" si="1"/>
        <v>2.083333333333337E-2</v>
      </c>
      <c r="U35" s="138">
        <f t="shared" si="2"/>
        <v>3.4722222222222099E-3</v>
      </c>
      <c r="V35" s="80">
        <v>0.66319444444444442</v>
      </c>
      <c r="W35" s="148">
        <f t="shared" si="3"/>
        <v>2.777777777777779E-2</v>
      </c>
      <c r="X35" s="81"/>
    </row>
    <row r="36" spans="1:25" s="113" customFormat="1" x14ac:dyDescent="0.25">
      <c r="A36" s="140">
        <f t="shared" si="8"/>
        <v>1</v>
      </c>
      <c r="B36" s="157">
        <v>43834</v>
      </c>
      <c r="C36" s="157">
        <v>43834</v>
      </c>
      <c r="D36" s="232" t="s">
        <v>337</v>
      </c>
      <c r="E36" s="78"/>
      <c r="F36" s="78">
        <v>540</v>
      </c>
      <c r="G36" s="97" t="s">
        <v>56</v>
      </c>
      <c r="H36" s="181" t="s">
        <v>317</v>
      </c>
      <c r="I36" s="143" t="s">
        <v>58</v>
      </c>
      <c r="J36" s="79"/>
      <c r="K36" s="79"/>
      <c r="L36" s="78" t="s">
        <v>55</v>
      </c>
      <c r="M36" s="78"/>
      <c r="N36" s="78"/>
      <c r="O36" s="79">
        <v>18</v>
      </c>
      <c r="P36" s="80">
        <v>0.70833333333333337</v>
      </c>
      <c r="Q36" s="80">
        <v>0.6875</v>
      </c>
      <c r="R36" s="80">
        <v>0.69097222222222221</v>
      </c>
      <c r="S36" s="80">
        <v>0.70138888888888884</v>
      </c>
      <c r="T36" s="138">
        <f t="shared" si="1"/>
        <v>3.4722222222222099E-3</v>
      </c>
      <c r="U36" s="138">
        <f t="shared" si="2"/>
        <v>1.041666666666663E-2</v>
      </c>
      <c r="V36" s="80">
        <v>0.70833333333333337</v>
      </c>
      <c r="W36" s="148">
        <f>U36-T36</f>
        <v>6.9444444444444198E-3</v>
      </c>
      <c r="X36" s="81"/>
    </row>
    <row r="37" spans="1:25" s="113" customFormat="1" x14ac:dyDescent="0.25">
      <c r="A37" s="140">
        <f t="shared" si="8"/>
        <v>1</v>
      </c>
      <c r="B37" s="157">
        <v>43834</v>
      </c>
      <c r="C37" s="157">
        <v>43834</v>
      </c>
      <c r="D37" s="232" t="s">
        <v>337</v>
      </c>
      <c r="E37" s="78"/>
      <c r="F37" s="78">
        <v>540</v>
      </c>
      <c r="G37" s="97" t="s">
        <v>59</v>
      </c>
      <c r="H37" s="181" t="s">
        <v>76</v>
      </c>
      <c r="I37" s="143" t="s">
        <v>60</v>
      </c>
      <c r="J37" s="79"/>
      <c r="K37" s="79"/>
      <c r="L37" s="78" t="s">
        <v>55</v>
      </c>
      <c r="M37" s="78"/>
      <c r="N37" s="78"/>
      <c r="O37" s="79">
        <v>6</v>
      </c>
      <c r="P37" s="80">
        <v>0.70833333333333337</v>
      </c>
      <c r="Q37" s="80">
        <v>0.6875</v>
      </c>
      <c r="R37" s="80">
        <v>0.69444444444444453</v>
      </c>
      <c r="S37" s="80">
        <v>0.70486111111111116</v>
      </c>
      <c r="T37" s="138">
        <f t="shared" si="1"/>
        <v>6.9444444444445308E-3</v>
      </c>
      <c r="U37" s="138">
        <f t="shared" si="2"/>
        <v>1.041666666666663E-2</v>
      </c>
      <c r="V37" s="80">
        <v>0.70833333333333337</v>
      </c>
      <c r="W37" s="148">
        <f>U37-T37</f>
        <v>3.4722222222220989E-3</v>
      </c>
      <c r="X37" s="81"/>
    </row>
    <row r="38" spans="1:25" s="113" customFormat="1" x14ac:dyDescent="0.25">
      <c r="A38" s="140">
        <f t="shared" si="8"/>
        <v>1</v>
      </c>
      <c r="B38" s="157">
        <v>43834</v>
      </c>
      <c r="C38" s="157">
        <v>43834</v>
      </c>
      <c r="D38" s="232" t="s">
        <v>337</v>
      </c>
      <c r="E38" s="78"/>
      <c r="F38" s="78">
        <v>540</v>
      </c>
      <c r="G38" s="97" t="s">
        <v>61</v>
      </c>
      <c r="H38" s="181" t="s">
        <v>65</v>
      </c>
      <c r="I38" s="144" t="s">
        <v>63</v>
      </c>
      <c r="J38" s="79"/>
      <c r="K38" s="79"/>
      <c r="L38" s="78" t="s">
        <v>55</v>
      </c>
      <c r="M38" s="78"/>
      <c r="N38" s="78"/>
      <c r="O38" s="79">
        <v>24</v>
      </c>
      <c r="P38" s="80">
        <v>0.75</v>
      </c>
      <c r="Q38" s="80">
        <v>0.72916666666666663</v>
      </c>
      <c r="R38" s="80">
        <v>0.74305555555555547</v>
      </c>
      <c r="S38" s="80">
        <v>0.75347222222222221</v>
      </c>
      <c r="T38" s="138">
        <f t="shared" si="1"/>
        <v>1.388888888888884E-2</v>
      </c>
      <c r="U38" s="138">
        <f t="shared" si="2"/>
        <v>1.0416666666666741E-2</v>
      </c>
      <c r="V38" s="80">
        <v>0.76041666666666663</v>
      </c>
      <c r="W38" s="148">
        <f>U38-T38</f>
        <v>-3.4722222222220989E-3</v>
      </c>
      <c r="X38" s="81"/>
    </row>
    <row r="39" spans="1:25" s="113" customFormat="1" x14ac:dyDescent="0.25">
      <c r="A39" s="140">
        <f t="shared" si="8"/>
        <v>1</v>
      </c>
      <c r="B39" s="157">
        <v>43834</v>
      </c>
      <c r="C39" s="157">
        <v>43834</v>
      </c>
      <c r="D39" s="232" t="s">
        <v>337</v>
      </c>
      <c r="E39" s="78"/>
      <c r="F39" s="78">
        <v>540</v>
      </c>
      <c r="G39" s="97" t="s">
        <v>64</v>
      </c>
      <c r="H39" s="181" t="s">
        <v>330</v>
      </c>
      <c r="I39" s="144" t="s">
        <v>355</v>
      </c>
      <c r="J39" s="79"/>
      <c r="K39" s="79"/>
      <c r="L39" s="78" t="s">
        <v>55</v>
      </c>
      <c r="M39" s="78"/>
      <c r="N39" s="78"/>
      <c r="O39" s="79">
        <v>32</v>
      </c>
      <c r="P39" s="80">
        <v>0.79166666666666663</v>
      </c>
      <c r="Q39" s="80">
        <v>0.71875</v>
      </c>
      <c r="R39" s="80">
        <v>0.74305555555555547</v>
      </c>
      <c r="S39" s="80">
        <v>0.77430555555555547</v>
      </c>
      <c r="T39" s="138">
        <f t="shared" si="1"/>
        <v>2.4305555555555469E-2</v>
      </c>
      <c r="U39" s="138">
        <f t="shared" si="2"/>
        <v>3.125E-2</v>
      </c>
      <c r="V39" s="80">
        <v>0.77777777777777779</v>
      </c>
      <c r="W39" s="148">
        <f t="shared" si="3"/>
        <v>5.902777777777779E-2</v>
      </c>
      <c r="X39" s="81"/>
    </row>
    <row r="40" spans="1:25" s="113" customFormat="1" x14ac:dyDescent="0.25">
      <c r="A40" s="140">
        <f>WEEKNUM(B40,21)</f>
        <v>1</v>
      </c>
      <c r="B40" s="157">
        <v>43834</v>
      </c>
      <c r="C40" s="157">
        <v>43834</v>
      </c>
      <c r="D40" s="232" t="s">
        <v>337</v>
      </c>
      <c r="E40" s="78"/>
      <c r="F40" s="78">
        <v>540</v>
      </c>
      <c r="G40" s="97" t="s">
        <v>77</v>
      </c>
      <c r="H40" s="181" t="s">
        <v>80</v>
      </c>
      <c r="I40" s="144" t="s">
        <v>78</v>
      </c>
      <c r="J40" s="79"/>
      <c r="K40" s="79"/>
      <c r="L40" s="78" t="s">
        <v>55</v>
      </c>
      <c r="M40" s="78"/>
      <c r="N40" s="78"/>
      <c r="O40" s="79">
        <v>19</v>
      </c>
      <c r="P40" s="80">
        <v>0.83333333333333337</v>
      </c>
      <c r="Q40" s="80">
        <v>0.76041666666666663</v>
      </c>
      <c r="R40" s="80">
        <v>0.77083333333333337</v>
      </c>
      <c r="S40" s="80">
        <v>0.78125</v>
      </c>
      <c r="T40" s="138">
        <f>R40-Q40</f>
        <v>1.0416666666666741E-2</v>
      </c>
      <c r="U40" s="138">
        <f>S40-R40</f>
        <v>1.041666666666663E-2</v>
      </c>
      <c r="V40" s="80">
        <v>0.78472222222222221</v>
      </c>
      <c r="W40" s="148">
        <f>U40-T40</f>
        <v>-1.1102230246251565E-16</v>
      </c>
      <c r="X40" s="81"/>
    </row>
    <row r="41" spans="1:25" s="114" customFormat="1" x14ac:dyDescent="0.25">
      <c r="A41" s="140">
        <f t="shared" si="8"/>
        <v>1</v>
      </c>
      <c r="B41" s="157">
        <v>43834</v>
      </c>
      <c r="C41" s="157">
        <v>43834</v>
      </c>
      <c r="D41" s="228" t="s">
        <v>337</v>
      </c>
      <c r="E41" s="79">
        <v>1000448471</v>
      </c>
      <c r="F41" s="153">
        <v>240</v>
      </c>
      <c r="G41" s="137" t="s">
        <v>370</v>
      </c>
      <c r="H41" s="158" t="s">
        <v>374</v>
      </c>
      <c r="I41" s="79" t="s">
        <v>378</v>
      </c>
      <c r="J41" s="139" t="s">
        <v>19</v>
      </c>
      <c r="K41" s="139"/>
      <c r="L41" s="98" t="s">
        <v>55</v>
      </c>
      <c r="M41" s="98">
        <v>80</v>
      </c>
      <c r="N41" s="139" t="s">
        <v>51</v>
      </c>
      <c r="O41" s="139">
        <v>38</v>
      </c>
      <c r="P41" s="138">
        <v>0.41666666666666669</v>
      </c>
      <c r="Q41" s="147">
        <v>0.37847222222222227</v>
      </c>
      <c r="R41" s="147">
        <v>0.3888888888888889</v>
      </c>
      <c r="S41" s="147">
        <v>0.40277777777777773</v>
      </c>
      <c r="T41" s="138">
        <f t="shared" si="1"/>
        <v>1.041666666666663E-2</v>
      </c>
      <c r="U41" s="138">
        <f t="shared" si="2"/>
        <v>1.388888888888884E-2</v>
      </c>
      <c r="V41" s="147">
        <v>0.40625</v>
      </c>
      <c r="W41" s="148">
        <f t="shared" si="3"/>
        <v>2.7777777777777735E-2</v>
      </c>
      <c r="X41" s="81"/>
    </row>
    <row r="42" spans="1:25" s="114" customFormat="1" x14ac:dyDescent="0.25">
      <c r="A42" s="140">
        <f t="shared" si="8"/>
        <v>1</v>
      </c>
      <c r="B42" s="157">
        <v>43834</v>
      </c>
      <c r="C42" s="157">
        <v>43834</v>
      </c>
      <c r="D42" s="229" t="s">
        <v>337</v>
      </c>
      <c r="E42" s="79">
        <v>1000448472</v>
      </c>
      <c r="F42" s="153">
        <v>420</v>
      </c>
      <c r="G42" s="137" t="s">
        <v>371</v>
      </c>
      <c r="H42" s="158" t="s">
        <v>348</v>
      </c>
      <c r="I42" s="79">
        <v>3202683592</v>
      </c>
      <c r="J42" s="139" t="s">
        <v>19</v>
      </c>
      <c r="K42" s="139"/>
      <c r="L42" s="98" t="s">
        <v>55</v>
      </c>
      <c r="M42" s="98">
        <v>80</v>
      </c>
      <c r="N42" s="139" t="s">
        <v>51</v>
      </c>
      <c r="O42" s="139">
        <v>33</v>
      </c>
      <c r="P42" s="138">
        <v>0.41666666666666669</v>
      </c>
      <c r="Q42" s="147">
        <v>0.33333333333333331</v>
      </c>
      <c r="R42" s="147">
        <v>0.3576388888888889</v>
      </c>
      <c r="S42" s="147">
        <v>0.375</v>
      </c>
      <c r="T42" s="138">
        <f t="shared" si="1"/>
        <v>2.430555555555558E-2</v>
      </c>
      <c r="U42" s="138">
        <f t="shared" si="2"/>
        <v>1.7361111111111105E-2</v>
      </c>
      <c r="V42" s="147">
        <v>0.38194444444444442</v>
      </c>
      <c r="W42" s="148">
        <f t="shared" si="3"/>
        <v>4.8611111111111105E-2</v>
      </c>
      <c r="X42" s="81"/>
    </row>
    <row r="43" spans="1:25" s="114" customFormat="1" x14ac:dyDescent="0.25">
      <c r="A43" s="140">
        <f t="shared" si="8"/>
        <v>1</v>
      </c>
      <c r="B43" s="157">
        <v>43834</v>
      </c>
      <c r="C43" s="157">
        <v>43834</v>
      </c>
      <c r="D43" s="229" t="s">
        <v>66</v>
      </c>
      <c r="E43" s="79">
        <v>1000448475</v>
      </c>
      <c r="F43" s="153">
        <v>540</v>
      </c>
      <c r="G43" s="137" t="s">
        <v>372</v>
      </c>
      <c r="H43" s="158" t="s">
        <v>375</v>
      </c>
      <c r="I43" s="79" t="s">
        <v>379</v>
      </c>
      <c r="J43" s="139" t="s">
        <v>19</v>
      </c>
      <c r="K43" s="139"/>
      <c r="L43" s="98" t="s">
        <v>55</v>
      </c>
      <c r="M43" s="98">
        <v>80</v>
      </c>
      <c r="N43" s="139" t="s">
        <v>51</v>
      </c>
      <c r="O43" s="139">
        <v>37</v>
      </c>
      <c r="P43" s="138">
        <v>0.45833333333333331</v>
      </c>
      <c r="Q43" s="147">
        <v>0.44097222222222227</v>
      </c>
      <c r="R43" s="147">
        <v>0.44791666666666669</v>
      </c>
      <c r="S43" s="147">
        <v>0.46527777777777773</v>
      </c>
      <c r="T43" s="138">
        <f t="shared" si="1"/>
        <v>6.9444444444444198E-3</v>
      </c>
      <c r="U43" s="138">
        <f t="shared" si="2"/>
        <v>1.7361111111111049E-2</v>
      </c>
      <c r="V43" s="147">
        <v>0.46875</v>
      </c>
      <c r="W43" s="148">
        <f t="shared" si="3"/>
        <v>2.7777777777777735E-2</v>
      </c>
      <c r="X43" s="81"/>
    </row>
    <row r="44" spans="1:25" s="192" customFormat="1" ht="16.5" thickBot="1" x14ac:dyDescent="0.3">
      <c r="A44" s="185">
        <f t="shared" si="8"/>
        <v>1</v>
      </c>
      <c r="B44" s="186">
        <v>43834</v>
      </c>
      <c r="C44" s="186">
        <v>43834</v>
      </c>
      <c r="D44" s="235" t="s">
        <v>66</v>
      </c>
      <c r="E44" s="172">
        <v>1000448729</v>
      </c>
      <c r="F44" s="187">
        <v>540</v>
      </c>
      <c r="G44" s="185" t="s">
        <v>373</v>
      </c>
      <c r="H44" s="188" t="s">
        <v>376</v>
      </c>
      <c r="I44" s="172" t="s">
        <v>381</v>
      </c>
      <c r="J44" s="189" t="s">
        <v>19</v>
      </c>
      <c r="K44" s="189"/>
      <c r="L44" s="172" t="s">
        <v>55</v>
      </c>
      <c r="M44" s="172">
        <v>80</v>
      </c>
      <c r="N44" s="189" t="s">
        <v>51</v>
      </c>
      <c r="O44" s="189">
        <v>34</v>
      </c>
      <c r="P44" s="190">
        <v>0.45833333333333331</v>
      </c>
      <c r="Q44" s="191">
        <v>0.4375</v>
      </c>
      <c r="R44" s="191">
        <v>0.44097222222222227</v>
      </c>
      <c r="S44" s="191">
        <v>0.46527777777777773</v>
      </c>
      <c r="T44" s="190">
        <f t="shared" si="1"/>
        <v>3.4722222222222654E-3</v>
      </c>
      <c r="U44" s="190">
        <f t="shared" si="2"/>
        <v>2.4305555555555469E-2</v>
      </c>
      <c r="V44" s="191">
        <v>0.46875</v>
      </c>
      <c r="W44" s="191">
        <f t="shared" si="3"/>
        <v>3.125E-2</v>
      </c>
      <c r="X44" s="174"/>
    </row>
    <row r="45" spans="1:25" s="218" customFormat="1" x14ac:dyDescent="0.25">
      <c r="A45" s="140">
        <v>2</v>
      </c>
      <c r="B45" s="157" t="s">
        <v>386</v>
      </c>
      <c r="C45" s="157" t="s">
        <v>386</v>
      </c>
      <c r="D45" s="100" t="s">
        <v>68</v>
      </c>
      <c r="E45" s="79"/>
      <c r="F45" s="153">
        <v>480</v>
      </c>
      <c r="G45" s="137" t="s">
        <v>53</v>
      </c>
      <c r="H45" s="158" t="s">
        <v>76</v>
      </c>
      <c r="I45" s="143" t="s">
        <v>54</v>
      </c>
      <c r="J45" s="139"/>
      <c r="K45" s="139"/>
      <c r="L45" s="98" t="s">
        <v>55</v>
      </c>
      <c r="M45" s="79"/>
      <c r="N45" s="139"/>
      <c r="O45" s="139">
        <v>12</v>
      </c>
      <c r="P45" s="138">
        <v>0.66666666666666663</v>
      </c>
      <c r="Q45" s="147">
        <v>0.70138888888888884</v>
      </c>
      <c r="R45" s="147">
        <v>0.71875</v>
      </c>
      <c r="S45" s="147">
        <v>0.72916666666666663</v>
      </c>
      <c r="T45" s="138">
        <f t="shared" si="1"/>
        <v>1.736111111111116E-2</v>
      </c>
      <c r="U45" s="138">
        <f t="shared" si="2"/>
        <v>1.041666666666663E-2</v>
      </c>
      <c r="V45" s="147">
        <v>0.73263888888888884</v>
      </c>
      <c r="W45" s="148">
        <f t="shared" si="3"/>
        <v>3.125E-2</v>
      </c>
      <c r="X45" s="81" t="s">
        <v>405</v>
      </c>
      <c r="Y45" s="217"/>
    </row>
    <row r="46" spans="1:25" s="113" customFormat="1" x14ac:dyDescent="0.25">
      <c r="A46" s="140">
        <v>2</v>
      </c>
      <c r="B46" s="157" t="s">
        <v>386</v>
      </c>
      <c r="C46" s="157" t="s">
        <v>410</v>
      </c>
      <c r="D46" s="229"/>
      <c r="E46" s="79"/>
      <c r="F46" s="153">
        <v>480</v>
      </c>
      <c r="G46" s="137" t="s">
        <v>56</v>
      </c>
      <c r="H46" s="158" t="s">
        <v>387</v>
      </c>
      <c r="I46" s="143" t="s">
        <v>58</v>
      </c>
      <c r="J46" s="139"/>
      <c r="K46" s="139"/>
      <c r="L46" s="98" t="s">
        <v>55</v>
      </c>
      <c r="M46" s="79"/>
      <c r="N46" s="139"/>
      <c r="O46" s="139">
        <v>33</v>
      </c>
      <c r="P46" s="138">
        <v>0.97916666666666663</v>
      </c>
      <c r="Q46" s="147">
        <v>0.44097222222222227</v>
      </c>
      <c r="R46" s="147"/>
      <c r="S46" s="147"/>
      <c r="T46" s="138">
        <f t="shared" si="1"/>
        <v>-0.44097222222222227</v>
      </c>
      <c r="U46" s="138">
        <f t="shared" si="2"/>
        <v>0</v>
      </c>
      <c r="V46" s="147"/>
      <c r="W46" s="148">
        <f t="shared" si="3"/>
        <v>-0.44097222222222227</v>
      </c>
      <c r="X46" s="81" t="s">
        <v>408</v>
      </c>
    </row>
    <row r="47" spans="1:25" s="218" customFormat="1" x14ac:dyDescent="0.25">
      <c r="A47" s="140">
        <v>2</v>
      </c>
      <c r="B47" s="157" t="s">
        <v>386</v>
      </c>
      <c r="C47" s="157" t="s">
        <v>386</v>
      </c>
      <c r="D47" s="100" t="s">
        <v>68</v>
      </c>
      <c r="E47" s="79"/>
      <c r="F47" s="153">
        <v>480</v>
      </c>
      <c r="G47" s="137" t="s">
        <v>59</v>
      </c>
      <c r="H47" s="158" t="s">
        <v>62</v>
      </c>
      <c r="I47" s="143" t="s">
        <v>60</v>
      </c>
      <c r="J47" s="139"/>
      <c r="K47" s="139"/>
      <c r="L47" s="98" t="s">
        <v>55</v>
      </c>
      <c r="M47" s="79"/>
      <c r="N47" s="139"/>
      <c r="O47" s="139">
        <v>7</v>
      </c>
      <c r="P47" s="138">
        <v>0.875</v>
      </c>
      <c r="Q47" s="147">
        <v>0.75347222222222221</v>
      </c>
      <c r="R47" s="147">
        <v>0.81944444444444453</v>
      </c>
      <c r="S47" s="147">
        <v>0.82986111111111116</v>
      </c>
      <c r="T47" s="138">
        <f t="shared" si="1"/>
        <v>6.5972222222222321E-2</v>
      </c>
      <c r="U47" s="138">
        <f t="shared" si="2"/>
        <v>1.041666666666663E-2</v>
      </c>
      <c r="V47" s="147">
        <v>0.83333333333333337</v>
      </c>
      <c r="W47" s="148">
        <f t="shared" si="3"/>
        <v>7.986111111111116E-2</v>
      </c>
      <c r="X47" s="81" t="s">
        <v>409</v>
      </c>
    </row>
    <row r="48" spans="1:25" s="218" customFormat="1" x14ac:dyDescent="0.25">
      <c r="A48" s="140">
        <v>2</v>
      </c>
      <c r="B48" s="157" t="s">
        <v>386</v>
      </c>
      <c r="C48" s="157" t="s">
        <v>386</v>
      </c>
      <c r="D48" s="100" t="s">
        <v>66</v>
      </c>
      <c r="E48" s="79"/>
      <c r="F48" s="153">
        <v>480</v>
      </c>
      <c r="G48" s="137" t="s">
        <v>61</v>
      </c>
      <c r="H48" s="158" t="s">
        <v>80</v>
      </c>
      <c r="I48" s="144" t="s">
        <v>63</v>
      </c>
      <c r="J48" s="139"/>
      <c r="K48" s="139"/>
      <c r="L48" s="98" t="s">
        <v>55</v>
      </c>
      <c r="M48" s="79"/>
      <c r="N48" s="139"/>
      <c r="O48" s="139">
        <v>6</v>
      </c>
      <c r="P48" s="138">
        <v>0.97916666666666663</v>
      </c>
      <c r="Q48" s="147">
        <v>0.72916666666666663</v>
      </c>
      <c r="R48" s="147">
        <v>0.73263888888888884</v>
      </c>
      <c r="S48" s="147">
        <v>0.73958333333333337</v>
      </c>
      <c r="T48" s="138">
        <f t="shared" si="1"/>
        <v>3.4722222222222099E-3</v>
      </c>
      <c r="U48" s="138">
        <f t="shared" si="2"/>
        <v>6.9444444444445308E-3</v>
      </c>
      <c r="V48" s="147">
        <v>0.74305555555555547</v>
      </c>
      <c r="W48" s="148">
        <f t="shared" si="3"/>
        <v>1.388888888888884E-2</v>
      </c>
      <c r="X48" s="81"/>
    </row>
    <row r="49" spans="1:25" s="113" customFormat="1" x14ac:dyDescent="0.25">
      <c r="A49" s="140">
        <v>2</v>
      </c>
      <c r="B49" s="157" t="s">
        <v>386</v>
      </c>
      <c r="C49" s="157" t="s">
        <v>410</v>
      </c>
      <c r="D49" s="100"/>
      <c r="E49" s="79"/>
      <c r="F49" s="153">
        <v>480</v>
      </c>
      <c r="G49" s="137" t="s">
        <v>64</v>
      </c>
      <c r="H49" s="158" t="s">
        <v>317</v>
      </c>
      <c r="I49" s="144" t="s">
        <v>355</v>
      </c>
      <c r="J49" s="139"/>
      <c r="K49" s="139"/>
      <c r="L49" s="98" t="s">
        <v>55</v>
      </c>
      <c r="M49" s="79"/>
      <c r="N49" s="139"/>
      <c r="O49" s="139">
        <v>14</v>
      </c>
      <c r="P49" s="138">
        <v>0.95833333333333337</v>
      </c>
      <c r="Q49" s="147">
        <v>0.42708333333333331</v>
      </c>
      <c r="R49" s="147">
        <v>0.46527777777777773</v>
      </c>
      <c r="S49" s="147">
        <v>0.47569444444444442</v>
      </c>
      <c r="T49" s="138">
        <f t="shared" si="1"/>
        <v>3.819444444444442E-2</v>
      </c>
      <c r="U49" s="138">
        <f t="shared" si="2"/>
        <v>1.0416666666666685E-2</v>
      </c>
      <c r="V49" s="147">
        <v>0.4861111111111111</v>
      </c>
      <c r="W49" s="148">
        <f>U49-T49</f>
        <v>-2.7777777777777735E-2</v>
      </c>
      <c r="X49" s="81" t="s">
        <v>408</v>
      </c>
    </row>
    <row r="50" spans="1:25" s="184" customFormat="1" ht="16.5" thickBot="1" x14ac:dyDescent="0.3">
      <c r="A50" s="185">
        <v>2</v>
      </c>
      <c r="B50" s="186" t="s">
        <v>386</v>
      </c>
      <c r="C50" s="186" t="s">
        <v>410</v>
      </c>
      <c r="D50" s="236"/>
      <c r="E50" s="172"/>
      <c r="F50" s="187">
        <v>480</v>
      </c>
      <c r="G50" s="185" t="s">
        <v>77</v>
      </c>
      <c r="H50" s="188" t="s">
        <v>80</v>
      </c>
      <c r="I50" s="221" t="s">
        <v>78</v>
      </c>
      <c r="J50" s="189"/>
      <c r="K50" s="189"/>
      <c r="L50" s="172" t="s">
        <v>55</v>
      </c>
      <c r="M50" s="172"/>
      <c r="N50" s="189"/>
      <c r="O50" s="189">
        <v>19</v>
      </c>
      <c r="P50" s="190">
        <v>0.70833333333333337</v>
      </c>
      <c r="Q50" s="191">
        <v>0.43055555555555558</v>
      </c>
      <c r="R50" s="191">
        <v>0.47916666666666669</v>
      </c>
      <c r="S50" s="191">
        <v>0.49652777777777773</v>
      </c>
      <c r="T50" s="190">
        <f t="shared" si="1"/>
        <v>4.8611111111111105E-2</v>
      </c>
      <c r="U50" s="190">
        <f t="shared" si="2"/>
        <v>1.7361111111111049E-2</v>
      </c>
      <c r="V50" s="191">
        <v>0.50694444444444442</v>
      </c>
      <c r="W50" s="191">
        <f>U50-T50</f>
        <v>-3.1250000000000056E-2</v>
      </c>
      <c r="X50" s="174" t="s">
        <v>408</v>
      </c>
      <c r="Y50" s="183"/>
    </row>
    <row r="51" spans="1:25" s="134" customFormat="1" x14ac:dyDescent="0.25">
      <c r="A51" s="140">
        <f t="shared" si="8"/>
        <v>2</v>
      </c>
      <c r="B51" s="157">
        <v>43838</v>
      </c>
      <c r="C51" s="157">
        <v>43838</v>
      </c>
      <c r="D51" s="100" t="s">
        <v>68</v>
      </c>
      <c r="E51" s="98"/>
      <c r="F51" s="177">
        <v>480</v>
      </c>
      <c r="G51" s="140" t="s">
        <v>53</v>
      </c>
      <c r="H51" s="178" t="s">
        <v>65</v>
      </c>
      <c r="I51" s="143" t="s">
        <v>54</v>
      </c>
      <c r="J51" s="142"/>
      <c r="K51" s="142"/>
      <c r="L51" s="98" t="s">
        <v>55</v>
      </c>
      <c r="M51" s="98"/>
      <c r="N51" s="142"/>
      <c r="O51" s="142">
        <v>26</v>
      </c>
      <c r="P51" s="239">
        <v>0.6875</v>
      </c>
      <c r="Q51" s="148">
        <v>0.70138888888888884</v>
      </c>
      <c r="R51" s="148">
        <v>0.70833333333333337</v>
      </c>
      <c r="S51" s="148">
        <v>0.72222222222222221</v>
      </c>
      <c r="T51" s="179">
        <f t="shared" si="1"/>
        <v>6.9444444444445308E-3</v>
      </c>
      <c r="U51" s="179">
        <f t="shared" si="2"/>
        <v>1.388888888888884E-2</v>
      </c>
      <c r="V51" s="148">
        <v>0.72569444444444453</v>
      </c>
      <c r="W51" s="148">
        <f>U51-T51</f>
        <v>6.9444444444443088E-3</v>
      </c>
      <c r="X51" s="96"/>
    </row>
    <row r="52" spans="1:25" s="113" customFormat="1" x14ac:dyDescent="0.25">
      <c r="A52" s="140">
        <f t="shared" si="8"/>
        <v>2</v>
      </c>
      <c r="B52" s="157">
        <v>43838</v>
      </c>
      <c r="C52" s="157">
        <v>43838</v>
      </c>
      <c r="D52" s="100" t="s">
        <v>66</v>
      </c>
      <c r="E52" s="79"/>
      <c r="F52" s="153">
        <v>480</v>
      </c>
      <c r="G52" s="137" t="s">
        <v>56</v>
      </c>
      <c r="H52" s="158" t="s">
        <v>62</v>
      </c>
      <c r="I52" s="143" t="s">
        <v>58</v>
      </c>
      <c r="J52" s="139"/>
      <c r="K52" s="139"/>
      <c r="L52" s="98" t="s">
        <v>55</v>
      </c>
      <c r="M52" s="79"/>
      <c r="N52" s="139"/>
      <c r="O52" s="139">
        <v>25</v>
      </c>
      <c r="P52" s="138">
        <v>0.70833333333333337</v>
      </c>
      <c r="Q52" s="147">
        <v>0.70486111111111116</v>
      </c>
      <c r="R52" s="147">
        <v>0.71180555555555547</v>
      </c>
      <c r="S52" s="147">
        <v>0.72569444444444453</v>
      </c>
      <c r="T52" s="138">
        <f t="shared" si="1"/>
        <v>6.9444444444443088E-3</v>
      </c>
      <c r="U52" s="138">
        <f t="shared" si="2"/>
        <v>1.3888888888889062E-2</v>
      </c>
      <c r="V52" s="147">
        <v>0.72916666666666663</v>
      </c>
      <c r="W52" s="148">
        <f t="shared" si="3"/>
        <v>2.4305555555555469E-2</v>
      </c>
      <c r="X52" s="81"/>
    </row>
    <row r="53" spans="1:25" s="113" customFormat="1" x14ac:dyDescent="0.25">
      <c r="A53" s="140">
        <f t="shared" si="8"/>
        <v>2</v>
      </c>
      <c r="B53" s="157">
        <v>43838</v>
      </c>
      <c r="C53" s="157">
        <v>43838</v>
      </c>
      <c r="D53" s="100" t="s">
        <v>66</v>
      </c>
      <c r="E53" s="79"/>
      <c r="F53" s="153">
        <v>480</v>
      </c>
      <c r="G53" s="137" t="s">
        <v>59</v>
      </c>
      <c r="H53" s="158" t="s">
        <v>330</v>
      </c>
      <c r="I53" s="144" t="s">
        <v>63</v>
      </c>
      <c r="J53" s="139"/>
      <c r="K53" s="139"/>
      <c r="L53" s="98" t="s">
        <v>55</v>
      </c>
      <c r="M53" s="79"/>
      <c r="N53" s="139"/>
      <c r="O53" s="139">
        <v>25</v>
      </c>
      <c r="P53" s="237">
        <v>0.79166666666666663</v>
      </c>
      <c r="Q53" s="147">
        <v>0.80208333333333337</v>
      </c>
      <c r="R53" s="147">
        <v>0.80555555555555547</v>
      </c>
      <c r="S53" s="147">
        <v>0.81597222222222221</v>
      </c>
      <c r="T53" s="138">
        <f t="shared" si="1"/>
        <v>3.4722222222220989E-3</v>
      </c>
      <c r="U53" s="138">
        <f t="shared" si="2"/>
        <v>1.0416666666666741E-2</v>
      </c>
      <c r="V53" s="147">
        <v>0.81944444444444453</v>
      </c>
      <c r="W53" s="148">
        <f t="shared" si="3"/>
        <v>1.736111111111116E-2</v>
      </c>
      <c r="X53" s="81"/>
    </row>
    <row r="54" spans="1:25" s="113" customFormat="1" x14ac:dyDescent="0.25">
      <c r="A54" s="140">
        <f t="shared" si="8"/>
        <v>2</v>
      </c>
      <c r="B54" s="157">
        <v>43838</v>
      </c>
      <c r="C54" s="157">
        <v>43838</v>
      </c>
      <c r="D54" s="100" t="s">
        <v>68</v>
      </c>
      <c r="E54" s="79"/>
      <c r="F54" s="153">
        <v>480</v>
      </c>
      <c r="G54" s="137" t="s">
        <v>61</v>
      </c>
      <c r="H54" s="158" t="s">
        <v>317</v>
      </c>
      <c r="I54" s="144" t="s">
        <v>355</v>
      </c>
      <c r="J54" s="139"/>
      <c r="K54" s="139"/>
      <c r="L54" s="98" t="s">
        <v>55</v>
      </c>
      <c r="M54" s="79"/>
      <c r="N54" s="139"/>
      <c r="O54" s="139">
        <v>37</v>
      </c>
      <c r="P54" s="138">
        <v>0.79166666666666663</v>
      </c>
      <c r="Q54" s="147">
        <v>0.72569444444444453</v>
      </c>
      <c r="R54" s="147">
        <v>0.73611111111111116</v>
      </c>
      <c r="S54" s="147">
        <v>0.76388888888888884</v>
      </c>
      <c r="T54" s="138">
        <f t="shared" si="1"/>
        <v>1.041666666666663E-2</v>
      </c>
      <c r="U54" s="138">
        <f t="shared" si="2"/>
        <v>2.7777777777777679E-2</v>
      </c>
      <c r="V54" s="147">
        <v>0.76736111111111116</v>
      </c>
      <c r="W54" s="148">
        <f t="shared" si="3"/>
        <v>4.166666666666663E-2</v>
      </c>
      <c r="X54" s="81"/>
    </row>
    <row r="55" spans="1:25" s="113" customFormat="1" x14ac:dyDescent="0.25">
      <c r="A55" s="140">
        <f t="shared" si="8"/>
        <v>2</v>
      </c>
      <c r="B55" s="157">
        <v>43838</v>
      </c>
      <c r="C55" s="157">
        <v>43838</v>
      </c>
      <c r="D55" s="100" t="s">
        <v>68</v>
      </c>
      <c r="E55" s="79"/>
      <c r="F55" s="153">
        <v>480</v>
      </c>
      <c r="G55" s="137" t="s">
        <v>64</v>
      </c>
      <c r="H55" s="158" t="s">
        <v>80</v>
      </c>
      <c r="I55" s="144" t="s">
        <v>78</v>
      </c>
      <c r="J55" s="139"/>
      <c r="K55" s="139"/>
      <c r="L55" s="98" t="s">
        <v>55</v>
      </c>
      <c r="M55" s="79"/>
      <c r="N55" s="139"/>
      <c r="O55" s="139">
        <v>15</v>
      </c>
      <c r="P55" s="138">
        <v>0.83333333333333337</v>
      </c>
      <c r="Q55" s="147">
        <v>0.76736111111111116</v>
      </c>
      <c r="R55" s="147">
        <v>0.77083333333333337</v>
      </c>
      <c r="S55" s="147">
        <v>0.77777777777777779</v>
      </c>
      <c r="T55" s="138">
        <f t="shared" si="1"/>
        <v>3.4722222222222099E-3</v>
      </c>
      <c r="U55" s="138">
        <f t="shared" si="2"/>
        <v>6.9444444444444198E-3</v>
      </c>
      <c r="V55" s="147">
        <v>0.78125</v>
      </c>
      <c r="W55" s="148">
        <f t="shared" si="3"/>
        <v>1.388888888888884E-2</v>
      </c>
      <c r="X55" s="81"/>
    </row>
    <row r="56" spans="1:25" s="114" customFormat="1" x14ac:dyDescent="0.25">
      <c r="A56" s="140">
        <f t="shared" si="8"/>
        <v>2</v>
      </c>
      <c r="B56" s="157">
        <v>43838</v>
      </c>
      <c r="C56" s="157">
        <v>43838</v>
      </c>
      <c r="D56" s="100" t="s">
        <v>68</v>
      </c>
      <c r="E56" s="79">
        <v>1000450035</v>
      </c>
      <c r="F56" s="153">
        <v>420</v>
      </c>
      <c r="G56" s="137" t="s">
        <v>67</v>
      </c>
      <c r="H56" s="158" t="s">
        <v>399</v>
      </c>
      <c r="I56" s="79" t="s">
        <v>414</v>
      </c>
      <c r="J56" s="139" t="s">
        <v>19</v>
      </c>
      <c r="K56" s="139"/>
      <c r="L56" s="98" t="s">
        <v>55</v>
      </c>
      <c r="M56" s="98">
        <v>80</v>
      </c>
      <c r="N56" s="139" t="s">
        <v>51</v>
      </c>
      <c r="O56" s="139">
        <v>39</v>
      </c>
      <c r="P56" s="138">
        <v>0.41666666666666669</v>
      </c>
      <c r="Q56" s="147">
        <v>0.34722222222222227</v>
      </c>
      <c r="R56" s="147">
        <v>0.4375</v>
      </c>
      <c r="S56" s="147">
        <v>0.45833333333333331</v>
      </c>
      <c r="T56" s="138">
        <f t="shared" si="1"/>
        <v>9.0277777777777735E-2</v>
      </c>
      <c r="U56" s="138">
        <f t="shared" si="2"/>
        <v>2.0833333333333315E-2</v>
      </c>
      <c r="V56" s="147">
        <v>0.46527777777777773</v>
      </c>
      <c r="W56" s="148">
        <f t="shared" si="3"/>
        <v>0.11805555555555547</v>
      </c>
      <c r="X56" s="81"/>
    </row>
    <row r="57" spans="1:25" s="114" customFormat="1" x14ac:dyDescent="0.25">
      <c r="A57" s="140">
        <f t="shared" si="8"/>
        <v>2</v>
      </c>
      <c r="B57" s="157">
        <v>43838</v>
      </c>
      <c r="C57" s="157">
        <v>43838</v>
      </c>
      <c r="D57" s="100" t="s">
        <v>337</v>
      </c>
      <c r="E57" s="79">
        <v>1000450037</v>
      </c>
      <c r="F57" s="153">
        <v>300</v>
      </c>
      <c r="G57" s="137" t="s">
        <v>71</v>
      </c>
      <c r="H57" s="158" t="s">
        <v>400</v>
      </c>
      <c r="I57" s="79" t="s">
        <v>395</v>
      </c>
      <c r="J57" s="139" t="s">
        <v>19</v>
      </c>
      <c r="K57" s="139"/>
      <c r="L57" s="98" t="s">
        <v>55</v>
      </c>
      <c r="M57" s="98">
        <v>80</v>
      </c>
      <c r="N57" s="139" t="s">
        <v>51</v>
      </c>
      <c r="O57" s="139">
        <v>37</v>
      </c>
      <c r="P57" s="138">
        <v>0.45833333333333331</v>
      </c>
      <c r="Q57" s="147">
        <v>0.42708333333333331</v>
      </c>
      <c r="R57" s="147">
        <v>0.54166666666666663</v>
      </c>
      <c r="S57" s="147">
        <v>0.5625</v>
      </c>
      <c r="T57" s="138">
        <f t="shared" si="1"/>
        <v>0.11458333333333331</v>
      </c>
      <c r="U57" s="138">
        <f t="shared" si="2"/>
        <v>2.083333333333337E-2</v>
      </c>
      <c r="V57" s="147">
        <v>0.56597222222222221</v>
      </c>
      <c r="W57" s="148">
        <f t="shared" si="3"/>
        <v>0.1388888888888889</v>
      </c>
      <c r="X57" s="81"/>
    </row>
    <row r="58" spans="1:25" s="114" customFormat="1" x14ac:dyDescent="0.25">
      <c r="A58" s="140">
        <f t="shared" si="8"/>
        <v>2</v>
      </c>
      <c r="B58" s="157">
        <v>43838</v>
      </c>
      <c r="C58" s="157">
        <v>43838</v>
      </c>
      <c r="D58" s="100" t="s">
        <v>66</v>
      </c>
      <c r="E58" s="79">
        <v>1000450042</v>
      </c>
      <c r="F58" s="153">
        <v>240</v>
      </c>
      <c r="G58" s="137" t="s">
        <v>70</v>
      </c>
      <c r="H58" s="158" t="s">
        <v>346</v>
      </c>
      <c r="I58" s="79" t="s">
        <v>406</v>
      </c>
      <c r="J58" s="139" t="s">
        <v>19</v>
      </c>
      <c r="K58" s="139"/>
      <c r="L58" s="98" t="s">
        <v>55</v>
      </c>
      <c r="M58" s="98">
        <v>80</v>
      </c>
      <c r="N58" s="139" t="s">
        <v>51</v>
      </c>
      <c r="O58" s="139">
        <v>42</v>
      </c>
      <c r="P58" s="138">
        <v>0.45833333333333331</v>
      </c>
      <c r="Q58" s="147">
        <v>0.46180555555555558</v>
      </c>
      <c r="R58" s="147">
        <v>0.59027777777777779</v>
      </c>
      <c r="S58" s="147">
        <v>0.60763888888888895</v>
      </c>
      <c r="T58" s="138">
        <f t="shared" si="1"/>
        <v>0.12847222222222221</v>
      </c>
      <c r="U58" s="138">
        <f t="shared" si="2"/>
        <v>1.736111111111116E-2</v>
      </c>
      <c r="V58" s="147">
        <v>0.61111111111111105</v>
      </c>
      <c r="W58" s="148">
        <f t="shared" si="3"/>
        <v>0.14930555555555547</v>
      </c>
      <c r="X58" s="81"/>
    </row>
    <row r="59" spans="1:25" s="114" customFormat="1" x14ac:dyDescent="0.25">
      <c r="A59" s="140">
        <f t="shared" si="8"/>
        <v>2</v>
      </c>
      <c r="B59" s="157">
        <v>43838</v>
      </c>
      <c r="C59" s="157">
        <v>43838</v>
      </c>
      <c r="D59" s="100" t="s">
        <v>66</v>
      </c>
      <c r="E59" s="79">
        <v>1000450052</v>
      </c>
      <c r="F59" s="153">
        <v>480</v>
      </c>
      <c r="G59" s="137" t="s">
        <v>73</v>
      </c>
      <c r="H59" s="158" t="s">
        <v>401</v>
      </c>
      <c r="I59" s="79" t="s">
        <v>398</v>
      </c>
      <c r="J59" s="139" t="s">
        <v>19</v>
      </c>
      <c r="K59" s="139"/>
      <c r="L59" s="98" t="s">
        <v>55</v>
      </c>
      <c r="M59" s="98">
        <v>80</v>
      </c>
      <c r="N59" s="139" t="s">
        <v>51</v>
      </c>
      <c r="O59" s="139">
        <v>40</v>
      </c>
      <c r="P59" s="138">
        <v>0.5</v>
      </c>
      <c r="Q59" s="147">
        <v>0.48958333333333331</v>
      </c>
      <c r="R59" s="147">
        <v>0.59722222222222221</v>
      </c>
      <c r="S59" s="147">
        <v>0.61111111111111105</v>
      </c>
      <c r="T59" s="138">
        <f t="shared" si="1"/>
        <v>0.1076388888888889</v>
      </c>
      <c r="U59" s="138">
        <f t="shared" si="2"/>
        <v>1.388888888888884E-2</v>
      </c>
      <c r="V59" s="147">
        <v>0.62152777777777779</v>
      </c>
      <c r="W59" s="148">
        <f t="shared" si="3"/>
        <v>0.13194444444444448</v>
      </c>
      <c r="X59" s="81"/>
    </row>
    <row r="60" spans="1:25" s="114" customFormat="1" x14ac:dyDescent="0.25">
      <c r="A60" s="140">
        <f t="shared" si="8"/>
        <v>2</v>
      </c>
      <c r="B60" s="157">
        <v>43838</v>
      </c>
      <c r="C60" s="157">
        <v>43838</v>
      </c>
      <c r="D60" s="100" t="s">
        <v>68</v>
      </c>
      <c r="E60" s="79">
        <v>1000450044</v>
      </c>
      <c r="F60" s="153">
        <v>540</v>
      </c>
      <c r="G60" s="137" t="s">
        <v>72</v>
      </c>
      <c r="H60" s="158" t="s">
        <v>402</v>
      </c>
      <c r="I60" s="79" t="s">
        <v>404</v>
      </c>
      <c r="J60" s="139" t="s">
        <v>19</v>
      </c>
      <c r="K60" s="139"/>
      <c r="L60" s="98" t="s">
        <v>55</v>
      </c>
      <c r="M60" s="98">
        <v>80</v>
      </c>
      <c r="N60" s="139" t="s">
        <v>51</v>
      </c>
      <c r="O60" s="139">
        <v>41</v>
      </c>
      <c r="P60" s="138">
        <v>0.5</v>
      </c>
      <c r="Q60" s="147">
        <v>0.44444444444444442</v>
      </c>
      <c r="R60" s="147">
        <v>0.5625</v>
      </c>
      <c r="S60" s="147">
        <v>0.57986111111111105</v>
      </c>
      <c r="T60" s="138">
        <f t="shared" si="1"/>
        <v>0.11805555555555558</v>
      </c>
      <c r="U60" s="138">
        <f t="shared" si="2"/>
        <v>1.7361111111111049E-2</v>
      </c>
      <c r="V60" s="147">
        <v>0.54166666666666663</v>
      </c>
      <c r="W60" s="148">
        <f t="shared" si="3"/>
        <v>9.722222222222221E-2</v>
      </c>
      <c r="X60" s="81"/>
    </row>
    <row r="61" spans="1:25" s="192" customFormat="1" ht="16.5" thickBot="1" x14ac:dyDescent="0.3">
      <c r="A61" s="185">
        <f t="shared" si="8"/>
        <v>2</v>
      </c>
      <c r="B61" s="186">
        <v>43838</v>
      </c>
      <c r="C61" s="186">
        <v>43838</v>
      </c>
      <c r="D61" s="236" t="s">
        <v>68</v>
      </c>
      <c r="E61" s="172">
        <v>1000450058</v>
      </c>
      <c r="F61" s="187">
        <v>180</v>
      </c>
      <c r="G61" s="185" t="s">
        <v>74</v>
      </c>
      <c r="H61" s="188" t="s">
        <v>403</v>
      </c>
      <c r="I61" s="172" t="s">
        <v>407</v>
      </c>
      <c r="J61" s="189" t="s">
        <v>19</v>
      </c>
      <c r="K61" s="189"/>
      <c r="L61" s="172" t="s">
        <v>55</v>
      </c>
      <c r="M61" s="172">
        <v>80</v>
      </c>
      <c r="N61" s="189" t="s">
        <v>51</v>
      </c>
      <c r="O61" s="189">
        <v>41</v>
      </c>
      <c r="P61" s="190">
        <v>0.54166666666666663</v>
      </c>
      <c r="Q61" s="191">
        <v>0.58680555555555558</v>
      </c>
      <c r="R61" s="191">
        <v>0.60069444444444442</v>
      </c>
      <c r="S61" s="191">
        <v>0.63194444444444442</v>
      </c>
      <c r="T61" s="190">
        <f t="shared" si="1"/>
        <v>1.388888888888884E-2</v>
      </c>
      <c r="U61" s="190">
        <f t="shared" si="2"/>
        <v>3.125E-2</v>
      </c>
      <c r="V61" s="191">
        <v>0.64236111111111105</v>
      </c>
      <c r="W61" s="191">
        <f>U61-T61</f>
        <v>1.736111111111116E-2</v>
      </c>
      <c r="X61" s="174"/>
    </row>
    <row r="62" spans="1:25" s="134" customFormat="1" x14ac:dyDescent="0.25">
      <c r="A62" s="140">
        <f t="shared" si="8"/>
        <v>2</v>
      </c>
      <c r="B62" s="157">
        <v>43839</v>
      </c>
      <c r="C62" s="157">
        <v>43839</v>
      </c>
      <c r="D62" s="100" t="s">
        <v>68</v>
      </c>
      <c r="E62" s="98"/>
      <c r="F62" s="177">
        <v>480</v>
      </c>
      <c r="G62" s="140" t="s">
        <v>53</v>
      </c>
      <c r="H62" s="158" t="s">
        <v>387</v>
      </c>
      <c r="I62" s="143" t="s">
        <v>54</v>
      </c>
      <c r="J62" s="142"/>
      <c r="K62" s="142"/>
      <c r="L62" s="98" t="s">
        <v>55</v>
      </c>
      <c r="M62" s="98"/>
      <c r="N62" s="142"/>
      <c r="O62" s="142">
        <v>20</v>
      </c>
      <c r="P62" s="80">
        <v>0.66666666666666663</v>
      </c>
      <c r="Q62" s="148">
        <v>0.76388888888888884</v>
      </c>
      <c r="R62" s="148">
        <v>0.77083333333333337</v>
      </c>
      <c r="S62" s="148">
        <v>0.78472222222222221</v>
      </c>
      <c r="T62" s="179">
        <f t="shared" si="1"/>
        <v>6.9444444444445308E-3</v>
      </c>
      <c r="U62" s="179">
        <f t="shared" si="2"/>
        <v>1.388888888888884E-2</v>
      </c>
      <c r="V62" s="148">
        <v>0.78819444444444453</v>
      </c>
      <c r="W62" s="148">
        <f>U62-T62</f>
        <v>6.9444444444443088E-3</v>
      </c>
      <c r="X62" s="96"/>
    </row>
    <row r="63" spans="1:25" s="113" customFormat="1" x14ac:dyDescent="0.25">
      <c r="A63" s="140">
        <f t="shared" si="8"/>
        <v>2</v>
      </c>
      <c r="B63" s="157">
        <v>43839</v>
      </c>
      <c r="C63" s="157">
        <v>43839</v>
      </c>
      <c r="D63" s="100" t="s">
        <v>66</v>
      </c>
      <c r="E63" s="79"/>
      <c r="F63" s="153">
        <v>480</v>
      </c>
      <c r="G63" s="137" t="s">
        <v>56</v>
      </c>
      <c r="H63" s="158" t="s">
        <v>62</v>
      </c>
      <c r="I63" s="143" t="s">
        <v>58</v>
      </c>
      <c r="J63" s="139"/>
      <c r="K63" s="139"/>
      <c r="L63" s="98" t="s">
        <v>55</v>
      </c>
      <c r="M63" s="79"/>
      <c r="N63" s="139"/>
      <c r="O63" s="139">
        <v>25</v>
      </c>
      <c r="P63" s="80">
        <v>0.70833333333333337</v>
      </c>
      <c r="Q63" s="147">
        <v>0.70486111111111116</v>
      </c>
      <c r="R63" s="147">
        <v>0.71875</v>
      </c>
      <c r="S63" s="147">
        <v>0.73263888888888884</v>
      </c>
      <c r="T63" s="138">
        <f t="shared" si="1"/>
        <v>1.388888888888884E-2</v>
      </c>
      <c r="U63" s="138">
        <f t="shared" si="2"/>
        <v>1.388888888888884E-2</v>
      </c>
      <c r="V63" s="147">
        <v>0.73611111111111116</v>
      </c>
      <c r="W63" s="148">
        <f>U63-T63</f>
        <v>0</v>
      </c>
      <c r="X63" s="81"/>
    </row>
    <row r="64" spans="1:25" s="113" customFormat="1" x14ac:dyDescent="0.25">
      <c r="A64" s="140">
        <f t="shared" si="8"/>
        <v>2</v>
      </c>
      <c r="B64" s="157">
        <v>43839</v>
      </c>
      <c r="C64" s="157">
        <v>43839</v>
      </c>
      <c r="D64" s="100" t="s">
        <v>68</v>
      </c>
      <c r="E64" s="79"/>
      <c r="F64" s="153">
        <v>480</v>
      </c>
      <c r="G64" s="137" t="s">
        <v>59</v>
      </c>
      <c r="H64" s="158" t="s">
        <v>330</v>
      </c>
      <c r="I64" s="143" t="s">
        <v>60</v>
      </c>
      <c r="J64" s="139"/>
      <c r="K64" s="139"/>
      <c r="L64" s="98" t="s">
        <v>55</v>
      </c>
      <c r="M64" s="79"/>
      <c r="N64" s="139"/>
      <c r="O64" s="139">
        <v>15</v>
      </c>
      <c r="P64" s="80">
        <v>0.70833333333333337</v>
      </c>
      <c r="Q64" s="147">
        <v>0.67708333333333337</v>
      </c>
      <c r="R64" s="147">
        <v>0.69444444444444453</v>
      </c>
      <c r="S64" s="147">
        <v>0.70833333333333337</v>
      </c>
      <c r="T64" s="138">
        <f t="shared" si="1"/>
        <v>1.736111111111116E-2</v>
      </c>
      <c r="U64" s="138">
        <f t="shared" si="2"/>
        <v>1.388888888888884E-2</v>
      </c>
      <c r="V64" s="147">
        <v>0.71180555555555547</v>
      </c>
      <c r="W64" s="148">
        <f t="shared" si="3"/>
        <v>3.4722222222222099E-2</v>
      </c>
      <c r="X64" s="81"/>
    </row>
    <row r="65" spans="1:24" s="113" customFormat="1" x14ac:dyDescent="0.25">
      <c r="A65" s="140">
        <f t="shared" si="8"/>
        <v>2</v>
      </c>
      <c r="B65" s="157">
        <v>43839</v>
      </c>
      <c r="C65" s="157">
        <v>43839</v>
      </c>
      <c r="D65" s="100" t="s">
        <v>68</v>
      </c>
      <c r="E65" s="79"/>
      <c r="F65" s="153">
        <v>480</v>
      </c>
      <c r="G65" s="137" t="s">
        <v>61</v>
      </c>
      <c r="H65" s="178" t="s">
        <v>65</v>
      </c>
      <c r="I65" s="144" t="s">
        <v>63</v>
      </c>
      <c r="J65" s="139"/>
      <c r="K65" s="139"/>
      <c r="L65" s="98" t="s">
        <v>55</v>
      </c>
      <c r="M65" s="79"/>
      <c r="N65" s="139"/>
      <c r="O65" s="139">
        <v>29</v>
      </c>
      <c r="P65" s="80">
        <v>0.75</v>
      </c>
      <c r="Q65" s="147">
        <v>0.78125</v>
      </c>
      <c r="R65" s="147">
        <v>0.78472222222222221</v>
      </c>
      <c r="S65" s="147">
        <v>0.79861111111111116</v>
      </c>
      <c r="T65" s="138">
        <f t="shared" si="1"/>
        <v>3.4722222222222099E-3</v>
      </c>
      <c r="U65" s="138">
        <f t="shared" si="2"/>
        <v>1.3888888888888951E-2</v>
      </c>
      <c r="V65" s="147">
        <v>0.80208333333333337</v>
      </c>
      <c r="W65" s="148">
        <f t="shared" si="3"/>
        <v>2.083333333333337E-2</v>
      </c>
      <c r="X65" s="81"/>
    </row>
    <row r="66" spans="1:24" s="113" customFormat="1" x14ac:dyDescent="0.25">
      <c r="A66" s="140">
        <f t="shared" si="8"/>
        <v>2</v>
      </c>
      <c r="B66" s="157">
        <v>43839</v>
      </c>
      <c r="C66" s="157">
        <v>43839</v>
      </c>
      <c r="D66" s="100" t="s">
        <v>68</v>
      </c>
      <c r="E66" s="79"/>
      <c r="F66" s="242">
        <v>480</v>
      </c>
      <c r="G66" s="137" t="s">
        <v>64</v>
      </c>
      <c r="H66" s="158" t="s">
        <v>317</v>
      </c>
      <c r="I66" s="144" t="s">
        <v>355</v>
      </c>
      <c r="J66" s="139"/>
      <c r="K66" s="139"/>
      <c r="L66" s="98" t="s">
        <v>55</v>
      </c>
      <c r="M66" s="79"/>
      <c r="N66" s="139"/>
      <c r="O66" s="139">
        <v>25</v>
      </c>
      <c r="P66" s="80">
        <v>0.79166666666666663</v>
      </c>
      <c r="Q66" s="147">
        <v>0.64583333333333337</v>
      </c>
      <c r="R66" s="147">
        <v>0.73611111111111116</v>
      </c>
      <c r="S66" s="147">
        <v>0.75694444444444453</v>
      </c>
      <c r="T66" s="138">
        <f t="shared" si="1"/>
        <v>9.027777777777779E-2</v>
      </c>
      <c r="U66" s="138">
        <f t="shared" si="2"/>
        <v>2.083333333333337E-2</v>
      </c>
      <c r="V66" s="147">
        <v>0.76041666666666663</v>
      </c>
      <c r="W66" s="148">
        <f t="shared" si="3"/>
        <v>0.11458333333333326</v>
      </c>
      <c r="X66" s="81"/>
    </row>
    <row r="67" spans="1:24" s="184" customFormat="1" ht="16.5" thickBot="1" x14ac:dyDescent="0.3">
      <c r="A67" s="185">
        <f t="shared" si="8"/>
        <v>2</v>
      </c>
      <c r="B67" s="186">
        <v>43839</v>
      </c>
      <c r="C67" s="186">
        <v>43839</v>
      </c>
      <c r="D67" s="243" t="s">
        <v>68</v>
      </c>
      <c r="E67" s="172"/>
      <c r="F67" s="187">
        <v>480</v>
      </c>
      <c r="G67" s="185" t="s">
        <v>77</v>
      </c>
      <c r="H67" s="240" t="s">
        <v>80</v>
      </c>
      <c r="I67" s="221" t="s">
        <v>78</v>
      </c>
      <c r="J67" s="189"/>
      <c r="K67" s="189"/>
      <c r="L67" s="172" t="s">
        <v>55</v>
      </c>
      <c r="M67" s="172"/>
      <c r="N67" s="189"/>
      <c r="O67" s="189">
        <v>11</v>
      </c>
      <c r="P67" s="173">
        <v>0.83333333333333337</v>
      </c>
      <c r="Q67" s="191">
        <v>0.79513888888888884</v>
      </c>
      <c r="R67" s="191">
        <v>0.79861111111111116</v>
      </c>
      <c r="S67" s="191">
        <v>0.80555555555555547</v>
      </c>
      <c r="T67" s="190">
        <f t="shared" si="1"/>
        <v>3.4722222222223209E-3</v>
      </c>
      <c r="U67" s="190">
        <f t="shared" si="2"/>
        <v>6.9444444444443088E-3</v>
      </c>
      <c r="V67" s="191">
        <v>0.80902777777777779</v>
      </c>
      <c r="W67" s="191">
        <f t="shared" si="3"/>
        <v>1.3888888888888951E-2</v>
      </c>
      <c r="X67" s="174"/>
    </row>
    <row r="68" spans="1:24" s="134" customFormat="1" x14ac:dyDescent="0.25">
      <c r="A68" s="140">
        <f t="shared" ref="A68:A84" si="9">WEEKNUM(B68,21)</f>
        <v>2</v>
      </c>
      <c r="B68" s="157">
        <v>43840</v>
      </c>
      <c r="C68" s="157">
        <v>43840</v>
      </c>
      <c r="D68" s="100" t="s">
        <v>66</v>
      </c>
      <c r="E68" s="98"/>
      <c r="F68" s="177">
        <v>600</v>
      </c>
      <c r="G68" s="140" t="s">
        <v>53</v>
      </c>
      <c r="H68" s="158" t="s">
        <v>387</v>
      </c>
      <c r="I68" s="143" t="s">
        <v>54</v>
      </c>
      <c r="J68" s="142"/>
      <c r="K68" s="142"/>
      <c r="L68" s="98" t="s">
        <v>55</v>
      </c>
      <c r="M68" s="98"/>
      <c r="N68" s="142"/>
      <c r="O68" s="142">
        <v>19</v>
      </c>
      <c r="P68" s="80">
        <v>0.66666666666666663</v>
      </c>
      <c r="Q68" s="148">
        <v>0.65625</v>
      </c>
      <c r="R68" s="148">
        <v>0.66666666666666663</v>
      </c>
      <c r="S68" s="148">
        <v>0.67708333333333337</v>
      </c>
      <c r="T68" s="179">
        <f>R68-Q68</f>
        <v>1.041666666666663E-2</v>
      </c>
      <c r="U68" s="179">
        <f>S68-R68</f>
        <v>1.0416666666666741E-2</v>
      </c>
      <c r="V68" s="148">
        <v>0.68055555555555547</v>
      </c>
      <c r="W68" s="148">
        <f t="shared" si="3"/>
        <v>2.4305555555555469E-2</v>
      </c>
      <c r="X68" s="96"/>
    </row>
    <row r="69" spans="1:24" s="113" customFormat="1" x14ac:dyDescent="0.25">
      <c r="A69" s="140">
        <f t="shared" si="9"/>
        <v>2</v>
      </c>
      <c r="B69" s="157">
        <v>43840</v>
      </c>
      <c r="C69" s="157">
        <v>43840</v>
      </c>
      <c r="D69" s="100" t="s">
        <v>361</v>
      </c>
      <c r="E69" s="79"/>
      <c r="F69" s="153">
        <v>600</v>
      </c>
      <c r="G69" s="137" t="s">
        <v>56</v>
      </c>
      <c r="H69" s="158" t="s">
        <v>62</v>
      </c>
      <c r="I69" s="143" t="s">
        <v>58</v>
      </c>
      <c r="J69" s="139"/>
      <c r="K69" s="139"/>
      <c r="L69" s="98" t="s">
        <v>55</v>
      </c>
      <c r="M69" s="79"/>
      <c r="N69" s="139"/>
      <c r="O69" s="139">
        <v>18</v>
      </c>
      <c r="P69" s="80">
        <v>0.70833333333333337</v>
      </c>
      <c r="Q69" s="147">
        <v>0.70486111111111116</v>
      </c>
      <c r="R69" s="147">
        <v>0.70833333333333337</v>
      </c>
      <c r="S69" s="147">
        <v>0.71527777777777779</v>
      </c>
      <c r="T69" s="138">
        <f t="shared" si="1"/>
        <v>3.4722222222222099E-3</v>
      </c>
      <c r="U69" s="138">
        <f t="shared" si="2"/>
        <v>6.9444444444444198E-3</v>
      </c>
      <c r="V69" s="147">
        <v>0.71875</v>
      </c>
      <c r="W69" s="148">
        <f t="shared" si="3"/>
        <v>1.388888888888884E-2</v>
      </c>
      <c r="X69" s="81"/>
    </row>
    <row r="70" spans="1:24" s="113" customFormat="1" x14ac:dyDescent="0.25">
      <c r="A70" s="140">
        <f t="shared" si="9"/>
        <v>2</v>
      </c>
      <c r="B70" s="157">
        <v>43840</v>
      </c>
      <c r="C70" s="157">
        <v>43840</v>
      </c>
      <c r="D70" s="100" t="s">
        <v>337</v>
      </c>
      <c r="E70" s="79"/>
      <c r="F70" s="153">
        <v>600</v>
      </c>
      <c r="G70" s="140" t="s">
        <v>59</v>
      </c>
      <c r="H70" s="158" t="s">
        <v>330</v>
      </c>
      <c r="I70" s="144" t="s">
        <v>63</v>
      </c>
      <c r="J70" s="139"/>
      <c r="K70" s="139"/>
      <c r="L70" s="98" t="s">
        <v>55</v>
      </c>
      <c r="M70" s="79"/>
      <c r="N70" s="139"/>
      <c r="O70" s="139">
        <v>17</v>
      </c>
      <c r="P70" s="80">
        <v>0.75</v>
      </c>
      <c r="Q70" s="147">
        <v>0.73263888888888884</v>
      </c>
      <c r="R70" s="147">
        <v>0.73611111111111116</v>
      </c>
      <c r="S70" s="147">
        <v>0.75</v>
      </c>
      <c r="T70" s="138">
        <f t="shared" ref="T70:U126" si="10">R70-Q70</f>
        <v>3.4722222222223209E-3</v>
      </c>
      <c r="U70" s="138">
        <f t="shared" si="10"/>
        <v>1.388888888888884E-2</v>
      </c>
      <c r="V70" s="147">
        <v>0.75347222222222221</v>
      </c>
      <c r="W70" s="148">
        <f t="shared" ref="W70:W126" si="11">V70-Q70</f>
        <v>2.083333333333337E-2</v>
      </c>
      <c r="X70" s="81"/>
    </row>
    <row r="71" spans="1:24" s="113" customFormat="1" x14ac:dyDescent="0.25">
      <c r="A71" s="140">
        <f t="shared" si="9"/>
        <v>2</v>
      </c>
      <c r="B71" s="157">
        <v>43840</v>
      </c>
      <c r="C71" s="157">
        <v>43840</v>
      </c>
      <c r="D71" s="100" t="s">
        <v>66</v>
      </c>
      <c r="E71" s="79">
        <v>1000450036</v>
      </c>
      <c r="F71" s="153">
        <v>540</v>
      </c>
      <c r="G71" s="137" t="s">
        <v>69</v>
      </c>
      <c r="H71" s="178" t="s">
        <v>430</v>
      </c>
      <c r="I71" s="98" t="s">
        <v>439</v>
      </c>
      <c r="J71" s="139" t="s">
        <v>19</v>
      </c>
      <c r="K71" s="139"/>
      <c r="L71" s="98" t="s">
        <v>55</v>
      </c>
      <c r="M71" s="79">
        <v>80</v>
      </c>
      <c r="N71" s="139" t="s">
        <v>51</v>
      </c>
      <c r="O71" s="139">
        <v>35</v>
      </c>
      <c r="P71" s="179">
        <v>0.41666666666666669</v>
      </c>
      <c r="Q71" s="147">
        <v>0.41319444444444442</v>
      </c>
      <c r="R71" s="147">
        <v>0.42708333333333331</v>
      </c>
      <c r="S71" s="147">
        <v>0.44791666666666669</v>
      </c>
      <c r="T71" s="138">
        <f t="shared" si="10"/>
        <v>1.3888888888888895E-2</v>
      </c>
      <c r="U71" s="138">
        <f t="shared" si="10"/>
        <v>2.083333333333337E-2</v>
      </c>
      <c r="V71" s="147">
        <v>0.46180555555555558</v>
      </c>
      <c r="W71" s="148">
        <f t="shared" si="11"/>
        <v>4.861111111111116E-2</v>
      </c>
      <c r="X71" s="81"/>
    </row>
    <row r="72" spans="1:24" s="113" customFormat="1" x14ac:dyDescent="0.25">
      <c r="A72" s="140">
        <f t="shared" si="9"/>
        <v>2</v>
      </c>
      <c r="B72" s="157">
        <v>43840</v>
      </c>
      <c r="C72" s="157">
        <v>43840</v>
      </c>
      <c r="D72" s="100" t="s">
        <v>337</v>
      </c>
      <c r="E72" s="79" t="s">
        <v>396</v>
      </c>
      <c r="F72" s="153">
        <v>210</v>
      </c>
      <c r="G72" s="137" t="s">
        <v>324</v>
      </c>
      <c r="H72" s="158" t="s">
        <v>433</v>
      </c>
      <c r="I72" s="79" t="s">
        <v>440</v>
      </c>
      <c r="J72" s="139" t="s">
        <v>19</v>
      </c>
      <c r="K72" s="139"/>
      <c r="L72" s="98" t="s">
        <v>55</v>
      </c>
      <c r="M72" s="79">
        <v>80</v>
      </c>
      <c r="N72" s="139" t="s">
        <v>51</v>
      </c>
      <c r="O72" s="139">
        <v>37</v>
      </c>
      <c r="P72" s="138">
        <v>0.45833333333333331</v>
      </c>
      <c r="Q72" s="147">
        <v>0.54861111111111105</v>
      </c>
      <c r="R72" s="147">
        <v>0.59027777777777779</v>
      </c>
      <c r="S72" s="147">
        <v>0.60763888888888895</v>
      </c>
      <c r="T72" s="138">
        <f t="shared" si="10"/>
        <v>4.1666666666666741E-2</v>
      </c>
      <c r="U72" s="138">
        <f t="shared" si="10"/>
        <v>1.736111111111116E-2</v>
      </c>
      <c r="V72" s="147">
        <v>0.61111111111111105</v>
      </c>
      <c r="W72" s="148">
        <f t="shared" si="11"/>
        <v>6.25E-2</v>
      </c>
      <c r="X72" s="81"/>
    </row>
    <row r="73" spans="1:24" s="113" customFormat="1" x14ac:dyDescent="0.25">
      <c r="A73" s="140">
        <f t="shared" si="9"/>
        <v>2</v>
      </c>
      <c r="B73" s="157">
        <v>43840</v>
      </c>
      <c r="C73" s="157">
        <v>43840</v>
      </c>
      <c r="D73" s="100" t="s">
        <v>337</v>
      </c>
      <c r="E73" s="79">
        <v>1000450043</v>
      </c>
      <c r="F73" s="153">
        <v>300</v>
      </c>
      <c r="G73" s="137" t="s">
        <v>325</v>
      </c>
      <c r="H73" s="158" t="s">
        <v>432</v>
      </c>
      <c r="I73" s="79" t="s">
        <v>434</v>
      </c>
      <c r="J73" s="139" t="s">
        <v>19</v>
      </c>
      <c r="K73" s="139"/>
      <c r="L73" s="98" t="s">
        <v>55</v>
      </c>
      <c r="M73" s="79">
        <v>80</v>
      </c>
      <c r="N73" s="139" t="s">
        <v>51</v>
      </c>
      <c r="O73" s="139">
        <v>37</v>
      </c>
      <c r="P73" s="138">
        <v>0.45833333333333331</v>
      </c>
      <c r="Q73" s="147">
        <v>0.5</v>
      </c>
      <c r="R73" s="147">
        <v>0.58333333333333337</v>
      </c>
      <c r="S73" s="147">
        <v>0.60416666666666663</v>
      </c>
      <c r="T73" s="138">
        <f t="shared" si="10"/>
        <v>8.333333333333337E-2</v>
      </c>
      <c r="U73" s="138">
        <f t="shared" si="10"/>
        <v>2.0833333333333259E-2</v>
      </c>
      <c r="V73" s="147">
        <v>0.60763888888888895</v>
      </c>
      <c r="W73" s="148">
        <f t="shared" si="11"/>
        <v>0.10763888888888895</v>
      </c>
      <c r="X73" s="81"/>
    </row>
    <row r="74" spans="1:24" s="113" customFormat="1" x14ac:dyDescent="0.25">
      <c r="A74" s="140">
        <f t="shared" si="9"/>
        <v>2</v>
      </c>
      <c r="B74" s="157">
        <v>43840</v>
      </c>
      <c r="C74" s="157">
        <v>43840</v>
      </c>
      <c r="D74" s="100"/>
      <c r="E74" s="79" t="s">
        <v>397</v>
      </c>
      <c r="F74" s="153"/>
      <c r="G74" s="137" t="s">
        <v>340</v>
      </c>
      <c r="H74" s="158" t="s">
        <v>86</v>
      </c>
      <c r="I74" s="79" t="s">
        <v>429</v>
      </c>
      <c r="J74" s="139" t="s">
        <v>19</v>
      </c>
      <c r="K74" s="139"/>
      <c r="L74" s="98" t="s">
        <v>84</v>
      </c>
      <c r="M74" s="79">
        <v>80</v>
      </c>
      <c r="N74" s="139"/>
      <c r="O74" s="139">
        <v>37</v>
      </c>
      <c r="P74" s="138">
        <v>0.5</v>
      </c>
      <c r="Q74" s="147"/>
      <c r="R74" s="147"/>
      <c r="S74" s="147"/>
      <c r="T74" s="138">
        <f t="shared" si="10"/>
        <v>0</v>
      </c>
      <c r="U74" s="138">
        <f t="shared" si="10"/>
        <v>0</v>
      </c>
      <c r="V74" s="147"/>
      <c r="W74" s="148">
        <f t="shared" si="11"/>
        <v>0</v>
      </c>
      <c r="X74" s="246" t="s">
        <v>451</v>
      </c>
    </row>
    <row r="75" spans="1:24" s="113" customFormat="1" x14ac:dyDescent="0.25">
      <c r="A75" s="140">
        <f t="shared" si="9"/>
        <v>2</v>
      </c>
      <c r="B75" s="157">
        <v>43840</v>
      </c>
      <c r="C75" s="157">
        <v>43840</v>
      </c>
      <c r="D75" s="100" t="s">
        <v>361</v>
      </c>
      <c r="E75" s="79">
        <v>1000450048</v>
      </c>
      <c r="F75" s="153">
        <v>360</v>
      </c>
      <c r="G75" s="137" t="s">
        <v>341</v>
      </c>
      <c r="H75" s="158" t="s">
        <v>430</v>
      </c>
      <c r="I75" s="79" t="s">
        <v>435</v>
      </c>
      <c r="J75" s="139" t="s">
        <v>19</v>
      </c>
      <c r="K75" s="139"/>
      <c r="L75" s="98" t="s">
        <v>55</v>
      </c>
      <c r="M75" s="79">
        <v>80</v>
      </c>
      <c r="N75" s="139" t="s">
        <v>51</v>
      </c>
      <c r="O75" s="139">
        <v>39</v>
      </c>
      <c r="P75" s="138">
        <v>0.5</v>
      </c>
      <c r="Q75" s="147">
        <v>0.49652777777777773</v>
      </c>
      <c r="R75" s="147">
        <v>0.52430555555555558</v>
      </c>
      <c r="S75" s="147">
        <v>0.55555555555555558</v>
      </c>
      <c r="T75" s="138">
        <f t="shared" si="10"/>
        <v>2.7777777777777846E-2</v>
      </c>
      <c r="U75" s="138">
        <f t="shared" si="10"/>
        <v>3.125E-2</v>
      </c>
      <c r="V75" s="147">
        <v>0.5625</v>
      </c>
      <c r="W75" s="148">
        <f t="shared" si="11"/>
        <v>6.5972222222222265E-2</v>
      </c>
      <c r="X75" s="81"/>
    </row>
    <row r="76" spans="1:24" s="184" customFormat="1" ht="16.5" thickBot="1" x14ac:dyDescent="0.3">
      <c r="A76" s="185">
        <f t="shared" si="9"/>
        <v>2</v>
      </c>
      <c r="B76" s="186">
        <v>43840</v>
      </c>
      <c r="C76" s="186">
        <v>43840</v>
      </c>
      <c r="D76" s="236" t="s">
        <v>337</v>
      </c>
      <c r="E76" s="172">
        <v>1000450059</v>
      </c>
      <c r="F76" s="187">
        <v>480</v>
      </c>
      <c r="G76" s="185" t="s">
        <v>342</v>
      </c>
      <c r="H76" s="188" t="s">
        <v>431</v>
      </c>
      <c r="I76" s="172" t="s">
        <v>436</v>
      </c>
      <c r="J76" s="189" t="s">
        <v>19</v>
      </c>
      <c r="K76" s="189"/>
      <c r="L76" s="172" t="s">
        <v>55</v>
      </c>
      <c r="M76" s="172">
        <v>80</v>
      </c>
      <c r="N76" s="189" t="s">
        <v>51</v>
      </c>
      <c r="O76" s="189">
        <v>39</v>
      </c>
      <c r="P76" s="190">
        <v>0.54166666666666663</v>
      </c>
      <c r="Q76" s="191">
        <v>0.4548611111111111</v>
      </c>
      <c r="R76" s="191">
        <v>0.63888888888888895</v>
      </c>
      <c r="S76" s="191">
        <v>0.66319444444444442</v>
      </c>
      <c r="T76" s="190">
        <f t="shared" si="10"/>
        <v>0.18402777777777785</v>
      </c>
      <c r="U76" s="190">
        <f t="shared" si="10"/>
        <v>2.4305555555555469E-2</v>
      </c>
      <c r="V76" s="191">
        <v>0.66666666666666663</v>
      </c>
      <c r="W76" s="191">
        <f t="shared" si="11"/>
        <v>0.21180555555555552</v>
      </c>
      <c r="X76" s="174"/>
    </row>
    <row r="77" spans="1:24" s="134" customFormat="1" x14ac:dyDescent="0.25">
      <c r="A77" s="140">
        <f t="shared" si="9"/>
        <v>2</v>
      </c>
      <c r="B77" s="157">
        <v>43841</v>
      </c>
      <c r="C77" s="157">
        <v>43841</v>
      </c>
      <c r="D77" s="102" t="s">
        <v>337</v>
      </c>
      <c r="E77" s="98"/>
      <c r="F77" s="177">
        <v>600</v>
      </c>
      <c r="G77" s="140" t="s">
        <v>53</v>
      </c>
      <c r="H77" s="178" t="s">
        <v>387</v>
      </c>
      <c r="I77" s="143" t="s">
        <v>54</v>
      </c>
      <c r="J77" s="142"/>
      <c r="K77" s="142"/>
      <c r="L77" s="98" t="s">
        <v>55</v>
      </c>
      <c r="M77" s="98"/>
      <c r="N77" s="142"/>
      <c r="O77" s="142">
        <v>12</v>
      </c>
      <c r="P77" s="99">
        <v>0.66666666666666663</v>
      </c>
      <c r="Q77" s="148">
        <v>0.68402777777777779</v>
      </c>
      <c r="R77" s="148">
        <v>0.69444444444444453</v>
      </c>
      <c r="S77" s="148">
        <v>0.70138888888888884</v>
      </c>
      <c r="T77" s="179">
        <f t="shared" si="10"/>
        <v>1.0416666666666741E-2</v>
      </c>
      <c r="U77" s="179">
        <f t="shared" si="10"/>
        <v>6.9444444444443088E-3</v>
      </c>
      <c r="V77" s="148">
        <v>0.70486111111111116</v>
      </c>
      <c r="W77" s="148">
        <f t="shared" si="11"/>
        <v>2.083333333333337E-2</v>
      </c>
      <c r="X77" s="96"/>
    </row>
    <row r="78" spans="1:24" s="113" customFormat="1" x14ac:dyDescent="0.25">
      <c r="A78" s="140">
        <f t="shared" si="9"/>
        <v>2</v>
      </c>
      <c r="B78" s="157">
        <v>43841</v>
      </c>
      <c r="C78" s="157">
        <v>43841</v>
      </c>
      <c r="D78" s="100" t="s">
        <v>361</v>
      </c>
      <c r="E78" s="79"/>
      <c r="F78" s="153">
        <v>600</v>
      </c>
      <c r="G78" s="137" t="s">
        <v>56</v>
      </c>
      <c r="H78" s="158" t="s">
        <v>62</v>
      </c>
      <c r="I78" s="143" t="s">
        <v>58</v>
      </c>
      <c r="J78" s="139"/>
      <c r="K78" s="139"/>
      <c r="L78" s="98" t="s">
        <v>55</v>
      </c>
      <c r="M78" s="79"/>
      <c r="N78" s="139"/>
      <c r="O78" s="139">
        <v>21</v>
      </c>
      <c r="P78" s="80">
        <v>0.70833333333333337</v>
      </c>
      <c r="Q78" s="147">
        <v>0.70833333333333337</v>
      </c>
      <c r="R78" s="147">
        <v>0.71180555555555547</v>
      </c>
      <c r="S78" s="147">
        <v>0.72569444444444453</v>
      </c>
      <c r="T78" s="138">
        <f t="shared" si="10"/>
        <v>3.4722222222220989E-3</v>
      </c>
      <c r="U78" s="138">
        <f t="shared" si="10"/>
        <v>1.3888888888889062E-2</v>
      </c>
      <c r="V78" s="147">
        <v>0.72916666666666663</v>
      </c>
      <c r="W78" s="148">
        <f t="shared" si="11"/>
        <v>2.0833333333333259E-2</v>
      </c>
      <c r="X78" s="81"/>
    </row>
    <row r="79" spans="1:24" s="113" customFormat="1" x14ac:dyDescent="0.25">
      <c r="A79" s="140">
        <f t="shared" si="9"/>
        <v>2</v>
      </c>
      <c r="B79" s="157">
        <v>43841</v>
      </c>
      <c r="C79" s="157">
        <v>43841</v>
      </c>
      <c r="D79" s="100" t="s">
        <v>337</v>
      </c>
      <c r="E79" s="79"/>
      <c r="F79" s="153">
        <v>600</v>
      </c>
      <c r="G79" s="140" t="s">
        <v>59</v>
      </c>
      <c r="H79" s="178" t="s">
        <v>317</v>
      </c>
      <c r="I79" s="143" t="s">
        <v>60</v>
      </c>
      <c r="J79" s="139"/>
      <c r="K79" s="139"/>
      <c r="L79" s="98" t="s">
        <v>55</v>
      </c>
      <c r="M79" s="79"/>
      <c r="N79" s="139"/>
      <c r="O79" s="139">
        <v>5</v>
      </c>
      <c r="P79" s="80">
        <v>0.70833333333333337</v>
      </c>
      <c r="Q79" s="147">
        <v>0.68055555555555547</v>
      </c>
      <c r="R79" s="147">
        <v>0.73958333333333337</v>
      </c>
      <c r="S79" s="147">
        <v>0.74652777777777779</v>
      </c>
      <c r="T79" s="138">
        <f t="shared" si="10"/>
        <v>5.9027777777777901E-2</v>
      </c>
      <c r="U79" s="138">
        <f t="shared" si="10"/>
        <v>6.9444444444444198E-3</v>
      </c>
      <c r="V79" s="147">
        <v>0.75</v>
      </c>
      <c r="W79" s="148">
        <f t="shared" si="11"/>
        <v>6.9444444444444531E-2</v>
      </c>
      <c r="X79" s="81"/>
    </row>
    <row r="80" spans="1:24" s="113" customFormat="1" x14ac:dyDescent="0.25">
      <c r="A80" s="140">
        <f t="shared" si="9"/>
        <v>2</v>
      </c>
      <c r="B80" s="157">
        <v>43841</v>
      </c>
      <c r="C80" s="157">
        <v>43841</v>
      </c>
      <c r="D80" s="100" t="s">
        <v>337</v>
      </c>
      <c r="E80" s="79"/>
      <c r="F80" s="153">
        <v>600</v>
      </c>
      <c r="G80" s="140" t="s">
        <v>61</v>
      </c>
      <c r="H80" s="245" t="s">
        <v>65</v>
      </c>
      <c r="I80" s="144" t="s">
        <v>63</v>
      </c>
      <c r="J80" s="139"/>
      <c r="K80" s="139"/>
      <c r="L80" s="98" t="s">
        <v>55</v>
      </c>
      <c r="M80" s="79"/>
      <c r="N80" s="139"/>
      <c r="O80" s="139">
        <v>24</v>
      </c>
      <c r="P80" s="80">
        <v>0.75</v>
      </c>
      <c r="Q80" s="147">
        <v>0.71527777777777779</v>
      </c>
      <c r="R80" s="147">
        <v>0.75</v>
      </c>
      <c r="S80" s="147">
        <v>0.76736111111111116</v>
      </c>
      <c r="T80" s="138">
        <f t="shared" si="10"/>
        <v>3.472222222222221E-2</v>
      </c>
      <c r="U80" s="138">
        <f t="shared" si="10"/>
        <v>1.736111111111116E-2</v>
      </c>
      <c r="V80" s="147">
        <v>0.77083333333333337</v>
      </c>
      <c r="W80" s="148">
        <f t="shared" si="11"/>
        <v>5.555555555555558E-2</v>
      </c>
      <c r="X80" s="81"/>
    </row>
    <row r="81" spans="1:24" s="262" customFormat="1" x14ac:dyDescent="0.25">
      <c r="A81" s="247">
        <f t="shared" si="9"/>
        <v>2</v>
      </c>
      <c r="B81" s="248">
        <v>43841</v>
      </c>
      <c r="C81" s="248">
        <v>43841</v>
      </c>
      <c r="D81" s="249" t="s">
        <v>337</v>
      </c>
      <c r="E81" s="250"/>
      <c r="F81" s="251">
        <v>600</v>
      </c>
      <c r="G81" s="252" t="s">
        <v>64</v>
      </c>
      <c r="H81" s="253" t="s">
        <v>80</v>
      </c>
      <c r="I81" s="254" t="s">
        <v>355</v>
      </c>
      <c r="J81" s="255"/>
      <c r="K81" s="255"/>
      <c r="L81" s="256" t="s">
        <v>55</v>
      </c>
      <c r="M81" s="250"/>
      <c r="N81" s="255"/>
      <c r="O81" s="255">
        <v>28</v>
      </c>
      <c r="P81" s="257">
        <v>0.79166666666666663</v>
      </c>
      <c r="Q81" s="258">
        <v>0.80555555555555547</v>
      </c>
      <c r="R81" s="258">
        <v>0.80902777777777779</v>
      </c>
      <c r="S81" s="258">
        <v>0.82291666666666663</v>
      </c>
      <c r="T81" s="259">
        <f t="shared" si="10"/>
        <v>3.4722222222223209E-3</v>
      </c>
      <c r="U81" s="259">
        <f t="shared" si="10"/>
        <v>1.388888888888884E-2</v>
      </c>
      <c r="V81" s="258">
        <v>0.82638888888888884</v>
      </c>
      <c r="W81" s="148">
        <f t="shared" si="11"/>
        <v>2.083333333333337E-2</v>
      </c>
      <c r="X81" s="261"/>
    </row>
    <row r="82" spans="1:24" s="262" customFormat="1" x14ac:dyDescent="0.25">
      <c r="A82" s="250">
        <f t="shared" si="9"/>
        <v>2</v>
      </c>
      <c r="B82" s="263">
        <v>43841</v>
      </c>
      <c r="C82" s="263">
        <v>43841</v>
      </c>
      <c r="D82" s="264" t="s">
        <v>361</v>
      </c>
      <c r="E82" s="250"/>
      <c r="F82" s="250"/>
      <c r="G82" s="250" t="s">
        <v>77</v>
      </c>
      <c r="H82" s="265" t="s">
        <v>470</v>
      </c>
      <c r="I82" s="254" t="s">
        <v>78</v>
      </c>
      <c r="J82" s="250"/>
      <c r="K82" s="250"/>
      <c r="L82" s="250" t="s">
        <v>55</v>
      </c>
      <c r="M82" s="250"/>
      <c r="N82" s="250"/>
      <c r="O82" s="250">
        <v>16</v>
      </c>
      <c r="P82" s="257">
        <v>0.83333333333333337</v>
      </c>
      <c r="Q82" s="259">
        <v>0.82291666666666663</v>
      </c>
      <c r="R82" s="259">
        <v>0.84375</v>
      </c>
      <c r="S82" s="259">
        <v>0.85416666666666663</v>
      </c>
      <c r="T82" s="259">
        <f t="shared" si="10"/>
        <v>2.083333333333337E-2</v>
      </c>
      <c r="U82" s="259">
        <f t="shared" si="10"/>
        <v>1.041666666666663E-2</v>
      </c>
      <c r="V82" s="259">
        <v>0.85763888888888884</v>
      </c>
      <c r="W82" s="260">
        <f t="shared" si="11"/>
        <v>3.472222222222221E-2</v>
      </c>
      <c r="X82" s="261"/>
    </row>
    <row r="83" spans="1:24" s="184" customFormat="1" ht="16.5" thickBot="1" x14ac:dyDescent="0.3">
      <c r="A83" s="172">
        <f>WEEKNUM(B83,21)</f>
        <v>2</v>
      </c>
      <c r="B83" s="266">
        <v>43840</v>
      </c>
      <c r="C83" s="266">
        <v>43841</v>
      </c>
      <c r="D83" s="243" t="s">
        <v>337</v>
      </c>
      <c r="E83" s="172">
        <v>1000450056</v>
      </c>
      <c r="F83" s="172">
        <v>480</v>
      </c>
      <c r="G83" s="172" t="s">
        <v>340</v>
      </c>
      <c r="H83" s="240" t="s">
        <v>86</v>
      </c>
      <c r="I83" s="172" t="s">
        <v>429</v>
      </c>
      <c r="J83" s="172" t="s">
        <v>19</v>
      </c>
      <c r="K83" s="172"/>
      <c r="L83" s="172" t="s">
        <v>55</v>
      </c>
      <c r="M83" s="172">
        <v>80</v>
      </c>
      <c r="N83" s="172"/>
      <c r="O83" s="172">
        <v>37</v>
      </c>
      <c r="P83" s="190">
        <v>0.5</v>
      </c>
      <c r="Q83" s="190">
        <v>0.5</v>
      </c>
      <c r="R83" s="190">
        <v>0.51388888888888895</v>
      </c>
      <c r="S83" s="190">
        <v>0.53472222222222221</v>
      </c>
      <c r="T83" s="190">
        <f>R83-Q83</f>
        <v>1.3888888888888951E-2</v>
      </c>
      <c r="U83" s="190">
        <f>S83-R83</f>
        <v>2.0833333333333259E-2</v>
      </c>
      <c r="V83" s="206">
        <v>0.54166666666666663</v>
      </c>
      <c r="W83" s="190">
        <f t="shared" si="11"/>
        <v>4.166666666666663E-2</v>
      </c>
      <c r="X83" s="274"/>
    </row>
    <row r="84" spans="1:24" s="134" customFormat="1" x14ac:dyDescent="0.25">
      <c r="A84" s="140">
        <f t="shared" si="9"/>
        <v>3</v>
      </c>
      <c r="B84" s="157">
        <v>43844</v>
      </c>
      <c r="C84" s="157">
        <v>43844</v>
      </c>
      <c r="D84" s="102" t="s">
        <v>361</v>
      </c>
      <c r="E84" s="98"/>
      <c r="F84" s="177">
        <v>540</v>
      </c>
      <c r="G84" s="140" t="s">
        <v>53</v>
      </c>
      <c r="H84" s="158" t="s">
        <v>62</v>
      </c>
      <c r="I84" s="143" t="s">
        <v>54</v>
      </c>
      <c r="J84" s="142"/>
      <c r="K84" s="142"/>
      <c r="L84" s="98" t="s">
        <v>55</v>
      </c>
      <c r="M84" s="98"/>
      <c r="N84" s="142"/>
      <c r="O84" s="142">
        <v>18</v>
      </c>
      <c r="P84" s="99">
        <v>0.66666666666666663</v>
      </c>
      <c r="Q84" s="148">
        <v>0.67361111111111116</v>
      </c>
      <c r="R84" s="148">
        <v>0.69444444444444453</v>
      </c>
      <c r="S84" s="148">
        <v>0.70833333333333337</v>
      </c>
      <c r="T84" s="179">
        <f t="shared" si="10"/>
        <v>2.083333333333337E-2</v>
      </c>
      <c r="U84" s="179">
        <f t="shared" si="10"/>
        <v>1.388888888888884E-2</v>
      </c>
      <c r="V84" s="148">
        <v>0.71527777777777779</v>
      </c>
      <c r="W84" s="179">
        <f t="shared" si="11"/>
        <v>4.166666666666663E-2</v>
      </c>
      <c r="X84" s="96"/>
    </row>
    <row r="85" spans="1:24" s="113" customFormat="1" x14ac:dyDescent="0.25">
      <c r="A85" s="140">
        <f t="shared" ref="A85:A132" si="12">WEEKNUM(B85,21)</f>
        <v>3</v>
      </c>
      <c r="B85" s="157">
        <v>43844</v>
      </c>
      <c r="C85" s="157">
        <v>43844</v>
      </c>
      <c r="D85" s="100" t="s">
        <v>337</v>
      </c>
      <c r="E85" s="79"/>
      <c r="F85" s="153">
        <v>540</v>
      </c>
      <c r="G85" s="137" t="s">
        <v>56</v>
      </c>
      <c r="H85" s="272" t="s">
        <v>470</v>
      </c>
      <c r="I85" s="143" t="s">
        <v>58</v>
      </c>
      <c r="J85" s="139"/>
      <c r="K85" s="139"/>
      <c r="L85" s="98" t="s">
        <v>55</v>
      </c>
      <c r="M85" s="79"/>
      <c r="N85" s="139"/>
      <c r="O85" s="139">
        <v>26</v>
      </c>
      <c r="P85" s="80">
        <v>0.70833333333333337</v>
      </c>
      <c r="Q85" s="147">
        <v>0.69097222222222221</v>
      </c>
      <c r="R85" s="147">
        <v>0.71875</v>
      </c>
      <c r="S85" s="147">
        <v>0.75</v>
      </c>
      <c r="T85" s="138">
        <f t="shared" si="10"/>
        <v>2.777777777777779E-2</v>
      </c>
      <c r="U85" s="138">
        <f t="shared" si="10"/>
        <v>3.125E-2</v>
      </c>
      <c r="V85" s="147">
        <v>0.75347222222222221</v>
      </c>
      <c r="W85" s="138">
        <f t="shared" si="11"/>
        <v>6.25E-2</v>
      </c>
      <c r="X85" s="81"/>
    </row>
    <row r="86" spans="1:24" s="113" customFormat="1" x14ac:dyDescent="0.25">
      <c r="A86" s="140">
        <f t="shared" si="12"/>
        <v>3</v>
      </c>
      <c r="B86" s="157">
        <v>43844</v>
      </c>
      <c r="C86" s="157">
        <v>43844</v>
      </c>
      <c r="D86" s="100" t="s">
        <v>337</v>
      </c>
      <c r="E86" s="79"/>
      <c r="F86" s="153">
        <v>540</v>
      </c>
      <c r="G86" s="140" t="s">
        <v>59</v>
      </c>
      <c r="H86" s="178" t="s">
        <v>317</v>
      </c>
      <c r="I86" s="143" t="s">
        <v>60</v>
      </c>
      <c r="J86" s="139"/>
      <c r="K86" s="139"/>
      <c r="L86" s="98" t="s">
        <v>55</v>
      </c>
      <c r="M86" s="79"/>
      <c r="N86" s="139"/>
      <c r="O86" s="139">
        <v>26</v>
      </c>
      <c r="P86" s="80">
        <v>0.70833333333333337</v>
      </c>
      <c r="Q86" s="147">
        <v>0.6875</v>
      </c>
      <c r="R86" s="147">
        <v>0.73611111111111116</v>
      </c>
      <c r="S86" s="147">
        <v>0.76388888888888884</v>
      </c>
      <c r="T86" s="138">
        <f t="shared" si="10"/>
        <v>4.861111111111116E-2</v>
      </c>
      <c r="U86" s="138">
        <f t="shared" si="10"/>
        <v>2.7777777777777679E-2</v>
      </c>
      <c r="V86" s="147">
        <v>0.77083333333333337</v>
      </c>
      <c r="W86" s="138">
        <f t="shared" si="11"/>
        <v>8.333333333333337E-2</v>
      </c>
      <c r="X86" s="81"/>
    </row>
    <row r="87" spans="1:24" s="113" customFormat="1" x14ac:dyDescent="0.25">
      <c r="A87" s="140">
        <f t="shared" si="12"/>
        <v>3</v>
      </c>
      <c r="B87" s="157">
        <v>43844</v>
      </c>
      <c r="C87" s="157">
        <v>43844</v>
      </c>
      <c r="D87" s="100" t="s">
        <v>361</v>
      </c>
      <c r="E87" s="79"/>
      <c r="F87" s="153">
        <v>540</v>
      </c>
      <c r="G87" s="140" t="s">
        <v>61</v>
      </c>
      <c r="H87" s="273" t="s">
        <v>57</v>
      </c>
      <c r="I87" s="144" t="s">
        <v>63</v>
      </c>
      <c r="J87" s="139"/>
      <c r="K87" s="139"/>
      <c r="L87" s="98" t="s">
        <v>55</v>
      </c>
      <c r="M87" s="79"/>
      <c r="N87" s="139"/>
      <c r="O87" s="139">
        <v>28</v>
      </c>
      <c r="P87" s="80">
        <v>0.75</v>
      </c>
      <c r="Q87" s="147">
        <v>0.73958333333333337</v>
      </c>
      <c r="R87" s="147">
        <v>0.77083333333333337</v>
      </c>
      <c r="S87" s="147">
        <v>0.79861111111111116</v>
      </c>
      <c r="T87" s="138">
        <f t="shared" si="10"/>
        <v>3.125E-2</v>
      </c>
      <c r="U87" s="138">
        <f t="shared" si="10"/>
        <v>2.777777777777779E-2</v>
      </c>
      <c r="V87" s="147">
        <v>0.81944444444444453</v>
      </c>
      <c r="W87" s="138">
        <f t="shared" si="11"/>
        <v>7.986111111111116E-2</v>
      </c>
      <c r="X87" s="81"/>
    </row>
    <row r="88" spans="1:24" s="113" customFormat="1" x14ac:dyDescent="0.25">
      <c r="A88" s="140">
        <f t="shared" si="12"/>
        <v>3</v>
      </c>
      <c r="B88" s="157">
        <v>43844</v>
      </c>
      <c r="C88" s="157">
        <v>43844</v>
      </c>
      <c r="D88" s="100" t="s">
        <v>337</v>
      </c>
      <c r="E88" s="79"/>
      <c r="F88" s="153">
        <v>540</v>
      </c>
      <c r="G88" s="137" t="s">
        <v>64</v>
      </c>
      <c r="H88" s="245" t="s">
        <v>80</v>
      </c>
      <c r="I88" s="254" t="s">
        <v>355</v>
      </c>
      <c r="J88" s="139"/>
      <c r="K88" s="139"/>
      <c r="L88" s="98" t="s">
        <v>55</v>
      </c>
      <c r="M88" s="79"/>
      <c r="N88" s="139"/>
      <c r="O88" s="139">
        <v>33</v>
      </c>
      <c r="P88" s="257">
        <v>0.79166666666666663</v>
      </c>
      <c r="Q88" s="147">
        <v>0.73958333333333337</v>
      </c>
      <c r="R88" s="147">
        <v>0.77083333333333337</v>
      </c>
      <c r="S88" s="147">
        <v>0.8125</v>
      </c>
      <c r="T88" s="138">
        <f t="shared" si="10"/>
        <v>3.125E-2</v>
      </c>
      <c r="U88" s="138">
        <f t="shared" si="10"/>
        <v>4.166666666666663E-2</v>
      </c>
      <c r="V88" s="147">
        <v>0.81944444444444453</v>
      </c>
      <c r="W88" s="138">
        <f t="shared" si="11"/>
        <v>7.986111111111116E-2</v>
      </c>
      <c r="X88" s="81"/>
    </row>
    <row r="89" spans="1:24" s="262" customFormat="1" x14ac:dyDescent="0.25">
      <c r="A89" s="250">
        <f t="shared" si="12"/>
        <v>3</v>
      </c>
      <c r="B89" s="263">
        <v>43844</v>
      </c>
      <c r="C89" s="263">
        <v>43844</v>
      </c>
      <c r="D89" s="264" t="s">
        <v>337</v>
      </c>
      <c r="E89" s="250"/>
      <c r="F89" s="250">
        <v>540</v>
      </c>
      <c r="G89" s="250" t="s">
        <v>77</v>
      </c>
      <c r="H89" s="269" t="s">
        <v>65</v>
      </c>
      <c r="I89" s="254" t="s">
        <v>78</v>
      </c>
      <c r="J89" s="250"/>
      <c r="K89" s="250"/>
      <c r="L89" s="250" t="s">
        <v>55</v>
      </c>
      <c r="M89" s="250"/>
      <c r="N89" s="250"/>
      <c r="O89" s="250">
        <v>32</v>
      </c>
      <c r="P89" s="259">
        <v>0.83333333333333337</v>
      </c>
      <c r="Q89" s="259">
        <v>0.75347222222222221</v>
      </c>
      <c r="R89" s="259">
        <v>0.80208333333333337</v>
      </c>
      <c r="S89" s="259">
        <v>0.82986111111111116</v>
      </c>
      <c r="T89" s="259">
        <f t="shared" si="10"/>
        <v>4.861111111111116E-2</v>
      </c>
      <c r="U89" s="259">
        <f t="shared" si="10"/>
        <v>2.777777777777779E-2</v>
      </c>
      <c r="V89" s="259">
        <v>0.83333333333333337</v>
      </c>
      <c r="W89" s="138">
        <f t="shared" si="11"/>
        <v>7.986111111111116E-2</v>
      </c>
      <c r="X89" s="270"/>
    </row>
    <row r="90" spans="1:24" s="184" customFormat="1" ht="16.5" thickBot="1" x14ac:dyDescent="0.3">
      <c r="A90" s="172">
        <f t="shared" si="12"/>
        <v>3</v>
      </c>
      <c r="B90" s="266">
        <v>43844</v>
      </c>
      <c r="C90" s="266">
        <v>43844</v>
      </c>
      <c r="D90" s="243" t="s">
        <v>337</v>
      </c>
      <c r="E90" s="172">
        <v>1000452260</v>
      </c>
      <c r="F90" s="172">
        <v>180</v>
      </c>
      <c r="G90" s="172" t="s">
        <v>67</v>
      </c>
      <c r="H90" s="240" t="s">
        <v>471</v>
      </c>
      <c r="I90" s="172" t="s">
        <v>467</v>
      </c>
      <c r="J90" s="271" t="s">
        <v>19</v>
      </c>
      <c r="K90" s="172"/>
      <c r="L90" s="172" t="s">
        <v>55</v>
      </c>
      <c r="M90" s="172">
        <v>80</v>
      </c>
      <c r="N90" s="172" t="s">
        <v>51</v>
      </c>
      <c r="O90" s="172">
        <v>33</v>
      </c>
      <c r="P90" s="190">
        <v>0.41666666666666669</v>
      </c>
      <c r="Q90" s="190">
        <v>0.5625</v>
      </c>
      <c r="R90" s="190">
        <v>0.58333333333333337</v>
      </c>
      <c r="S90" s="190">
        <v>0.61805555555555558</v>
      </c>
      <c r="T90" s="190">
        <f t="shared" si="10"/>
        <v>2.083333333333337E-2</v>
      </c>
      <c r="U90" s="190">
        <f t="shared" si="10"/>
        <v>3.472222222222221E-2</v>
      </c>
      <c r="V90" s="190">
        <v>0.625</v>
      </c>
      <c r="W90" s="285">
        <f t="shared" si="11"/>
        <v>6.25E-2</v>
      </c>
      <c r="X90" s="174"/>
    </row>
    <row r="91" spans="1:24" s="134" customFormat="1" x14ac:dyDescent="0.25">
      <c r="A91" s="140">
        <f t="shared" si="12"/>
        <v>3</v>
      </c>
      <c r="B91" s="157">
        <v>43845</v>
      </c>
      <c r="C91" s="157">
        <v>43845</v>
      </c>
      <c r="D91" s="102" t="s">
        <v>361</v>
      </c>
      <c r="E91" s="98"/>
      <c r="F91" s="177">
        <v>540</v>
      </c>
      <c r="G91" s="140" t="s">
        <v>53</v>
      </c>
      <c r="H91" s="286" t="s">
        <v>330</v>
      </c>
      <c r="I91" s="143" t="s">
        <v>54</v>
      </c>
      <c r="J91" s="142"/>
      <c r="K91" s="142"/>
      <c r="L91" s="98" t="s">
        <v>55</v>
      </c>
      <c r="M91" s="98"/>
      <c r="N91" s="142"/>
      <c r="O91" s="142">
        <v>17</v>
      </c>
      <c r="P91" s="99">
        <v>0.66666666666666663</v>
      </c>
      <c r="Q91" s="148">
        <v>0.65972222222222221</v>
      </c>
      <c r="R91" s="148">
        <v>0.6875</v>
      </c>
      <c r="S91" s="148">
        <v>0.69791666666666663</v>
      </c>
      <c r="T91" s="179">
        <f t="shared" si="10"/>
        <v>2.777777777777779E-2</v>
      </c>
      <c r="U91" s="179">
        <f t="shared" si="10"/>
        <v>1.041666666666663E-2</v>
      </c>
      <c r="V91" s="148">
        <v>0.70138888888888884</v>
      </c>
      <c r="W91" s="148">
        <f t="shared" si="11"/>
        <v>4.166666666666663E-2</v>
      </c>
      <c r="X91" s="96"/>
    </row>
    <row r="92" spans="1:24" s="113" customFormat="1" x14ac:dyDescent="0.25">
      <c r="A92" s="140">
        <f t="shared" si="12"/>
        <v>3</v>
      </c>
      <c r="B92" s="157">
        <v>43845</v>
      </c>
      <c r="C92" s="157">
        <v>43845</v>
      </c>
      <c r="D92" s="100" t="s">
        <v>337</v>
      </c>
      <c r="E92" s="79"/>
      <c r="F92" s="153">
        <v>540</v>
      </c>
      <c r="G92" s="137" t="s">
        <v>56</v>
      </c>
      <c r="H92" s="273" t="s">
        <v>80</v>
      </c>
      <c r="I92" s="143" t="s">
        <v>58</v>
      </c>
      <c r="J92" s="139"/>
      <c r="K92" s="139"/>
      <c r="L92" s="98" t="s">
        <v>55</v>
      </c>
      <c r="M92" s="79"/>
      <c r="N92" s="139"/>
      <c r="O92" s="139">
        <v>25</v>
      </c>
      <c r="P92" s="80">
        <v>0.70833333333333337</v>
      </c>
      <c r="Q92" s="147">
        <v>0.72222222222222221</v>
      </c>
      <c r="R92" s="147">
        <v>0.75694444444444453</v>
      </c>
      <c r="S92" s="147">
        <v>0.77777777777777779</v>
      </c>
      <c r="T92" s="138">
        <f t="shared" si="10"/>
        <v>3.4722222222222321E-2</v>
      </c>
      <c r="U92" s="138">
        <f t="shared" si="10"/>
        <v>2.0833333333333259E-2</v>
      </c>
      <c r="V92" s="147">
        <v>0.78125</v>
      </c>
      <c r="W92" s="148">
        <f t="shared" si="11"/>
        <v>5.902777777777779E-2</v>
      </c>
      <c r="X92" s="81"/>
    </row>
    <row r="93" spans="1:24" s="113" customFormat="1" x14ac:dyDescent="0.25">
      <c r="A93" s="140">
        <f t="shared" si="12"/>
        <v>3</v>
      </c>
      <c r="B93" s="157">
        <v>43845</v>
      </c>
      <c r="C93" s="157">
        <v>43845</v>
      </c>
      <c r="D93" s="100" t="s">
        <v>337</v>
      </c>
      <c r="E93" s="79"/>
      <c r="F93" s="153">
        <v>540</v>
      </c>
      <c r="G93" s="79" t="s">
        <v>77</v>
      </c>
      <c r="H93" s="158" t="s">
        <v>62</v>
      </c>
      <c r="I93" s="144" t="s">
        <v>63</v>
      </c>
      <c r="J93" s="139"/>
      <c r="K93" s="139"/>
      <c r="L93" s="98" t="s">
        <v>55</v>
      </c>
      <c r="M93" s="79"/>
      <c r="N93" s="139"/>
      <c r="O93" s="139">
        <v>26</v>
      </c>
      <c r="P93" s="257">
        <v>0.79166666666666663</v>
      </c>
      <c r="Q93" s="147">
        <v>0.75694444444444453</v>
      </c>
      <c r="R93" s="147">
        <v>0.79166666666666663</v>
      </c>
      <c r="S93" s="147">
        <v>0.81944444444444453</v>
      </c>
      <c r="T93" s="138">
        <f t="shared" si="10"/>
        <v>3.4722222222222099E-2</v>
      </c>
      <c r="U93" s="138">
        <f t="shared" si="10"/>
        <v>2.7777777777777901E-2</v>
      </c>
      <c r="V93" s="147">
        <v>0.82291666666666663</v>
      </c>
      <c r="W93" s="148">
        <f t="shared" si="11"/>
        <v>6.5972222222222099E-2</v>
      </c>
      <c r="X93" s="81" t="s">
        <v>517</v>
      </c>
    </row>
    <row r="94" spans="1:24" s="113" customFormat="1" x14ac:dyDescent="0.25">
      <c r="A94" s="140">
        <f>WEEKNUM(B94,21)</f>
        <v>3</v>
      </c>
      <c r="B94" s="157">
        <v>43845</v>
      </c>
      <c r="C94" s="157">
        <v>43845</v>
      </c>
      <c r="D94" s="100" t="s">
        <v>337</v>
      </c>
      <c r="E94" s="79"/>
      <c r="F94" s="153">
        <v>540</v>
      </c>
      <c r="G94" s="79" t="s">
        <v>493</v>
      </c>
      <c r="H94" s="158" t="s">
        <v>76</v>
      </c>
      <c r="I94" s="254" t="s">
        <v>355</v>
      </c>
      <c r="J94" s="139"/>
      <c r="K94" s="139"/>
      <c r="L94" s="98" t="s">
        <v>55</v>
      </c>
      <c r="M94" s="79"/>
      <c r="N94" s="139"/>
      <c r="O94" s="139">
        <v>27</v>
      </c>
      <c r="P94" s="259">
        <v>0.83333333333333337</v>
      </c>
      <c r="Q94" s="147">
        <v>0.80902777777777779</v>
      </c>
      <c r="R94" s="147">
        <v>0.82291666666666663</v>
      </c>
      <c r="S94" s="147">
        <v>0.84375</v>
      </c>
      <c r="T94" s="138">
        <f>R94-Q94</f>
        <v>1.388888888888884E-2</v>
      </c>
      <c r="U94" s="138">
        <f>S94-R94</f>
        <v>2.083333333333337E-2</v>
      </c>
      <c r="V94" s="147">
        <v>0.84722222222222221</v>
      </c>
      <c r="W94" s="148">
        <f t="shared" si="11"/>
        <v>3.819444444444442E-2</v>
      </c>
      <c r="X94" s="81"/>
    </row>
    <row r="95" spans="1:24" s="113" customFormat="1" ht="31.5" x14ac:dyDescent="0.25">
      <c r="A95" s="140">
        <f t="shared" si="12"/>
        <v>3</v>
      </c>
      <c r="B95" s="157">
        <v>43845</v>
      </c>
      <c r="C95" s="157">
        <v>43845</v>
      </c>
      <c r="D95" s="100" t="s">
        <v>68</v>
      </c>
      <c r="E95" s="79">
        <v>1000451725</v>
      </c>
      <c r="F95" s="153">
        <v>240</v>
      </c>
      <c r="G95" s="137" t="s">
        <v>69</v>
      </c>
      <c r="H95" s="158" t="s">
        <v>496</v>
      </c>
      <c r="I95" s="79" t="s">
        <v>500</v>
      </c>
      <c r="J95" s="139" t="s">
        <v>19</v>
      </c>
      <c r="K95" s="139"/>
      <c r="L95" s="98" t="s">
        <v>55</v>
      </c>
      <c r="M95" s="79">
        <v>80</v>
      </c>
      <c r="N95" s="139" t="s">
        <v>51</v>
      </c>
      <c r="O95" s="139">
        <v>37</v>
      </c>
      <c r="P95" s="138">
        <v>0.41666666666666669</v>
      </c>
      <c r="Q95" s="147">
        <v>0.36458333333333331</v>
      </c>
      <c r="R95" s="147">
        <v>0.375</v>
      </c>
      <c r="S95" s="147">
        <v>0.39583333333333331</v>
      </c>
      <c r="T95" s="138">
        <f t="shared" si="10"/>
        <v>1.0416666666666685E-2</v>
      </c>
      <c r="U95" s="138">
        <f t="shared" si="10"/>
        <v>2.0833333333333315E-2</v>
      </c>
      <c r="V95" s="147">
        <v>0.40277777777777773</v>
      </c>
      <c r="W95" s="148">
        <f t="shared" si="11"/>
        <v>3.819444444444442E-2</v>
      </c>
      <c r="X95" s="81"/>
    </row>
    <row r="96" spans="1:24" s="113" customFormat="1" ht="31.5" x14ac:dyDescent="0.25">
      <c r="A96" s="140">
        <f t="shared" si="12"/>
        <v>3</v>
      </c>
      <c r="B96" s="157">
        <v>43845</v>
      </c>
      <c r="C96" s="157">
        <v>43845</v>
      </c>
      <c r="D96" s="100" t="s">
        <v>337</v>
      </c>
      <c r="E96" s="79">
        <v>1000451757</v>
      </c>
      <c r="F96" s="153">
        <v>120</v>
      </c>
      <c r="G96" s="137" t="s">
        <v>70</v>
      </c>
      <c r="H96" s="158" t="s">
        <v>495</v>
      </c>
      <c r="I96" s="79" t="s">
        <v>488</v>
      </c>
      <c r="J96" s="139" t="s">
        <v>19</v>
      </c>
      <c r="K96" s="139"/>
      <c r="L96" s="98" t="s">
        <v>55</v>
      </c>
      <c r="M96" s="79">
        <v>80</v>
      </c>
      <c r="N96" s="139" t="s">
        <v>51</v>
      </c>
      <c r="O96" s="139">
        <v>46</v>
      </c>
      <c r="P96" s="138">
        <v>0.45833333333333331</v>
      </c>
      <c r="Q96" s="147">
        <v>0.59722222222222221</v>
      </c>
      <c r="R96" s="147">
        <v>0.60416666666666663</v>
      </c>
      <c r="S96" s="147">
        <v>0.625</v>
      </c>
      <c r="T96" s="138">
        <f t="shared" si="10"/>
        <v>6.9444444444444198E-3</v>
      </c>
      <c r="U96" s="138">
        <f t="shared" si="10"/>
        <v>2.083333333333337E-2</v>
      </c>
      <c r="V96" s="147">
        <v>0.62847222222222221</v>
      </c>
      <c r="W96" s="148">
        <f t="shared" si="11"/>
        <v>3.125E-2</v>
      </c>
      <c r="X96" s="81" t="s">
        <v>505</v>
      </c>
    </row>
    <row r="97" spans="1:25" s="113" customFormat="1" x14ac:dyDescent="0.25">
      <c r="A97" s="140">
        <f t="shared" si="12"/>
        <v>3</v>
      </c>
      <c r="B97" s="157">
        <v>43845</v>
      </c>
      <c r="C97" s="157">
        <v>43845</v>
      </c>
      <c r="D97" s="100" t="s">
        <v>68</v>
      </c>
      <c r="E97" s="79">
        <v>1000451746</v>
      </c>
      <c r="F97" s="153">
        <v>360</v>
      </c>
      <c r="G97" s="137" t="s">
        <v>71</v>
      </c>
      <c r="H97" s="158" t="s">
        <v>494</v>
      </c>
      <c r="I97" s="79" t="s">
        <v>485</v>
      </c>
      <c r="J97" s="139" t="s">
        <v>19</v>
      </c>
      <c r="K97" s="139"/>
      <c r="L97" s="98" t="s">
        <v>55</v>
      </c>
      <c r="M97" s="79">
        <v>80</v>
      </c>
      <c r="N97" s="139" t="s">
        <v>51</v>
      </c>
      <c r="O97" s="139">
        <v>39</v>
      </c>
      <c r="P97" s="138">
        <v>0.45833333333333331</v>
      </c>
      <c r="Q97" s="147">
        <v>0.49652777777777773</v>
      </c>
      <c r="R97" s="147">
        <v>0.52430555555555558</v>
      </c>
      <c r="S97" s="147">
        <v>0.54861111111111105</v>
      </c>
      <c r="T97" s="138">
        <f t="shared" si="10"/>
        <v>2.7777777777777846E-2</v>
      </c>
      <c r="U97" s="138">
        <f t="shared" si="10"/>
        <v>2.4305555555555469E-2</v>
      </c>
      <c r="V97" s="147">
        <v>0.55208333333333337</v>
      </c>
      <c r="W97" s="148">
        <f t="shared" si="11"/>
        <v>5.5555555555555636E-2</v>
      </c>
      <c r="X97" s="81"/>
    </row>
    <row r="98" spans="1:25" s="113" customFormat="1" x14ac:dyDescent="0.25">
      <c r="A98" s="140">
        <f t="shared" si="12"/>
        <v>3</v>
      </c>
      <c r="B98" s="157">
        <v>43845</v>
      </c>
      <c r="C98" s="157">
        <v>43845</v>
      </c>
      <c r="D98" s="100" t="s">
        <v>68</v>
      </c>
      <c r="E98" s="79">
        <v>1000451753</v>
      </c>
      <c r="F98" s="153">
        <v>180</v>
      </c>
      <c r="G98" s="137" t="s">
        <v>73</v>
      </c>
      <c r="H98" s="158" t="s">
        <v>347</v>
      </c>
      <c r="I98" s="79" t="s">
        <v>484</v>
      </c>
      <c r="J98" s="139" t="s">
        <v>19</v>
      </c>
      <c r="K98" s="139"/>
      <c r="L98" s="98" t="s">
        <v>55</v>
      </c>
      <c r="M98" s="79">
        <v>80</v>
      </c>
      <c r="N98" s="139" t="s">
        <v>51</v>
      </c>
      <c r="O98" s="139">
        <v>46</v>
      </c>
      <c r="P98" s="138">
        <v>0.5</v>
      </c>
      <c r="Q98" s="147">
        <v>0.67013888888888884</v>
      </c>
      <c r="R98" s="147">
        <v>0.70833333333333337</v>
      </c>
      <c r="S98" s="147">
        <v>0.73611111111111116</v>
      </c>
      <c r="T98" s="138">
        <f t="shared" si="10"/>
        <v>3.8194444444444531E-2</v>
      </c>
      <c r="U98" s="138">
        <f t="shared" si="10"/>
        <v>2.777777777777779E-2</v>
      </c>
      <c r="V98" s="147">
        <v>0.74305555555555547</v>
      </c>
      <c r="W98" s="148">
        <f t="shared" si="11"/>
        <v>7.291666666666663E-2</v>
      </c>
      <c r="X98" s="81"/>
    </row>
    <row r="99" spans="1:25" s="113" customFormat="1" x14ac:dyDescent="0.25">
      <c r="A99" s="140">
        <f t="shared" si="12"/>
        <v>3</v>
      </c>
      <c r="B99" s="157">
        <v>43845</v>
      </c>
      <c r="C99" s="157">
        <v>43845</v>
      </c>
      <c r="D99" s="100" t="s">
        <v>68</v>
      </c>
      <c r="E99" s="79">
        <v>1000451751</v>
      </c>
      <c r="F99" s="153">
        <v>600</v>
      </c>
      <c r="G99" s="137" t="s">
        <v>72</v>
      </c>
      <c r="H99" s="158" t="s">
        <v>497</v>
      </c>
      <c r="I99" s="79" t="s">
        <v>487</v>
      </c>
      <c r="J99" s="139" t="s">
        <v>19</v>
      </c>
      <c r="K99" s="139"/>
      <c r="L99" s="98" t="s">
        <v>55</v>
      </c>
      <c r="M99" s="79">
        <v>80</v>
      </c>
      <c r="N99" s="139" t="s">
        <v>51</v>
      </c>
      <c r="O99" s="139">
        <v>39</v>
      </c>
      <c r="P99" s="138">
        <v>0.5</v>
      </c>
      <c r="Q99" s="147">
        <v>0.46875</v>
      </c>
      <c r="R99" s="147">
        <v>0.55208333333333337</v>
      </c>
      <c r="S99" s="147">
        <v>0.56944444444444442</v>
      </c>
      <c r="T99" s="138">
        <f t="shared" si="10"/>
        <v>8.333333333333337E-2</v>
      </c>
      <c r="U99" s="138">
        <f t="shared" si="10"/>
        <v>1.7361111111111049E-2</v>
      </c>
      <c r="V99" s="147">
        <v>0.57291666666666663</v>
      </c>
      <c r="W99" s="148">
        <f t="shared" si="11"/>
        <v>0.10416666666666663</v>
      </c>
      <c r="X99" s="81" t="s">
        <v>507</v>
      </c>
    </row>
    <row r="100" spans="1:25" s="113" customFormat="1" ht="32.25" thickBot="1" x14ac:dyDescent="0.3">
      <c r="A100" s="185">
        <f t="shared" si="12"/>
        <v>3</v>
      </c>
      <c r="B100" s="186">
        <v>43845</v>
      </c>
      <c r="C100" s="186">
        <v>43845</v>
      </c>
      <c r="D100" s="236" t="s">
        <v>66</v>
      </c>
      <c r="E100" s="172">
        <v>1000451755</v>
      </c>
      <c r="F100" s="187">
        <v>150</v>
      </c>
      <c r="G100" s="185" t="s">
        <v>74</v>
      </c>
      <c r="H100" s="188" t="s">
        <v>498</v>
      </c>
      <c r="I100" s="172" t="s">
        <v>486</v>
      </c>
      <c r="J100" s="189" t="s">
        <v>19</v>
      </c>
      <c r="K100" s="189"/>
      <c r="L100" s="172" t="s">
        <v>55</v>
      </c>
      <c r="M100" s="172">
        <v>80</v>
      </c>
      <c r="N100" s="189" t="s">
        <v>51</v>
      </c>
      <c r="O100" s="189">
        <v>37</v>
      </c>
      <c r="P100" s="190">
        <v>0.54166666666666663</v>
      </c>
      <c r="Q100" s="191">
        <v>0.53819444444444442</v>
      </c>
      <c r="R100" s="191">
        <v>0.55555555555555558</v>
      </c>
      <c r="S100" s="191">
        <v>0.57638888888888895</v>
      </c>
      <c r="T100" s="190">
        <f t="shared" si="10"/>
        <v>1.736111111111116E-2</v>
      </c>
      <c r="U100" s="190">
        <f t="shared" si="10"/>
        <v>2.083333333333337E-2</v>
      </c>
      <c r="V100" s="191">
        <v>0.57986111111111105</v>
      </c>
      <c r="W100" s="190">
        <f t="shared" si="11"/>
        <v>4.166666666666663E-2</v>
      </c>
      <c r="X100" s="174"/>
      <c r="Y100" s="268"/>
    </row>
    <row r="101" spans="1:25" s="113" customFormat="1" x14ac:dyDescent="0.25">
      <c r="A101" s="140">
        <f t="shared" si="12"/>
        <v>3</v>
      </c>
      <c r="B101" s="157">
        <v>43846</v>
      </c>
      <c r="C101" s="157">
        <v>43846</v>
      </c>
      <c r="D101" s="102" t="s">
        <v>337</v>
      </c>
      <c r="E101" s="98"/>
      <c r="F101" s="177">
        <v>540</v>
      </c>
      <c r="G101" s="140" t="s">
        <v>53</v>
      </c>
      <c r="H101" s="286" t="s">
        <v>65</v>
      </c>
      <c r="I101" s="143" t="s">
        <v>54</v>
      </c>
      <c r="J101" s="142"/>
      <c r="K101" s="142"/>
      <c r="L101" s="98" t="s">
        <v>55</v>
      </c>
      <c r="M101" s="98"/>
      <c r="N101" s="142"/>
      <c r="O101" s="142">
        <v>9</v>
      </c>
      <c r="P101" s="99">
        <v>0.66666666666666663</v>
      </c>
      <c r="Q101" s="148">
        <v>0.63541666666666663</v>
      </c>
      <c r="R101" s="148">
        <v>0.66666666666666663</v>
      </c>
      <c r="S101" s="148">
        <v>0.67708333333333337</v>
      </c>
      <c r="T101" s="179">
        <f t="shared" si="10"/>
        <v>3.125E-2</v>
      </c>
      <c r="U101" s="179">
        <f t="shared" si="10"/>
        <v>1.0416666666666741E-2</v>
      </c>
      <c r="V101" s="148">
        <v>0.68055555555555547</v>
      </c>
      <c r="W101" s="148">
        <f t="shared" si="11"/>
        <v>4.513888888888884E-2</v>
      </c>
      <c r="X101" s="96"/>
    </row>
    <row r="102" spans="1:25" s="113" customFormat="1" x14ac:dyDescent="0.25">
      <c r="A102" s="140">
        <f t="shared" si="12"/>
        <v>3</v>
      </c>
      <c r="B102" s="157">
        <v>43846</v>
      </c>
      <c r="C102" s="157">
        <v>43846</v>
      </c>
      <c r="D102" s="100" t="s">
        <v>337</v>
      </c>
      <c r="E102" s="79"/>
      <c r="F102" s="153">
        <v>540</v>
      </c>
      <c r="G102" s="137" t="s">
        <v>56</v>
      </c>
      <c r="H102" s="273" t="s">
        <v>76</v>
      </c>
      <c r="I102" s="143" t="s">
        <v>58</v>
      </c>
      <c r="J102" s="139"/>
      <c r="K102" s="139"/>
      <c r="L102" s="98" t="s">
        <v>55</v>
      </c>
      <c r="M102" s="79"/>
      <c r="N102" s="139"/>
      <c r="O102" s="139">
        <v>18</v>
      </c>
      <c r="P102" s="80">
        <v>0.70833333333333337</v>
      </c>
      <c r="Q102" s="147">
        <v>0.68055555555555547</v>
      </c>
      <c r="R102" s="147">
        <v>0.6875</v>
      </c>
      <c r="S102" s="147">
        <v>0.71180555555555547</v>
      </c>
      <c r="T102" s="138">
        <f t="shared" si="10"/>
        <v>6.9444444444445308E-3</v>
      </c>
      <c r="U102" s="138">
        <f t="shared" si="10"/>
        <v>2.4305555555555469E-2</v>
      </c>
      <c r="V102" s="147">
        <v>0.71875</v>
      </c>
      <c r="W102" s="148">
        <f t="shared" si="11"/>
        <v>3.8194444444444531E-2</v>
      </c>
      <c r="X102" s="81"/>
    </row>
    <row r="103" spans="1:25" s="113" customFormat="1" x14ac:dyDescent="0.25">
      <c r="A103" s="140">
        <f t="shared" si="12"/>
        <v>3</v>
      </c>
      <c r="B103" s="157">
        <v>43846</v>
      </c>
      <c r="C103" s="157">
        <v>43846</v>
      </c>
      <c r="D103" s="100" t="s">
        <v>337</v>
      </c>
      <c r="E103" s="79"/>
      <c r="F103" s="153">
        <v>540</v>
      </c>
      <c r="G103" s="140" t="s">
        <v>59</v>
      </c>
      <c r="H103" s="158" t="s">
        <v>330</v>
      </c>
      <c r="I103" s="143" t="s">
        <v>60</v>
      </c>
      <c r="J103" s="139"/>
      <c r="K103" s="139"/>
      <c r="L103" s="98" t="s">
        <v>55</v>
      </c>
      <c r="M103" s="79"/>
      <c r="N103" s="139"/>
      <c r="O103" s="139">
        <v>17</v>
      </c>
      <c r="P103" s="80">
        <v>0.70833333333333337</v>
      </c>
      <c r="Q103" s="147">
        <v>0.69444444444444453</v>
      </c>
      <c r="R103" s="147">
        <v>0.71875</v>
      </c>
      <c r="S103" s="147">
        <v>0.72916666666666663</v>
      </c>
      <c r="T103" s="138">
        <f t="shared" si="10"/>
        <v>2.4305555555555469E-2</v>
      </c>
      <c r="U103" s="138">
        <f t="shared" si="10"/>
        <v>1.041666666666663E-2</v>
      </c>
      <c r="V103" s="147">
        <v>0.73263888888888884</v>
      </c>
      <c r="W103" s="148">
        <f t="shared" si="11"/>
        <v>3.8194444444444309E-2</v>
      </c>
      <c r="X103" s="81"/>
    </row>
    <row r="104" spans="1:25" s="113" customFormat="1" x14ac:dyDescent="0.25">
      <c r="A104" s="140">
        <f t="shared" si="12"/>
        <v>3</v>
      </c>
      <c r="B104" s="157">
        <v>43846</v>
      </c>
      <c r="C104" s="157">
        <v>43846</v>
      </c>
      <c r="D104" s="100" t="s">
        <v>361</v>
      </c>
      <c r="E104" s="79"/>
      <c r="F104" s="153">
        <v>540</v>
      </c>
      <c r="G104" s="140" t="s">
        <v>61</v>
      </c>
      <c r="H104" s="158" t="s">
        <v>317</v>
      </c>
      <c r="I104" s="144" t="s">
        <v>63</v>
      </c>
      <c r="J104" s="139"/>
      <c r="K104" s="139"/>
      <c r="L104" s="98" t="s">
        <v>55</v>
      </c>
      <c r="M104" s="79"/>
      <c r="N104" s="139"/>
      <c r="O104" s="139">
        <v>21</v>
      </c>
      <c r="P104" s="80">
        <v>0.75</v>
      </c>
      <c r="Q104" s="147">
        <v>0.74305555555555547</v>
      </c>
      <c r="R104" s="147">
        <v>0.75</v>
      </c>
      <c r="S104" s="147">
        <v>0.76388888888888884</v>
      </c>
      <c r="T104" s="138">
        <f t="shared" si="10"/>
        <v>6.9444444444445308E-3</v>
      </c>
      <c r="U104" s="138">
        <f t="shared" si="10"/>
        <v>1.388888888888884E-2</v>
      </c>
      <c r="V104" s="147">
        <v>0.76736111111111116</v>
      </c>
      <c r="W104" s="148">
        <f t="shared" si="11"/>
        <v>2.4305555555555691E-2</v>
      </c>
      <c r="X104" s="81"/>
    </row>
    <row r="105" spans="1:25" s="113" customFormat="1" x14ac:dyDescent="0.25">
      <c r="A105" s="140">
        <f t="shared" si="12"/>
        <v>3</v>
      </c>
      <c r="B105" s="157">
        <v>43846</v>
      </c>
      <c r="C105" s="157">
        <v>43846</v>
      </c>
      <c r="D105" s="100" t="s">
        <v>361</v>
      </c>
      <c r="E105" s="79"/>
      <c r="F105" s="153">
        <v>540</v>
      </c>
      <c r="G105" s="137" t="s">
        <v>64</v>
      </c>
      <c r="H105" s="273" t="s">
        <v>62</v>
      </c>
      <c r="I105" s="254" t="s">
        <v>355</v>
      </c>
      <c r="J105" s="139"/>
      <c r="K105" s="139"/>
      <c r="L105" s="98" t="s">
        <v>55</v>
      </c>
      <c r="M105" s="79"/>
      <c r="N105" s="139"/>
      <c r="O105" s="139">
        <v>24</v>
      </c>
      <c r="P105" s="257">
        <v>0.79166666666666663</v>
      </c>
      <c r="Q105" s="147">
        <v>0.78125</v>
      </c>
      <c r="R105" s="147">
        <v>0.79861111111111116</v>
      </c>
      <c r="S105" s="147">
        <v>0.82291666666666663</v>
      </c>
      <c r="T105" s="138">
        <f t="shared" si="10"/>
        <v>1.736111111111116E-2</v>
      </c>
      <c r="U105" s="138">
        <f t="shared" si="10"/>
        <v>2.4305555555555469E-2</v>
      </c>
      <c r="V105" s="147">
        <v>0.82638888888888884</v>
      </c>
      <c r="W105" s="148">
        <f>U105-T105</f>
        <v>6.9444444444443088E-3</v>
      </c>
      <c r="X105" s="81"/>
    </row>
    <row r="106" spans="1:25" s="113" customFormat="1" x14ac:dyDescent="0.25">
      <c r="A106" s="140">
        <f t="shared" si="12"/>
        <v>3</v>
      </c>
      <c r="B106" s="157">
        <v>43846</v>
      </c>
      <c r="C106" s="157">
        <v>43846</v>
      </c>
      <c r="D106" s="100" t="s">
        <v>337</v>
      </c>
      <c r="E106" s="79"/>
      <c r="F106" s="153">
        <v>540</v>
      </c>
      <c r="G106" s="79" t="s">
        <v>77</v>
      </c>
      <c r="H106" s="158" t="s">
        <v>80</v>
      </c>
      <c r="I106" s="254" t="s">
        <v>78</v>
      </c>
      <c r="J106" s="139"/>
      <c r="K106" s="139"/>
      <c r="L106" s="98" t="s">
        <v>55</v>
      </c>
      <c r="M106" s="79"/>
      <c r="N106" s="139"/>
      <c r="O106" s="139">
        <v>16</v>
      </c>
      <c r="P106" s="259">
        <v>0.83333333333333337</v>
      </c>
      <c r="Q106" s="147">
        <v>0.79861111111111116</v>
      </c>
      <c r="R106" s="147">
        <v>0.80902777777777779</v>
      </c>
      <c r="S106" s="147">
        <v>0.81944444444444453</v>
      </c>
      <c r="T106" s="138">
        <f t="shared" si="10"/>
        <v>1.041666666666663E-2</v>
      </c>
      <c r="U106" s="138">
        <f t="shared" si="10"/>
        <v>1.0416666666666741E-2</v>
      </c>
      <c r="V106" s="147">
        <v>0.82291666666666663</v>
      </c>
      <c r="W106" s="148">
        <f>U106-T106</f>
        <v>1.1102230246251565E-16</v>
      </c>
      <c r="X106" s="81"/>
    </row>
    <row r="107" spans="1:25" s="113" customFormat="1" x14ac:dyDescent="0.25">
      <c r="A107" s="140">
        <f t="shared" si="12"/>
        <v>3</v>
      </c>
      <c r="B107" s="157">
        <v>43846</v>
      </c>
      <c r="C107" s="157">
        <v>43846</v>
      </c>
      <c r="D107" s="100" t="s">
        <v>66</v>
      </c>
      <c r="E107" s="79">
        <v>1000451726</v>
      </c>
      <c r="F107" s="153">
        <v>600</v>
      </c>
      <c r="G107" s="137" t="s">
        <v>323</v>
      </c>
      <c r="H107" s="158" t="s">
        <v>515</v>
      </c>
      <c r="I107" s="79" t="s">
        <v>506</v>
      </c>
      <c r="J107" s="139" t="s">
        <v>19</v>
      </c>
      <c r="K107" s="139"/>
      <c r="L107" s="98" t="s">
        <v>55</v>
      </c>
      <c r="M107" s="79">
        <v>80</v>
      </c>
      <c r="N107" s="139" t="s">
        <v>51</v>
      </c>
      <c r="O107" s="139">
        <v>33</v>
      </c>
      <c r="P107" s="138">
        <v>0.41666666666666669</v>
      </c>
      <c r="Q107" s="147">
        <v>0.41319444444444442</v>
      </c>
      <c r="R107" s="147">
        <v>0.4201388888888889</v>
      </c>
      <c r="S107" s="147">
        <v>0.44097222222222227</v>
      </c>
      <c r="T107" s="138">
        <f t="shared" si="10"/>
        <v>6.9444444444444753E-3</v>
      </c>
      <c r="U107" s="138">
        <f t="shared" si="10"/>
        <v>2.083333333333337E-2</v>
      </c>
      <c r="V107" s="147">
        <v>0.44791666666666669</v>
      </c>
      <c r="W107" s="148">
        <f>U107-T107</f>
        <v>1.3888888888888895E-2</v>
      </c>
      <c r="X107" s="81"/>
    </row>
    <row r="108" spans="1:25" s="113" customFormat="1" x14ac:dyDescent="0.25">
      <c r="A108" s="140">
        <f t="shared" si="12"/>
        <v>3</v>
      </c>
      <c r="B108" s="157">
        <v>43846</v>
      </c>
      <c r="C108" s="157">
        <v>43846</v>
      </c>
      <c r="D108" s="100" t="s">
        <v>361</v>
      </c>
      <c r="E108" s="79">
        <v>1000452278</v>
      </c>
      <c r="F108" s="153">
        <v>600</v>
      </c>
      <c r="G108" s="137" t="s">
        <v>339</v>
      </c>
      <c r="H108" s="158" t="s">
        <v>516</v>
      </c>
      <c r="I108" s="79">
        <v>3202678436</v>
      </c>
      <c r="J108" s="139" t="s">
        <v>19</v>
      </c>
      <c r="K108" s="139"/>
      <c r="L108" s="98" t="s">
        <v>55</v>
      </c>
      <c r="M108" s="79">
        <v>80</v>
      </c>
      <c r="N108" s="139" t="s">
        <v>51</v>
      </c>
      <c r="O108" s="139">
        <v>33</v>
      </c>
      <c r="P108" s="138">
        <v>0.41666666666666669</v>
      </c>
      <c r="Q108" s="147">
        <v>0.41666666666666669</v>
      </c>
      <c r="R108" s="147">
        <v>0.44444444444444442</v>
      </c>
      <c r="S108" s="147">
        <v>0.46527777777777773</v>
      </c>
      <c r="T108" s="138">
        <f t="shared" si="10"/>
        <v>2.7777777777777735E-2</v>
      </c>
      <c r="U108" s="138">
        <f t="shared" si="10"/>
        <v>2.0833333333333315E-2</v>
      </c>
      <c r="V108" s="147">
        <v>0.46875</v>
      </c>
      <c r="W108" s="148">
        <f t="shared" si="11"/>
        <v>5.2083333333333315E-2</v>
      </c>
      <c r="X108" s="81"/>
    </row>
    <row r="109" spans="1:25" s="113" customFormat="1" ht="16.5" thickBot="1" x14ac:dyDescent="0.3">
      <c r="A109" s="185">
        <f t="shared" si="12"/>
        <v>3</v>
      </c>
      <c r="B109" s="186">
        <v>43846</v>
      </c>
      <c r="C109" s="186">
        <v>43846</v>
      </c>
      <c r="D109" s="236" t="s">
        <v>68</v>
      </c>
      <c r="E109" s="172">
        <v>1000452433</v>
      </c>
      <c r="F109" s="187">
        <v>120</v>
      </c>
      <c r="G109" s="185" t="s">
        <v>342</v>
      </c>
      <c r="H109" s="188" t="s">
        <v>347</v>
      </c>
      <c r="I109" s="172" t="s">
        <v>509</v>
      </c>
      <c r="J109" s="189" t="s">
        <v>19</v>
      </c>
      <c r="K109" s="189"/>
      <c r="L109" s="172" t="s">
        <v>55</v>
      </c>
      <c r="M109" s="172">
        <v>80</v>
      </c>
      <c r="N109" s="189" t="s">
        <v>51</v>
      </c>
      <c r="O109" s="189">
        <v>44</v>
      </c>
      <c r="P109" s="190">
        <v>0.54166666666666663</v>
      </c>
      <c r="Q109" s="191">
        <v>0.63888888888888895</v>
      </c>
      <c r="R109" s="191">
        <v>0.65625</v>
      </c>
      <c r="S109" s="191">
        <v>0.67708333333333337</v>
      </c>
      <c r="T109" s="190">
        <f t="shared" si="10"/>
        <v>1.7361111111111049E-2</v>
      </c>
      <c r="U109" s="190">
        <f t="shared" si="10"/>
        <v>2.083333333333337E-2</v>
      </c>
      <c r="V109" s="191">
        <v>0.68402777777777779</v>
      </c>
      <c r="W109" s="191">
        <f t="shared" si="11"/>
        <v>4.513888888888884E-2</v>
      </c>
      <c r="X109" s="174"/>
      <c r="Y109" s="268"/>
    </row>
    <row r="110" spans="1:25" s="113" customFormat="1" x14ac:dyDescent="0.25">
      <c r="A110" s="140">
        <f t="shared" si="12"/>
        <v>3</v>
      </c>
      <c r="B110" s="157">
        <v>43847</v>
      </c>
      <c r="C110" s="157">
        <v>43847</v>
      </c>
      <c r="D110" s="102" t="s">
        <v>337</v>
      </c>
      <c r="E110" s="98"/>
      <c r="F110" s="177">
        <v>540</v>
      </c>
      <c r="G110" s="140" t="s">
        <v>53</v>
      </c>
      <c r="H110" s="178" t="s">
        <v>65</v>
      </c>
      <c r="I110" s="143" t="s">
        <v>54</v>
      </c>
      <c r="J110" s="142"/>
      <c r="K110" s="142"/>
      <c r="L110" s="98" t="s">
        <v>55</v>
      </c>
      <c r="M110" s="98"/>
      <c r="N110" s="142"/>
      <c r="O110" s="142">
        <v>23</v>
      </c>
      <c r="P110" s="99">
        <v>0.66666666666666663</v>
      </c>
      <c r="Q110" s="148">
        <v>0.65277777777777779</v>
      </c>
      <c r="R110" s="148">
        <v>0.67361111111111116</v>
      </c>
      <c r="S110" s="148">
        <v>0.69097222222222221</v>
      </c>
      <c r="T110" s="179">
        <f t="shared" si="10"/>
        <v>2.083333333333337E-2</v>
      </c>
      <c r="U110" s="179">
        <f t="shared" si="10"/>
        <v>1.7361111111111049E-2</v>
      </c>
      <c r="V110" s="148">
        <v>0.69791666666666663</v>
      </c>
      <c r="W110" s="148">
        <f t="shared" si="11"/>
        <v>4.513888888888884E-2</v>
      </c>
      <c r="X110" s="96"/>
    </row>
    <row r="111" spans="1:25" s="113" customFormat="1" x14ac:dyDescent="0.25">
      <c r="A111" s="140">
        <f t="shared" si="12"/>
        <v>3</v>
      </c>
      <c r="B111" s="157">
        <v>43847</v>
      </c>
      <c r="C111" s="157">
        <v>43847</v>
      </c>
      <c r="D111" s="100" t="s">
        <v>337</v>
      </c>
      <c r="E111" s="79"/>
      <c r="F111" s="153">
        <v>540</v>
      </c>
      <c r="G111" s="137" t="s">
        <v>56</v>
      </c>
      <c r="H111" s="158" t="s">
        <v>62</v>
      </c>
      <c r="I111" s="143" t="s">
        <v>58</v>
      </c>
      <c r="J111" s="139"/>
      <c r="K111" s="139"/>
      <c r="L111" s="98" t="s">
        <v>55</v>
      </c>
      <c r="M111" s="79"/>
      <c r="N111" s="139"/>
      <c r="O111" s="139">
        <v>18</v>
      </c>
      <c r="P111" s="80">
        <v>0.70833333333333337</v>
      </c>
      <c r="Q111" s="147">
        <v>0.67708333333333337</v>
      </c>
      <c r="R111" s="147">
        <v>0.74305555555555547</v>
      </c>
      <c r="S111" s="147">
        <v>0.76388888888888884</v>
      </c>
      <c r="T111" s="138">
        <f t="shared" si="10"/>
        <v>6.5972222222222099E-2</v>
      </c>
      <c r="U111" s="138">
        <f t="shared" si="10"/>
        <v>2.083333333333337E-2</v>
      </c>
      <c r="V111" s="147">
        <v>0.76736111111111116</v>
      </c>
      <c r="W111" s="148">
        <f t="shared" si="11"/>
        <v>9.027777777777779E-2</v>
      </c>
      <c r="X111" s="81"/>
    </row>
    <row r="112" spans="1:25" s="113" customFormat="1" x14ac:dyDescent="0.25">
      <c r="A112" s="140">
        <f t="shared" si="12"/>
        <v>3</v>
      </c>
      <c r="B112" s="157">
        <v>43847</v>
      </c>
      <c r="C112" s="157">
        <v>43847</v>
      </c>
      <c r="D112" s="100" t="s">
        <v>337</v>
      </c>
      <c r="E112" s="79"/>
      <c r="F112" s="153">
        <v>540</v>
      </c>
      <c r="G112" s="140" t="s">
        <v>59</v>
      </c>
      <c r="H112" s="158" t="s">
        <v>80</v>
      </c>
      <c r="I112" s="144" t="s">
        <v>63</v>
      </c>
      <c r="J112" s="139"/>
      <c r="K112" s="139"/>
      <c r="L112" s="98" t="s">
        <v>55</v>
      </c>
      <c r="M112" s="79"/>
      <c r="N112" s="139"/>
      <c r="O112" s="139">
        <v>18</v>
      </c>
      <c r="P112" s="80">
        <v>0.75</v>
      </c>
      <c r="Q112" s="147">
        <v>0.65625</v>
      </c>
      <c r="R112" s="147">
        <v>0.77083333333333337</v>
      </c>
      <c r="S112" s="147">
        <v>0.78472222222222221</v>
      </c>
      <c r="T112" s="138">
        <f t="shared" si="10"/>
        <v>0.11458333333333337</v>
      </c>
      <c r="U112" s="138">
        <f t="shared" si="10"/>
        <v>1.388888888888884E-2</v>
      </c>
      <c r="V112" s="147">
        <v>0.79166666666666663</v>
      </c>
      <c r="W112" s="148">
        <f t="shared" si="11"/>
        <v>0.13541666666666663</v>
      </c>
      <c r="X112" s="81" t="s">
        <v>553</v>
      </c>
    </row>
    <row r="113" spans="1:25" s="113" customFormat="1" x14ac:dyDescent="0.25">
      <c r="A113" s="140">
        <f t="shared" si="12"/>
        <v>3</v>
      </c>
      <c r="B113" s="157">
        <v>43847</v>
      </c>
      <c r="C113" s="157"/>
      <c r="D113" s="100"/>
      <c r="E113" s="79"/>
      <c r="F113" s="153"/>
      <c r="G113" s="137" t="s">
        <v>449</v>
      </c>
      <c r="H113" s="158" t="s">
        <v>538</v>
      </c>
      <c r="I113" s="79">
        <v>3202645291</v>
      </c>
      <c r="J113" s="139"/>
      <c r="K113" s="139"/>
      <c r="L113" s="98" t="s">
        <v>55</v>
      </c>
      <c r="M113" s="139" t="s">
        <v>539</v>
      </c>
      <c r="N113" s="139"/>
      <c r="O113" s="139">
        <v>16</v>
      </c>
      <c r="P113" s="259">
        <v>0.375</v>
      </c>
      <c r="Q113" s="147">
        <v>0.38541666666666669</v>
      </c>
      <c r="R113" s="147">
        <v>0.38541666666666669</v>
      </c>
      <c r="S113" s="147">
        <v>0.39583333333333331</v>
      </c>
      <c r="T113" s="138">
        <f t="shared" si="10"/>
        <v>0</v>
      </c>
      <c r="U113" s="138">
        <f t="shared" si="10"/>
        <v>1.041666666666663E-2</v>
      </c>
      <c r="V113" s="147">
        <v>0.39930555555555558</v>
      </c>
      <c r="W113" s="148">
        <f t="shared" si="11"/>
        <v>1.3888888888888895E-2</v>
      </c>
      <c r="X113" s="81"/>
    </row>
    <row r="114" spans="1:25" s="113" customFormat="1" x14ac:dyDescent="0.25">
      <c r="A114" s="140">
        <f>WEEKNUM(B114,21)</f>
        <v>3</v>
      </c>
      <c r="B114" s="157">
        <v>43847</v>
      </c>
      <c r="C114" s="157">
        <v>43847</v>
      </c>
      <c r="D114" s="100"/>
      <c r="E114" s="79"/>
      <c r="F114" s="153"/>
      <c r="G114" s="137" t="s">
        <v>524</v>
      </c>
      <c r="H114" s="158"/>
      <c r="I114" s="79">
        <v>3202696537</v>
      </c>
      <c r="J114" s="139"/>
      <c r="K114" s="139"/>
      <c r="L114" s="98" t="s">
        <v>55</v>
      </c>
      <c r="M114" s="79" t="s">
        <v>534</v>
      </c>
      <c r="N114" s="139"/>
      <c r="O114" s="139">
        <v>6</v>
      </c>
      <c r="P114" s="138"/>
      <c r="Q114" s="147"/>
      <c r="R114" s="147"/>
      <c r="S114" s="147"/>
      <c r="T114" s="138">
        <f>R114-Q114</f>
        <v>0</v>
      </c>
      <c r="U114" s="138">
        <f>S114-R114</f>
        <v>0</v>
      </c>
      <c r="V114" s="147"/>
      <c r="W114" s="148">
        <f>V114-Q114</f>
        <v>0</v>
      </c>
      <c r="X114" s="81"/>
    </row>
    <row r="115" spans="1:25" s="113" customFormat="1" x14ac:dyDescent="0.25">
      <c r="A115" s="140">
        <f t="shared" si="12"/>
        <v>3</v>
      </c>
      <c r="B115" s="157">
        <v>43847</v>
      </c>
      <c r="C115" s="157">
        <v>43847</v>
      </c>
      <c r="D115" s="100" t="s">
        <v>66</v>
      </c>
      <c r="E115" s="79">
        <v>1000451727</v>
      </c>
      <c r="F115" s="153">
        <v>300</v>
      </c>
      <c r="G115" s="137" t="s">
        <v>370</v>
      </c>
      <c r="H115" s="158" t="s">
        <v>400</v>
      </c>
      <c r="I115" s="79" t="s">
        <v>525</v>
      </c>
      <c r="J115" s="139" t="s">
        <v>19</v>
      </c>
      <c r="K115" s="139"/>
      <c r="L115" s="98" t="s">
        <v>55</v>
      </c>
      <c r="M115" s="79">
        <v>80</v>
      </c>
      <c r="N115" s="139" t="s">
        <v>51</v>
      </c>
      <c r="O115" s="139">
        <v>33</v>
      </c>
      <c r="P115" s="138">
        <v>0.41666666666666669</v>
      </c>
      <c r="Q115" s="147">
        <v>0.4236111111111111</v>
      </c>
      <c r="R115" s="147">
        <v>0.43402777777777773</v>
      </c>
      <c r="S115" s="147">
        <v>0.4513888888888889</v>
      </c>
      <c r="T115" s="138">
        <f t="shared" si="10"/>
        <v>1.041666666666663E-2</v>
      </c>
      <c r="U115" s="138">
        <f t="shared" si="10"/>
        <v>1.736111111111116E-2</v>
      </c>
      <c r="V115" s="147">
        <v>0.46180555555555558</v>
      </c>
      <c r="W115" s="148">
        <f t="shared" si="11"/>
        <v>3.8194444444444475E-2</v>
      </c>
      <c r="X115" s="81"/>
    </row>
    <row r="116" spans="1:25" s="113" customFormat="1" x14ac:dyDescent="0.25">
      <c r="A116" s="140">
        <f t="shared" si="12"/>
        <v>3</v>
      </c>
      <c r="B116" s="157">
        <v>43847</v>
      </c>
      <c r="C116" s="157">
        <v>43847</v>
      </c>
      <c r="D116" s="100" t="s">
        <v>68</v>
      </c>
      <c r="E116" s="79">
        <v>1000451747</v>
      </c>
      <c r="F116" s="153">
        <v>180</v>
      </c>
      <c r="G116" s="137" t="s">
        <v>324</v>
      </c>
      <c r="H116" s="158" t="s">
        <v>529</v>
      </c>
      <c r="I116" s="79" t="s">
        <v>527</v>
      </c>
      <c r="J116" s="139" t="s">
        <v>19</v>
      </c>
      <c r="K116" s="139"/>
      <c r="L116" s="98" t="s">
        <v>55</v>
      </c>
      <c r="M116" s="79">
        <v>80</v>
      </c>
      <c r="N116" s="139"/>
      <c r="O116" s="139">
        <v>37</v>
      </c>
      <c r="P116" s="138">
        <v>0.45833333333333331</v>
      </c>
      <c r="Q116" s="147">
        <v>0.56597222222222221</v>
      </c>
      <c r="R116" s="147">
        <v>0.61111111111111105</v>
      </c>
      <c r="S116" s="147">
        <v>0.63541666666666663</v>
      </c>
      <c r="T116" s="138">
        <f t="shared" si="10"/>
        <v>4.513888888888884E-2</v>
      </c>
      <c r="U116" s="138">
        <f t="shared" si="10"/>
        <v>2.430555555555558E-2</v>
      </c>
      <c r="V116" s="147">
        <v>0.64583333333333337</v>
      </c>
      <c r="W116" s="148">
        <f t="shared" si="11"/>
        <v>7.986111111111116E-2</v>
      </c>
      <c r="X116" s="81"/>
    </row>
    <row r="117" spans="1:25" s="113" customFormat="1" x14ac:dyDescent="0.25">
      <c r="A117" s="140">
        <f t="shared" si="12"/>
        <v>3</v>
      </c>
      <c r="B117" s="157">
        <v>43847</v>
      </c>
      <c r="C117" s="157">
        <v>43847</v>
      </c>
      <c r="D117" s="100" t="s">
        <v>337</v>
      </c>
      <c r="E117" s="79">
        <v>1000451759</v>
      </c>
      <c r="F117" s="153">
        <v>300</v>
      </c>
      <c r="G117" s="137" t="s">
        <v>325</v>
      </c>
      <c r="H117" s="158" t="s">
        <v>376</v>
      </c>
      <c r="I117" s="79" t="s">
        <v>531</v>
      </c>
      <c r="J117" s="139" t="s">
        <v>19</v>
      </c>
      <c r="K117" s="139"/>
      <c r="L117" s="98" t="s">
        <v>55</v>
      </c>
      <c r="M117" s="79">
        <v>80</v>
      </c>
      <c r="N117" s="139" t="s">
        <v>51</v>
      </c>
      <c r="O117" s="139">
        <v>37</v>
      </c>
      <c r="P117" s="138">
        <v>0.45833333333333331</v>
      </c>
      <c r="Q117" s="147">
        <v>0.31944444444444448</v>
      </c>
      <c r="R117" s="147">
        <v>0.34722222222222227</v>
      </c>
      <c r="S117" s="147">
        <v>0.3611111111111111</v>
      </c>
      <c r="T117" s="138">
        <f t="shared" si="10"/>
        <v>2.777777777777779E-2</v>
      </c>
      <c r="U117" s="138">
        <f t="shared" si="10"/>
        <v>1.388888888888884E-2</v>
      </c>
      <c r="V117" s="147">
        <v>0.36805555555555558</v>
      </c>
      <c r="W117" s="148">
        <f t="shared" si="11"/>
        <v>4.8611111111111105E-2</v>
      </c>
      <c r="X117" s="81"/>
    </row>
    <row r="118" spans="1:25" s="113" customFormat="1" ht="31.5" x14ac:dyDescent="0.25">
      <c r="A118" s="140">
        <f t="shared" si="12"/>
        <v>3</v>
      </c>
      <c r="B118" s="157">
        <v>43847</v>
      </c>
      <c r="C118" s="157">
        <v>43847</v>
      </c>
      <c r="D118" s="100" t="s">
        <v>337</v>
      </c>
      <c r="E118" s="79">
        <v>1000451752</v>
      </c>
      <c r="F118" s="153">
        <v>300</v>
      </c>
      <c r="G118" s="137" t="s">
        <v>341</v>
      </c>
      <c r="H118" s="158" t="s">
        <v>399</v>
      </c>
      <c r="I118" s="79" t="s">
        <v>544</v>
      </c>
      <c r="J118" s="139" t="s">
        <v>19</v>
      </c>
      <c r="K118" s="139"/>
      <c r="L118" s="98" t="s">
        <v>55</v>
      </c>
      <c r="M118" s="79">
        <v>80</v>
      </c>
      <c r="N118" s="139" t="s">
        <v>51</v>
      </c>
      <c r="O118" s="139">
        <v>37</v>
      </c>
      <c r="P118" s="138">
        <v>0.5</v>
      </c>
      <c r="Q118" s="147">
        <v>0.46180555555555558</v>
      </c>
      <c r="R118" s="147">
        <v>0.47916666666666669</v>
      </c>
      <c r="S118" s="147">
        <v>0.50347222222222221</v>
      </c>
      <c r="T118" s="138">
        <f t="shared" si="10"/>
        <v>1.7361111111111105E-2</v>
      </c>
      <c r="U118" s="138">
        <f t="shared" si="10"/>
        <v>2.4305555555555525E-2</v>
      </c>
      <c r="V118" s="147">
        <v>0.52430555555555558</v>
      </c>
      <c r="W118" s="148">
        <f t="shared" si="11"/>
        <v>6.25E-2</v>
      </c>
      <c r="X118" s="81"/>
    </row>
    <row r="119" spans="1:25" s="113" customFormat="1" x14ac:dyDescent="0.25">
      <c r="A119" s="140">
        <f t="shared" si="12"/>
        <v>3</v>
      </c>
      <c r="B119" s="157">
        <v>43847</v>
      </c>
      <c r="C119" s="157">
        <v>43847</v>
      </c>
      <c r="D119" s="100"/>
      <c r="E119" s="79">
        <v>1000451754</v>
      </c>
      <c r="F119" s="153">
        <v>240</v>
      </c>
      <c r="G119" s="137" t="s">
        <v>340</v>
      </c>
      <c r="H119" s="158" t="s">
        <v>528</v>
      </c>
      <c r="I119" s="79" t="s">
        <v>511</v>
      </c>
      <c r="J119" s="139" t="s">
        <v>19</v>
      </c>
      <c r="K119" s="139"/>
      <c r="L119" s="98" t="s">
        <v>55</v>
      </c>
      <c r="M119" s="79">
        <v>80</v>
      </c>
      <c r="N119" s="139" t="s">
        <v>51</v>
      </c>
      <c r="O119" s="139">
        <v>45</v>
      </c>
      <c r="P119" s="138">
        <v>0.5</v>
      </c>
      <c r="Q119" s="147">
        <v>0.69097222222222221</v>
      </c>
      <c r="R119" s="147">
        <v>0.70138888888888884</v>
      </c>
      <c r="S119" s="147">
        <v>0.72916666666666663</v>
      </c>
      <c r="T119" s="138">
        <f t="shared" si="10"/>
        <v>1.041666666666663E-2</v>
      </c>
      <c r="U119" s="138">
        <f t="shared" si="10"/>
        <v>2.777777777777779E-2</v>
      </c>
      <c r="V119" s="147">
        <v>0.73958333333333337</v>
      </c>
      <c r="W119" s="260">
        <f t="shared" si="11"/>
        <v>4.861111111111116E-2</v>
      </c>
      <c r="X119" s="81"/>
    </row>
    <row r="120" spans="1:25" s="113" customFormat="1" ht="16.5" thickBot="1" x14ac:dyDescent="0.3">
      <c r="A120" s="185">
        <f t="shared" si="12"/>
        <v>3</v>
      </c>
      <c r="B120" s="186">
        <v>43847</v>
      </c>
      <c r="C120" s="186">
        <v>43847</v>
      </c>
      <c r="D120" s="236" t="s">
        <v>337</v>
      </c>
      <c r="E120" s="172">
        <v>1000451756</v>
      </c>
      <c r="F120" s="187">
        <v>300</v>
      </c>
      <c r="G120" s="185" t="s">
        <v>510</v>
      </c>
      <c r="H120" s="188" t="s">
        <v>530</v>
      </c>
      <c r="I120" s="172" t="s">
        <v>526</v>
      </c>
      <c r="J120" s="189" t="s">
        <v>19</v>
      </c>
      <c r="K120" s="189"/>
      <c r="L120" s="172" t="s">
        <v>55</v>
      </c>
      <c r="M120" s="172">
        <v>80</v>
      </c>
      <c r="N120" s="189"/>
      <c r="O120" s="189">
        <v>34</v>
      </c>
      <c r="P120" s="190">
        <v>0.54166666666666663</v>
      </c>
      <c r="Q120" s="191">
        <v>0.46527777777777773</v>
      </c>
      <c r="R120" s="191">
        <v>0.49305555555555558</v>
      </c>
      <c r="S120" s="191">
        <v>0.50694444444444442</v>
      </c>
      <c r="T120" s="190">
        <f t="shared" si="10"/>
        <v>2.7777777777777846E-2</v>
      </c>
      <c r="U120" s="190">
        <f t="shared" si="10"/>
        <v>1.388888888888884E-2</v>
      </c>
      <c r="V120" s="287">
        <v>0.52430555555555558</v>
      </c>
      <c r="W120" s="190">
        <f t="shared" si="11"/>
        <v>5.9027777777777846E-2</v>
      </c>
      <c r="X120" s="288"/>
      <c r="Y120" s="268"/>
    </row>
    <row r="121" spans="1:25" s="113" customFormat="1" x14ac:dyDescent="0.25">
      <c r="A121" s="140">
        <f t="shared" si="12"/>
        <v>3</v>
      </c>
      <c r="B121" s="157">
        <v>43848</v>
      </c>
      <c r="C121" s="157">
        <v>43848</v>
      </c>
      <c r="D121" s="102" t="s">
        <v>337</v>
      </c>
      <c r="E121" s="98"/>
      <c r="F121" s="177">
        <v>540</v>
      </c>
      <c r="G121" s="140" t="s">
        <v>53</v>
      </c>
      <c r="H121" s="178" t="s">
        <v>62</v>
      </c>
      <c r="I121" s="143" t="s">
        <v>54</v>
      </c>
      <c r="J121" s="142"/>
      <c r="K121" s="142"/>
      <c r="L121" s="98" t="s">
        <v>55</v>
      </c>
      <c r="M121" s="98"/>
      <c r="N121" s="142"/>
      <c r="O121" s="142">
        <v>17</v>
      </c>
      <c r="P121" s="99">
        <v>0.66666666666666663</v>
      </c>
      <c r="Q121" s="148">
        <v>0.65277777777777779</v>
      </c>
      <c r="R121" s="148">
        <v>0.68055555555555547</v>
      </c>
      <c r="S121" s="148">
        <v>0.70138888888888884</v>
      </c>
      <c r="T121" s="179">
        <f t="shared" si="10"/>
        <v>2.7777777777777679E-2</v>
      </c>
      <c r="U121" s="179">
        <f t="shared" si="10"/>
        <v>2.083333333333337E-2</v>
      </c>
      <c r="V121" s="148">
        <v>0.70833333333333337</v>
      </c>
      <c r="W121" s="148">
        <f t="shared" si="11"/>
        <v>5.555555555555558E-2</v>
      </c>
      <c r="X121" s="96"/>
    </row>
    <row r="122" spans="1:25" s="113" customFormat="1" x14ac:dyDescent="0.25">
      <c r="A122" s="140">
        <f t="shared" si="12"/>
        <v>3</v>
      </c>
      <c r="B122" s="157">
        <v>43848</v>
      </c>
      <c r="C122" s="157">
        <v>43848</v>
      </c>
      <c r="D122" s="100" t="s">
        <v>337</v>
      </c>
      <c r="E122" s="79"/>
      <c r="F122" s="153">
        <v>540</v>
      </c>
      <c r="G122" s="140" t="s">
        <v>59</v>
      </c>
      <c r="H122" s="158" t="s">
        <v>470</v>
      </c>
      <c r="I122" s="143" t="s">
        <v>58</v>
      </c>
      <c r="J122" s="139"/>
      <c r="K122" s="139"/>
      <c r="L122" s="98" t="s">
        <v>55</v>
      </c>
      <c r="M122" s="79"/>
      <c r="N122" s="139"/>
      <c r="O122" s="139">
        <v>18</v>
      </c>
      <c r="P122" s="80">
        <v>0.70833333333333337</v>
      </c>
      <c r="Q122" s="147">
        <v>0.65972222222222221</v>
      </c>
      <c r="R122" s="147">
        <v>0.70833333333333337</v>
      </c>
      <c r="S122" s="147">
        <v>0.72222222222222221</v>
      </c>
      <c r="T122" s="138">
        <f t="shared" si="10"/>
        <v>4.861111111111116E-2</v>
      </c>
      <c r="U122" s="138">
        <f t="shared" si="10"/>
        <v>1.388888888888884E-2</v>
      </c>
      <c r="V122" s="147">
        <v>0.73263888888888884</v>
      </c>
      <c r="W122" s="148">
        <f t="shared" si="11"/>
        <v>7.291666666666663E-2</v>
      </c>
      <c r="X122" s="81"/>
    </row>
    <row r="123" spans="1:25" s="113" customFormat="1" x14ac:dyDescent="0.25">
      <c r="A123" s="140">
        <f t="shared" si="12"/>
        <v>3</v>
      </c>
      <c r="B123" s="157">
        <v>43848</v>
      </c>
      <c r="C123" s="157">
        <v>43848</v>
      </c>
      <c r="D123" s="100" t="s">
        <v>337</v>
      </c>
      <c r="E123" s="79"/>
      <c r="F123" s="153">
        <v>540</v>
      </c>
      <c r="G123" s="140" t="s">
        <v>61</v>
      </c>
      <c r="H123" s="158" t="s">
        <v>317</v>
      </c>
      <c r="I123" s="144" t="s">
        <v>63</v>
      </c>
      <c r="J123" s="139"/>
      <c r="K123" s="139"/>
      <c r="L123" s="98" t="s">
        <v>55</v>
      </c>
      <c r="M123" s="79"/>
      <c r="N123" s="139"/>
      <c r="O123" s="139">
        <v>23</v>
      </c>
      <c r="P123" s="80">
        <v>0.75</v>
      </c>
      <c r="Q123" s="147">
        <v>0.78472222222222221</v>
      </c>
      <c r="R123" s="147">
        <v>0.79166666666666663</v>
      </c>
      <c r="S123" s="147">
        <v>0.80208333333333337</v>
      </c>
      <c r="T123" s="138">
        <f t="shared" si="10"/>
        <v>6.9444444444444198E-3</v>
      </c>
      <c r="U123" s="138">
        <f t="shared" si="10"/>
        <v>1.0416666666666741E-2</v>
      </c>
      <c r="V123" s="147">
        <v>0.80555555555555547</v>
      </c>
      <c r="W123" s="148">
        <f t="shared" si="11"/>
        <v>2.0833333333333259E-2</v>
      </c>
      <c r="X123" s="81"/>
    </row>
    <row r="124" spans="1:25" s="113" customFormat="1" x14ac:dyDescent="0.25">
      <c r="A124" s="140">
        <f>WEEKNUM(C124,21)</f>
        <v>3</v>
      </c>
      <c r="B124" s="157">
        <v>43848</v>
      </c>
      <c r="C124" s="157">
        <v>43848</v>
      </c>
      <c r="D124" s="100" t="s">
        <v>337</v>
      </c>
      <c r="E124" s="79"/>
      <c r="F124" s="153">
        <v>540</v>
      </c>
      <c r="G124" s="79" t="s">
        <v>77</v>
      </c>
      <c r="H124" s="158" t="s">
        <v>80</v>
      </c>
      <c r="I124" s="254" t="s">
        <v>355</v>
      </c>
      <c r="J124" s="139"/>
      <c r="K124" s="139"/>
      <c r="L124" s="98" t="s">
        <v>55</v>
      </c>
      <c r="M124" s="79"/>
      <c r="N124" s="139"/>
      <c r="O124" s="139">
        <v>21</v>
      </c>
      <c r="P124" s="259">
        <v>0.83333333333333337</v>
      </c>
      <c r="Q124" s="147">
        <v>0.86111111111111116</v>
      </c>
      <c r="R124" s="147">
        <v>0.86458333333333337</v>
      </c>
      <c r="S124" s="147">
        <v>0.87152777777777779</v>
      </c>
      <c r="T124" s="138">
        <f t="shared" si="10"/>
        <v>3.4722222222222099E-3</v>
      </c>
      <c r="U124" s="138">
        <f t="shared" si="10"/>
        <v>6.9444444444444198E-3</v>
      </c>
      <c r="V124" s="147">
        <v>0.875</v>
      </c>
      <c r="W124" s="148">
        <f t="shared" si="11"/>
        <v>1.388888888888884E-2</v>
      </c>
      <c r="X124" s="81"/>
    </row>
    <row r="125" spans="1:25" s="113" customFormat="1" x14ac:dyDescent="0.25">
      <c r="A125" s="140">
        <f>WEEKNUM(C125,21)</f>
        <v>3</v>
      </c>
      <c r="B125" s="157">
        <v>43848</v>
      </c>
      <c r="C125" s="157">
        <v>43848</v>
      </c>
      <c r="D125" s="100" t="s">
        <v>337</v>
      </c>
      <c r="E125" s="79">
        <v>1000451729</v>
      </c>
      <c r="F125" s="153">
        <v>300</v>
      </c>
      <c r="G125" s="137" t="s">
        <v>371</v>
      </c>
      <c r="H125" s="158" t="s">
        <v>555</v>
      </c>
      <c r="I125" s="79" t="s">
        <v>546</v>
      </c>
      <c r="J125" s="139" t="s">
        <v>19</v>
      </c>
      <c r="K125" s="139"/>
      <c r="L125" s="98" t="s">
        <v>55</v>
      </c>
      <c r="M125" s="79">
        <v>80</v>
      </c>
      <c r="N125" s="139" t="s">
        <v>51</v>
      </c>
      <c r="O125" s="139">
        <v>36</v>
      </c>
      <c r="P125" s="138">
        <v>0.41666666666666669</v>
      </c>
      <c r="Q125" s="147">
        <v>0.5625</v>
      </c>
      <c r="R125" s="147">
        <v>0.57638888888888895</v>
      </c>
      <c r="S125" s="147">
        <v>0.59027777777777779</v>
      </c>
      <c r="T125" s="138">
        <f t="shared" si="10"/>
        <v>1.3888888888888951E-2</v>
      </c>
      <c r="U125" s="138">
        <f t="shared" si="10"/>
        <v>1.388888888888884E-2</v>
      </c>
      <c r="V125" s="147">
        <v>0.59722222222222221</v>
      </c>
      <c r="W125" s="148">
        <f t="shared" si="11"/>
        <v>3.472222222222221E-2</v>
      </c>
      <c r="X125" s="81"/>
    </row>
    <row r="126" spans="1:25" s="113" customFormat="1" x14ac:dyDescent="0.25">
      <c r="A126" s="140">
        <f>WEEKNUM(C126,21)</f>
        <v>3</v>
      </c>
      <c r="B126" s="157">
        <v>43848</v>
      </c>
      <c r="C126" s="157">
        <v>43848</v>
      </c>
      <c r="D126" s="100" t="s">
        <v>337</v>
      </c>
      <c r="E126" s="79">
        <v>1000453091</v>
      </c>
      <c r="F126" s="153">
        <v>120</v>
      </c>
      <c r="G126" s="137" t="s">
        <v>532</v>
      </c>
      <c r="H126" s="158" t="s">
        <v>375</v>
      </c>
      <c r="I126" s="79" t="s">
        <v>545</v>
      </c>
      <c r="J126" s="139" t="s">
        <v>19</v>
      </c>
      <c r="K126" s="139"/>
      <c r="L126" s="98" t="s">
        <v>55</v>
      </c>
      <c r="M126" s="79">
        <v>80</v>
      </c>
      <c r="N126" s="139" t="s">
        <v>51</v>
      </c>
      <c r="O126" s="139">
        <v>35</v>
      </c>
      <c r="P126" s="138">
        <v>0.5</v>
      </c>
      <c r="Q126" s="147">
        <v>0.59027777777777779</v>
      </c>
      <c r="R126" s="147">
        <v>0.59375</v>
      </c>
      <c r="S126" s="147">
        <v>0.61458333333333337</v>
      </c>
      <c r="T126" s="138">
        <f t="shared" si="10"/>
        <v>3.4722222222222099E-3</v>
      </c>
      <c r="U126" s="138">
        <f t="shared" si="10"/>
        <v>2.083333333333337E-2</v>
      </c>
      <c r="V126" s="147">
        <v>0.625</v>
      </c>
      <c r="W126" s="148">
        <f t="shared" si="11"/>
        <v>3.472222222222221E-2</v>
      </c>
      <c r="X126" s="81"/>
    </row>
    <row r="127" spans="1:25" s="113" customFormat="1" x14ac:dyDescent="0.25">
      <c r="A127" s="140">
        <f>WEEKNUM(C127,21)</f>
        <v>3</v>
      </c>
      <c r="B127" s="157">
        <v>43848</v>
      </c>
      <c r="C127" s="157">
        <v>43848</v>
      </c>
      <c r="D127" s="100" t="s">
        <v>337</v>
      </c>
      <c r="E127" s="79">
        <v>1000453092</v>
      </c>
      <c r="F127" s="153">
        <v>420</v>
      </c>
      <c r="G127" s="137" t="s">
        <v>533</v>
      </c>
      <c r="H127" s="158" t="s">
        <v>528</v>
      </c>
      <c r="I127" s="79">
        <v>3202701250</v>
      </c>
      <c r="J127" s="139" t="s">
        <v>19</v>
      </c>
      <c r="K127" s="139"/>
      <c r="L127" s="98" t="s">
        <v>55</v>
      </c>
      <c r="M127" s="79">
        <v>80</v>
      </c>
      <c r="N127" s="139" t="s">
        <v>51</v>
      </c>
      <c r="O127" s="139">
        <v>33</v>
      </c>
      <c r="P127" s="138">
        <v>0.5</v>
      </c>
      <c r="Q127" s="147">
        <v>0.46875</v>
      </c>
      <c r="R127" s="147">
        <v>0.47569444444444442</v>
      </c>
      <c r="S127" s="147">
        <v>0.4861111111111111</v>
      </c>
      <c r="T127" s="138">
        <f t="shared" ref="T127:U191" si="13">R127-Q127</f>
        <v>6.9444444444444198E-3</v>
      </c>
      <c r="U127" s="138">
        <f t="shared" si="13"/>
        <v>1.0416666666666685E-2</v>
      </c>
      <c r="V127" s="147">
        <v>0.49027777777777781</v>
      </c>
      <c r="W127" s="148">
        <f>U127-T127</f>
        <v>3.4722222222222654E-3</v>
      </c>
      <c r="X127" s="81"/>
    </row>
    <row r="128" spans="1:25" s="184" customFormat="1" ht="16.5" thickBot="1" x14ac:dyDescent="0.3">
      <c r="A128" s="185">
        <f t="shared" si="12"/>
        <v>3</v>
      </c>
      <c r="B128" s="186">
        <v>43848</v>
      </c>
      <c r="C128" s="186">
        <v>43848</v>
      </c>
      <c r="D128" s="236" t="s">
        <v>337</v>
      </c>
      <c r="E128" s="172">
        <v>1000452441</v>
      </c>
      <c r="F128" s="187">
        <v>360</v>
      </c>
      <c r="G128" s="185" t="s">
        <v>543</v>
      </c>
      <c r="H128" s="188" t="s">
        <v>556</v>
      </c>
      <c r="I128" s="172" t="s">
        <v>548</v>
      </c>
      <c r="J128" s="189" t="s">
        <v>19</v>
      </c>
      <c r="K128" s="189"/>
      <c r="L128" s="172" t="s">
        <v>55</v>
      </c>
      <c r="M128" s="172">
        <v>80</v>
      </c>
      <c r="N128" s="189" t="s">
        <v>51</v>
      </c>
      <c r="O128" s="189">
        <v>37</v>
      </c>
      <c r="P128" s="190">
        <v>0.54166666666666663</v>
      </c>
      <c r="Q128" s="191">
        <v>0.64930555555555558</v>
      </c>
      <c r="R128" s="191">
        <v>0.66319444444444442</v>
      </c>
      <c r="S128" s="191">
        <v>0.68402777777777779</v>
      </c>
      <c r="T128" s="190">
        <f t="shared" si="13"/>
        <v>1.388888888888884E-2</v>
      </c>
      <c r="U128" s="190">
        <f t="shared" si="13"/>
        <v>2.083333333333337E-2</v>
      </c>
      <c r="V128" s="191">
        <v>0.69097222222222221</v>
      </c>
      <c r="W128" s="191">
        <f>U128-T128</f>
        <v>6.9444444444445308E-3</v>
      </c>
      <c r="X128" s="174"/>
    </row>
    <row r="129" spans="1:25" s="113" customFormat="1" x14ac:dyDescent="0.25">
      <c r="A129" s="140">
        <f t="shared" si="12"/>
        <v>4</v>
      </c>
      <c r="B129" s="157">
        <v>43851</v>
      </c>
      <c r="C129" s="157">
        <v>43851</v>
      </c>
      <c r="D129" s="102" t="s">
        <v>361</v>
      </c>
      <c r="E129" s="98"/>
      <c r="F129" s="177">
        <v>540</v>
      </c>
      <c r="G129" s="140" t="s">
        <v>53</v>
      </c>
      <c r="H129" s="178" t="s">
        <v>62</v>
      </c>
      <c r="I129" s="143" t="s">
        <v>54</v>
      </c>
      <c r="J129" s="142"/>
      <c r="K129" s="142"/>
      <c r="L129" s="98" t="s">
        <v>55</v>
      </c>
      <c r="M129" s="98"/>
      <c r="N129" s="142"/>
      <c r="O129" s="142">
        <v>19</v>
      </c>
      <c r="P129" s="99">
        <v>0.66666666666666663</v>
      </c>
      <c r="Q129" s="148">
        <v>0.65625</v>
      </c>
      <c r="R129" s="148">
        <v>0.6875</v>
      </c>
      <c r="S129" s="148">
        <v>0.70833333333333337</v>
      </c>
      <c r="T129" s="179">
        <f t="shared" si="13"/>
        <v>3.125E-2</v>
      </c>
      <c r="U129" s="179">
        <f t="shared" si="13"/>
        <v>2.083333333333337E-2</v>
      </c>
      <c r="V129" s="148">
        <v>0.71527777777777779</v>
      </c>
      <c r="W129" s="148">
        <f t="shared" ref="W129:W194" si="14">V129-Q129</f>
        <v>5.902777777777779E-2</v>
      </c>
      <c r="X129" s="96"/>
      <c r="Y129" s="134"/>
    </row>
    <row r="130" spans="1:25" s="113" customFormat="1" x14ac:dyDescent="0.25">
      <c r="A130" s="140">
        <f t="shared" si="12"/>
        <v>4</v>
      </c>
      <c r="B130" s="157">
        <v>43851</v>
      </c>
      <c r="C130" s="157">
        <v>43851</v>
      </c>
      <c r="D130" s="100" t="s">
        <v>337</v>
      </c>
      <c r="E130" s="79"/>
      <c r="F130" s="290">
        <v>540</v>
      </c>
      <c r="G130" s="137" t="s">
        <v>56</v>
      </c>
      <c r="H130" s="158" t="s">
        <v>330</v>
      </c>
      <c r="I130" s="143" t="s">
        <v>58</v>
      </c>
      <c r="J130" s="139"/>
      <c r="K130" s="139"/>
      <c r="L130" s="98" t="s">
        <v>55</v>
      </c>
      <c r="M130" s="79"/>
      <c r="N130" s="139"/>
      <c r="O130" s="139">
        <v>26</v>
      </c>
      <c r="P130" s="80">
        <v>0.70833333333333337</v>
      </c>
      <c r="Q130" s="147">
        <v>0.68402777777777779</v>
      </c>
      <c r="R130" s="147">
        <v>0.70833333333333337</v>
      </c>
      <c r="S130" s="147">
        <v>0.72916666666666663</v>
      </c>
      <c r="T130" s="138">
        <f t="shared" si="13"/>
        <v>2.430555555555558E-2</v>
      </c>
      <c r="U130" s="138">
        <f t="shared" si="13"/>
        <v>2.0833333333333259E-2</v>
      </c>
      <c r="V130" s="147">
        <v>0.73611111111111116</v>
      </c>
      <c r="W130" s="148">
        <f t="shared" si="14"/>
        <v>5.208333333333337E-2</v>
      </c>
      <c r="X130" s="304" t="s">
        <v>599</v>
      </c>
    </row>
    <row r="131" spans="1:25" s="218" customFormat="1" x14ac:dyDescent="0.25">
      <c r="A131" s="291">
        <f t="shared" si="12"/>
        <v>4</v>
      </c>
      <c r="B131" s="292">
        <v>43851</v>
      </c>
      <c r="C131" s="292">
        <v>43851</v>
      </c>
      <c r="D131" s="293" t="s">
        <v>337</v>
      </c>
      <c r="E131" s="294"/>
      <c r="F131" s="295">
        <v>540</v>
      </c>
      <c r="G131" s="296" t="s">
        <v>59</v>
      </c>
      <c r="H131" s="297" t="s">
        <v>76</v>
      </c>
      <c r="I131" s="298" t="s">
        <v>60</v>
      </c>
      <c r="J131" s="299"/>
      <c r="K131" s="299"/>
      <c r="L131" s="300" t="s">
        <v>55</v>
      </c>
      <c r="M131" s="294"/>
      <c r="N131" s="299"/>
      <c r="O131" s="299">
        <v>23</v>
      </c>
      <c r="P131" s="301">
        <v>0.70833333333333337</v>
      </c>
      <c r="Q131" s="302">
        <v>0.68402777777777779</v>
      </c>
      <c r="R131" s="302">
        <v>0.71527777777777779</v>
      </c>
      <c r="S131" s="302">
        <v>0.73263888888888884</v>
      </c>
      <c r="T131" s="303">
        <f t="shared" si="13"/>
        <v>3.125E-2</v>
      </c>
      <c r="U131" s="303">
        <f t="shared" si="13"/>
        <v>1.7361111111111049E-2</v>
      </c>
      <c r="V131" s="302">
        <v>0.73611111111111116</v>
      </c>
      <c r="W131" s="148">
        <f t="shared" si="14"/>
        <v>5.208333333333337E-2</v>
      </c>
      <c r="X131" s="304"/>
    </row>
    <row r="132" spans="1:25" s="218" customFormat="1" x14ac:dyDescent="0.25">
      <c r="A132" s="291">
        <f t="shared" si="12"/>
        <v>4</v>
      </c>
      <c r="B132" s="292">
        <v>43851</v>
      </c>
      <c r="C132" s="292">
        <v>43851</v>
      </c>
      <c r="D132" s="293" t="s">
        <v>337</v>
      </c>
      <c r="E132" s="294"/>
      <c r="F132" s="295">
        <v>540</v>
      </c>
      <c r="G132" s="296" t="s">
        <v>61</v>
      </c>
      <c r="H132" s="297" t="s">
        <v>80</v>
      </c>
      <c r="I132" s="305" t="s">
        <v>63</v>
      </c>
      <c r="J132" s="299"/>
      <c r="K132" s="299"/>
      <c r="L132" s="300" t="s">
        <v>55</v>
      </c>
      <c r="M132" s="294"/>
      <c r="N132" s="299"/>
      <c r="O132" s="299">
        <v>28</v>
      </c>
      <c r="P132" s="301">
        <v>0.75</v>
      </c>
      <c r="Q132" s="302">
        <v>0.71527777777777779</v>
      </c>
      <c r="R132" s="302">
        <v>0.74652777777777779</v>
      </c>
      <c r="S132" s="302">
        <v>0.76041666666666663</v>
      </c>
      <c r="T132" s="303">
        <f t="shared" si="13"/>
        <v>3.125E-2</v>
      </c>
      <c r="U132" s="303">
        <f t="shared" si="13"/>
        <v>1.388888888888884E-2</v>
      </c>
      <c r="V132" s="302">
        <v>0.76388888888888884</v>
      </c>
      <c r="W132" s="148">
        <f t="shared" si="14"/>
        <v>4.8611111111111049E-2</v>
      </c>
      <c r="X132" s="304"/>
    </row>
    <row r="133" spans="1:25" s="113" customFormat="1" x14ac:dyDescent="0.25">
      <c r="A133" s="140">
        <f t="shared" ref="A133:A194" si="15">WEEKNUM(B133,21)</f>
        <v>4</v>
      </c>
      <c r="B133" s="157">
        <v>43851</v>
      </c>
      <c r="C133" s="157">
        <v>43851</v>
      </c>
      <c r="D133" s="100" t="s">
        <v>361</v>
      </c>
      <c r="E133" s="79"/>
      <c r="F133" s="153">
        <v>540</v>
      </c>
      <c r="G133" s="137" t="s">
        <v>64</v>
      </c>
      <c r="H133" s="297" t="s">
        <v>387</v>
      </c>
      <c r="I133" s="254" t="s">
        <v>355</v>
      </c>
      <c r="J133" s="139"/>
      <c r="K133" s="139"/>
      <c r="L133" s="98" t="s">
        <v>55</v>
      </c>
      <c r="M133" s="79"/>
      <c r="N133" s="139"/>
      <c r="O133" s="139">
        <v>27</v>
      </c>
      <c r="P133" s="257">
        <v>0.79166666666666663</v>
      </c>
      <c r="Q133" s="147">
        <v>0.79166666666666663</v>
      </c>
      <c r="R133" s="147">
        <v>0.79513888888888884</v>
      </c>
      <c r="S133" s="147">
        <v>0.81597222222222221</v>
      </c>
      <c r="T133" s="138">
        <f t="shared" si="13"/>
        <v>3.4722222222222099E-3</v>
      </c>
      <c r="U133" s="138">
        <f t="shared" si="13"/>
        <v>2.083333333333337E-2</v>
      </c>
      <c r="V133" s="147">
        <v>0.81944444444444453</v>
      </c>
      <c r="W133" s="148">
        <f t="shared" si="14"/>
        <v>2.7777777777777901E-2</v>
      </c>
      <c r="X133" s="81"/>
    </row>
    <row r="134" spans="1:25" s="113" customFormat="1" x14ac:dyDescent="0.25">
      <c r="A134" s="140">
        <f t="shared" si="15"/>
        <v>4</v>
      </c>
      <c r="B134" s="157">
        <v>43851</v>
      </c>
      <c r="C134" s="157">
        <v>43851</v>
      </c>
      <c r="D134" s="100" t="s">
        <v>361</v>
      </c>
      <c r="E134" s="79"/>
      <c r="F134" s="153">
        <v>540</v>
      </c>
      <c r="G134" s="137" t="s">
        <v>77</v>
      </c>
      <c r="H134" s="297" t="s">
        <v>317</v>
      </c>
      <c r="I134" s="254" t="s">
        <v>78</v>
      </c>
      <c r="J134" s="139"/>
      <c r="K134" s="139"/>
      <c r="L134" s="98" t="s">
        <v>55</v>
      </c>
      <c r="M134" s="79"/>
      <c r="N134" s="139"/>
      <c r="O134" s="139">
        <v>27</v>
      </c>
      <c r="P134" s="257">
        <v>0.79166666666666663</v>
      </c>
      <c r="Q134" s="147">
        <v>0.78472222222222221</v>
      </c>
      <c r="R134" s="147">
        <v>0.80208333333333337</v>
      </c>
      <c r="S134" s="147">
        <v>0.81944444444444453</v>
      </c>
      <c r="T134" s="138">
        <f t="shared" si="13"/>
        <v>1.736111111111116E-2</v>
      </c>
      <c r="U134" s="138">
        <f t="shared" si="13"/>
        <v>1.736111111111116E-2</v>
      </c>
      <c r="V134" s="147">
        <v>0.82291666666666663</v>
      </c>
      <c r="W134" s="148">
        <f t="shared" si="14"/>
        <v>3.819444444444442E-2</v>
      </c>
      <c r="X134" s="81"/>
    </row>
    <row r="135" spans="1:25" s="113" customFormat="1" x14ac:dyDescent="0.25">
      <c r="A135" s="140">
        <f t="shared" si="15"/>
        <v>4</v>
      </c>
      <c r="B135" s="157">
        <v>43851</v>
      </c>
      <c r="C135" s="157">
        <v>43851</v>
      </c>
      <c r="D135" s="100" t="s">
        <v>337</v>
      </c>
      <c r="E135" s="79"/>
      <c r="F135" s="153">
        <v>540</v>
      </c>
      <c r="G135" s="137" t="s">
        <v>493</v>
      </c>
      <c r="H135" s="158" t="s">
        <v>65</v>
      </c>
      <c r="I135" s="254" t="s">
        <v>79</v>
      </c>
      <c r="J135" s="139"/>
      <c r="K135" s="139"/>
      <c r="L135" s="98" t="s">
        <v>55</v>
      </c>
      <c r="M135" s="79"/>
      <c r="N135" s="139"/>
      <c r="O135" s="139">
        <v>10</v>
      </c>
      <c r="P135" s="259">
        <v>0.83333333333333337</v>
      </c>
      <c r="Q135" s="147">
        <v>0.89583333333333337</v>
      </c>
      <c r="R135" s="147">
        <v>0.89930555555555547</v>
      </c>
      <c r="S135" s="147">
        <v>0.90625</v>
      </c>
      <c r="T135" s="138">
        <f t="shared" si="13"/>
        <v>3.4722222222220989E-3</v>
      </c>
      <c r="U135" s="138">
        <f t="shared" si="13"/>
        <v>6.9444444444445308E-3</v>
      </c>
      <c r="V135" s="147">
        <v>0.90972222222222221</v>
      </c>
      <c r="W135" s="148">
        <f t="shared" si="14"/>
        <v>1.388888888888884E-2</v>
      </c>
      <c r="X135" s="81"/>
    </row>
    <row r="136" spans="1:25" s="113" customFormat="1" ht="31.5" x14ac:dyDescent="0.25">
      <c r="A136" s="140">
        <f t="shared" si="15"/>
        <v>4</v>
      </c>
      <c r="B136" s="157">
        <v>43851</v>
      </c>
      <c r="C136" s="157">
        <v>43851</v>
      </c>
      <c r="D136" s="100" t="s">
        <v>337</v>
      </c>
      <c r="E136" s="79">
        <v>1000453232</v>
      </c>
      <c r="F136" s="153">
        <v>360</v>
      </c>
      <c r="G136" s="137" t="s">
        <v>67</v>
      </c>
      <c r="H136" s="158" t="s">
        <v>570</v>
      </c>
      <c r="I136" s="79" t="s">
        <v>580</v>
      </c>
      <c r="J136" s="139" t="s">
        <v>19</v>
      </c>
      <c r="K136" s="139"/>
      <c r="L136" s="98" t="s">
        <v>55</v>
      </c>
      <c r="M136" s="79">
        <v>80</v>
      </c>
      <c r="N136" s="139" t="s">
        <v>51</v>
      </c>
      <c r="O136" s="139">
        <v>33</v>
      </c>
      <c r="P136" s="138">
        <v>0.41666666666666669</v>
      </c>
      <c r="Q136" s="147">
        <v>0.47569444444444442</v>
      </c>
      <c r="R136" s="147">
        <v>0.51388888888888895</v>
      </c>
      <c r="S136" s="147">
        <v>0.53819444444444442</v>
      </c>
      <c r="T136" s="138">
        <f t="shared" si="13"/>
        <v>3.8194444444444531E-2</v>
      </c>
      <c r="U136" s="138">
        <f t="shared" si="13"/>
        <v>2.4305555555555469E-2</v>
      </c>
      <c r="V136" s="147">
        <v>0.54166666666666663</v>
      </c>
      <c r="W136" s="148">
        <f t="shared" si="14"/>
        <v>6.597222222222221E-2</v>
      </c>
      <c r="X136" s="81"/>
    </row>
    <row r="137" spans="1:25" s="113" customFormat="1" x14ac:dyDescent="0.25">
      <c r="A137" s="140">
        <f t="shared" si="15"/>
        <v>4</v>
      </c>
      <c r="B137" s="157">
        <v>43851</v>
      </c>
      <c r="C137" s="157">
        <v>43851</v>
      </c>
      <c r="D137" s="100" t="s">
        <v>337</v>
      </c>
      <c r="E137" s="79">
        <v>1000453236</v>
      </c>
      <c r="F137" s="153">
        <v>480</v>
      </c>
      <c r="G137" s="137" t="s">
        <v>69</v>
      </c>
      <c r="H137" s="158" t="s">
        <v>326</v>
      </c>
      <c r="I137" s="79">
        <v>3202703143</v>
      </c>
      <c r="J137" s="139" t="s">
        <v>19</v>
      </c>
      <c r="K137" s="139"/>
      <c r="L137" s="98" t="s">
        <v>55</v>
      </c>
      <c r="M137" s="79">
        <v>80</v>
      </c>
      <c r="N137" s="139" t="s">
        <v>51</v>
      </c>
      <c r="O137" s="139"/>
      <c r="P137" s="138">
        <v>0.41666666666666669</v>
      </c>
      <c r="Q137" s="147">
        <v>0.51736111111111105</v>
      </c>
      <c r="R137" s="147">
        <v>0.54861111111111105</v>
      </c>
      <c r="S137" s="147">
        <v>0.56597222222222221</v>
      </c>
      <c r="T137" s="138">
        <f t="shared" si="13"/>
        <v>3.125E-2</v>
      </c>
      <c r="U137" s="138">
        <f t="shared" si="13"/>
        <v>1.736111111111116E-2</v>
      </c>
      <c r="V137" s="147">
        <v>0.57291666666666663</v>
      </c>
      <c r="W137" s="148">
        <f t="shared" si="14"/>
        <v>5.555555555555558E-2</v>
      </c>
      <c r="X137" s="81"/>
    </row>
    <row r="138" spans="1:25" s="113" customFormat="1" ht="31.5" x14ac:dyDescent="0.25">
      <c r="A138" s="140">
        <f t="shared" si="15"/>
        <v>4</v>
      </c>
      <c r="B138" s="157">
        <v>43851</v>
      </c>
      <c r="C138" s="157">
        <v>43851</v>
      </c>
      <c r="D138" s="100" t="s">
        <v>337</v>
      </c>
      <c r="E138" s="79">
        <v>1000453242</v>
      </c>
      <c r="F138" s="153">
        <v>300</v>
      </c>
      <c r="G138" s="137" t="s">
        <v>71</v>
      </c>
      <c r="H138" s="158" t="s">
        <v>345</v>
      </c>
      <c r="I138" s="79" t="s">
        <v>581</v>
      </c>
      <c r="J138" s="139" t="s">
        <v>19</v>
      </c>
      <c r="K138" s="139"/>
      <c r="L138" s="98" t="s">
        <v>55</v>
      </c>
      <c r="M138" s="79">
        <v>80</v>
      </c>
      <c r="N138" s="139" t="s">
        <v>51</v>
      </c>
      <c r="O138" s="139">
        <v>38</v>
      </c>
      <c r="P138" s="138">
        <v>0.45833333333333331</v>
      </c>
      <c r="Q138" s="147">
        <v>0.65625</v>
      </c>
      <c r="R138" s="147">
        <v>0.68055555555555547</v>
      </c>
      <c r="S138" s="147">
        <v>0.70138888888888884</v>
      </c>
      <c r="T138" s="138">
        <f t="shared" si="13"/>
        <v>2.4305555555555469E-2</v>
      </c>
      <c r="U138" s="138">
        <f t="shared" si="13"/>
        <v>2.083333333333337E-2</v>
      </c>
      <c r="V138" s="147">
        <v>0.70486111111111116</v>
      </c>
      <c r="W138" s="148">
        <f t="shared" si="14"/>
        <v>4.861111111111116E-2</v>
      </c>
      <c r="X138" s="81"/>
    </row>
    <row r="139" spans="1:25" s="113" customFormat="1" ht="31.5" x14ac:dyDescent="0.25">
      <c r="A139" s="140">
        <f t="shared" si="15"/>
        <v>4</v>
      </c>
      <c r="B139" s="157">
        <v>43851</v>
      </c>
      <c r="C139" s="157">
        <v>43851</v>
      </c>
      <c r="D139" s="100" t="s">
        <v>66</v>
      </c>
      <c r="E139" s="79">
        <v>1000453379</v>
      </c>
      <c r="F139" s="153">
        <v>480</v>
      </c>
      <c r="G139" s="137" t="s">
        <v>70</v>
      </c>
      <c r="H139" s="158" t="s">
        <v>571</v>
      </c>
      <c r="I139" s="79" t="s">
        <v>574</v>
      </c>
      <c r="J139" s="139" t="s">
        <v>19</v>
      </c>
      <c r="K139" s="139"/>
      <c r="L139" s="98" t="s">
        <v>55</v>
      </c>
      <c r="M139" s="79">
        <v>80</v>
      </c>
      <c r="N139" s="139" t="s">
        <v>51</v>
      </c>
      <c r="O139" s="139">
        <v>38</v>
      </c>
      <c r="P139" s="138">
        <v>0.45833333333333331</v>
      </c>
      <c r="Q139" s="147">
        <v>0.45833333333333331</v>
      </c>
      <c r="R139" s="147">
        <v>0.46875</v>
      </c>
      <c r="S139" s="147">
        <v>0.47916666666666669</v>
      </c>
      <c r="T139" s="138">
        <f t="shared" si="13"/>
        <v>1.0416666666666685E-2</v>
      </c>
      <c r="U139" s="138">
        <f t="shared" si="13"/>
        <v>1.0416666666666685E-2</v>
      </c>
      <c r="V139" s="147">
        <v>0.48958333333333331</v>
      </c>
      <c r="W139" s="148">
        <f t="shared" si="14"/>
        <v>3.125E-2</v>
      </c>
      <c r="X139" s="81"/>
    </row>
    <row r="140" spans="1:25" s="113" customFormat="1" ht="31.5" x14ac:dyDescent="0.25">
      <c r="A140" s="140">
        <f t="shared" si="15"/>
        <v>4</v>
      </c>
      <c r="B140" s="157">
        <v>43851</v>
      </c>
      <c r="C140" s="157">
        <v>43851</v>
      </c>
      <c r="D140" s="100" t="s">
        <v>337</v>
      </c>
      <c r="E140" s="79">
        <v>1000453384</v>
      </c>
      <c r="F140" s="153">
        <v>480</v>
      </c>
      <c r="G140" s="137" t="s">
        <v>72</v>
      </c>
      <c r="H140" s="158" t="s">
        <v>315</v>
      </c>
      <c r="I140" s="79" t="s">
        <v>568</v>
      </c>
      <c r="J140" s="139" t="s">
        <v>19</v>
      </c>
      <c r="K140" s="139"/>
      <c r="L140" s="98" t="s">
        <v>55</v>
      </c>
      <c r="M140" s="79">
        <v>80</v>
      </c>
      <c r="N140" s="139" t="s">
        <v>51</v>
      </c>
      <c r="O140" s="139">
        <v>38</v>
      </c>
      <c r="P140" s="138">
        <v>0.5</v>
      </c>
      <c r="Q140" s="147">
        <v>0.46875</v>
      </c>
      <c r="R140" s="147">
        <v>0.4861111111111111</v>
      </c>
      <c r="S140" s="147">
        <v>0.5</v>
      </c>
      <c r="T140" s="138">
        <f t="shared" si="13"/>
        <v>1.7361111111111105E-2</v>
      </c>
      <c r="U140" s="138">
        <f t="shared" si="13"/>
        <v>1.3888888888888895E-2</v>
      </c>
      <c r="V140" s="147">
        <v>0.51041666666666663</v>
      </c>
      <c r="W140" s="148">
        <f>V140-Q140</f>
        <v>4.166666666666663E-2</v>
      </c>
      <c r="X140" s="81"/>
    </row>
    <row r="141" spans="1:25" s="113" customFormat="1" x14ac:dyDescent="0.25">
      <c r="A141" s="140">
        <f t="shared" si="15"/>
        <v>4</v>
      </c>
      <c r="B141" s="157">
        <v>43851</v>
      </c>
      <c r="C141" s="157">
        <v>43851</v>
      </c>
      <c r="D141" s="100"/>
      <c r="E141" s="79">
        <v>1000453392</v>
      </c>
      <c r="F141" s="153">
        <v>540</v>
      </c>
      <c r="G141" s="137" t="s">
        <v>73</v>
      </c>
      <c r="H141" s="158" t="s">
        <v>572</v>
      </c>
      <c r="I141" s="79" t="s">
        <v>550</v>
      </c>
      <c r="J141" s="139" t="s">
        <v>19</v>
      </c>
      <c r="K141" s="139"/>
      <c r="L141" s="98" t="s">
        <v>55</v>
      </c>
      <c r="M141" s="79">
        <v>80</v>
      </c>
      <c r="N141" s="139" t="s">
        <v>51</v>
      </c>
      <c r="O141" s="139">
        <v>43</v>
      </c>
      <c r="P141" s="138">
        <v>0.5</v>
      </c>
      <c r="Q141" s="147">
        <v>0.36458333333333331</v>
      </c>
      <c r="R141" s="147">
        <v>0.3888888888888889</v>
      </c>
      <c r="S141" s="147">
        <v>0.41666666666666669</v>
      </c>
      <c r="T141" s="138">
        <f t="shared" si="13"/>
        <v>2.430555555555558E-2</v>
      </c>
      <c r="U141" s="138">
        <f t="shared" si="13"/>
        <v>2.777777777777779E-2</v>
      </c>
      <c r="V141" s="147">
        <v>0.4201388888888889</v>
      </c>
      <c r="W141" s="148">
        <f>V141-Q141</f>
        <v>5.555555555555558E-2</v>
      </c>
      <c r="X141" s="81"/>
    </row>
    <row r="142" spans="1:25" s="184" customFormat="1" ht="32.25" thickBot="1" x14ac:dyDescent="0.3">
      <c r="A142" s="185">
        <f t="shared" si="15"/>
        <v>4</v>
      </c>
      <c r="B142" s="186">
        <v>43851</v>
      </c>
      <c r="C142" s="186">
        <v>43851</v>
      </c>
      <c r="D142" s="236" t="s">
        <v>337</v>
      </c>
      <c r="E142" s="172">
        <v>1000453398</v>
      </c>
      <c r="F142" s="187">
        <v>300</v>
      </c>
      <c r="G142" s="185" t="s">
        <v>74</v>
      </c>
      <c r="H142" s="188" t="s">
        <v>573</v>
      </c>
      <c r="I142" s="172" t="s">
        <v>569</v>
      </c>
      <c r="J142" s="189" t="s">
        <v>19</v>
      </c>
      <c r="K142" s="189"/>
      <c r="L142" s="172" t="s">
        <v>55</v>
      </c>
      <c r="M142" s="172">
        <v>80</v>
      </c>
      <c r="N142" s="189" t="s">
        <v>51</v>
      </c>
      <c r="O142" s="189">
        <v>36</v>
      </c>
      <c r="P142" s="190">
        <v>0.54166666666666663</v>
      </c>
      <c r="Q142" s="191">
        <v>0.51736111111111105</v>
      </c>
      <c r="R142" s="191">
        <v>0.55555555555555558</v>
      </c>
      <c r="S142" s="191">
        <v>0.58333333333333337</v>
      </c>
      <c r="T142" s="190">
        <f t="shared" si="13"/>
        <v>3.8194444444444531E-2</v>
      </c>
      <c r="U142" s="190">
        <f t="shared" si="13"/>
        <v>2.777777777777779E-2</v>
      </c>
      <c r="V142" s="287">
        <v>0.60416666666666663</v>
      </c>
      <c r="W142" s="190">
        <f>V142-Q142</f>
        <v>8.680555555555558E-2</v>
      </c>
      <c r="X142" s="288"/>
    </row>
    <row r="143" spans="1:25" s="113" customFormat="1" x14ac:dyDescent="0.25">
      <c r="A143" s="140">
        <f>WEEKNUM(B143,21)</f>
        <v>4</v>
      </c>
      <c r="B143" s="157">
        <v>43852</v>
      </c>
      <c r="C143" s="157">
        <v>43852</v>
      </c>
      <c r="D143" s="100" t="s">
        <v>361</v>
      </c>
      <c r="E143" s="79"/>
      <c r="F143" s="153">
        <v>540</v>
      </c>
      <c r="G143" s="137" t="s">
        <v>53</v>
      </c>
      <c r="H143" s="178" t="s">
        <v>62</v>
      </c>
      <c r="I143" s="143" t="s">
        <v>54</v>
      </c>
      <c r="J143" s="139"/>
      <c r="K143" s="139"/>
      <c r="L143" s="98" t="s">
        <v>55</v>
      </c>
      <c r="M143" s="79"/>
      <c r="N143" s="139"/>
      <c r="O143" s="139">
        <v>13</v>
      </c>
      <c r="P143" s="99">
        <v>0.66666666666666663</v>
      </c>
      <c r="Q143" s="147">
        <v>0.65277777777777779</v>
      </c>
      <c r="R143" s="147">
        <v>0.67361111111111116</v>
      </c>
      <c r="S143" s="147">
        <v>0.68402777777777779</v>
      </c>
      <c r="T143" s="138">
        <f t="shared" si="13"/>
        <v>2.083333333333337E-2</v>
      </c>
      <c r="U143" s="138">
        <f t="shared" si="13"/>
        <v>1.041666666666663E-2</v>
      </c>
      <c r="V143" s="315">
        <v>0.6875</v>
      </c>
      <c r="W143" s="179">
        <f t="shared" si="14"/>
        <v>3.472222222222221E-2</v>
      </c>
      <c r="X143" s="81"/>
    </row>
    <row r="144" spans="1:25" s="113" customFormat="1" x14ac:dyDescent="0.25">
      <c r="A144" s="140">
        <f t="shared" si="15"/>
        <v>4</v>
      </c>
      <c r="B144" s="157">
        <v>43852</v>
      </c>
      <c r="C144" s="157">
        <v>43852</v>
      </c>
      <c r="D144" s="100" t="s">
        <v>337</v>
      </c>
      <c r="E144" s="79"/>
      <c r="F144" s="153">
        <v>540</v>
      </c>
      <c r="G144" s="137" t="s">
        <v>56</v>
      </c>
      <c r="H144" s="297" t="s">
        <v>80</v>
      </c>
      <c r="I144" s="143" t="s">
        <v>58</v>
      </c>
      <c r="J144" s="139"/>
      <c r="K144" s="139"/>
      <c r="L144" s="98" t="s">
        <v>55</v>
      </c>
      <c r="M144" s="79"/>
      <c r="N144" s="139"/>
      <c r="O144" s="139">
        <v>17</v>
      </c>
      <c r="P144" s="80">
        <v>0.70833333333333337</v>
      </c>
      <c r="Q144" s="147">
        <v>0.67361111111111116</v>
      </c>
      <c r="R144" s="147">
        <v>0.68055555555555547</v>
      </c>
      <c r="S144" s="147">
        <v>0.69444444444444453</v>
      </c>
      <c r="T144" s="138">
        <f t="shared" si="13"/>
        <v>6.9444444444443088E-3</v>
      </c>
      <c r="U144" s="138">
        <f t="shared" si="13"/>
        <v>1.3888888888889062E-2</v>
      </c>
      <c r="V144" s="315">
        <v>0.69791666666666663</v>
      </c>
      <c r="W144" s="138">
        <f t="shared" ref="W144:W154" si="16">V144-Q144</f>
        <v>2.4305555555555469E-2</v>
      </c>
      <c r="X144" s="81"/>
    </row>
    <row r="145" spans="1:25" s="113" customFormat="1" x14ac:dyDescent="0.25">
      <c r="A145" s="140">
        <f t="shared" si="15"/>
        <v>4</v>
      </c>
      <c r="B145" s="157">
        <v>43852</v>
      </c>
      <c r="C145" s="157">
        <v>43852</v>
      </c>
      <c r="D145" s="100" t="s">
        <v>66</v>
      </c>
      <c r="E145" s="79"/>
      <c r="F145" s="153">
        <v>540</v>
      </c>
      <c r="G145" s="137" t="s">
        <v>59</v>
      </c>
      <c r="H145" s="158" t="s">
        <v>317</v>
      </c>
      <c r="I145" s="313" t="s">
        <v>60</v>
      </c>
      <c r="J145" s="139"/>
      <c r="K145" s="139"/>
      <c r="L145" s="98" t="s">
        <v>55</v>
      </c>
      <c r="M145" s="79"/>
      <c r="N145" s="139"/>
      <c r="O145" s="139">
        <v>24</v>
      </c>
      <c r="P145" s="289">
        <v>0.70833333333333337</v>
      </c>
      <c r="Q145" s="147">
        <v>0.69097222222222221</v>
      </c>
      <c r="R145" s="147">
        <v>0.77777777777777779</v>
      </c>
      <c r="S145" s="147">
        <v>0.79166666666666663</v>
      </c>
      <c r="T145" s="138">
        <f t="shared" si="13"/>
        <v>8.680555555555558E-2</v>
      </c>
      <c r="U145" s="138">
        <f t="shared" si="13"/>
        <v>1.388888888888884E-2</v>
      </c>
      <c r="V145" s="315">
        <v>0.82638888888888884</v>
      </c>
      <c r="W145" s="138">
        <f t="shared" si="16"/>
        <v>0.13541666666666663</v>
      </c>
      <c r="X145" s="314" t="s">
        <v>613</v>
      </c>
    </row>
    <row r="146" spans="1:25" s="218" customFormat="1" x14ac:dyDescent="0.25">
      <c r="A146" s="291">
        <f t="shared" si="15"/>
        <v>4</v>
      </c>
      <c r="B146" s="292">
        <v>43852</v>
      </c>
      <c r="C146" s="292">
        <v>43852</v>
      </c>
      <c r="D146" s="293" t="s">
        <v>337</v>
      </c>
      <c r="E146" s="294"/>
      <c r="F146" s="295">
        <v>540</v>
      </c>
      <c r="G146" s="296" t="s">
        <v>61</v>
      </c>
      <c r="H146" s="297" t="s">
        <v>330</v>
      </c>
      <c r="I146" s="305" t="s">
        <v>63</v>
      </c>
      <c r="J146" s="299"/>
      <c r="K146" s="299"/>
      <c r="L146" s="300" t="s">
        <v>55</v>
      </c>
      <c r="M146" s="294"/>
      <c r="N146" s="299"/>
      <c r="O146" s="299">
        <v>22</v>
      </c>
      <c r="P146" s="301">
        <v>0.75</v>
      </c>
      <c r="Q146" s="302">
        <v>0.71527777777777779</v>
      </c>
      <c r="R146" s="302">
        <v>0.73958333333333337</v>
      </c>
      <c r="S146" s="302">
        <v>0.75</v>
      </c>
      <c r="T146" s="303">
        <f t="shared" si="13"/>
        <v>2.430555555555558E-2</v>
      </c>
      <c r="U146" s="303">
        <f t="shared" si="13"/>
        <v>1.041666666666663E-2</v>
      </c>
      <c r="V146" s="316">
        <v>0.75347222222222221</v>
      </c>
      <c r="W146" s="138">
        <f t="shared" si="16"/>
        <v>3.819444444444442E-2</v>
      </c>
      <c r="X146" s="304"/>
    </row>
    <row r="147" spans="1:25" s="113" customFormat="1" x14ac:dyDescent="0.25">
      <c r="A147" s="140">
        <f t="shared" si="15"/>
        <v>4</v>
      </c>
      <c r="B147" s="157">
        <v>43852</v>
      </c>
      <c r="C147" s="157">
        <v>43852</v>
      </c>
      <c r="D147" s="100" t="s">
        <v>66</v>
      </c>
      <c r="E147" s="79"/>
      <c r="F147" s="153">
        <v>540</v>
      </c>
      <c r="G147" s="137" t="s">
        <v>64</v>
      </c>
      <c r="H147" s="178" t="s">
        <v>65</v>
      </c>
      <c r="I147" s="254" t="s">
        <v>355</v>
      </c>
      <c r="J147" s="139"/>
      <c r="K147" s="139"/>
      <c r="L147" s="98" t="s">
        <v>55</v>
      </c>
      <c r="M147" s="79"/>
      <c r="N147" s="139"/>
      <c r="O147" s="139">
        <v>29</v>
      </c>
      <c r="P147" s="257">
        <v>0.79166666666666663</v>
      </c>
      <c r="Q147" s="147">
        <v>0.77083333333333337</v>
      </c>
      <c r="R147" s="147">
        <v>0.77777777777777779</v>
      </c>
      <c r="S147" s="147">
        <v>0.79166666666666663</v>
      </c>
      <c r="T147" s="138">
        <f t="shared" si="13"/>
        <v>6.9444444444444198E-3</v>
      </c>
      <c r="U147" s="138">
        <f t="shared" si="13"/>
        <v>1.388888888888884E-2</v>
      </c>
      <c r="V147" s="315">
        <v>0.82638888888888884</v>
      </c>
      <c r="W147" s="138">
        <f t="shared" si="16"/>
        <v>5.5555555555555469E-2</v>
      </c>
      <c r="X147" s="314" t="s">
        <v>614</v>
      </c>
    </row>
    <row r="148" spans="1:25" s="113" customFormat="1" x14ac:dyDescent="0.25">
      <c r="A148" s="140">
        <f t="shared" si="15"/>
        <v>4</v>
      </c>
      <c r="B148" s="157">
        <v>43852</v>
      </c>
      <c r="C148" s="157">
        <v>43852</v>
      </c>
      <c r="D148" s="100" t="s">
        <v>68</v>
      </c>
      <c r="E148" s="79"/>
      <c r="F148" s="153">
        <v>540</v>
      </c>
      <c r="G148" s="137" t="s">
        <v>77</v>
      </c>
      <c r="H148" s="297" t="s">
        <v>76</v>
      </c>
      <c r="I148" s="254" t="s">
        <v>78</v>
      </c>
      <c r="J148" s="139"/>
      <c r="K148" s="139"/>
      <c r="L148" s="98" t="s">
        <v>55</v>
      </c>
      <c r="M148" s="79"/>
      <c r="N148" s="139"/>
      <c r="O148" s="139">
        <v>9</v>
      </c>
      <c r="P148" s="259">
        <v>0.83333333333333337</v>
      </c>
      <c r="Q148" s="147">
        <v>0.79513888888888884</v>
      </c>
      <c r="R148" s="147">
        <v>0.81597222222222221</v>
      </c>
      <c r="S148" s="147">
        <v>0.82291666666666663</v>
      </c>
      <c r="T148" s="138">
        <f t="shared" si="13"/>
        <v>2.083333333333337E-2</v>
      </c>
      <c r="U148" s="138">
        <f t="shared" si="13"/>
        <v>6.9444444444444198E-3</v>
      </c>
      <c r="V148" s="315">
        <v>0.82986111111111116</v>
      </c>
      <c r="W148" s="138">
        <f t="shared" si="16"/>
        <v>3.4722222222222321E-2</v>
      </c>
      <c r="X148" s="81"/>
    </row>
    <row r="149" spans="1:25" s="113" customFormat="1" x14ac:dyDescent="0.25">
      <c r="A149" s="140">
        <f t="shared" si="15"/>
        <v>4</v>
      </c>
      <c r="B149" s="157">
        <v>43852</v>
      </c>
      <c r="C149" s="157">
        <v>43852</v>
      </c>
      <c r="D149" s="100" t="s">
        <v>68</v>
      </c>
      <c r="E149" s="79">
        <v>1000453233</v>
      </c>
      <c r="F149" s="153">
        <v>480</v>
      </c>
      <c r="G149" s="137" t="s">
        <v>323</v>
      </c>
      <c r="H149" s="158" t="s">
        <v>586</v>
      </c>
      <c r="I149" s="79" t="s">
        <v>583</v>
      </c>
      <c r="J149" s="139" t="s">
        <v>19</v>
      </c>
      <c r="K149" s="139"/>
      <c r="L149" s="98" t="s">
        <v>55</v>
      </c>
      <c r="M149" s="79">
        <v>80</v>
      </c>
      <c r="N149" s="139" t="s">
        <v>51</v>
      </c>
      <c r="O149" s="139">
        <v>33</v>
      </c>
      <c r="P149" s="138">
        <v>0.41666666666666669</v>
      </c>
      <c r="Q149" s="147">
        <v>0.37847222222222227</v>
      </c>
      <c r="R149" s="147">
        <v>0.41666666666666669</v>
      </c>
      <c r="S149" s="147">
        <v>0.4375</v>
      </c>
      <c r="T149" s="138">
        <f t="shared" si="13"/>
        <v>3.819444444444442E-2</v>
      </c>
      <c r="U149" s="138">
        <f t="shared" si="13"/>
        <v>2.0833333333333315E-2</v>
      </c>
      <c r="V149" s="315">
        <v>0.60069444444444442</v>
      </c>
      <c r="W149" s="138">
        <f t="shared" si="16"/>
        <v>0.22222222222222215</v>
      </c>
      <c r="X149" s="81" t="s">
        <v>610</v>
      </c>
    </row>
    <row r="150" spans="1:25" s="113" customFormat="1" x14ac:dyDescent="0.25">
      <c r="A150" s="140">
        <f t="shared" si="15"/>
        <v>4</v>
      </c>
      <c r="B150" s="157">
        <v>43852</v>
      </c>
      <c r="C150" s="157">
        <v>43852</v>
      </c>
      <c r="D150" s="100" t="s">
        <v>66</v>
      </c>
      <c r="E150" s="79">
        <v>1000453237</v>
      </c>
      <c r="F150" s="153">
        <v>360</v>
      </c>
      <c r="G150" s="137" t="s">
        <v>339</v>
      </c>
      <c r="H150" s="158" t="s">
        <v>587</v>
      </c>
      <c r="I150" s="79">
        <v>3202704070</v>
      </c>
      <c r="J150" s="139" t="s">
        <v>19</v>
      </c>
      <c r="K150" s="139"/>
      <c r="L150" s="98" t="s">
        <v>55</v>
      </c>
      <c r="M150" s="79">
        <v>80</v>
      </c>
      <c r="N150" s="139" t="s">
        <v>51</v>
      </c>
      <c r="O150" s="139">
        <v>33</v>
      </c>
      <c r="P150" s="138">
        <v>0.41666666666666669</v>
      </c>
      <c r="Q150" s="147">
        <v>0.39930555555555558</v>
      </c>
      <c r="R150" s="147">
        <v>0.44444444444444442</v>
      </c>
      <c r="S150" s="147">
        <v>0.46180555555555558</v>
      </c>
      <c r="T150" s="138">
        <f t="shared" si="13"/>
        <v>4.513888888888884E-2</v>
      </c>
      <c r="U150" s="138">
        <f t="shared" si="13"/>
        <v>1.736111111111116E-2</v>
      </c>
      <c r="V150" s="315">
        <v>0.46875</v>
      </c>
      <c r="W150" s="138">
        <f t="shared" si="16"/>
        <v>6.944444444444442E-2</v>
      </c>
      <c r="X150" s="81"/>
    </row>
    <row r="151" spans="1:25" s="113" customFormat="1" x14ac:dyDescent="0.25">
      <c r="A151" s="140">
        <f t="shared" si="15"/>
        <v>4</v>
      </c>
      <c r="B151" s="157">
        <v>43852</v>
      </c>
      <c r="C151" s="157">
        <v>43852</v>
      </c>
      <c r="D151" s="100" t="s">
        <v>337</v>
      </c>
      <c r="E151" s="79">
        <v>1000453380</v>
      </c>
      <c r="F151" s="153">
        <v>480</v>
      </c>
      <c r="G151" s="137" t="s">
        <v>325</v>
      </c>
      <c r="H151" s="158" t="s">
        <v>588</v>
      </c>
      <c r="I151" s="79" t="s">
        <v>594</v>
      </c>
      <c r="J151" s="139" t="s">
        <v>19</v>
      </c>
      <c r="K151" s="139"/>
      <c r="L151" s="98" t="s">
        <v>55</v>
      </c>
      <c r="M151" s="79">
        <v>80</v>
      </c>
      <c r="N151" s="139" t="s">
        <v>51</v>
      </c>
      <c r="O151" s="139">
        <v>35</v>
      </c>
      <c r="P151" s="138">
        <v>0.45833333333333331</v>
      </c>
      <c r="Q151" s="147">
        <v>0.37847222222222227</v>
      </c>
      <c r="R151" s="147">
        <v>0.40625</v>
      </c>
      <c r="S151" s="147">
        <v>0.4236111111111111</v>
      </c>
      <c r="T151" s="138">
        <f t="shared" si="13"/>
        <v>2.7777777777777735E-2</v>
      </c>
      <c r="U151" s="138">
        <f t="shared" si="13"/>
        <v>1.7361111111111105E-2</v>
      </c>
      <c r="V151" s="315">
        <v>0.42708333333333331</v>
      </c>
      <c r="W151" s="138">
        <f t="shared" si="16"/>
        <v>4.8611111111111049E-2</v>
      </c>
      <c r="X151" s="81"/>
    </row>
    <row r="152" spans="1:25" s="113" customFormat="1" x14ac:dyDescent="0.25">
      <c r="A152" s="140">
        <f t="shared" si="15"/>
        <v>4</v>
      </c>
      <c r="B152" s="157">
        <v>43852</v>
      </c>
      <c r="C152" s="157">
        <v>43852</v>
      </c>
      <c r="D152" s="100" t="s">
        <v>337</v>
      </c>
      <c r="E152" s="79">
        <v>1000453243</v>
      </c>
      <c r="F152" s="153">
        <v>300</v>
      </c>
      <c r="G152" s="137" t="s">
        <v>324</v>
      </c>
      <c r="H152" s="158" t="s">
        <v>374</v>
      </c>
      <c r="I152" s="79" t="s">
        <v>585</v>
      </c>
      <c r="J152" s="139" t="s">
        <v>19</v>
      </c>
      <c r="K152" s="139"/>
      <c r="L152" s="98" t="s">
        <v>55</v>
      </c>
      <c r="M152" s="79">
        <v>80</v>
      </c>
      <c r="N152" s="139" t="s">
        <v>51</v>
      </c>
      <c r="O152" s="139">
        <v>38</v>
      </c>
      <c r="P152" s="138">
        <v>0.45833333333333331</v>
      </c>
      <c r="Q152" s="147">
        <v>0.64236111111111105</v>
      </c>
      <c r="R152" s="147">
        <v>0.65625</v>
      </c>
      <c r="S152" s="147">
        <v>0.67361111111111116</v>
      </c>
      <c r="T152" s="138">
        <f t="shared" si="13"/>
        <v>1.3888888888888951E-2</v>
      </c>
      <c r="U152" s="138">
        <f t="shared" si="13"/>
        <v>1.736111111111116E-2</v>
      </c>
      <c r="V152" s="315">
        <v>0.67708333333333337</v>
      </c>
      <c r="W152" s="138">
        <f t="shared" si="16"/>
        <v>3.4722222222222321E-2</v>
      </c>
      <c r="X152" s="81"/>
    </row>
    <row r="153" spans="1:25" s="113" customFormat="1" x14ac:dyDescent="0.25">
      <c r="A153" s="140">
        <f t="shared" si="15"/>
        <v>4</v>
      </c>
      <c r="B153" s="157">
        <v>43852</v>
      </c>
      <c r="C153" s="157">
        <v>43852</v>
      </c>
      <c r="D153" s="100" t="s">
        <v>337</v>
      </c>
      <c r="E153" s="79">
        <v>1000453385</v>
      </c>
      <c r="F153" s="153">
        <v>480</v>
      </c>
      <c r="G153" s="137" t="s">
        <v>341</v>
      </c>
      <c r="H153" s="158" t="s">
        <v>349</v>
      </c>
      <c r="I153" s="79" t="s">
        <v>584</v>
      </c>
      <c r="J153" s="139" t="s">
        <v>19</v>
      </c>
      <c r="K153" s="139"/>
      <c r="L153" s="98" t="s">
        <v>55</v>
      </c>
      <c r="M153" s="79">
        <v>80</v>
      </c>
      <c r="N153" s="139" t="s">
        <v>51</v>
      </c>
      <c r="O153" s="139">
        <v>33</v>
      </c>
      <c r="P153" s="138">
        <v>0.5</v>
      </c>
      <c r="Q153" s="147">
        <v>0.38541666666666669</v>
      </c>
      <c r="R153" s="147">
        <v>0.4236111111111111</v>
      </c>
      <c r="S153" s="147">
        <v>0.45833333333333331</v>
      </c>
      <c r="T153" s="138">
        <f t="shared" si="13"/>
        <v>3.819444444444442E-2</v>
      </c>
      <c r="U153" s="138">
        <f t="shared" si="13"/>
        <v>3.472222222222221E-2</v>
      </c>
      <c r="V153" s="315">
        <v>0.46527777777777773</v>
      </c>
      <c r="W153" s="138">
        <f t="shared" si="16"/>
        <v>7.9861111111111049E-2</v>
      </c>
      <c r="X153" s="81"/>
    </row>
    <row r="154" spans="1:25" s="113" customFormat="1" ht="31.5" x14ac:dyDescent="0.25">
      <c r="A154" s="140">
        <f t="shared" si="15"/>
        <v>4</v>
      </c>
      <c r="B154" s="157">
        <v>43852</v>
      </c>
      <c r="C154" s="157">
        <v>43852</v>
      </c>
      <c r="D154" s="100" t="s">
        <v>337</v>
      </c>
      <c r="E154" s="79">
        <v>1000453393</v>
      </c>
      <c r="F154" s="153">
        <v>120</v>
      </c>
      <c r="G154" s="137" t="s">
        <v>340</v>
      </c>
      <c r="H154" s="158" t="s">
        <v>589</v>
      </c>
      <c r="I154" s="79" t="s">
        <v>582</v>
      </c>
      <c r="J154" s="139" t="s">
        <v>19</v>
      </c>
      <c r="K154" s="139"/>
      <c r="L154" s="98" t="s">
        <v>55</v>
      </c>
      <c r="M154" s="79">
        <v>80</v>
      </c>
      <c r="N154" s="139" t="s">
        <v>51</v>
      </c>
      <c r="O154" s="139">
        <v>42</v>
      </c>
      <c r="P154" s="138">
        <v>0.5</v>
      </c>
      <c r="Q154" s="147">
        <v>0.61111111111111105</v>
      </c>
      <c r="R154" s="147">
        <v>0.625</v>
      </c>
      <c r="S154" s="147">
        <v>0.64583333333333337</v>
      </c>
      <c r="T154" s="138">
        <f t="shared" si="13"/>
        <v>1.3888888888888951E-2</v>
      </c>
      <c r="U154" s="138">
        <f t="shared" si="13"/>
        <v>2.083333333333337E-2</v>
      </c>
      <c r="V154" s="315">
        <v>0.64930555555555558</v>
      </c>
      <c r="W154" s="259">
        <f t="shared" si="16"/>
        <v>3.8194444444444531E-2</v>
      </c>
      <c r="X154" s="81"/>
    </row>
    <row r="155" spans="1:25" s="113" customFormat="1" ht="16.5" thickBot="1" x14ac:dyDescent="0.3">
      <c r="A155" s="185">
        <f t="shared" si="15"/>
        <v>4</v>
      </c>
      <c r="B155" s="186">
        <v>43852</v>
      </c>
      <c r="C155" s="186">
        <v>43852</v>
      </c>
      <c r="D155" s="236" t="s">
        <v>361</v>
      </c>
      <c r="E155" s="172">
        <v>1000453399</v>
      </c>
      <c r="F155" s="187">
        <v>360</v>
      </c>
      <c r="G155" s="185" t="s">
        <v>342</v>
      </c>
      <c r="H155" s="188" t="s">
        <v>590</v>
      </c>
      <c r="I155" s="172" t="s">
        <v>596</v>
      </c>
      <c r="J155" s="189" t="s">
        <v>19</v>
      </c>
      <c r="K155" s="189"/>
      <c r="L155" s="172" t="s">
        <v>55</v>
      </c>
      <c r="M155" s="172">
        <v>80</v>
      </c>
      <c r="N155" s="189" t="s">
        <v>51</v>
      </c>
      <c r="O155" s="189">
        <v>35</v>
      </c>
      <c r="P155" s="190">
        <v>0.54166666666666663</v>
      </c>
      <c r="Q155" s="191">
        <v>0.52430555555555558</v>
      </c>
      <c r="R155" s="191">
        <v>0.53125</v>
      </c>
      <c r="S155" s="191">
        <v>0.55902777777777779</v>
      </c>
      <c r="T155" s="190">
        <f t="shared" si="13"/>
        <v>6.9444444444444198E-3</v>
      </c>
      <c r="U155" s="190">
        <f t="shared" si="13"/>
        <v>2.777777777777779E-2</v>
      </c>
      <c r="V155" s="287">
        <v>0.56597222222222221</v>
      </c>
      <c r="W155" s="190">
        <f t="shared" si="14"/>
        <v>4.166666666666663E-2</v>
      </c>
      <c r="X155" s="288"/>
      <c r="Y155" s="268"/>
    </row>
    <row r="156" spans="1:25" s="113" customFormat="1" x14ac:dyDescent="0.25">
      <c r="A156" s="140">
        <f t="shared" si="15"/>
        <v>4</v>
      </c>
      <c r="B156" s="157">
        <v>43853</v>
      </c>
      <c r="C156" s="157">
        <v>43853</v>
      </c>
      <c r="D156" s="102" t="s">
        <v>68</v>
      </c>
      <c r="E156" s="98"/>
      <c r="F156" s="177">
        <v>540</v>
      </c>
      <c r="G156" s="140" t="s">
        <v>53</v>
      </c>
      <c r="H156" s="178" t="s">
        <v>80</v>
      </c>
      <c r="I156" s="143" t="s">
        <v>54</v>
      </c>
      <c r="J156" s="142"/>
      <c r="K156" s="142"/>
      <c r="L156" s="98" t="s">
        <v>55</v>
      </c>
      <c r="M156" s="98"/>
      <c r="N156" s="142"/>
      <c r="O156" s="142">
        <v>9</v>
      </c>
      <c r="P156" s="179">
        <v>0.66666666666666663</v>
      </c>
      <c r="Q156" s="148">
        <v>0.63194444444444442</v>
      </c>
      <c r="R156" s="148">
        <v>0.64583333333333337</v>
      </c>
      <c r="S156" s="148">
        <v>0.65277777777777779</v>
      </c>
      <c r="T156" s="179">
        <f t="shared" si="13"/>
        <v>1.3888888888888951E-2</v>
      </c>
      <c r="U156" s="179">
        <f t="shared" si="13"/>
        <v>6.9444444444444198E-3</v>
      </c>
      <c r="V156" s="148">
        <v>0.65625</v>
      </c>
      <c r="W156" s="148">
        <f t="shared" si="14"/>
        <v>2.430555555555558E-2</v>
      </c>
      <c r="X156" s="96"/>
    </row>
    <row r="157" spans="1:25" s="113" customFormat="1" x14ac:dyDescent="0.25">
      <c r="A157" s="140">
        <f t="shared" si="15"/>
        <v>4</v>
      </c>
      <c r="B157" s="157">
        <v>43853</v>
      </c>
      <c r="C157" s="157">
        <v>43853</v>
      </c>
      <c r="D157" s="100" t="s">
        <v>66</v>
      </c>
      <c r="E157" s="79"/>
      <c r="F157" s="153">
        <v>540</v>
      </c>
      <c r="G157" s="137" t="s">
        <v>56</v>
      </c>
      <c r="H157" s="158" t="s">
        <v>317</v>
      </c>
      <c r="I157" s="143" t="s">
        <v>58</v>
      </c>
      <c r="J157" s="139"/>
      <c r="K157" s="139"/>
      <c r="L157" s="98" t="s">
        <v>55</v>
      </c>
      <c r="M157" s="79"/>
      <c r="N157" s="139"/>
      <c r="O157" s="139">
        <v>27</v>
      </c>
      <c r="P157" s="138">
        <v>0.70833333333333337</v>
      </c>
      <c r="Q157" s="147">
        <v>0.71527777777777779</v>
      </c>
      <c r="R157" s="147">
        <v>0.72222222222222221</v>
      </c>
      <c r="S157" s="147">
        <v>0.73263888888888884</v>
      </c>
      <c r="T157" s="138">
        <f t="shared" si="13"/>
        <v>6.9444444444444198E-3</v>
      </c>
      <c r="U157" s="138">
        <f t="shared" si="13"/>
        <v>1.041666666666663E-2</v>
      </c>
      <c r="V157" s="147">
        <v>0.73958333333333337</v>
      </c>
      <c r="W157" s="148">
        <f t="shared" si="14"/>
        <v>2.430555555555558E-2</v>
      </c>
      <c r="X157" s="81"/>
    </row>
    <row r="158" spans="1:25" s="113" customFormat="1" x14ac:dyDescent="0.25">
      <c r="A158" s="140">
        <f t="shared" si="15"/>
        <v>4</v>
      </c>
      <c r="B158" s="157">
        <v>43853</v>
      </c>
      <c r="C158" s="157">
        <v>43853</v>
      </c>
      <c r="D158" s="100" t="s">
        <v>361</v>
      </c>
      <c r="E158" s="79"/>
      <c r="F158" s="153">
        <v>540</v>
      </c>
      <c r="G158" s="137" t="s">
        <v>59</v>
      </c>
      <c r="H158" s="158" t="s">
        <v>330</v>
      </c>
      <c r="I158" s="298" t="s">
        <v>60</v>
      </c>
      <c r="J158" s="139"/>
      <c r="K158" s="139"/>
      <c r="L158" s="98" t="s">
        <v>55</v>
      </c>
      <c r="M158" s="79"/>
      <c r="N158" s="139"/>
      <c r="O158" s="139">
        <v>24</v>
      </c>
      <c r="P158" s="138">
        <v>0.70833333333333337</v>
      </c>
      <c r="Q158" s="147">
        <v>0.6875</v>
      </c>
      <c r="R158" s="147">
        <v>0.69444444444444453</v>
      </c>
      <c r="S158" s="147">
        <v>0.70833333333333337</v>
      </c>
      <c r="T158" s="138">
        <f t="shared" si="13"/>
        <v>6.9444444444445308E-3</v>
      </c>
      <c r="U158" s="138">
        <f t="shared" si="13"/>
        <v>1.388888888888884E-2</v>
      </c>
      <c r="V158" s="147">
        <v>0.71180555555555547</v>
      </c>
      <c r="W158" s="148">
        <f t="shared" si="14"/>
        <v>2.4305555555555469E-2</v>
      </c>
      <c r="X158" s="81"/>
    </row>
    <row r="159" spans="1:25" s="113" customFormat="1" x14ac:dyDescent="0.25">
      <c r="A159" s="140">
        <f t="shared" si="15"/>
        <v>4</v>
      </c>
      <c r="B159" s="157">
        <v>43853</v>
      </c>
      <c r="C159" s="157">
        <v>43853</v>
      </c>
      <c r="D159" s="100" t="s">
        <v>68</v>
      </c>
      <c r="E159" s="79"/>
      <c r="F159" s="153">
        <v>540</v>
      </c>
      <c r="G159" s="137" t="s">
        <v>61</v>
      </c>
      <c r="H159" s="158" t="s">
        <v>62</v>
      </c>
      <c r="I159" s="306" t="s">
        <v>63</v>
      </c>
      <c r="J159" s="139"/>
      <c r="K159" s="139"/>
      <c r="L159" s="98" t="s">
        <v>55</v>
      </c>
      <c r="M159" s="79"/>
      <c r="N159" s="139"/>
      <c r="O159" s="139">
        <v>26</v>
      </c>
      <c r="P159" s="138">
        <v>0.75</v>
      </c>
      <c r="Q159" s="147">
        <v>0.71527777777777779</v>
      </c>
      <c r="R159" s="147">
        <v>0.73958333333333337</v>
      </c>
      <c r="S159" s="147">
        <v>0.75694444444444453</v>
      </c>
      <c r="T159" s="138">
        <f t="shared" si="13"/>
        <v>2.430555555555558E-2</v>
      </c>
      <c r="U159" s="138">
        <f t="shared" si="13"/>
        <v>1.736111111111116E-2</v>
      </c>
      <c r="V159" s="147">
        <v>0.76041666666666663</v>
      </c>
      <c r="W159" s="148">
        <f t="shared" si="14"/>
        <v>4.513888888888884E-2</v>
      </c>
      <c r="X159" s="81"/>
    </row>
    <row r="160" spans="1:25" s="113" customFormat="1" x14ac:dyDescent="0.25">
      <c r="A160" s="140">
        <f t="shared" si="15"/>
        <v>4</v>
      </c>
      <c r="B160" s="157">
        <v>43853</v>
      </c>
      <c r="C160" s="157">
        <v>43853</v>
      </c>
      <c r="D160" s="100" t="s">
        <v>68</v>
      </c>
      <c r="E160" s="79"/>
      <c r="F160" s="153">
        <v>540</v>
      </c>
      <c r="G160" s="137" t="s">
        <v>64</v>
      </c>
      <c r="H160" s="158" t="s">
        <v>65</v>
      </c>
      <c r="I160" s="306" t="s">
        <v>355</v>
      </c>
      <c r="J160" s="139"/>
      <c r="K160" s="139"/>
      <c r="L160" s="98" t="s">
        <v>55</v>
      </c>
      <c r="M160" s="79"/>
      <c r="N160" s="139"/>
      <c r="O160" s="139">
        <v>25</v>
      </c>
      <c r="P160" s="138">
        <v>0.79166666666666663</v>
      </c>
      <c r="Q160" s="147">
        <v>0.76388888888888884</v>
      </c>
      <c r="R160" s="147">
        <v>0.77430555555555547</v>
      </c>
      <c r="S160" s="147">
        <v>0.78472222222222221</v>
      </c>
      <c r="T160" s="138">
        <f t="shared" si="13"/>
        <v>1.041666666666663E-2</v>
      </c>
      <c r="U160" s="138">
        <f t="shared" si="13"/>
        <v>1.0416666666666741E-2</v>
      </c>
      <c r="V160" s="147">
        <v>0.78819444444444453</v>
      </c>
      <c r="W160" s="148">
        <f t="shared" si="14"/>
        <v>2.4305555555555691E-2</v>
      </c>
      <c r="X160" s="81"/>
    </row>
    <row r="161" spans="1:25" s="113" customFormat="1" x14ac:dyDescent="0.25">
      <c r="A161" s="140">
        <f t="shared" si="15"/>
        <v>4</v>
      </c>
      <c r="B161" s="157">
        <v>43853</v>
      </c>
      <c r="C161" s="157">
        <v>43853</v>
      </c>
      <c r="D161" s="100" t="s">
        <v>68</v>
      </c>
      <c r="E161" s="79"/>
      <c r="F161" s="153">
        <v>540</v>
      </c>
      <c r="G161" s="137" t="s">
        <v>77</v>
      </c>
      <c r="H161" s="158" t="s">
        <v>76</v>
      </c>
      <c r="I161" s="306" t="s">
        <v>78</v>
      </c>
      <c r="J161" s="139"/>
      <c r="K161" s="139"/>
      <c r="L161" s="98" t="s">
        <v>55</v>
      </c>
      <c r="M161" s="79"/>
      <c r="N161" s="139"/>
      <c r="O161" s="139">
        <v>13</v>
      </c>
      <c r="P161" s="138">
        <v>0.83333333333333337</v>
      </c>
      <c r="Q161" s="147">
        <v>0.76041666666666663</v>
      </c>
      <c r="R161" s="147">
        <v>0.78472222222222221</v>
      </c>
      <c r="S161" s="147">
        <v>0.79166666666666663</v>
      </c>
      <c r="T161" s="138">
        <f t="shared" si="13"/>
        <v>2.430555555555558E-2</v>
      </c>
      <c r="U161" s="138">
        <f t="shared" si="13"/>
        <v>6.9444444444444198E-3</v>
      </c>
      <c r="V161" s="147">
        <v>0.79513888888888884</v>
      </c>
      <c r="W161" s="148">
        <f t="shared" si="14"/>
        <v>3.472222222222221E-2</v>
      </c>
      <c r="X161" s="81"/>
    </row>
    <row r="162" spans="1:25" s="113" customFormat="1" ht="31.5" x14ac:dyDescent="0.25">
      <c r="A162" s="140">
        <f t="shared" si="15"/>
        <v>4</v>
      </c>
      <c r="B162" s="157">
        <v>43853</v>
      </c>
      <c r="C162" s="157">
        <v>43853</v>
      </c>
      <c r="D162" s="320" t="s">
        <v>337</v>
      </c>
      <c r="E162" s="79">
        <v>1000453234</v>
      </c>
      <c r="F162" s="153">
        <v>480</v>
      </c>
      <c r="G162" s="137" t="s">
        <v>370</v>
      </c>
      <c r="H162" s="158" t="s">
        <v>606</v>
      </c>
      <c r="I162" s="306" t="s">
        <v>612</v>
      </c>
      <c r="J162" s="139" t="s">
        <v>19</v>
      </c>
      <c r="K162" s="139"/>
      <c r="L162" s="98" t="s">
        <v>55</v>
      </c>
      <c r="M162" s="79">
        <v>80</v>
      </c>
      <c r="N162" s="139" t="s">
        <v>51</v>
      </c>
      <c r="O162" s="139">
        <v>33</v>
      </c>
      <c r="P162" s="138">
        <v>0.41666666666666669</v>
      </c>
      <c r="Q162" s="147">
        <v>0.35069444444444442</v>
      </c>
      <c r="R162" s="147">
        <v>0.36805555555555558</v>
      </c>
      <c r="S162" s="147">
        <v>0.38541666666666669</v>
      </c>
      <c r="T162" s="138">
        <f t="shared" si="13"/>
        <v>1.736111111111116E-2</v>
      </c>
      <c r="U162" s="138">
        <f t="shared" si="13"/>
        <v>1.7361111111111105E-2</v>
      </c>
      <c r="V162" s="147">
        <v>0.39583333333333331</v>
      </c>
      <c r="W162" s="148">
        <f t="shared" si="14"/>
        <v>4.5138888888888895E-2</v>
      </c>
      <c r="X162" s="81"/>
    </row>
    <row r="163" spans="1:25" s="113" customFormat="1" x14ac:dyDescent="0.25">
      <c r="A163" s="140">
        <f t="shared" si="15"/>
        <v>4</v>
      </c>
      <c r="B163" s="157">
        <v>43853</v>
      </c>
      <c r="C163" s="157">
        <v>43853</v>
      </c>
      <c r="D163" s="100" t="s">
        <v>66</v>
      </c>
      <c r="E163" s="79">
        <v>1000453238</v>
      </c>
      <c r="F163" s="153">
        <v>540</v>
      </c>
      <c r="G163" s="137" t="s">
        <v>371</v>
      </c>
      <c r="H163" s="158" t="s">
        <v>374</v>
      </c>
      <c r="I163" s="79">
        <v>3202706255</v>
      </c>
      <c r="J163" s="139" t="s">
        <v>19</v>
      </c>
      <c r="K163" s="139"/>
      <c r="L163" s="98" t="s">
        <v>55</v>
      </c>
      <c r="M163" s="79">
        <v>80</v>
      </c>
      <c r="N163" s="139" t="s">
        <v>51</v>
      </c>
      <c r="O163" s="139">
        <v>33</v>
      </c>
      <c r="P163" s="138">
        <v>0.41666666666666669</v>
      </c>
      <c r="Q163" s="147">
        <v>0.4201388888888889</v>
      </c>
      <c r="R163" s="147">
        <v>0.4236111111111111</v>
      </c>
      <c r="S163" s="147">
        <v>0.44097222222222227</v>
      </c>
      <c r="T163" s="138">
        <f t="shared" si="13"/>
        <v>3.4722222222222099E-3</v>
      </c>
      <c r="U163" s="138">
        <f t="shared" si="13"/>
        <v>1.736111111111116E-2</v>
      </c>
      <c r="V163" s="147">
        <v>0.44791666666666669</v>
      </c>
      <c r="W163" s="148">
        <f t="shared" si="14"/>
        <v>2.777777777777779E-2</v>
      </c>
      <c r="X163" s="81"/>
    </row>
    <row r="164" spans="1:25" s="113" customFormat="1" x14ac:dyDescent="0.25">
      <c r="A164" s="140">
        <f t="shared" si="15"/>
        <v>4</v>
      </c>
      <c r="B164" s="157">
        <v>43853</v>
      </c>
      <c r="C164" s="157">
        <v>43853</v>
      </c>
      <c r="D164" s="100" t="s">
        <v>68</v>
      </c>
      <c r="E164" s="79">
        <v>1000453244</v>
      </c>
      <c r="F164" s="153">
        <v>180</v>
      </c>
      <c r="G164" s="137" t="s">
        <v>372</v>
      </c>
      <c r="H164" s="158" t="s">
        <v>607</v>
      </c>
      <c r="I164" s="194" t="s">
        <v>616</v>
      </c>
      <c r="J164" s="139" t="s">
        <v>19</v>
      </c>
      <c r="K164" s="139"/>
      <c r="L164" s="98" t="s">
        <v>55</v>
      </c>
      <c r="M164" s="79">
        <v>80</v>
      </c>
      <c r="N164" s="139" t="s">
        <v>51</v>
      </c>
      <c r="O164" s="139">
        <v>34</v>
      </c>
      <c r="P164" s="138">
        <v>0.45833333333333331</v>
      </c>
      <c r="Q164" s="147">
        <v>0.6875</v>
      </c>
      <c r="R164" s="147">
        <v>0.69791666666666663</v>
      </c>
      <c r="S164" s="147">
        <v>0.71180555555555547</v>
      </c>
      <c r="T164" s="138">
        <f t="shared" si="13"/>
        <v>1.041666666666663E-2</v>
      </c>
      <c r="U164" s="138">
        <f t="shared" si="13"/>
        <v>1.388888888888884E-2</v>
      </c>
      <c r="V164" s="147">
        <v>0.71527777777777779</v>
      </c>
      <c r="W164" s="148">
        <f t="shared" si="14"/>
        <v>2.777777777777779E-2</v>
      </c>
      <c r="X164" s="81"/>
    </row>
    <row r="165" spans="1:25" s="113" customFormat="1" ht="31.5" x14ac:dyDescent="0.25">
      <c r="A165" s="140">
        <f t="shared" si="15"/>
        <v>4</v>
      </c>
      <c r="B165" s="157">
        <v>43853</v>
      </c>
      <c r="C165" s="157">
        <v>43853</v>
      </c>
      <c r="D165" s="320" t="s">
        <v>66</v>
      </c>
      <c r="E165" s="79">
        <v>1000453381</v>
      </c>
      <c r="F165" s="153">
        <v>360</v>
      </c>
      <c r="G165" s="137" t="s">
        <v>373</v>
      </c>
      <c r="H165" s="158" t="s">
        <v>608</v>
      </c>
      <c r="I165" s="79" t="s">
        <v>615</v>
      </c>
      <c r="J165" s="139" t="s">
        <v>19</v>
      </c>
      <c r="K165" s="139"/>
      <c r="L165" s="98" t="s">
        <v>55</v>
      </c>
      <c r="M165" s="79">
        <v>80</v>
      </c>
      <c r="N165" s="139" t="s">
        <v>51</v>
      </c>
      <c r="O165" s="139">
        <v>35</v>
      </c>
      <c r="P165" s="138">
        <v>0.45833333333333331</v>
      </c>
      <c r="Q165" s="147">
        <v>0.44791666666666669</v>
      </c>
      <c r="R165" s="147">
        <v>0.44791666666666669</v>
      </c>
      <c r="S165" s="147">
        <v>0.46875</v>
      </c>
      <c r="T165" s="138">
        <f t="shared" si="13"/>
        <v>0</v>
      </c>
      <c r="U165" s="138">
        <f t="shared" si="13"/>
        <v>2.0833333333333315E-2</v>
      </c>
      <c r="V165" s="147">
        <v>0.47916666666666669</v>
      </c>
      <c r="W165" s="148">
        <f t="shared" si="14"/>
        <v>3.125E-2</v>
      </c>
      <c r="X165" s="81"/>
    </row>
    <row r="166" spans="1:25" s="113" customFormat="1" ht="31.5" x14ac:dyDescent="0.25">
      <c r="A166" s="140">
        <f t="shared" si="15"/>
        <v>4</v>
      </c>
      <c r="B166" s="157">
        <v>43853</v>
      </c>
      <c r="C166" s="157">
        <v>43853</v>
      </c>
      <c r="D166" s="100" t="s">
        <v>68</v>
      </c>
      <c r="E166" s="79">
        <v>1000453386</v>
      </c>
      <c r="F166" s="153">
        <v>240</v>
      </c>
      <c r="G166" s="137" t="s">
        <v>532</v>
      </c>
      <c r="H166" s="158" t="s">
        <v>399</v>
      </c>
      <c r="I166" s="194" t="s">
        <v>618</v>
      </c>
      <c r="J166" s="139" t="s">
        <v>19</v>
      </c>
      <c r="K166" s="139"/>
      <c r="L166" s="98" t="s">
        <v>55</v>
      </c>
      <c r="M166" s="79">
        <v>80</v>
      </c>
      <c r="N166" s="139" t="s">
        <v>51</v>
      </c>
      <c r="O166" s="139">
        <v>33</v>
      </c>
      <c r="P166" s="138">
        <v>0.5</v>
      </c>
      <c r="Q166" s="147">
        <v>0.59375</v>
      </c>
      <c r="R166" s="147">
        <v>0.61458333333333337</v>
      </c>
      <c r="S166" s="147">
        <v>0.62847222222222221</v>
      </c>
      <c r="T166" s="138">
        <f t="shared" si="13"/>
        <v>2.083333333333337E-2</v>
      </c>
      <c r="U166" s="138">
        <f t="shared" si="13"/>
        <v>1.388888888888884E-2</v>
      </c>
      <c r="V166" s="147">
        <v>0.63194444444444442</v>
      </c>
      <c r="W166" s="148">
        <f t="shared" si="14"/>
        <v>3.819444444444442E-2</v>
      </c>
      <c r="X166" s="81"/>
    </row>
    <row r="167" spans="1:25" s="113" customFormat="1" x14ac:dyDescent="0.25">
      <c r="A167" s="140">
        <f t="shared" si="15"/>
        <v>4</v>
      </c>
      <c r="B167" s="157">
        <v>43853</v>
      </c>
      <c r="C167" s="157">
        <v>43853</v>
      </c>
      <c r="D167" s="100"/>
      <c r="E167" s="79">
        <v>1000453389</v>
      </c>
      <c r="F167" s="153"/>
      <c r="G167" s="137" t="s">
        <v>533</v>
      </c>
      <c r="H167" s="158"/>
      <c r="I167" s="312"/>
      <c r="J167" s="139"/>
      <c r="K167" s="139"/>
      <c r="L167" s="98" t="s">
        <v>75</v>
      </c>
      <c r="M167" s="79"/>
      <c r="N167" s="139"/>
      <c r="O167" s="139"/>
      <c r="P167" s="138">
        <v>0.5</v>
      </c>
      <c r="Q167" s="147"/>
      <c r="R167" s="147"/>
      <c r="S167" s="147"/>
      <c r="T167" s="138">
        <f t="shared" si="13"/>
        <v>0</v>
      </c>
      <c r="U167" s="138">
        <f t="shared" si="13"/>
        <v>0</v>
      </c>
      <c r="V167" s="147"/>
      <c r="W167" s="148">
        <f t="shared" si="14"/>
        <v>0</v>
      </c>
      <c r="X167" s="81"/>
    </row>
    <row r="168" spans="1:25" s="113" customFormat="1" x14ac:dyDescent="0.25">
      <c r="A168" s="140">
        <f t="shared" si="15"/>
        <v>4</v>
      </c>
      <c r="B168" s="157">
        <v>43853</v>
      </c>
      <c r="C168" s="157">
        <v>43853</v>
      </c>
      <c r="D168" s="100" t="s">
        <v>361</v>
      </c>
      <c r="E168" s="79">
        <v>1000453394</v>
      </c>
      <c r="F168" s="153">
        <v>240</v>
      </c>
      <c r="G168" s="137" t="s">
        <v>597</v>
      </c>
      <c r="H168" s="158" t="s">
        <v>609</v>
      </c>
      <c r="I168" s="79" t="s">
        <v>598</v>
      </c>
      <c r="J168" s="139" t="s">
        <v>19</v>
      </c>
      <c r="K168" s="139"/>
      <c r="L168" s="98" t="s">
        <v>55</v>
      </c>
      <c r="M168" s="79">
        <v>80</v>
      </c>
      <c r="N168" s="139" t="s">
        <v>51</v>
      </c>
      <c r="O168" s="139">
        <v>42</v>
      </c>
      <c r="P168" s="138">
        <v>0.5</v>
      </c>
      <c r="Q168" s="147">
        <v>0.51041666666666663</v>
      </c>
      <c r="R168" s="147">
        <v>0.52083333333333337</v>
      </c>
      <c r="S168" s="147">
        <v>0.54166666666666663</v>
      </c>
      <c r="T168" s="138">
        <f t="shared" si="13"/>
        <v>1.0416666666666741E-2</v>
      </c>
      <c r="U168" s="138">
        <f t="shared" si="13"/>
        <v>2.0833333333333259E-2</v>
      </c>
      <c r="V168" s="147">
        <v>0.55208333333333337</v>
      </c>
      <c r="W168" s="148">
        <f t="shared" si="14"/>
        <v>4.1666666666666741E-2</v>
      </c>
      <c r="X168" s="81"/>
    </row>
    <row r="169" spans="1:25" s="113" customFormat="1" ht="32.25" thickBot="1" x14ac:dyDescent="0.3">
      <c r="A169" s="185">
        <f t="shared" si="15"/>
        <v>4</v>
      </c>
      <c r="B169" s="186">
        <v>43853</v>
      </c>
      <c r="C169" s="186">
        <v>43853</v>
      </c>
      <c r="D169" s="319" t="s">
        <v>337</v>
      </c>
      <c r="E169" s="172">
        <v>1000453400</v>
      </c>
      <c r="F169" s="187">
        <v>240</v>
      </c>
      <c r="G169" s="185" t="s">
        <v>510</v>
      </c>
      <c r="H169" s="188" t="s">
        <v>497</v>
      </c>
      <c r="I169" s="311" t="s">
        <v>617</v>
      </c>
      <c r="J169" s="189" t="s">
        <v>19</v>
      </c>
      <c r="K169" s="189"/>
      <c r="L169" s="172" t="s">
        <v>55</v>
      </c>
      <c r="M169" s="172">
        <v>80</v>
      </c>
      <c r="N169" s="189" t="s">
        <v>51</v>
      </c>
      <c r="O169" s="189">
        <v>33</v>
      </c>
      <c r="P169" s="190">
        <v>0.54166666666666663</v>
      </c>
      <c r="Q169" s="191">
        <v>0.56944444444444442</v>
      </c>
      <c r="R169" s="191">
        <v>0.58333333333333337</v>
      </c>
      <c r="S169" s="191">
        <v>0.61458333333333337</v>
      </c>
      <c r="T169" s="190">
        <f t="shared" si="13"/>
        <v>1.3888888888888951E-2</v>
      </c>
      <c r="U169" s="190">
        <f t="shared" si="13"/>
        <v>3.125E-2</v>
      </c>
      <c r="V169" s="191">
        <v>0.62152777777777779</v>
      </c>
      <c r="W169" s="148">
        <f t="shared" si="14"/>
        <v>5.208333333333337E-2</v>
      </c>
      <c r="X169" s="174"/>
      <c r="Y169" s="268"/>
    </row>
    <row r="170" spans="1:25" s="113" customFormat="1" x14ac:dyDescent="0.25">
      <c r="A170" s="140">
        <f t="shared" si="15"/>
        <v>4</v>
      </c>
      <c r="B170" s="157">
        <v>43854</v>
      </c>
      <c r="C170" s="157">
        <v>43854</v>
      </c>
      <c r="D170" s="102" t="s">
        <v>361</v>
      </c>
      <c r="E170" s="98"/>
      <c r="F170" s="177">
        <v>540</v>
      </c>
      <c r="G170" s="140" t="s">
        <v>53</v>
      </c>
      <c r="H170" s="158" t="s">
        <v>62</v>
      </c>
      <c r="I170" s="143" t="s">
        <v>54</v>
      </c>
      <c r="J170" s="142"/>
      <c r="K170" s="142"/>
      <c r="L170" s="98" t="s">
        <v>55</v>
      </c>
      <c r="M170" s="98"/>
      <c r="N170" s="142"/>
      <c r="O170" s="142">
        <v>12</v>
      </c>
      <c r="P170" s="179">
        <v>0.66666666666666663</v>
      </c>
      <c r="Q170" s="148">
        <v>0.65625</v>
      </c>
      <c r="R170" s="148">
        <v>0.67361111111111116</v>
      </c>
      <c r="S170" s="148">
        <v>0.6875</v>
      </c>
      <c r="T170" s="179">
        <f t="shared" si="13"/>
        <v>1.736111111111116E-2</v>
      </c>
      <c r="U170" s="179">
        <f t="shared" si="13"/>
        <v>1.388888888888884E-2</v>
      </c>
      <c r="V170" s="148">
        <v>0.69097222222222221</v>
      </c>
      <c r="W170" s="148">
        <f t="shared" si="14"/>
        <v>3.472222222222221E-2</v>
      </c>
      <c r="X170" s="96"/>
    </row>
    <row r="171" spans="1:25" s="113" customFormat="1" x14ac:dyDescent="0.25">
      <c r="A171" s="140">
        <f t="shared" si="15"/>
        <v>4</v>
      </c>
      <c r="B171" s="157">
        <v>43854</v>
      </c>
      <c r="C171" s="157">
        <v>43854</v>
      </c>
      <c r="D171" s="100" t="s">
        <v>361</v>
      </c>
      <c r="E171" s="79"/>
      <c r="F171" s="153">
        <v>540</v>
      </c>
      <c r="G171" s="137" t="s">
        <v>56</v>
      </c>
      <c r="H171" s="158" t="s">
        <v>76</v>
      </c>
      <c r="I171" s="143" t="s">
        <v>58</v>
      </c>
      <c r="J171" s="139"/>
      <c r="K171" s="139"/>
      <c r="L171" s="98" t="s">
        <v>55</v>
      </c>
      <c r="M171" s="79"/>
      <c r="N171" s="139"/>
      <c r="O171" s="139">
        <v>24</v>
      </c>
      <c r="P171" s="138">
        <v>0.70833333333333337</v>
      </c>
      <c r="Q171" s="147">
        <v>0.66666666666666663</v>
      </c>
      <c r="R171" s="147">
        <v>0.69097222222222221</v>
      </c>
      <c r="S171" s="147">
        <v>0.71180555555555547</v>
      </c>
      <c r="T171" s="138">
        <f t="shared" si="13"/>
        <v>2.430555555555558E-2</v>
      </c>
      <c r="U171" s="138">
        <f t="shared" si="13"/>
        <v>2.0833333333333259E-2</v>
      </c>
      <c r="V171" s="147">
        <v>0.71527777777777779</v>
      </c>
      <c r="W171" s="148">
        <f t="shared" si="14"/>
        <v>4.861111111111116E-2</v>
      </c>
      <c r="X171" s="81" t="s">
        <v>650</v>
      </c>
    </row>
    <row r="172" spans="1:25" s="113" customFormat="1" x14ac:dyDescent="0.25">
      <c r="A172" s="140">
        <f t="shared" si="15"/>
        <v>4</v>
      </c>
      <c r="B172" s="157">
        <v>43854</v>
      </c>
      <c r="C172" s="157">
        <v>43854</v>
      </c>
      <c r="D172" s="100" t="s">
        <v>337</v>
      </c>
      <c r="E172" s="79"/>
      <c r="F172" s="153">
        <v>540</v>
      </c>
      <c r="G172" s="137" t="s">
        <v>59</v>
      </c>
      <c r="H172" s="158" t="s">
        <v>330</v>
      </c>
      <c r="I172" s="306" t="s">
        <v>63</v>
      </c>
      <c r="J172" s="139"/>
      <c r="K172" s="139"/>
      <c r="L172" s="98" t="s">
        <v>55</v>
      </c>
      <c r="M172" s="79"/>
      <c r="N172" s="139"/>
      <c r="O172" s="139">
        <v>7</v>
      </c>
      <c r="P172" s="138">
        <v>0.75</v>
      </c>
      <c r="Q172" s="147">
        <v>0.72569444444444453</v>
      </c>
      <c r="R172" s="147">
        <v>0.73958333333333337</v>
      </c>
      <c r="S172" s="147">
        <v>0.74652777777777779</v>
      </c>
      <c r="T172" s="138">
        <f t="shared" si="13"/>
        <v>1.388888888888884E-2</v>
      </c>
      <c r="U172" s="138">
        <f t="shared" si="13"/>
        <v>6.9444444444444198E-3</v>
      </c>
      <c r="V172" s="147">
        <v>0.75</v>
      </c>
      <c r="W172" s="148">
        <f t="shared" si="14"/>
        <v>2.4305555555555469E-2</v>
      </c>
      <c r="X172" s="81"/>
    </row>
    <row r="173" spans="1:25" s="113" customFormat="1" x14ac:dyDescent="0.25">
      <c r="A173" s="140">
        <f t="shared" si="15"/>
        <v>4</v>
      </c>
      <c r="B173" s="157">
        <v>43854</v>
      </c>
      <c r="C173" s="157">
        <v>43854</v>
      </c>
      <c r="D173" s="100"/>
      <c r="E173" s="79"/>
      <c r="F173" s="153">
        <v>540</v>
      </c>
      <c r="G173" s="137" t="s">
        <v>61</v>
      </c>
      <c r="H173" s="158" t="s">
        <v>317</v>
      </c>
      <c r="I173" s="306" t="s">
        <v>355</v>
      </c>
      <c r="J173" s="139"/>
      <c r="K173" s="139"/>
      <c r="L173" s="98" t="s">
        <v>55</v>
      </c>
      <c r="M173" s="79"/>
      <c r="N173" s="139"/>
      <c r="O173" s="139">
        <v>6</v>
      </c>
      <c r="P173" s="138">
        <v>0.75</v>
      </c>
      <c r="Q173" s="147">
        <v>0.74652777777777779</v>
      </c>
      <c r="R173" s="147">
        <v>0.75</v>
      </c>
      <c r="S173" s="147">
        <v>0.75694444444444453</v>
      </c>
      <c r="T173" s="138">
        <f t="shared" si="13"/>
        <v>3.4722222222222099E-3</v>
      </c>
      <c r="U173" s="138">
        <f t="shared" si="13"/>
        <v>6.9444444444445308E-3</v>
      </c>
      <c r="V173" s="147">
        <v>0.76041666666666663</v>
      </c>
      <c r="W173" s="148">
        <f t="shared" si="14"/>
        <v>1.388888888888884E-2</v>
      </c>
      <c r="X173" s="81"/>
    </row>
    <row r="174" spans="1:25" s="113" customFormat="1" x14ac:dyDescent="0.25">
      <c r="A174" s="140">
        <f>WEEKNUM(B174,21)</f>
        <v>4</v>
      </c>
      <c r="B174" s="157">
        <v>43854</v>
      </c>
      <c r="C174" s="157">
        <v>43854</v>
      </c>
      <c r="D174" s="100"/>
      <c r="E174" s="79"/>
      <c r="F174" s="153"/>
      <c r="G174" s="137"/>
      <c r="H174" s="158"/>
      <c r="I174" s="79" t="s">
        <v>639</v>
      </c>
      <c r="J174" s="139" t="s">
        <v>19</v>
      </c>
      <c r="K174" s="139"/>
      <c r="L174" s="98" t="s">
        <v>55</v>
      </c>
      <c r="M174" s="79"/>
      <c r="N174" s="139"/>
      <c r="O174" s="139">
        <v>19</v>
      </c>
      <c r="P174" s="138">
        <v>0.54166666666666663</v>
      </c>
      <c r="Q174" s="147">
        <v>0.54166666666666663</v>
      </c>
      <c r="R174" s="147">
        <v>0.54166666666666663</v>
      </c>
      <c r="S174" s="147">
        <v>0.55208333333333337</v>
      </c>
      <c r="T174" s="138">
        <f>R174-Q174</f>
        <v>0</v>
      </c>
      <c r="U174" s="138">
        <f>S174-R174</f>
        <v>1.0416666666666741E-2</v>
      </c>
      <c r="V174" s="147">
        <v>0.55555555555555558</v>
      </c>
      <c r="W174" s="148">
        <f>V174-Q174</f>
        <v>1.3888888888888951E-2</v>
      </c>
      <c r="X174" s="81"/>
    </row>
    <row r="175" spans="1:25" s="113" customFormat="1" x14ac:dyDescent="0.25">
      <c r="A175" s="140">
        <f t="shared" si="15"/>
        <v>4</v>
      </c>
      <c r="B175" s="157">
        <v>43854</v>
      </c>
      <c r="C175" s="157">
        <v>43854</v>
      </c>
      <c r="D175" s="100"/>
      <c r="E175" s="79"/>
      <c r="F175" s="153"/>
      <c r="G175" s="137" t="s">
        <v>524</v>
      </c>
      <c r="H175" s="158"/>
      <c r="I175" s="79">
        <v>3202642812</v>
      </c>
      <c r="J175" s="139" t="s">
        <v>19</v>
      </c>
      <c r="K175" s="139"/>
      <c r="L175" s="98" t="s">
        <v>55</v>
      </c>
      <c r="M175" s="79"/>
      <c r="N175" s="139"/>
      <c r="O175" s="139">
        <v>1</v>
      </c>
      <c r="P175" s="138"/>
      <c r="Q175" s="147"/>
      <c r="R175" s="147"/>
      <c r="S175" s="147"/>
      <c r="T175" s="138">
        <f>R175-Q175</f>
        <v>0</v>
      </c>
      <c r="U175" s="138">
        <f>S175-R175</f>
        <v>0</v>
      </c>
      <c r="V175" s="147"/>
      <c r="W175" s="148">
        <f t="shared" ref="W175:W181" si="17">V175-Q175</f>
        <v>0</v>
      </c>
      <c r="X175" s="81"/>
    </row>
    <row r="176" spans="1:25" s="113" customFormat="1" x14ac:dyDescent="0.25">
      <c r="A176" s="140">
        <f t="shared" si="15"/>
        <v>4</v>
      </c>
      <c r="B176" s="157">
        <v>43854</v>
      </c>
      <c r="C176" s="157">
        <v>43854</v>
      </c>
      <c r="D176" s="100" t="s">
        <v>337</v>
      </c>
      <c r="E176" s="79">
        <v>1000453235</v>
      </c>
      <c r="F176" s="153">
        <v>540</v>
      </c>
      <c r="G176" s="137" t="s">
        <v>603</v>
      </c>
      <c r="H176" s="158" t="s">
        <v>570</v>
      </c>
      <c r="I176" s="79" t="s">
        <v>621</v>
      </c>
      <c r="J176" s="139" t="s">
        <v>19</v>
      </c>
      <c r="K176" s="139"/>
      <c r="L176" s="98" t="s">
        <v>55</v>
      </c>
      <c r="M176" s="79">
        <v>80</v>
      </c>
      <c r="N176" s="139" t="s">
        <v>51</v>
      </c>
      <c r="O176" s="139">
        <v>33</v>
      </c>
      <c r="P176" s="138">
        <v>0.41666666666666669</v>
      </c>
      <c r="Q176" s="147">
        <v>0.35416666666666669</v>
      </c>
      <c r="R176" s="147">
        <v>0.3888888888888889</v>
      </c>
      <c r="S176" s="147">
        <v>0.4236111111111111</v>
      </c>
      <c r="T176" s="138">
        <f t="shared" si="13"/>
        <v>3.472222222222221E-2</v>
      </c>
      <c r="U176" s="138">
        <f t="shared" si="13"/>
        <v>3.472222222222221E-2</v>
      </c>
      <c r="V176" s="147">
        <v>0.43402777777777773</v>
      </c>
      <c r="W176" s="148">
        <f t="shared" si="17"/>
        <v>7.9861111111111049E-2</v>
      </c>
      <c r="X176" s="81"/>
    </row>
    <row r="177" spans="1:24" s="113" customFormat="1" x14ac:dyDescent="0.25">
      <c r="A177" s="140">
        <f t="shared" si="15"/>
        <v>4</v>
      </c>
      <c r="B177" s="157">
        <v>43854</v>
      </c>
      <c r="C177" s="157">
        <v>43854</v>
      </c>
      <c r="D177" s="100" t="s">
        <v>361</v>
      </c>
      <c r="E177" s="79">
        <v>1000453239</v>
      </c>
      <c r="F177" s="153">
        <v>480</v>
      </c>
      <c r="G177" s="137" t="s">
        <v>604</v>
      </c>
      <c r="H177" s="158" t="s">
        <v>623</v>
      </c>
      <c r="I177" s="79">
        <v>3202537128</v>
      </c>
      <c r="J177" s="139" t="s">
        <v>19</v>
      </c>
      <c r="K177" s="139"/>
      <c r="L177" s="98" t="s">
        <v>55</v>
      </c>
      <c r="M177" s="79">
        <v>80</v>
      </c>
      <c r="N177" s="139" t="s">
        <v>51</v>
      </c>
      <c r="O177" s="139">
        <v>33</v>
      </c>
      <c r="P177" s="138">
        <v>0.41666666666666669</v>
      </c>
      <c r="Q177" s="147">
        <v>0.39583333333333331</v>
      </c>
      <c r="R177" s="147">
        <v>0.43055555555555558</v>
      </c>
      <c r="S177" s="147">
        <v>0.45833333333333331</v>
      </c>
      <c r="T177" s="138">
        <f t="shared" si="13"/>
        <v>3.4722222222222265E-2</v>
      </c>
      <c r="U177" s="138">
        <f t="shared" si="13"/>
        <v>2.7777777777777735E-2</v>
      </c>
      <c r="V177" s="147">
        <v>0.46527777777777773</v>
      </c>
      <c r="W177" s="148">
        <f t="shared" si="17"/>
        <v>6.944444444444442E-2</v>
      </c>
      <c r="X177" s="81"/>
    </row>
    <row r="178" spans="1:24" s="113" customFormat="1" x14ac:dyDescent="0.25">
      <c r="A178" s="140">
        <f t="shared" si="15"/>
        <v>4</v>
      </c>
      <c r="B178" s="157">
        <v>43854</v>
      </c>
      <c r="C178" s="157">
        <v>43854</v>
      </c>
      <c r="D178" s="100" t="s">
        <v>337</v>
      </c>
      <c r="E178" s="79">
        <v>1000453382</v>
      </c>
      <c r="F178" s="153">
        <v>480</v>
      </c>
      <c r="G178" s="137" t="s">
        <v>605</v>
      </c>
      <c r="H178" s="158" t="s">
        <v>590</v>
      </c>
      <c r="I178" s="79" t="s">
        <v>631</v>
      </c>
      <c r="J178" s="139" t="s">
        <v>19</v>
      </c>
      <c r="K178" s="139"/>
      <c r="L178" s="98" t="s">
        <v>55</v>
      </c>
      <c r="M178" s="79">
        <v>80</v>
      </c>
      <c r="N178" s="139" t="s">
        <v>51</v>
      </c>
      <c r="O178" s="139">
        <v>38</v>
      </c>
      <c r="P178" s="138">
        <v>0.45833333333333331</v>
      </c>
      <c r="Q178" s="147">
        <v>0.35069444444444442</v>
      </c>
      <c r="R178" s="147">
        <v>0.36805555555555558</v>
      </c>
      <c r="S178" s="147">
        <v>0.40277777777777773</v>
      </c>
      <c r="T178" s="138">
        <f t="shared" si="13"/>
        <v>1.736111111111116E-2</v>
      </c>
      <c r="U178" s="138">
        <f t="shared" si="13"/>
        <v>3.4722222222222154E-2</v>
      </c>
      <c r="V178" s="147">
        <v>0.40625</v>
      </c>
      <c r="W178" s="148">
        <f t="shared" si="17"/>
        <v>5.555555555555558E-2</v>
      </c>
      <c r="X178" s="81"/>
    </row>
    <row r="179" spans="1:24" s="113" customFormat="1" x14ac:dyDescent="0.25">
      <c r="A179" s="140"/>
      <c r="B179" s="157">
        <v>43854</v>
      </c>
      <c r="C179" s="157">
        <v>43854</v>
      </c>
      <c r="D179" s="100"/>
      <c r="E179" s="79">
        <v>1000453387</v>
      </c>
      <c r="F179" s="153"/>
      <c r="G179" s="137" t="s">
        <v>533</v>
      </c>
      <c r="H179" s="158"/>
      <c r="I179" s="79"/>
      <c r="J179" s="139"/>
      <c r="K179" s="139"/>
      <c r="L179" s="98" t="s">
        <v>75</v>
      </c>
      <c r="M179" s="79"/>
      <c r="N179" s="139"/>
      <c r="O179" s="139"/>
      <c r="P179" s="138">
        <v>0.5</v>
      </c>
      <c r="Q179" s="147"/>
      <c r="R179" s="147"/>
      <c r="S179" s="147"/>
      <c r="T179" s="138">
        <f t="shared" si="13"/>
        <v>0</v>
      </c>
      <c r="U179" s="138">
        <f t="shared" si="13"/>
        <v>0</v>
      </c>
      <c r="V179" s="147"/>
      <c r="W179" s="148">
        <f t="shared" si="17"/>
        <v>0</v>
      </c>
      <c r="X179" s="81"/>
    </row>
    <row r="180" spans="1:24" s="113" customFormat="1" x14ac:dyDescent="0.25">
      <c r="A180" s="140">
        <f t="shared" si="15"/>
        <v>4</v>
      </c>
      <c r="B180" s="157">
        <v>43854</v>
      </c>
      <c r="C180" s="157">
        <v>43854</v>
      </c>
      <c r="D180" s="100" t="s">
        <v>337</v>
      </c>
      <c r="E180" s="79">
        <v>1000454536</v>
      </c>
      <c r="F180" s="153">
        <v>420</v>
      </c>
      <c r="G180" s="137" t="s">
        <v>619</v>
      </c>
      <c r="H180" s="158" t="s">
        <v>83</v>
      </c>
      <c r="I180" s="79">
        <v>3202707772</v>
      </c>
      <c r="J180" s="139" t="s">
        <v>19</v>
      </c>
      <c r="K180" s="139"/>
      <c r="L180" s="98" t="s">
        <v>55</v>
      </c>
      <c r="M180" s="79">
        <v>80</v>
      </c>
      <c r="N180" s="139" t="s">
        <v>51</v>
      </c>
      <c r="O180" s="139">
        <v>33</v>
      </c>
      <c r="P180" s="138">
        <v>0.45833333333333331</v>
      </c>
      <c r="Q180" s="147">
        <v>0.54166666666666663</v>
      </c>
      <c r="R180" s="147">
        <v>0.58680555555555558</v>
      </c>
      <c r="S180" s="147">
        <v>0.60763888888888895</v>
      </c>
      <c r="T180" s="138">
        <f t="shared" si="13"/>
        <v>4.5138888888888951E-2</v>
      </c>
      <c r="U180" s="138">
        <f t="shared" si="13"/>
        <v>2.083333333333337E-2</v>
      </c>
      <c r="V180" s="147">
        <v>0.61458333333333337</v>
      </c>
      <c r="W180" s="148">
        <f t="shared" si="17"/>
        <v>7.2916666666666741E-2</v>
      </c>
      <c r="X180" s="81"/>
    </row>
    <row r="181" spans="1:24" s="184" customFormat="1" ht="16.5" thickBot="1" x14ac:dyDescent="0.3">
      <c r="A181" s="185">
        <f t="shared" si="15"/>
        <v>4</v>
      </c>
      <c r="B181" s="186">
        <v>43854</v>
      </c>
      <c r="C181" s="186">
        <v>43854</v>
      </c>
      <c r="D181" s="236" t="s">
        <v>337</v>
      </c>
      <c r="E181" s="172">
        <v>1000454538</v>
      </c>
      <c r="F181" s="187">
        <v>120</v>
      </c>
      <c r="G181" s="185" t="s">
        <v>543</v>
      </c>
      <c r="H181" s="188" t="s">
        <v>624</v>
      </c>
      <c r="I181" s="172" t="s">
        <v>622</v>
      </c>
      <c r="J181" s="189" t="s">
        <v>19</v>
      </c>
      <c r="K181" s="189"/>
      <c r="L181" s="172" t="s">
        <v>55</v>
      </c>
      <c r="M181" s="172">
        <v>80</v>
      </c>
      <c r="N181" s="189" t="s">
        <v>51</v>
      </c>
      <c r="O181" s="189">
        <v>34</v>
      </c>
      <c r="P181" s="190">
        <v>0.54166666666666663</v>
      </c>
      <c r="Q181" s="191">
        <v>0.67708333333333337</v>
      </c>
      <c r="R181" s="191"/>
      <c r="S181" s="191"/>
      <c r="T181" s="190">
        <f t="shared" si="13"/>
        <v>-0.67708333333333337</v>
      </c>
      <c r="U181" s="190">
        <f t="shared" si="13"/>
        <v>0</v>
      </c>
      <c r="V181" s="191"/>
      <c r="W181" s="148">
        <f t="shared" si="17"/>
        <v>-0.67708333333333337</v>
      </c>
      <c r="X181" s="174"/>
    </row>
    <row r="182" spans="1:24" s="134" customFormat="1" x14ac:dyDescent="0.25">
      <c r="A182" s="140">
        <f t="shared" si="15"/>
        <v>4</v>
      </c>
      <c r="B182" s="157">
        <v>43855</v>
      </c>
      <c r="C182" s="157">
        <v>43855</v>
      </c>
      <c r="D182" s="102" t="s">
        <v>337</v>
      </c>
      <c r="E182" s="98"/>
      <c r="F182" s="177">
        <v>600</v>
      </c>
      <c r="G182" s="140" t="s">
        <v>53</v>
      </c>
      <c r="H182" s="178" t="s">
        <v>65</v>
      </c>
      <c r="I182" s="143" t="s">
        <v>54</v>
      </c>
      <c r="J182" s="142"/>
      <c r="K182" s="142"/>
      <c r="L182" s="98" t="s">
        <v>55</v>
      </c>
      <c r="M182" s="98"/>
      <c r="N182" s="142"/>
      <c r="O182" s="142">
        <v>12</v>
      </c>
      <c r="P182" s="179">
        <v>0.66666666666666663</v>
      </c>
      <c r="Q182" s="148">
        <v>0.65277777777777779</v>
      </c>
      <c r="R182" s="148">
        <v>0.65625</v>
      </c>
      <c r="S182" s="148">
        <v>0.66319444444444442</v>
      </c>
      <c r="T182" s="179">
        <f t="shared" si="13"/>
        <v>3.4722222222222099E-3</v>
      </c>
      <c r="U182" s="179">
        <f t="shared" si="13"/>
        <v>6.9444444444444198E-3</v>
      </c>
      <c r="V182" s="148">
        <v>0.66666666666666663</v>
      </c>
      <c r="W182" s="148">
        <f t="shared" si="14"/>
        <v>1.388888888888884E-2</v>
      </c>
      <c r="X182" s="96"/>
    </row>
    <row r="183" spans="1:24" s="113" customFormat="1" x14ac:dyDescent="0.25">
      <c r="A183" s="140">
        <f t="shared" si="15"/>
        <v>4</v>
      </c>
      <c r="B183" s="157">
        <v>43855</v>
      </c>
      <c r="C183" s="157">
        <v>43855</v>
      </c>
      <c r="D183" s="100" t="s">
        <v>361</v>
      </c>
      <c r="E183" s="79"/>
      <c r="F183" s="153">
        <v>600</v>
      </c>
      <c r="G183" s="137" t="s">
        <v>56</v>
      </c>
      <c r="H183" s="158" t="s">
        <v>76</v>
      </c>
      <c r="I183" s="143" t="s">
        <v>58</v>
      </c>
      <c r="J183" s="139"/>
      <c r="K183" s="139"/>
      <c r="L183" s="98" t="s">
        <v>55</v>
      </c>
      <c r="M183" s="79"/>
      <c r="N183" s="139"/>
      <c r="O183" s="139">
        <v>28</v>
      </c>
      <c r="P183" s="138">
        <v>0.70833333333333337</v>
      </c>
      <c r="Q183" s="147">
        <v>0.70138888888888884</v>
      </c>
      <c r="R183" s="147">
        <v>0.70486111111111116</v>
      </c>
      <c r="S183" s="147">
        <v>0.72916666666666663</v>
      </c>
      <c r="T183" s="138">
        <f t="shared" si="13"/>
        <v>3.4722222222223209E-3</v>
      </c>
      <c r="U183" s="138">
        <f t="shared" si="13"/>
        <v>2.4305555555555469E-2</v>
      </c>
      <c r="V183" s="147">
        <v>0.73263888888888884</v>
      </c>
      <c r="W183" s="148">
        <f t="shared" si="14"/>
        <v>3.125E-2</v>
      </c>
      <c r="X183" s="81"/>
    </row>
    <row r="184" spans="1:24" s="113" customFormat="1" x14ac:dyDescent="0.25">
      <c r="A184" s="140">
        <f t="shared" si="15"/>
        <v>4</v>
      </c>
      <c r="B184" s="157">
        <v>43855</v>
      </c>
      <c r="C184" s="157">
        <v>43855</v>
      </c>
      <c r="D184" s="100" t="s">
        <v>337</v>
      </c>
      <c r="E184" s="79"/>
      <c r="F184" s="153">
        <v>600</v>
      </c>
      <c r="G184" s="137" t="s">
        <v>59</v>
      </c>
      <c r="H184" s="158" t="s">
        <v>62</v>
      </c>
      <c r="I184" s="298" t="s">
        <v>60</v>
      </c>
      <c r="J184" s="139"/>
      <c r="K184" s="139"/>
      <c r="L184" s="98" t="s">
        <v>55</v>
      </c>
      <c r="M184" s="79"/>
      <c r="N184" s="139"/>
      <c r="O184" s="139">
        <v>9</v>
      </c>
      <c r="P184" s="138">
        <v>0.70833333333333337</v>
      </c>
      <c r="Q184" s="147">
        <v>0.69097222222222221</v>
      </c>
      <c r="R184" s="147">
        <v>0.70833333333333337</v>
      </c>
      <c r="S184" s="147">
        <v>0.71527777777777779</v>
      </c>
      <c r="T184" s="138">
        <f t="shared" si="13"/>
        <v>1.736111111111116E-2</v>
      </c>
      <c r="U184" s="138">
        <f t="shared" si="13"/>
        <v>6.9444444444444198E-3</v>
      </c>
      <c r="V184" s="147">
        <v>0.71875</v>
      </c>
      <c r="W184" s="148">
        <f t="shared" si="14"/>
        <v>2.777777777777779E-2</v>
      </c>
      <c r="X184" s="81"/>
    </row>
    <row r="185" spans="1:24" s="113" customFormat="1" x14ac:dyDescent="0.25">
      <c r="A185" s="140">
        <f t="shared" si="15"/>
        <v>4</v>
      </c>
      <c r="B185" s="157">
        <v>43855</v>
      </c>
      <c r="C185" s="157">
        <v>43855</v>
      </c>
      <c r="D185" s="100" t="s">
        <v>337</v>
      </c>
      <c r="E185" s="79"/>
      <c r="F185" s="153">
        <v>600</v>
      </c>
      <c r="G185" s="137" t="s">
        <v>61</v>
      </c>
      <c r="H185" s="158" t="s">
        <v>330</v>
      </c>
      <c r="I185" s="306" t="s">
        <v>63</v>
      </c>
      <c r="J185" s="139"/>
      <c r="K185" s="139"/>
      <c r="L185" s="98" t="s">
        <v>55</v>
      </c>
      <c r="M185" s="79"/>
      <c r="N185" s="139"/>
      <c r="O185" s="139">
        <v>24</v>
      </c>
      <c r="P185" s="138">
        <v>0.75</v>
      </c>
      <c r="Q185" s="147">
        <v>0.72569444444444453</v>
      </c>
      <c r="R185" s="147">
        <v>0.73611111111111116</v>
      </c>
      <c r="S185" s="147">
        <v>0.75</v>
      </c>
      <c r="T185" s="138">
        <f t="shared" si="13"/>
        <v>1.041666666666663E-2</v>
      </c>
      <c r="U185" s="138">
        <f t="shared" si="13"/>
        <v>1.388888888888884E-2</v>
      </c>
      <c r="V185" s="147">
        <v>0.75347222222222221</v>
      </c>
      <c r="W185" s="148">
        <f t="shared" si="14"/>
        <v>2.7777777777777679E-2</v>
      </c>
      <c r="X185" s="81"/>
    </row>
    <row r="186" spans="1:24" s="113" customFormat="1" x14ac:dyDescent="0.25">
      <c r="A186" s="140">
        <f t="shared" si="15"/>
        <v>4</v>
      </c>
      <c r="B186" s="157">
        <v>43855</v>
      </c>
      <c r="C186" s="157">
        <v>43855</v>
      </c>
      <c r="D186" s="100" t="s">
        <v>361</v>
      </c>
      <c r="E186" s="79"/>
      <c r="F186" s="153">
        <v>600</v>
      </c>
      <c r="G186" s="137" t="s">
        <v>64</v>
      </c>
      <c r="H186" s="158" t="s">
        <v>80</v>
      </c>
      <c r="I186" s="306" t="s">
        <v>355</v>
      </c>
      <c r="J186" s="139"/>
      <c r="K186" s="139"/>
      <c r="L186" s="98" t="s">
        <v>55</v>
      </c>
      <c r="M186" s="79"/>
      <c r="N186" s="139"/>
      <c r="O186" s="139">
        <v>18</v>
      </c>
      <c r="P186" s="138">
        <v>0.79166666666666663</v>
      </c>
      <c r="Q186" s="147">
        <v>0.77777777777777779</v>
      </c>
      <c r="R186" s="147">
        <v>0.78125</v>
      </c>
      <c r="S186" s="147">
        <v>0.79166666666666663</v>
      </c>
      <c r="T186" s="138">
        <f t="shared" si="13"/>
        <v>3.4722222222222099E-3</v>
      </c>
      <c r="U186" s="138">
        <f t="shared" si="13"/>
        <v>1.041666666666663E-2</v>
      </c>
      <c r="V186" s="147">
        <v>0.79513888888888884</v>
      </c>
      <c r="W186" s="148">
        <f t="shared" si="14"/>
        <v>1.7361111111111049E-2</v>
      </c>
      <c r="X186" s="81"/>
    </row>
    <row r="187" spans="1:24" s="113" customFormat="1" x14ac:dyDescent="0.25">
      <c r="A187" s="140">
        <f t="shared" si="15"/>
        <v>4</v>
      </c>
      <c r="B187" s="157">
        <v>43855</v>
      </c>
      <c r="C187" s="157">
        <v>43855</v>
      </c>
      <c r="D187" s="100" t="s">
        <v>337</v>
      </c>
      <c r="E187" s="79"/>
      <c r="F187" s="153">
        <v>600</v>
      </c>
      <c r="G187" s="137" t="s">
        <v>77</v>
      </c>
      <c r="H187" s="158" t="s">
        <v>317</v>
      </c>
      <c r="I187" s="306" t="s">
        <v>78</v>
      </c>
      <c r="J187" s="139"/>
      <c r="K187" s="139"/>
      <c r="L187" s="98" t="s">
        <v>55</v>
      </c>
      <c r="M187" s="79"/>
      <c r="N187" s="139"/>
      <c r="O187" s="139">
        <v>20</v>
      </c>
      <c r="P187" s="138">
        <v>0.83333333333333337</v>
      </c>
      <c r="Q187" s="147">
        <v>0.86111111111111116</v>
      </c>
      <c r="R187" s="147">
        <v>0.86458333333333337</v>
      </c>
      <c r="S187" s="147">
        <v>0.87152777777777779</v>
      </c>
      <c r="T187" s="138">
        <f t="shared" si="13"/>
        <v>3.4722222222222099E-3</v>
      </c>
      <c r="U187" s="138">
        <f t="shared" si="13"/>
        <v>6.9444444444444198E-3</v>
      </c>
      <c r="V187" s="147">
        <v>0.875</v>
      </c>
      <c r="W187" s="148">
        <f t="shared" si="14"/>
        <v>1.388888888888884E-2</v>
      </c>
      <c r="X187" s="81"/>
    </row>
    <row r="188" spans="1:24" s="113" customFormat="1" x14ac:dyDescent="0.25">
      <c r="A188" s="140">
        <f t="shared" si="15"/>
        <v>4</v>
      </c>
      <c r="B188" s="157">
        <v>43855</v>
      </c>
      <c r="C188" s="157">
        <v>43855</v>
      </c>
      <c r="D188" s="100" t="s">
        <v>337</v>
      </c>
      <c r="E188" s="79">
        <v>1000453240</v>
      </c>
      <c r="F188" s="153">
        <v>420</v>
      </c>
      <c r="G188" s="137" t="s">
        <v>625</v>
      </c>
      <c r="H188" s="158" t="s">
        <v>641</v>
      </c>
      <c r="I188" s="79" t="s">
        <v>648</v>
      </c>
      <c r="J188" s="139" t="s">
        <v>19</v>
      </c>
      <c r="K188" s="139"/>
      <c r="L188" s="98" t="s">
        <v>55</v>
      </c>
      <c r="M188" s="79">
        <v>80</v>
      </c>
      <c r="N188" s="139" t="s">
        <v>51</v>
      </c>
      <c r="O188" s="139">
        <v>33</v>
      </c>
      <c r="P188" s="138">
        <v>0.41666666666666669</v>
      </c>
      <c r="Q188" s="147">
        <v>0.60763888888888895</v>
      </c>
      <c r="R188" s="147">
        <v>0.61805555555555558</v>
      </c>
      <c r="S188" s="147">
        <v>0.63541666666666663</v>
      </c>
      <c r="T188" s="138">
        <f t="shared" si="13"/>
        <v>1.041666666666663E-2</v>
      </c>
      <c r="U188" s="138">
        <f t="shared" si="13"/>
        <v>1.7361111111111049E-2</v>
      </c>
      <c r="V188" s="147">
        <v>0.64236111111111105</v>
      </c>
      <c r="W188" s="148">
        <f t="shared" ref="W188:W193" si="18">V188-Q188</f>
        <v>3.4722222222222099E-2</v>
      </c>
      <c r="X188" s="81"/>
    </row>
    <row r="189" spans="1:24" s="113" customFormat="1" x14ac:dyDescent="0.25">
      <c r="A189" s="140">
        <f t="shared" si="15"/>
        <v>4</v>
      </c>
      <c r="B189" s="157">
        <v>43855</v>
      </c>
      <c r="C189" s="157">
        <v>43855</v>
      </c>
      <c r="D189" s="100" t="s">
        <v>337</v>
      </c>
      <c r="E189" s="79">
        <v>1000453241</v>
      </c>
      <c r="F189" s="153">
        <v>420</v>
      </c>
      <c r="G189" s="137" t="s">
        <v>626</v>
      </c>
      <c r="H189" s="158" t="s">
        <v>642</v>
      </c>
      <c r="I189" s="79">
        <v>3202708822</v>
      </c>
      <c r="J189" s="139" t="s">
        <v>19</v>
      </c>
      <c r="K189" s="139"/>
      <c r="L189" s="98" t="s">
        <v>55</v>
      </c>
      <c r="M189" s="79">
        <v>80</v>
      </c>
      <c r="N189" s="139" t="s">
        <v>51</v>
      </c>
      <c r="O189" s="139">
        <v>33</v>
      </c>
      <c r="P189" s="138">
        <v>0.41666666666666669</v>
      </c>
      <c r="Q189" s="147">
        <v>0.3888888888888889</v>
      </c>
      <c r="R189" s="147">
        <v>0.40625</v>
      </c>
      <c r="S189" s="147">
        <v>0.42708333333333331</v>
      </c>
      <c r="T189" s="138">
        <f t="shared" si="13"/>
        <v>1.7361111111111105E-2</v>
      </c>
      <c r="U189" s="138">
        <f t="shared" si="13"/>
        <v>2.0833333333333315E-2</v>
      </c>
      <c r="V189" s="147">
        <v>0.43055555555555558</v>
      </c>
      <c r="W189" s="148">
        <f t="shared" si="18"/>
        <v>4.1666666666666685E-2</v>
      </c>
      <c r="X189" s="81"/>
    </row>
    <row r="190" spans="1:24" s="113" customFormat="1" x14ac:dyDescent="0.25">
      <c r="A190" s="140">
        <f t="shared" si="15"/>
        <v>4</v>
      </c>
      <c r="B190" s="157">
        <v>43855</v>
      </c>
      <c r="C190" s="157">
        <v>43855</v>
      </c>
      <c r="D190" s="100" t="s">
        <v>337</v>
      </c>
      <c r="E190" s="79">
        <v>1000453245</v>
      </c>
      <c r="F190" s="153">
        <v>180</v>
      </c>
      <c r="G190" s="137" t="s">
        <v>627</v>
      </c>
      <c r="H190" s="158" t="s">
        <v>643</v>
      </c>
      <c r="I190" s="79" t="s">
        <v>640</v>
      </c>
      <c r="J190" s="139" t="s">
        <v>19</v>
      </c>
      <c r="K190" s="139"/>
      <c r="L190" s="98" t="s">
        <v>55</v>
      </c>
      <c r="M190" s="79">
        <v>80</v>
      </c>
      <c r="N190" s="139" t="s">
        <v>51</v>
      </c>
      <c r="O190" s="139">
        <v>40</v>
      </c>
      <c r="P190" s="138">
        <v>0.45833333333333331</v>
      </c>
      <c r="Q190" s="147">
        <v>0.70833333333333337</v>
      </c>
      <c r="R190" s="147">
        <v>0.73611111111111116</v>
      </c>
      <c r="S190" s="147">
        <v>0.75694444444444453</v>
      </c>
      <c r="T190" s="138">
        <f t="shared" si="13"/>
        <v>2.777777777777779E-2</v>
      </c>
      <c r="U190" s="138">
        <f t="shared" si="13"/>
        <v>2.083333333333337E-2</v>
      </c>
      <c r="V190" s="147">
        <v>0.76041666666666663</v>
      </c>
      <c r="W190" s="148">
        <f t="shared" si="18"/>
        <v>5.2083333333333259E-2</v>
      </c>
      <c r="X190" s="81"/>
    </row>
    <row r="191" spans="1:24" s="113" customFormat="1" x14ac:dyDescent="0.25">
      <c r="A191" s="140">
        <f t="shared" si="15"/>
        <v>4</v>
      </c>
      <c r="B191" s="157">
        <v>43855</v>
      </c>
      <c r="C191" s="157">
        <v>43855</v>
      </c>
      <c r="D191" s="100" t="s">
        <v>337</v>
      </c>
      <c r="E191" s="79">
        <v>1000453383</v>
      </c>
      <c r="F191" s="153">
        <v>240</v>
      </c>
      <c r="G191" s="137" t="s">
        <v>630</v>
      </c>
      <c r="H191" s="158" t="s">
        <v>644</v>
      </c>
      <c r="I191" s="79" t="s">
        <v>646</v>
      </c>
      <c r="J191" s="139" t="s">
        <v>19</v>
      </c>
      <c r="K191" s="139"/>
      <c r="L191" s="98" t="s">
        <v>55</v>
      </c>
      <c r="M191" s="79">
        <v>80</v>
      </c>
      <c r="N191" s="139" t="s">
        <v>51</v>
      </c>
      <c r="O191" s="139">
        <v>37</v>
      </c>
      <c r="P191" s="138">
        <v>0.45833333333333331</v>
      </c>
      <c r="Q191" s="147">
        <v>0.43055555555555558</v>
      </c>
      <c r="R191" s="147">
        <v>0.45833333333333331</v>
      </c>
      <c r="S191" s="147">
        <v>0.47916666666666669</v>
      </c>
      <c r="T191" s="138">
        <f t="shared" si="13"/>
        <v>2.7777777777777735E-2</v>
      </c>
      <c r="U191" s="138">
        <f t="shared" si="13"/>
        <v>2.083333333333337E-2</v>
      </c>
      <c r="V191" s="147">
        <v>0.4861111111111111</v>
      </c>
      <c r="W191" s="148">
        <f t="shared" si="18"/>
        <v>5.5555555555555525E-2</v>
      </c>
      <c r="X191" s="81"/>
    </row>
    <row r="192" spans="1:24" s="113" customFormat="1" x14ac:dyDescent="0.25">
      <c r="A192" s="140">
        <f t="shared" si="15"/>
        <v>4</v>
      </c>
      <c r="B192" s="157">
        <v>43855</v>
      </c>
      <c r="C192" s="157">
        <v>43855</v>
      </c>
      <c r="D192" s="100" t="s">
        <v>337</v>
      </c>
      <c r="E192" s="79">
        <v>1000453396</v>
      </c>
      <c r="F192" s="153">
        <v>180</v>
      </c>
      <c r="G192" s="137" t="s">
        <v>628</v>
      </c>
      <c r="H192" s="158" t="s">
        <v>589</v>
      </c>
      <c r="I192" s="79" t="s">
        <v>632</v>
      </c>
      <c r="J192" s="139" t="s">
        <v>19</v>
      </c>
      <c r="K192" s="139"/>
      <c r="L192" s="98" t="s">
        <v>55</v>
      </c>
      <c r="M192" s="79">
        <v>80</v>
      </c>
      <c r="N192" s="139" t="s">
        <v>51</v>
      </c>
      <c r="O192" s="139">
        <v>42</v>
      </c>
      <c r="P192" s="138">
        <v>0.5</v>
      </c>
      <c r="Q192" s="147">
        <v>0.62847222222222221</v>
      </c>
      <c r="R192" s="147">
        <v>0.63194444444444442</v>
      </c>
      <c r="S192" s="147">
        <v>0.64930555555555558</v>
      </c>
      <c r="T192" s="138">
        <f t="shared" ref="T192:U254" si="19">R192-Q192</f>
        <v>3.4722222222222099E-3</v>
      </c>
      <c r="U192" s="138">
        <f t="shared" si="19"/>
        <v>1.736111111111116E-2</v>
      </c>
      <c r="V192" s="147">
        <v>0.65277777777777779</v>
      </c>
      <c r="W192" s="148">
        <f t="shared" si="18"/>
        <v>2.430555555555558E-2</v>
      </c>
      <c r="X192" s="81"/>
    </row>
    <row r="193" spans="1:25" s="113" customFormat="1" x14ac:dyDescent="0.25">
      <c r="A193" s="140">
        <f t="shared" si="15"/>
        <v>4</v>
      </c>
      <c r="B193" s="157">
        <v>43855</v>
      </c>
      <c r="C193" s="157">
        <v>43855</v>
      </c>
      <c r="D193" s="100" t="s">
        <v>361</v>
      </c>
      <c r="E193" s="79">
        <v>1000453390</v>
      </c>
      <c r="F193" s="153">
        <v>480</v>
      </c>
      <c r="G193" s="137" t="s">
        <v>533</v>
      </c>
      <c r="H193" s="158" t="s">
        <v>432</v>
      </c>
      <c r="I193" s="79" t="s">
        <v>647</v>
      </c>
      <c r="J193" s="139" t="s">
        <v>19</v>
      </c>
      <c r="K193" s="139"/>
      <c r="L193" s="98" t="s">
        <v>55</v>
      </c>
      <c r="M193" s="79">
        <v>80</v>
      </c>
      <c r="N193" s="139" t="s">
        <v>51</v>
      </c>
      <c r="O193" s="139">
        <v>38</v>
      </c>
      <c r="P193" s="138">
        <v>0.5</v>
      </c>
      <c r="Q193" s="147">
        <v>0.4861111111111111</v>
      </c>
      <c r="R193" s="147">
        <v>0.5</v>
      </c>
      <c r="S193" s="147">
        <v>0.52430555555555558</v>
      </c>
      <c r="T193" s="138">
        <f t="shared" si="19"/>
        <v>1.3888888888888895E-2</v>
      </c>
      <c r="U193" s="138">
        <f t="shared" si="19"/>
        <v>2.430555555555558E-2</v>
      </c>
      <c r="V193" s="147">
        <v>0.53125</v>
      </c>
      <c r="W193" s="148">
        <f t="shared" si="18"/>
        <v>4.5138888888888895E-2</v>
      </c>
      <c r="X193" s="81"/>
    </row>
    <row r="194" spans="1:25" s="113" customFormat="1" ht="16.5" thickBot="1" x14ac:dyDescent="0.3">
      <c r="A194" s="185">
        <f t="shared" si="15"/>
        <v>4</v>
      </c>
      <c r="B194" s="186">
        <v>43855</v>
      </c>
      <c r="C194" s="186">
        <v>43855</v>
      </c>
      <c r="D194" s="236" t="s">
        <v>337</v>
      </c>
      <c r="E194" s="172">
        <v>1000453401</v>
      </c>
      <c r="F194" s="187">
        <v>300</v>
      </c>
      <c r="G194" s="185" t="s">
        <v>629</v>
      </c>
      <c r="H194" s="188" t="s">
        <v>645</v>
      </c>
      <c r="I194" s="172" t="s">
        <v>649</v>
      </c>
      <c r="J194" s="189" t="s">
        <v>19</v>
      </c>
      <c r="K194" s="189"/>
      <c r="L194" s="172" t="s">
        <v>55</v>
      </c>
      <c r="M194" s="172">
        <v>80</v>
      </c>
      <c r="N194" s="189" t="s">
        <v>51</v>
      </c>
      <c r="O194" s="189">
        <v>36</v>
      </c>
      <c r="P194" s="190">
        <v>0.54166666666666663</v>
      </c>
      <c r="Q194" s="191">
        <v>0.68055555555555547</v>
      </c>
      <c r="R194" s="191">
        <v>0.6875</v>
      </c>
      <c r="S194" s="191">
        <v>0.70138888888888884</v>
      </c>
      <c r="T194" s="190">
        <f t="shared" si="19"/>
        <v>6.9444444444445308E-3</v>
      </c>
      <c r="U194" s="190">
        <f t="shared" si="19"/>
        <v>1.388888888888884E-2</v>
      </c>
      <c r="V194" s="191">
        <v>0.70486111111111116</v>
      </c>
      <c r="W194" s="191">
        <f t="shared" si="14"/>
        <v>2.4305555555555691E-2</v>
      </c>
      <c r="X194" s="174"/>
      <c r="Y194" s="268"/>
    </row>
    <row r="195" spans="1:25" s="113" customFormat="1" x14ac:dyDescent="0.25">
      <c r="A195" s="140">
        <f t="shared" ref="A195:A257" si="20">WEEKNUM(B195,21)</f>
        <v>5</v>
      </c>
      <c r="B195" s="157">
        <v>43858</v>
      </c>
      <c r="C195" s="157">
        <v>43858</v>
      </c>
      <c r="D195" s="100" t="s">
        <v>361</v>
      </c>
      <c r="E195" s="98"/>
      <c r="F195" s="177">
        <v>540</v>
      </c>
      <c r="G195" s="140" t="s">
        <v>53</v>
      </c>
      <c r="H195" s="158" t="s">
        <v>80</v>
      </c>
      <c r="I195" s="143" t="s">
        <v>54</v>
      </c>
      <c r="J195" s="142"/>
      <c r="K195" s="142"/>
      <c r="L195" s="98" t="s">
        <v>55</v>
      </c>
      <c r="M195" s="98"/>
      <c r="N195" s="142"/>
      <c r="O195" s="142">
        <v>23</v>
      </c>
      <c r="P195" s="138">
        <v>0.70833333333333337</v>
      </c>
      <c r="Q195" s="148">
        <v>0.69791666666666663</v>
      </c>
      <c r="R195" s="148">
        <v>0.70833333333333337</v>
      </c>
      <c r="S195" s="148">
        <v>0.71875</v>
      </c>
      <c r="T195" s="179">
        <f t="shared" si="19"/>
        <v>1.0416666666666741E-2</v>
      </c>
      <c r="U195" s="179">
        <f t="shared" si="19"/>
        <v>1.041666666666663E-2</v>
      </c>
      <c r="V195" s="148">
        <v>0.72222222222222221</v>
      </c>
      <c r="W195" s="148">
        <f t="shared" ref="W195:W259" si="21">V195-Q195</f>
        <v>2.430555555555558E-2</v>
      </c>
      <c r="X195" s="96"/>
    </row>
    <row r="196" spans="1:25" s="113" customFormat="1" x14ac:dyDescent="0.25">
      <c r="A196" s="140">
        <f t="shared" si="20"/>
        <v>5</v>
      </c>
      <c r="B196" s="157">
        <v>43858</v>
      </c>
      <c r="C196" s="157">
        <v>43858</v>
      </c>
      <c r="D196" s="100" t="s">
        <v>361</v>
      </c>
      <c r="E196" s="79"/>
      <c r="F196" s="153">
        <v>540</v>
      </c>
      <c r="G196" s="137" t="s">
        <v>56</v>
      </c>
      <c r="H196" s="158" t="s">
        <v>667</v>
      </c>
      <c r="I196" s="143" t="s">
        <v>58</v>
      </c>
      <c r="J196" s="139"/>
      <c r="K196" s="139"/>
      <c r="L196" s="98" t="s">
        <v>55</v>
      </c>
      <c r="M196" s="79"/>
      <c r="N196" s="139"/>
      <c r="O196" s="139">
        <v>30</v>
      </c>
      <c r="P196" s="138">
        <v>0.70833333333333337</v>
      </c>
      <c r="Q196" s="147">
        <v>0.69791666666666663</v>
      </c>
      <c r="R196" s="147">
        <v>0.72222222222222221</v>
      </c>
      <c r="S196" s="147">
        <v>0.73611111111111116</v>
      </c>
      <c r="T196" s="138">
        <f t="shared" si="19"/>
        <v>2.430555555555558E-2</v>
      </c>
      <c r="U196" s="138">
        <f t="shared" si="19"/>
        <v>1.3888888888888951E-2</v>
      </c>
      <c r="V196" s="147">
        <v>0.73958333333333337</v>
      </c>
      <c r="W196" s="148">
        <f t="shared" ref="W196:W203" si="22">V196-Q196</f>
        <v>4.1666666666666741E-2</v>
      </c>
      <c r="X196" s="81"/>
    </row>
    <row r="197" spans="1:25" s="113" customFormat="1" x14ac:dyDescent="0.25">
      <c r="A197" s="140">
        <f t="shared" si="20"/>
        <v>5</v>
      </c>
      <c r="B197" s="157">
        <v>43858</v>
      </c>
      <c r="C197" s="157">
        <v>43858</v>
      </c>
      <c r="D197" s="100" t="s">
        <v>361</v>
      </c>
      <c r="E197" s="79"/>
      <c r="F197" s="153">
        <v>540</v>
      </c>
      <c r="G197" s="140" t="s">
        <v>59</v>
      </c>
      <c r="H197" s="158" t="s">
        <v>387</v>
      </c>
      <c r="I197" s="306" t="s">
        <v>63</v>
      </c>
      <c r="J197" s="139"/>
      <c r="K197" s="139"/>
      <c r="L197" s="98" t="s">
        <v>55</v>
      </c>
      <c r="M197" s="79"/>
      <c r="N197" s="139"/>
      <c r="O197" s="139">
        <v>23</v>
      </c>
      <c r="P197" s="237">
        <v>0.75</v>
      </c>
      <c r="Q197" s="147">
        <v>0.75694444444444453</v>
      </c>
      <c r="R197" s="147">
        <v>0.77777777777777779</v>
      </c>
      <c r="S197" s="147">
        <v>0.79166666666666663</v>
      </c>
      <c r="T197" s="138">
        <f t="shared" si="19"/>
        <v>2.0833333333333259E-2</v>
      </c>
      <c r="U197" s="138">
        <f t="shared" si="19"/>
        <v>1.388888888888884E-2</v>
      </c>
      <c r="V197" s="147">
        <v>0.79861111111111116</v>
      </c>
      <c r="W197" s="148">
        <f t="shared" si="22"/>
        <v>4.166666666666663E-2</v>
      </c>
      <c r="X197" s="81"/>
    </row>
    <row r="198" spans="1:25" s="113" customFormat="1" x14ac:dyDescent="0.25">
      <c r="A198" s="140">
        <f t="shared" si="20"/>
        <v>5</v>
      </c>
      <c r="B198" s="157">
        <v>43858</v>
      </c>
      <c r="C198" s="157">
        <v>43858</v>
      </c>
      <c r="D198" s="100" t="s">
        <v>361</v>
      </c>
      <c r="E198" s="79"/>
      <c r="F198" s="153">
        <v>540</v>
      </c>
      <c r="G198" s="137" t="s">
        <v>61</v>
      </c>
      <c r="H198" s="158" t="s">
        <v>317</v>
      </c>
      <c r="I198" s="306" t="s">
        <v>355</v>
      </c>
      <c r="J198" s="139"/>
      <c r="K198" s="139"/>
      <c r="L198" s="98" t="s">
        <v>55</v>
      </c>
      <c r="M198" s="79"/>
      <c r="N198" s="139"/>
      <c r="O198" s="139">
        <v>21</v>
      </c>
      <c r="P198" s="138">
        <v>0.79166666666666663</v>
      </c>
      <c r="Q198" s="147">
        <v>0.79513888888888884</v>
      </c>
      <c r="R198" s="147">
        <v>0.80555555555555547</v>
      </c>
      <c r="S198" s="147">
        <v>0.81944444444444453</v>
      </c>
      <c r="T198" s="138">
        <f t="shared" si="19"/>
        <v>1.041666666666663E-2</v>
      </c>
      <c r="U198" s="138">
        <f t="shared" si="19"/>
        <v>1.3888888888889062E-2</v>
      </c>
      <c r="V198" s="147">
        <v>0.82291666666666663</v>
      </c>
      <c r="W198" s="148">
        <f t="shared" si="22"/>
        <v>2.777777777777779E-2</v>
      </c>
      <c r="X198" s="81"/>
    </row>
    <row r="199" spans="1:25" s="113" customFormat="1" x14ac:dyDescent="0.25">
      <c r="A199" s="140">
        <f t="shared" si="20"/>
        <v>5</v>
      </c>
      <c r="B199" s="157">
        <v>43858</v>
      </c>
      <c r="C199" s="157">
        <v>43858</v>
      </c>
      <c r="D199" s="100" t="s">
        <v>337</v>
      </c>
      <c r="E199" s="79"/>
      <c r="F199" s="153">
        <v>540</v>
      </c>
      <c r="G199" s="140" t="s">
        <v>64</v>
      </c>
      <c r="H199" s="158" t="s">
        <v>470</v>
      </c>
      <c r="I199" s="306" t="s">
        <v>78</v>
      </c>
      <c r="J199" s="139"/>
      <c r="K199" s="139"/>
      <c r="L199" s="98" t="s">
        <v>55</v>
      </c>
      <c r="M199" s="79"/>
      <c r="N199" s="139"/>
      <c r="O199" s="139">
        <v>30</v>
      </c>
      <c r="P199" s="138">
        <v>0.83333333333333337</v>
      </c>
      <c r="Q199" s="147">
        <v>0.8125</v>
      </c>
      <c r="R199" s="147">
        <v>0.81944444444444453</v>
      </c>
      <c r="S199" s="147">
        <v>0.84027777777777779</v>
      </c>
      <c r="T199" s="138">
        <f t="shared" ref="T199" si="23">R199-Q199</f>
        <v>6.9444444444445308E-3</v>
      </c>
      <c r="U199" s="138">
        <f t="shared" ref="U199" si="24">S199-R199</f>
        <v>2.0833333333333259E-2</v>
      </c>
      <c r="V199" s="147">
        <v>0.84375</v>
      </c>
      <c r="W199" s="148">
        <f t="shared" si="22"/>
        <v>3.125E-2</v>
      </c>
      <c r="X199" s="81"/>
    </row>
    <row r="200" spans="1:25" s="113" customFormat="1" x14ac:dyDescent="0.25">
      <c r="A200" s="140">
        <f t="shared" si="20"/>
        <v>5</v>
      </c>
      <c r="B200" s="157">
        <v>43858</v>
      </c>
      <c r="C200" s="157">
        <v>43858</v>
      </c>
      <c r="D200" s="100" t="s">
        <v>361</v>
      </c>
      <c r="E200" s="79">
        <v>1000454922</v>
      </c>
      <c r="F200" s="153">
        <v>600</v>
      </c>
      <c r="G200" s="137" t="s">
        <v>67</v>
      </c>
      <c r="H200" s="158" t="s">
        <v>663</v>
      </c>
      <c r="I200" s="79" t="s">
        <v>661</v>
      </c>
      <c r="J200" s="139" t="s">
        <v>19</v>
      </c>
      <c r="K200" s="139"/>
      <c r="L200" s="98" t="s">
        <v>55</v>
      </c>
      <c r="M200" s="79">
        <v>80</v>
      </c>
      <c r="N200" s="139" t="s">
        <v>51</v>
      </c>
      <c r="O200" s="139">
        <v>34</v>
      </c>
      <c r="P200" s="138">
        <v>0.41666666666666669</v>
      </c>
      <c r="Q200" s="147">
        <v>0.39583333333333331</v>
      </c>
      <c r="R200" s="147">
        <v>0.41666666666666669</v>
      </c>
      <c r="S200" s="147">
        <v>0.4375</v>
      </c>
      <c r="T200" s="138">
        <f t="shared" si="19"/>
        <v>2.083333333333337E-2</v>
      </c>
      <c r="U200" s="138">
        <f t="shared" si="19"/>
        <v>2.0833333333333315E-2</v>
      </c>
      <c r="V200" s="147">
        <v>0.44444444444444442</v>
      </c>
      <c r="W200" s="148">
        <f t="shared" si="22"/>
        <v>4.8611111111111105E-2</v>
      </c>
      <c r="X200" s="81"/>
    </row>
    <row r="201" spans="1:25" s="113" customFormat="1" x14ac:dyDescent="0.25">
      <c r="A201" s="140">
        <f t="shared" si="20"/>
        <v>5</v>
      </c>
      <c r="B201" s="157">
        <v>43858</v>
      </c>
      <c r="C201" s="157">
        <v>43858</v>
      </c>
      <c r="D201" s="100" t="s">
        <v>337</v>
      </c>
      <c r="E201" s="79">
        <v>1000454930</v>
      </c>
      <c r="F201" s="153">
        <v>600</v>
      </c>
      <c r="G201" s="137" t="s">
        <v>71</v>
      </c>
      <c r="H201" s="158" t="s">
        <v>664</v>
      </c>
      <c r="I201" s="79" t="s">
        <v>659</v>
      </c>
      <c r="J201" s="139" t="s">
        <v>19</v>
      </c>
      <c r="K201" s="139"/>
      <c r="L201" s="98" t="s">
        <v>55</v>
      </c>
      <c r="M201" s="79">
        <v>80</v>
      </c>
      <c r="N201" s="139" t="s">
        <v>51</v>
      </c>
      <c r="O201" s="139">
        <v>33</v>
      </c>
      <c r="P201" s="138">
        <v>0.45833333333333331</v>
      </c>
      <c r="Q201" s="147">
        <v>0.33333333333333331</v>
      </c>
      <c r="R201" s="147">
        <v>0.36458333333333331</v>
      </c>
      <c r="S201" s="147">
        <v>0.3888888888888889</v>
      </c>
      <c r="T201" s="138">
        <f t="shared" si="19"/>
        <v>3.125E-2</v>
      </c>
      <c r="U201" s="138">
        <f t="shared" si="19"/>
        <v>2.430555555555558E-2</v>
      </c>
      <c r="V201" s="147">
        <v>0.40625</v>
      </c>
      <c r="W201" s="148">
        <f t="shared" si="22"/>
        <v>7.2916666666666685E-2</v>
      </c>
      <c r="X201" s="81"/>
    </row>
    <row r="202" spans="1:25" s="113" customFormat="1" x14ac:dyDescent="0.25">
      <c r="A202" s="140">
        <f t="shared" si="20"/>
        <v>5</v>
      </c>
      <c r="B202" s="157">
        <v>43858</v>
      </c>
      <c r="C202" s="157">
        <v>43858</v>
      </c>
      <c r="D202" s="100" t="s">
        <v>361</v>
      </c>
      <c r="E202" s="79">
        <v>1000454943</v>
      </c>
      <c r="F202" s="153">
        <v>600</v>
      </c>
      <c r="G202" s="137" t="s">
        <v>70</v>
      </c>
      <c r="H202" s="158" t="s">
        <v>607</v>
      </c>
      <c r="I202" s="79" t="s">
        <v>662</v>
      </c>
      <c r="J202" s="139" t="s">
        <v>19</v>
      </c>
      <c r="K202" s="139"/>
      <c r="L202" s="98" t="s">
        <v>55</v>
      </c>
      <c r="M202" s="79">
        <v>80</v>
      </c>
      <c r="N202" s="139" t="s">
        <v>51</v>
      </c>
      <c r="O202" s="139">
        <v>34</v>
      </c>
      <c r="P202" s="138">
        <v>0.45833333333333331</v>
      </c>
      <c r="Q202" s="147">
        <v>0.44791666666666669</v>
      </c>
      <c r="R202" s="147">
        <v>0.46875</v>
      </c>
      <c r="S202" s="147">
        <v>0.49652777777777773</v>
      </c>
      <c r="T202" s="138">
        <f t="shared" si="19"/>
        <v>2.0833333333333315E-2</v>
      </c>
      <c r="U202" s="138">
        <f t="shared" si="19"/>
        <v>2.7777777777777735E-2</v>
      </c>
      <c r="V202" s="147">
        <v>0.50347222222222221</v>
      </c>
      <c r="W202" s="148">
        <f t="shared" si="22"/>
        <v>5.5555555555555525E-2</v>
      </c>
      <c r="X202" s="81"/>
    </row>
    <row r="203" spans="1:25" s="113" customFormat="1" x14ac:dyDescent="0.25">
      <c r="A203" s="140">
        <f t="shared" si="20"/>
        <v>5</v>
      </c>
      <c r="B203" s="157">
        <v>43858</v>
      </c>
      <c r="C203" s="157">
        <v>43858</v>
      </c>
      <c r="D203" s="100" t="s">
        <v>337</v>
      </c>
      <c r="E203" s="79">
        <v>1000454958</v>
      </c>
      <c r="F203" s="153">
        <v>240</v>
      </c>
      <c r="G203" s="137" t="s">
        <v>72</v>
      </c>
      <c r="H203" s="158" t="s">
        <v>665</v>
      </c>
      <c r="I203" s="79" t="s">
        <v>657</v>
      </c>
      <c r="J203" s="139" t="s">
        <v>19</v>
      </c>
      <c r="K203" s="139"/>
      <c r="L203" s="98" t="s">
        <v>55</v>
      </c>
      <c r="M203" s="79">
        <v>80</v>
      </c>
      <c r="N203" s="139" t="s">
        <v>51</v>
      </c>
      <c r="O203" s="139">
        <v>35</v>
      </c>
      <c r="P203" s="138">
        <v>0.5</v>
      </c>
      <c r="Q203" s="147">
        <v>0.57986111111111105</v>
      </c>
      <c r="R203" s="147">
        <v>0.59722222222222221</v>
      </c>
      <c r="S203" s="147">
        <v>0.62152777777777779</v>
      </c>
      <c r="T203" s="138">
        <f t="shared" si="19"/>
        <v>1.736111111111116E-2</v>
      </c>
      <c r="U203" s="138">
        <f t="shared" si="19"/>
        <v>2.430555555555558E-2</v>
      </c>
      <c r="V203" s="147">
        <v>0.62847222222222221</v>
      </c>
      <c r="W203" s="148">
        <f t="shared" si="22"/>
        <v>4.861111111111116E-2</v>
      </c>
      <c r="X203" s="81"/>
    </row>
    <row r="204" spans="1:25" s="113" customFormat="1" ht="16.5" thickBot="1" x14ac:dyDescent="0.3">
      <c r="A204" s="140">
        <f t="shared" si="20"/>
        <v>5</v>
      </c>
      <c r="B204" s="157">
        <v>43858</v>
      </c>
      <c r="C204" s="157">
        <v>43858</v>
      </c>
      <c r="D204" s="100" t="s">
        <v>337</v>
      </c>
      <c r="E204" s="79">
        <v>1000454962</v>
      </c>
      <c r="F204" s="153">
        <v>240</v>
      </c>
      <c r="G204" s="137" t="s">
        <v>73</v>
      </c>
      <c r="H204" s="158" t="s">
        <v>658</v>
      </c>
      <c r="I204" s="79" t="s">
        <v>651</v>
      </c>
      <c r="J204" s="139" t="s">
        <v>19</v>
      </c>
      <c r="K204" s="139"/>
      <c r="L204" s="98" t="s">
        <v>55</v>
      </c>
      <c r="M204" s="79">
        <v>80</v>
      </c>
      <c r="N204" s="139" t="s">
        <v>51</v>
      </c>
      <c r="O204" s="139">
        <v>43</v>
      </c>
      <c r="P204" s="138">
        <v>0.5</v>
      </c>
      <c r="Q204" s="147">
        <v>0.57291666666666663</v>
      </c>
      <c r="R204" s="147">
        <v>0.58333333333333337</v>
      </c>
      <c r="S204" s="147">
        <v>0.60763888888888895</v>
      </c>
      <c r="T204" s="138">
        <f t="shared" si="19"/>
        <v>1.0416666666666741E-2</v>
      </c>
      <c r="U204" s="138">
        <f t="shared" si="19"/>
        <v>2.430555555555558E-2</v>
      </c>
      <c r="V204" s="147">
        <v>0.61458333333333337</v>
      </c>
      <c r="W204" s="260">
        <f t="shared" si="21"/>
        <v>4.1666666666666741E-2</v>
      </c>
      <c r="X204" s="81"/>
    </row>
    <row r="205" spans="1:25" s="113" customFormat="1" ht="16.5" thickBot="1" x14ac:dyDescent="0.3">
      <c r="A205" s="185">
        <f t="shared" si="20"/>
        <v>5</v>
      </c>
      <c r="B205" s="186">
        <v>43858</v>
      </c>
      <c r="C205" s="186">
        <v>43858</v>
      </c>
      <c r="D205" s="236" t="s">
        <v>68</v>
      </c>
      <c r="E205" s="172">
        <v>1000454965</v>
      </c>
      <c r="F205" s="187">
        <v>120</v>
      </c>
      <c r="G205" s="185" t="s">
        <v>74</v>
      </c>
      <c r="H205" s="188" t="s">
        <v>666</v>
      </c>
      <c r="I205" s="172" t="s">
        <v>660</v>
      </c>
      <c r="J205" s="189" t="s">
        <v>19</v>
      </c>
      <c r="K205" s="189"/>
      <c r="L205" s="172" t="s">
        <v>55</v>
      </c>
      <c r="M205" s="172">
        <v>80</v>
      </c>
      <c r="N205" s="189" t="s">
        <v>51</v>
      </c>
      <c r="O205" s="189">
        <v>35</v>
      </c>
      <c r="P205" s="190">
        <v>0.54166666666666663</v>
      </c>
      <c r="Q205" s="191">
        <v>0.60069444444444442</v>
      </c>
      <c r="R205" s="191">
        <v>0.61805555555555558</v>
      </c>
      <c r="S205" s="191">
        <v>0.64236111111111105</v>
      </c>
      <c r="T205" s="190">
        <f t="shared" si="19"/>
        <v>1.736111111111116E-2</v>
      </c>
      <c r="U205" s="190">
        <f t="shared" si="19"/>
        <v>2.4305555555555469E-2</v>
      </c>
      <c r="V205" s="287">
        <v>0.64583333333333337</v>
      </c>
      <c r="W205" s="326">
        <f t="shared" si="21"/>
        <v>4.5138888888888951E-2</v>
      </c>
      <c r="X205" s="288"/>
      <c r="Y205" s="268"/>
    </row>
    <row r="206" spans="1:25" s="113" customFormat="1" x14ac:dyDescent="0.25">
      <c r="A206" s="140">
        <f t="shared" si="20"/>
        <v>5</v>
      </c>
      <c r="B206" s="157">
        <v>43859</v>
      </c>
      <c r="C206" s="157">
        <v>43859</v>
      </c>
      <c r="D206" s="100" t="s">
        <v>337</v>
      </c>
      <c r="E206" s="98"/>
      <c r="F206" s="177">
        <v>540</v>
      </c>
      <c r="G206" s="140" t="s">
        <v>53</v>
      </c>
      <c r="H206" s="286" t="s">
        <v>80</v>
      </c>
      <c r="I206" s="143" t="s">
        <v>54</v>
      </c>
      <c r="J206" s="142"/>
      <c r="K206" s="142"/>
      <c r="L206" s="98" t="s">
        <v>55</v>
      </c>
      <c r="M206" s="98"/>
      <c r="N206" s="142"/>
      <c r="O206" s="142">
        <v>16</v>
      </c>
      <c r="P206" s="179">
        <v>0.66666666666666663</v>
      </c>
      <c r="Q206" s="148">
        <v>0.61458333333333337</v>
      </c>
      <c r="R206" s="148">
        <v>0.6875</v>
      </c>
      <c r="S206" s="148">
        <v>0.69444444444444453</v>
      </c>
      <c r="T206" s="179">
        <f t="shared" si="19"/>
        <v>7.291666666666663E-2</v>
      </c>
      <c r="U206" s="179">
        <f t="shared" si="19"/>
        <v>6.9444444444445308E-3</v>
      </c>
      <c r="V206" s="323">
        <v>0.69791666666666663</v>
      </c>
      <c r="W206" s="179">
        <f t="shared" ref="W206:W215" si="25">V206-Q206</f>
        <v>8.3333333333333259E-2</v>
      </c>
      <c r="X206" s="324" t="s">
        <v>693</v>
      </c>
    </row>
    <row r="207" spans="1:25" s="113" customFormat="1" x14ac:dyDescent="0.25">
      <c r="A207" s="140">
        <f t="shared" si="20"/>
        <v>5</v>
      </c>
      <c r="B207" s="157">
        <v>43859</v>
      </c>
      <c r="C207" s="157">
        <v>43859</v>
      </c>
      <c r="D207" s="100" t="s">
        <v>337</v>
      </c>
      <c r="E207" s="79"/>
      <c r="F207" s="153">
        <v>540</v>
      </c>
      <c r="G207" s="137" t="s">
        <v>56</v>
      </c>
      <c r="H207" s="158" t="s">
        <v>470</v>
      </c>
      <c r="I207" s="143" t="s">
        <v>58</v>
      </c>
      <c r="J207" s="139"/>
      <c r="K207" s="139"/>
      <c r="L207" s="98" t="s">
        <v>55</v>
      </c>
      <c r="M207" s="79"/>
      <c r="N207" s="139"/>
      <c r="O207" s="139">
        <v>24</v>
      </c>
      <c r="P207" s="237">
        <v>0.70833333333333337</v>
      </c>
      <c r="Q207" s="327">
        <v>0.6875</v>
      </c>
      <c r="R207" s="147">
        <v>0.73958333333333337</v>
      </c>
      <c r="S207" s="147">
        <v>0.75</v>
      </c>
      <c r="T207" s="138">
        <f t="shared" si="19"/>
        <v>5.208333333333337E-2</v>
      </c>
      <c r="U207" s="138">
        <f t="shared" si="19"/>
        <v>1.041666666666663E-2</v>
      </c>
      <c r="V207" s="315">
        <v>0.76041666666666663</v>
      </c>
      <c r="W207" s="138">
        <f t="shared" si="25"/>
        <v>7.291666666666663E-2</v>
      </c>
      <c r="X207" s="325"/>
    </row>
    <row r="208" spans="1:25" s="113" customFormat="1" x14ac:dyDescent="0.25">
      <c r="A208" s="140">
        <f t="shared" si="20"/>
        <v>5</v>
      </c>
      <c r="B208" s="157">
        <v>43859</v>
      </c>
      <c r="C208" s="157">
        <v>43859</v>
      </c>
      <c r="D208" s="100" t="s">
        <v>337</v>
      </c>
      <c r="E208" s="79"/>
      <c r="F208" s="153">
        <v>540</v>
      </c>
      <c r="G208" s="137" t="s">
        <v>59</v>
      </c>
      <c r="H208" s="158" t="s">
        <v>387</v>
      </c>
      <c r="I208" s="298" t="s">
        <v>60</v>
      </c>
      <c r="J208" s="139"/>
      <c r="K208" s="139"/>
      <c r="L208" s="98" t="s">
        <v>55</v>
      </c>
      <c r="M208" s="79"/>
      <c r="N208" s="139"/>
      <c r="O208" s="139">
        <v>14</v>
      </c>
      <c r="P208" s="237">
        <v>0.70833333333333337</v>
      </c>
      <c r="Q208" s="327">
        <v>0.66319444444444442</v>
      </c>
      <c r="R208" s="147">
        <v>0.73611111111111116</v>
      </c>
      <c r="S208" s="147">
        <v>0.74305555555555547</v>
      </c>
      <c r="T208" s="138">
        <f t="shared" si="19"/>
        <v>7.2916666666666741E-2</v>
      </c>
      <c r="U208" s="138">
        <f t="shared" si="19"/>
        <v>6.9444444444443088E-3</v>
      </c>
      <c r="V208" s="315">
        <v>0.75</v>
      </c>
      <c r="W208" s="138">
        <f t="shared" si="25"/>
        <v>8.680555555555558E-2</v>
      </c>
      <c r="X208" s="325"/>
    </row>
    <row r="209" spans="1:24" s="113" customFormat="1" x14ac:dyDescent="0.25">
      <c r="A209" s="140">
        <f t="shared" si="20"/>
        <v>5</v>
      </c>
      <c r="B209" s="157">
        <v>43859</v>
      </c>
      <c r="C209" s="157">
        <v>43859</v>
      </c>
      <c r="D209" s="100" t="s">
        <v>361</v>
      </c>
      <c r="E209" s="79"/>
      <c r="F209" s="153">
        <v>540</v>
      </c>
      <c r="G209" s="137" t="s">
        <v>61</v>
      </c>
      <c r="H209" s="158" t="s">
        <v>330</v>
      </c>
      <c r="I209" s="306" t="s">
        <v>63</v>
      </c>
      <c r="J209" s="139"/>
      <c r="K209" s="139"/>
      <c r="L209" s="98" t="s">
        <v>55</v>
      </c>
      <c r="M209" s="79"/>
      <c r="N209" s="139"/>
      <c r="O209" s="139">
        <v>24</v>
      </c>
      <c r="P209" s="138">
        <v>0.75</v>
      </c>
      <c r="Q209" s="147">
        <v>0.73958333333333337</v>
      </c>
      <c r="R209" s="147">
        <v>0.75</v>
      </c>
      <c r="S209" s="147">
        <v>0.76388888888888884</v>
      </c>
      <c r="T209" s="138">
        <f t="shared" si="19"/>
        <v>1.041666666666663E-2</v>
      </c>
      <c r="U209" s="138">
        <f t="shared" si="19"/>
        <v>1.388888888888884E-2</v>
      </c>
      <c r="V209" s="315">
        <v>0.77083333333333337</v>
      </c>
      <c r="W209" s="138">
        <f t="shared" si="25"/>
        <v>3.125E-2</v>
      </c>
      <c r="X209" s="325"/>
    </row>
    <row r="210" spans="1:24" s="113" customFormat="1" x14ac:dyDescent="0.25">
      <c r="A210" s="140">
        <f t="shared" si="20"/>
        <v>5</v>
      </c>
      <c r="B210" s="157">
        <v>43859</v>
      </c>
      <c r="C210" s="157">
        <v>43859</v>
      </c>
      <c r="D210" s="100" t="s">
        <v>337</v>
      </c>
      <c r="E210" s="79"/>
      <c r="F210" s="153">
        <v>540</v>
      </c>
      <c r="G210" s="137" t="s">
        <v>64</v>
      </c>
      <c r="H210" s="158" t="s">
        <v>76</v>
      </c>
      <c r="I210" s="306" t="s">
        <v>355</v>
      </c>
      <c r="J210" s="139"/>
      <c r="K210" s="139"/>
      <c r="L210" s="98" t="s">
        <v>55</v>
      </c>
      <c r="M210" s="79"/>
      <c r="N210" s="139"/>
      <c r="O210" s="139">
        <v>14</v>
      </c>
      <c r="P210" s="138">
        <v>0.79166666666666663</v>
      </c>
      <c r="Q210" s="147">
        <v>0.76736111111111116</v>
      </c>
      <c r="R210" s="147">
        <v>0.77083333333333337</v>
      </c>
      <c r="S210" s="147">
        <v>0.78125</v>
      </c>
      <c r="T210" s="138">
        <f t="shared" si="19"/>
        <v>3.4722222222222099E-3</v>
      </c>
      <c r="U210" s="138">
        <f t="shared" si="19"/>
        <v>1.041666666666663E-2</v>
      </c>
      <c r="V210" s="315">
        <v>0.79166666666666663</v>
      </c>
      <c r="W210" s="138">
        <f t="shared" si="25"/>
        <v>2.4305555555555469E-2</v>
      </c>
      <c r="X210" s="325"/>
    </row>
    <row r="211" spans="1:24" s="113" customFormat="1" x14ac:dyDescent="0.25">
      <c r="A211" s="140">
        <f t="shared" si="20"/>
        <v>5</v>
      </c>
      <c r="B211" s="157">
        <v>43859</v>
      </c>
      <c r="C211" s="157">
        <v>43859</v>
      </c>
      <c r="D211" s="100" t="s">
        <v>361</v>
      </c>
      <c r="E211" s="79"/>
      <c r="F211" s="153">
        <v>540</v>
      </c>
      <c r="G211" s="137" t="s">
        <v>77</v>
      </c>
      <c r="H211" s="158" t="s">
        <v>317</v>
      </c>
      <c r="I211" s="306" t="s">
        <v>78</v>
      </c>
      <c r="J211" s="139"/>
      <c r="K211" s="139"/>
      <c r="L211" s="98" t="s">
        <v>55</v>
      </c>
      <c r="M211" s="79"/>
      <c r="N211" s="139"/>
      <c r="O211" s="139">
        <v>22</v>
      </c>
      <c r="P211" s="138">
        <v>0.83333333333333337</v>
      </c>
      <c r="Q211" s="147">
        <v>0.82638888888888884</v>
      </c>
      <c r="R211" s="147">
        <v>0.83333333333333337</v>
      </c>
      <c r="S211" s="147">
        <v>0.84027777777777779</v>
      </c>
      <c r="T211" s="138">
        <f t="shared" si="19"/>
        <v>6.9444444444445308E-3</v>
      </c>
      <c r="U211" s="138">
        <f t="shared" si="19"/>
        <v>6.9444444444444198E-3</v>
      </c>
      <c r="V211" s="315">
        <v>0.84375</v>
      </c>
      <c r="W211" s="138">
        <f t="shared" si="25"/>
        <v>1.736111111111116E-2</v>
      </c>
      <c r="X211" s="325"/>
    </row>
    <row r="212" spans="1:24" s="113" customFormat="1" x14ac:dyDescent="0.25">
      <c r="A212" s="140">
        <f t="shared" si="20"/>
        <v>5</v>
      </c>
      <c r="B212" s="157">
        <v>43859</v>
      </c>
      <c r="C212" s="157">
        <v>43859</v>
      </c>
      <c r="D212" s="100" t="s">
        <v>337</v>
      </c>
      <c r="E212" s="79">
        <v>1000454923</v>
      </c>
      <c r="F212" s="153">
        <v>300</v>
      </c>
      <c r="G212" s="137" t="s">
        <v>69</v>
      </c>
      <c r="H212" s="158" t="s">
        <v>671</v>
      </c>
      <c r="I212" s="79" t="s">
        <v>678</v>
      </c>
      <c r="J212" s="139" t="s">
        <v>19</v>
      </c>
      <c r="K212" s="139"/>
      <c r="L212" s="98" t="s">
        <v>55</v>
      </c>
      <c r="M212" s="79">
        <v>80</v>
      </c>
      <c r="N212" s="139" t="s">
        <v>51</v>
      </c>
      <c r="O212" s="139">
        <v>34</v>
      </c>
      <c r="P212" s="138">
        <v>0.41666666666666669</v>
      </c>
      <c r="Q212" s="147">
        <v>0.4826388888888889</v>
      </c>
      <c r="R212" s="147">
        <v>0.48958333333333331</v>
      </c>
      <c r="S212" s="147">
        <v>0.50347222222222221</v>
      </c>
      <c r="T212" s="138">
        <f t="shared" si="19"/>
        <v>6.9444444444444198E-3</v>
      </c>
      <c r="U212" s="138">
        <f t="shared" si="19"/>
        <v>1.3888888888888895E-2</v>
      </c>
      <c r="V212" s="315">
        <v>0.51388888888888895</v>
      </c>
      <c r="W212" s="138">
        <f t="shared" si="25"/>
        <v>3.1250000000000056E-2</v>
      </c>
      <c r="X212" s="325"/>
    </row>
    <row r="213" spans="1:24" s="113" customFormat="1" x14ac:dyDescent="0.25">
      <c r="A213" s="140">
        <f t="shared" si="20"/>
        <v>5</v>
      </c>
      <c r="B213" s="157">
        <v>43859</v>
      </c>
      <c r="C213" s="157">
        <v>43859</v>
      </c>
      <c r="D213" s="100" t="s">
        <v>68</v>
      </c>
      <c r="E213" s="79">
        <v>1000455205</v>
      </c>
      <c r="F213" s="153">
        <v>420</v>
      </c>
      <c r="G213" s="137" t="s">
        <v>323</v>
      </c>
      <c r="H213" s="158" t="s">
        <v>672</v>
      </c>
      <c r="I213" s="79">
        <v>3202712454</v>
      </c>
      <c r="J213" s="139" t="s">
        <v>19</v>
      </c>
      <c r="K213" s="139"/>
      <c r="L213" s="98" t="s">
        <v>55</v>
      </c>
      <c r="M213" s="79">
        <v>80</v>
      </c>
      <c r="N213" s="139" t="s">
        <v>51</v>
      </c>
      <c r="O213" s="139">
        <v>33</v>
      </c>
      <c r="P213" s="138">
        <v>0.41666666666666669</v>
      </c>
      <c r="Q213" s="147">
        <v>0.56597222222222221</v>
      </c>
      <c r="R213" s="147">
        <v>0.59027777777777779</v>
      </c>
      <c r="S213" s="147">
        <v>0.61111111111111105</v>
      </c>
      <c r="T213" s="138">
        <f t="shared" si="19"/>
        <v>2.430555555555558E-2</v>
      </c>
      <c r="U213" s="138">
        <f t="shared" si="19"/>
        <v>2.0833333333333259E-2</v>
      </c>
      <c r="V213" s="315">
        <v>0.61805555555555558</v>
      </c>
      <c r="W213" s="138">
        <f t="shared" si="25"/>
        <v>5.208333333333337E-2</v>
      </c>
      <c r="X213" s="325"/>
    </row>
    <row r="214" spans="1:24" s="113" customFormat="1" x14ac:dyDescent="0.25">
      <c r="A214" s="140">
        <f t="shared" si="20"/>
        <v>5</v>
      </c>
      <c r="B214" s="157">
        <v>43859</v>
      </c>
      <c r="C214" s="157">
        <v>43859</v>
      </c>
      <c r="D214" s="100" t="s">
        <v>68</v>
      </c>
      <c r="E214" s="79">
        <v>1000454931</v>
      </c>
      <c r="F214" s="153">
        <v>300</v>
      </c>
      <c r="G214" s="137" t="s">
        <v>324</v>
      </c>
      <c r="H214" s="158" t="s">
        <v>673</v>
      </c>
      <c r="I214" s="79" t="s">
        <v>676</v>
      </c>
      <c r="J214" s="139" t="s">
        <v>19</v>
      </c>
      <c r="K214" s="139"/>
      <c r="L214" s="256" t="s">
        <v>55</v>
      </c>
      <c r="M214" s="79">
        <v>80</v>
      </c>
      <c r="N214" s="139" t="s">
        <v>51</v>
      </c>
      <c r="O214" s="139">
        <v>35</v>
      </c>
      <c r="P214" s="138">
        <v>0.45833333333333331</v>
      </c>
      <c r="Q214" s="147">
        <v>0.57638888888888895</v>
      </c>
      <c r="R214" s="147">
        <v>0.59027777777777779</v>
      </c>
      <c r="S214" s="147">
        <v>0.61458333333333337</v>
      </c>
      <c r="T214" s="138">
        <f t="shared" si="19"/>
        <v>1.388888888888884E-2</v>
      </c>
      <c r="U214" s="138">
        <f t="shared" si="19"/>
        <v>2.430555555555558E-2</v>
      </c>
      <c r="V214" s="315">
        <v>0.625</v>
      </c>
      <c r="W214" s="138">
        <f t="shared" si="25"/>
        <v>4.8611111111111049E-2</v>
      </c>
      <c r="X214" s="325"/>
    </row>
    <row r="215" spans="1:24" s="113" customFormat="1" x14ac:dyDescent="0.25">
      <c r="A215" s="140">
        <f t="shared" si="20"/>
        <v>5</v>
      </c>
      <c r="B215" s="157">
        <v>43859</v>
      </c>
      <c r="C215" s="157">
        <v>43859</v>
      </c>
      <c r="D215" s="100" t="s">
        <v>68</v>
      </c>
      <c r="E215" s="79">
        <v>1000454959</v>
      </c>
      <c r="F215" s="153">
        <v>240</v>
      </c>
      <c r="G215" s="137" t="s">
        <v>341</v>
      </c>
      <c r="H215" s="158" t="s">
        <v>674</v>
      </c>
      <c r="I215" s="79" t="s">
        <v>679</v>
      </c>
      <c r="J215" s="139" t="s">
        <v>19</v>
      </c>
      <c r="K215" s="153"/>
      <c r="L215" s="79" t="s">
        <v>55</v>
      </c>
      <c r="M215" s="139">
        <v>80</v>
      </c>
      <c r="N215" s="139" t="s">
        <v>51</v>
      </c>
      <c r="O215" s="139">
        <v>33</v>
      </c>
      <c r="P215" s="138">
        <v>0.5</v>
      </c>
      <c r="Q215" s="147">
        <v>0.58333333333333337</v>
      </c>
      <c r="R215" s="147">
        <v>0.625</v>
      </c>
      <c r="S215" s="147">
        <v>0.64583333333333337</v>
      </c>
      <c r="T215" s="138">
        <f t="shared" si="19"/>
        <v>4.166666666666663E-2</v>
      </c>
      <c r="U215" s="138">
        <f t="shared" si="19"/>
        <v>2.083333333333337E-2</v>
      </c>
      <c r="V215" s="315">
        <v>0.64930555555555558</v>
      </c>
      <c r="W215" s="179">
        <f t="shared" si="25"/>
        <v>6.597222222222221E-2</v>
      </c>
      <c r="X215" s="325"/>
    </row>
    <row r="216" spans="1:24" s="113" customFormat="1" ht="16.5" thickBot="1" x14ac:dyDescent="0.3">
      <c r="A216" s="185">
        <f t="shared" si="20"/>
        <v>5</v>
      </c>
      <c r="B216" s="186">
        <v>43859</v>
      </c>
      <c r="C216" s="186">
        <v>43859</v>
      </c>
      <c r="D216" s="236" t="s">
        <v>68</v>
      </c>
      <c r="E216" s="172">
        <v>1000454966</v>
      </c>
      <c r="F216" s="187">
        <v>300</v>
      </c>
      <c r="G216" s="185" t="s">
        <v>342</v>
      </c>
      <c r="H216" s="188" t="s">
        <v>675</v>
      </c>
      <c r="I216" s="172" t="s">
        <v>677</v>
      </c>
      <c r="J216" s="189" t="s">
        <v>19</v>
      </c>
      <c r="K216" s="187"/>
      <c r="L216" s="172" t="s">
        <v>55</v>
      </c>
      <c r="M216" s="189">
        <v>80</v>
      </c>
      <c r="N216" s="189" t="s">
        <v>51</v>
      </c>
      <c r="O216" s="189">
        <v>34</v>
      </c>
      <c r="P216" s="190">
        <v>0.54166666666666663</v>
      </c>
      <c r="Q216" s="191">
        <v>0.60069444444444442</v>
      </c>
      <c r="R216" s="191">
        <v>0.63194444444444442</v>
      </c>
      <c r="S216" s="191">
        <v>0.65277777777777779</v>
      </c>
      <c r="T216" s="190">
        <f t="shared" si="19"/>
        <v>3.125E-2</v>
      </c>
      <c r="U216" s="190">
        <f t="shared" si="19"/>
        <v>2.083333333333337E-2</v>
      </c>
      <c r="V216" s="191">
        <v>0.65625</v>
      </c>
      <c r="W216" s="322">
        <f t="shared" si="21"/>
        <v>5.555555555555558E-2</v>
      </c>
      <c r="X216" s="174"/>
    </row>
    <row r="217" spans="1:24" s="113" customFormat="1" x14ac:dyDescent="0.25">
      <c r="A217" s="140">
        <f t="shared" si="20"/>
        <v>5</v>
      </c>
      <c r="B217" s="157">
        <v>43860</v>
      </c>
      <c r="C217" s="157">
        <v>43860</v>
      </c>
      <c r="D217" s="100" t="s">
        <v>68</v>
      </c>
      <c r="E217" s="79"/>
      <c r="F217" s="153">
        <v>540</v>
      </c>
      <c r="G217" s="137" t="s">
        <v>53</v>
      </c>
      <c r="H217" s="158" t="s">
        <v>387</v>
      </c>
      <c r="I217" s="328" t="s">
        <v>54</v>
      </c>
      <c r="J217" s="139"/>
      <c r="K217" s="139"/>
      <c r="L217" s="98" t="s">
        <v>55</v>
      </c>
      <c r="M217" s="79"/>
      <c r="N217" s="139"/>
      <c r="O217" s="139">
        <v>17</v>
      </c>
      <c r="P217" s="138">
        <v>0.66666666666666663</v>
      </c>
      <c r="Q217" s="147">
        <v>0.63888888888888895</v>
      </c>
      <c r="R217" s="147">
        <v>0.64583333333333337</v>
      </c>
      <c r="S217" s="147">
        <v>0.66666666666666663</v>
      </c>
      <c r="T217" s="138">
        <f t="shared" si="19"/>
        <v>6.9444444444444198E-3</v>
      </c>
      <c r="U217" s="138">
        <f t="shared" si="19"/>
        <v>2.0833333333333259E-2</v>
      </c>
      <c r="V217" s="147">
        <v>0.67013888888888884</v>
      </c>
      <c r="W217" s="138">
        <f t="shared" si="21"/>
        <v>3.1249999999999889E-2</v>
      </c>
      <c r="X217" s="81"/>
    </row>
    <row r="218" spans="1:24" s="113" customFormat="1" x14ac:dyDescent="0.25">
      <c r="A218" s="140">
        <f t="shared" si="20"/>
        <v>5</v>
      </c>
      <c r="B218" s="157">
        <v>43860</v>
      </c>
      <c r="C218" s="157">
        <v>43860</v>
      </c>
      <c r="D218" s="100" t="s">
        <v>68</v>
      </c>
      <c r="E218" s="79"/>
      <c r="F218" s="153">
        <v>540</v>
      </c>
      <c r="G218" s="137" t="s">
        <v>56</v>
      </c>
      <c r="H218" s="158" t="s">
        <v>470</v>
      </c>
      <c r="I218" s="328" t="s">
        <v>58</v>
      </c>
      <c r="J218" s="139"/>
      <c r="K218" s="139"/>
      <c r="L218" s="98" t="s">
        <v>55</v>
      </c>
      <c r="M218" s="79"/>
      <c r="N218" s="139"/>
      <c r="O218" s="139">
        <v>33</v>
      </c>
      <c r="P218" s="138">
        <v>0.70833333333333337</v>
      </c>
      <c r="Q218" s="147">
        <v>0.68055555555555547</v>
      </c>
      <c r="R218" s="147">
        <v>0.70833333333333337</v>
      </c>
      <c r="S218" s="147">
        <v>0.73263888888888884</v>
      </c>
      <c r="T218" s="138">
        <f t="shared" si="19"/>
        <v>2.7777777777777901E-2</v>
      </c>
      <c r="U218" s="138">
        <f t="shared" si="19"/>
        <v>2.4305555555555469E-2</v>
      </c>
      <c r="V218" s="147">
        <v>0.73958333333333337</v>
      </c>
      <c r="W218" s="138">
        <f t="shared" si="21"/>
        <v>5.9027777777777901E-2</v>
      </c>
      <c r="X218" s="81"/>
    </row>
    <row r="219" spans="1:24" s="113" customFormat="1" x14ac:dyDescent="0.25">
      <c r="A219" s="140">
        <f t="shared" si="20"/>
        <v>5</v>
      </c>
      <c r="B219" s="157">
        <v>43860</v>
      </c>
      <c r="C219" s="157">
        <v>43860</v>
      </c>
      <c r="D219" s="100" t="s">
        <v>68</v>
      </c>
      <c r="E219" s="79"/>
      <c r="F219" s="153">
        <v>540</v>
      </c>
      <c r="G219" s="137" t="s">
        <v>59</v>
      </c>
      <c r="H219" s="158" t="s">
        <v>76</v>
      </c>
      <c r="I219" s="328" t="s">
        <v>60</v>
      </c>
      <c r="J219" s="139"/>
      <c r="K219" s="139"/>
      <c r="L219" s="98" t="s">
        <v>55</v>
      </c>
      <c r="M219" s="79"/>
      <c r="N219" s="139"/>
      <c r="O219" s="139">
        <v>25</v>
      </c>
      <c r="P219" s="138">
        <v>0.70833333333333337</v>
      </c>
      <c r="Q219" s="147">
        <v>0.67708333333333337</v>
      </c>
      <c r="R219" s="147">
        <v>0.71527777777777779</v>
      </c>
      <c r="S219" s="147">
        <v>0.73611111111111116</v>
      </c>
      <c r="T219" s="138">
        <f t="shared" si="19"/>
        <v>3.819444444444442E-2</v>
      </c>
      <c r="U219" s="138">
        <f t="shared" si="19"/>
        <v>2.083333333333337E-2</v>
      </c>
      <c r="V219" s="147">
        <v>0.73958333333333337</v>
      </c>
      <c r="W219" s="138">
        <f t="shared" si="21"/>
        <v>6.25E-2</v>
      </c>
      <c r="X219" s="81"/>
    </row>
    <row r="220" spans="1:24" s="113" customFormat="1" x14ac:dyDescent="0.25">
      <c r="A220" s="140">
        <f t="shared" si="20"/>
        <v>5</v>
      </c>
      <c r="B220" s="157">
        <v>43860</v>
      </c>
      <c r="C220" s="157">
        <v>43860</v>
      </c>
      <c r="D220" s="100" t="s">
        <v>361</v>
      </c>
      <c r="E220" s="79"/>
      <c r="F220" s="153">
        <v>540</v>
      </c>
      <c r="G220" s="137" t="s">
        <v>61</v>
      </c>
      <c r="H220" s="158" t="s">
        <v>330</v>
      </c>
      <c r="I220" s="306" t="s">
        <v>63</v>
      </c>
      <c r="J220" s="139"/>
      <c r="K220" s="139"/>
      <c r="L220" s="98" t="s">
        <v>55</v>
      </c>
      <c r="M220" s="79"/>
      <c r="N220" s="139"/>
      <c r="O220" s="139">
        <v>25</v>
      </c>
      <c r="P220" s="138">
        <v>0.75</v>
      </c>
      <c r="Q220" s="147">
        <v>0.73958333333333337</v>
      </c>
      <c r="R220" s="147">
        <v>0.76041666666666663</v>
      </c>
      <c r="S220" s="147">
        <v>0.78472222222222221</v>
      </c>
      <c r="T220" s="138">
        <f t="shared" si="19"/>
        <v>2.0833333333333259E-2</v>
      </c>
      <c r="U220" s="138">
        <f t="shared" si="19"/>
        <v>2.430555555555558E-2</v>
      </c>
      <c r="V220" s="147">
        <v>0.79513888888888884</v>
      </c>
      <c r="W220" s="138">
        <f t="shared" si="21"/>
        <v>5.5555555555555469E-2</v>
      </c>
      <c r="X220" s="81"/>
    </row>
    <row r="221" spans="1:24" s="113" customFormat="1" x14ac:dyDescent="0.25">
      <c r="A221" s="140">
        <f t="shared" si="20"/>
        <v>5</v>
      </c>
      <c r="B221" s="157">
        <v>43860</v>
      </c>
      <c r="C221" s="157">
        <v>43860</v>
      </c>
      <c r="D221" s="100" t="s">
        <v>68</v>
      </c>
      <c r="E221" s="79"/>
      <c r="F221" s="153">
        <v>540</v>
      </c>
      <c r="G221" s="137" t="s">
        <v>64</v>
      </c>
      <c r="H221" s="158" t="s">
        <v>80</v>
      </c>
      <c r="I221" s="306" t="s">
        <v>355</v>
      </c>
      <c r="J221" s="139"/>
      <c r="K221" s="139"/>
      <c r="L221" s="98" t="s">
        <v>55</v>
      </c>
      <c r="M221" s="79"/>
      <c r="N221" s="139"/>
      <c r="O221" s="139">
        <v>23</v>
      </c>
      <c r="P221" s="138">
        <v>0.79166666666666663</v>
      </c>
      <c r="Q221" s="147">
        <v>0.75694444444444453</v>
      </c>
      <c r="R221" s="147">
        <v>0.79166666666666663</v>
      </c>
      <c r="S221" s="147">
        <v>0.8125</v>
      </c>
      <c r="T221" s="138">
        <f t="shared" si="19"/>
        <v>3.4722222222222099E-2</v>
      </c>
      <c r="U221" s="138">
        <f t="shared" si="19"/>
        <v>2.083333333333337E-2</v>
      </c>
      <c r="V221" s="147">
        <v>0.81597222222222221</v>
      </c>
      <c r="W221" s="138">
        <f t="shared" si="21"/>
        <v>5.9027777777777679E-2</v>
      </c>
      <c r="X221" s="81"/>
    </row>
    <row r="222" spans="1:24" s="113" customFormat="1" x14ac:dyDescent="0.25">
      <c r="A222" s="140">
        <f t="shared" si="20"/>
        <v>5</v>
      </c>
      <c r="B222" s="157">
        <v>43860</v>
      </c>
      <c r="C222" s="157">
        <v>43860</v>
      </c>
      <c r="D222" s="100" t="s">
        <v>68</v>
      </c>
      <c r="E222" s="79"/>
      <c r="F222" s="153">
        <v>540</v>
      </c>
      <c r="G222" s="137" t="s">
        <v>77</v>
      </c>
      <c r="H222" s="158" t="s">
        <v>317</v>
      </c>
      <c r="I222" s="306" t="s">
        <v>78</v>
      </c>
      <c r="J222" s="139"/>
      <c r="K222" s="139"/>
      <c r="L222" s="98" t="s">
        <v>55</v>
      </c>
      <c r="M222" s="79"/>
      <c r="N222" s="139"/>
      <c r="O222" s="139">
        <v>23</v>
      </c>
      <c r="P222" s="237">
        <v>0.875</v>
      </c>
      <c r="Q222" s="147">
        <v>0.90277777777777779</v>
      </c>
      <c r="R222" s="147">
        <v>0.90625</v>
      </c>
      <c r="S222" s="147">
        <v>0.91666666666666663</v>
      </c>
      <c r="T222" s="138">
        <f t="shared" si="19"/>
        <v>3.4722222222222099E-3</v>
      </c>
      <c r="U222" s="138">
        <f t="shared" si="19"/>
        <v>1.041666666666663E-2</v>
      </c>
      <c r="V222" s="147">
        <v>0.92013888888888884</v>
      </c>
      <c r="W222" s="138">
        <f t="shared" si="21"/>
        <v>1.7361111111111049E-2</v>
      </c>
      <c r="X222" s="81"/>
    </row>
    <row r="223" spans="1:24" s="113" customFormat="1" x14ac:dyDescent="0.25">
      <c r="A223" s="140">
        <f>WEEKNUM(B223,21)</f>
        <v>5</v>
      </c>
      <c r="B223" s="157">
        <v>43860</v>
      </c>
      <c r="C223" s="157">
        <v>43860</v>
      </c>
      <c r="D223" s="100"/>
      <c r="E223" s="79"/>
      <c r="F223" s="153"/>
      <c r="G223" s="137" t="s">
        <v>690</v>
      </c>
      <c r="H223" s="158" t="s">
        <v>538</v>
      </c>
      <c r="I223" s="194" t="s">
        <v>691</v>
      </c>
      <c r="J223" s="139" t="s">
        <v>19</v>
      </c>
      <c r="K223" s="139"/>
      <c r="L223" s="98" t="s">
        <v>84</v>
      </c>
      <c r="M223" s="79">
        <v>80</v>
      </c>
      <c r="N223" s="139"/>
      <c r="O223" s="139">
        <v>6</v>
      </c>
      <c r="P223" s="138">
        <v>0.5</v>
      </c>
      <c r="Q223" s="147"/>
      <c r="R223" s="147"/>
      <c r="S223" s="147"/>
      <c r="T223" s="138">
        <f>R223-Q223</f>
        <v>0</v>
      </c>
      <c r="U223" s="138">
        <f>S223-R223</f>
        <v>0</v>
      </c>
      <c r="V223" s="147"/>
      <c r="W223" s="148">
        <f>V223-Q223</f>
        <v>0</v>
      </c>
      <c r="X223" s="81"/>
    </row>
    <row r="224" spans="1:24" s="113" customFormat="1" x14ac:dyDescent="0.25">
      <c r="A224" s="140">
        <f t="shared" si="20"/>
        <v>5</v>
      </c>
      <c r="B224" s="157">
        <v>43860</v>
      </c>
      <c r="C224" s="157">
        <v>43860</v>
      </c>
      <c r="D224" s="100" t="s">
        <v>337</v>
      </c>
      <c r="E224" s="79">
        <v>1000454924</v>
      </c>
      <c r="F224" s="153">
        <v>600</v>
      </c>
      <c r="G224" s="137" t="s">
        <v>339</v>
      </c>
      <c r="H224" s="158" t="s">
        <v>556</v>
      </c>
      <c r="I224" s="194" t="s">
        <v>686</v>
      </c>
      <c r="J224" s="139" t="s">
        <v>19</v>
      </c>
      <c r="K224" s="139"/>
      <c r="L224" s="98" t="s">
        <v>55</v>
      </c>
      <c r="M224" s="79">
        <v>80</v>
      </c>
      <c r="N224" s="139"/>
      <c r="O224" s="139">
        <v>34</v>
      </c>
      <c r="P224" s="138">
        <v>0.41666666666666669</v>
      </c>
      <c r="Q224" s="147">
        <v>0.3923611111111111</v>
      </c>
      <c r="R224" s="147">
        <v>0.39930555555555558</v>
      </c>
      <c r="S224" s="147">
        <v>0.41666666666666669</v>
      </c>
      <c r="T224" s="138">
        <f t="shared" si="19"/>
        <v>6.9444444444444753E-3</v>
      </c>
      <c r="U224" s="138">
        <f t="shared" si="19"/>
        <v>1.7361111111111105E-2</v>
      </c>
      <c r="V224" s="147">
        <v>0.4236111111111111</v>
      </c>
      <c r="W224" s="148">
        <f t="shared" si="21"/>
        <v>3.125E-2</v>
      </c>
      <c r="X224" s="81"/>
    </row>
    <row r="225" spans="1:24" s="113" customFormat="1" x14ac:dyDescent="0.25">
      <c r="A225" s="140">
        <f t="shared" si="20"/>
        <v>5</v>
      </c>
      <c r="B225" s="157">
        <v>43860</v>
      </c>
      <c r="C225" s="157">
        <v>43860</v>
      </c>
      <c r="D225" s="100" t="s">
        <v>337</v>
      </c>
      <c r="E225" s="79">
        <v>1000454945</v>
      </c>
      <c r="F225" s="153">
        <v>600</v>
      </c>
      <c r="G225" s="137" t="s">
        <v>325</v>
      </c>
      <c r="H225" s="158" t="s">
        <v>588</v>
      </c>
      <c r="I225" s="79" t="s">
        <v>688</v>
      </c>
      <c r="J225" s="139" t="s">
        <v>19</v>
      </c>
      <c r="K225" s="139"/>
      <c r="L225" s="98" t="s">
        <v>55</v>
      </c>
      <c r="M225" s="79">
        <v>80</v>
      </c>
      <c r="N225" s="139" t="s">
        <v>51</v>
      </c>
      <c r="O225" s="139">
        <v>37</v>
      </c>
      <c r="P225" s="138">
        <v>0.45833333333333331</v>
      </c>
      <c r="Q225" s="147">
        <v>0.3125</v>
      </c>
      <c r="R225" s="147">
        <v>0.31944444444444448</v>
      </c>
      <c r="S225" s="147">
        <v>0.33333333333333331</v>
      </c>
      <c r="T225" s="138">
        <f t="shared" si="19"/>
        <v>6.9444444444444753E-3</v>
      </c>
      <c r="U225" s="138">
        <f t="shared" si="19"/>
        <v>1.388888888888884E-2</v>
      </c>
      <c r="V225" s="147">
        <v>0.33680555555555558</v>
      </c>
      <c r="W225" s="148">
        <f t="shared" si="21"/>
        <v>2.430555555555558E-2</v>
      </c>
      <c r="X225" s="81"/>
    </row>
    <row r="226" spans="1:24" s="113" customFormat="1" x14ac:dyDescent="0.25">
      <c r="A226" s="140">
        <f t="shared" si="20"/>
        <v>5</v>
      </c>
      <c r="B226" s="157">
        <v>43860</v>
      </c>
      <c r="C226" s="157">
        <v>43860</v>
      </c>
      <c r="D226" s="100" t="s">
        <v>68</v>
      </c>
      <c r="E226" s="79">
        <v>1000454960</v>
      </c>
      <c r="F226" s="153">
        <v>480</v>
      </c>
      <c r="G226" s="137" t="s">
        <v>532</v>
      </c>
      <c r="H226" s="158" t="s">
        <v>641</v>
      </c>
      <c r="I226" s="79" t="s">
        <v>687</v>
      </c>
      <c r="J226" s="139" t="s">
        <v>19</v>
      </c>
      <c r="K226" s="139"/>
      <c r="L226" s="98" t="s">
        <v>55</v>
      </c>
      <c r="M226" s="79">
        <v>80</v>
      </c>
      <c r="N226" s="139" t="s">
        <v>51</v>
      </c>
      <c r="O226" s="139">
        <v>33</v>
      </c>
      <c r="P226" s="138">
        <v>0.5</v>
      </c>
      <c r="Q226" s="147">
        <v>0.5</v>
      </c>
      <c r="R226" s="147">
        <v>0.51041666666666663</v>
      </c>
      <c r="S226" s="147">
        <v>0.52777777777777779</v>
      </c>
      <c r="T226" s="138">
        <f t="shared" si="19"/>
        <v>1.041666666666663E-2</v>
      </c>
      <c r="U226" s="138">
        <f t="shared" si="19"/>
        <v>1.736111111111116E-2</v>
      </c>
      <c r="V226" s="147">
        <v>0.53125</v>
      </c>
      <c r="W226" s="148">
        <f>U226-T226</f>
        <v>6.9444444444445308E-3</v>
      </c>
      <c r="X226" s="81"/>
    </row>
    <row r="227" spans="1:24" s="184" customFormat="1" ht="16.5" thickBot="1" x14ac:dyDescent="0.3">
      <c r="A227" s="185">
        <f t="shared" si="20"/>
        <v>5</v>
      </c>
      <c r="B227" s="186">
        <v>43860</v>
      </c>
      <c r="C227" s="186">
        <v>43860</v>
      </c>
      <c r="D227" s="236" t="s">
        <v>337</v>
      </c>
      <c r="E227" s="172">
        <v>1000454963</v>
      </c>
      <c r="F227" s="187">
        <v>240</v>
      </c>
      <c r="G227" s="185" t="s">
        <v>340</v>
      </c>
      <c r="H227" s="188" t="s">
        <v>689</v>
      </c>
      <c r="I227" s="172" t="s">
        <v>680</v>
      </c>
      <c r="J227" s="189" t="s">
        <v>19</v>
      </c>
      <c r="K227" s="189"/>
      <c r="L227" s="172" t="s">
        <v>55</v>
      </c>
      <c r="M227" s="172">
        <v>80</v>
      </c>
      <c r="N227" s="189" t="s">
        <v>51</v>
      </c>
      <c r="O227" s="189">
        <v>45</v>
      </c>
      <c r="P227" s="190">
        <v>0.5</v>
      </c>
      <c r="Q227" s="191">
        <v>0.40972222222222227</v>
      </c>
      <c r="R227" s="191">
        <v>0.4236111111111111</v>
      </c>
      <c r="S227" s="191">
        <v>0.4375</v>
      </c>
      <c r="T227" s="190">
        <f t="shared" si="19"/>
        <v>1.388888888888884E-2</v>
      </c>
      <c r="U227" s="190">
        <f t="shared" si="19"/>
        <v>1.3888888888888895E-2</v>
      </c>
      <c r="V227" s="191">
        <v>0.44097222222222227</v>
      </c>
      <c r="W227" s="191">
        <f>U227-T227</f>
        <v>5.5511151231257827E-17</v>
      </c>
      <c r="X227" s="174"/>
    </row>
    <row r="228" spans="1:24" s="134" customFormat="1" x14ac:dyDescent="0.25">
      <c r="A228" s="140">
        <f t="shared" si="20"/>
        <v>5</v>
      </c>
      <c r="B228" s="157">
        <v>43861</v>
      </c>
      <c r="C228" s="157">
        <v>43861</v>
      </c>
      <c r="D228" s="100" t="s">
        <v>361</v>
      </c>
      <c r="E228" s="98"/>
      <c r="F228" s="177">
        <v>540</v>
      </c>
      <c r="G228" s="140" t="s">
        <v>53</v>
      </c>
      <c r="H228" s="178" t="s">
        <v>62</v>
      </c>
      <c r="I228" s="143" t="s">
        <v>54</v>
      </c>
      <c r="J228" s="142"/>
      <c r="K228" s="142"/>
      <c r="L228" s="98" t="s">
        <v>55</v>
      </c>
      <c r="M228" s="98"/>
      <c r="N228" s="142"/>
      <c r="O228" s="142">
        <v>11</v>
      </c>
      <c r="P228" s="179">
        <v>0.66666666666666663</v>
      </c>
      <c r="Q228" s="148">
        <v>0.65625</v>
      </c>
      <c r="R228" s="148">
        <v>0.68055555555555547</v>
      </c>
      <c r="S228" s="148">
        <v>0.69791666666666663</v>
      </c>
      <c r="T228" s="179">
        <f t="shared" si="19"/>
        <v>2.4305555555555469E-2</v>
      </c>
      <c r="U228" s="179">
        <f t="shared" si="19"/>
        <v>1.736111111111116E-2</v>
      </c>
      <c r="V228" s="148">
        <v>0.70138888888888884</v>
      </c>
      <c r="W228" s="148">
        <f>U228-T228</f>
        <v>-6.9444444444443088E-3</v>
      </c>
      <c r="X228" s="96"/>
    </row>
    <row r="229" spans="1:24" s="113" customFormat="1" x14ac:dyDescent="0.25">
      <c r="A229" s="140">
        <f t="shared" si="20"/>
        <v>5</v>
      </c>
      <c r="B229" s="157">
        <v>43861</v>
      </c>
      <c r="C229" s="157">
        <v>43861</v>
      </c>
      <c r="D229" s="100" t="s">
        <v>68</v>
      </c>
      <c r="E229" s="79"/>
      <c r="F229" s="153">
        <v>540</v>
      </c>
      <c r="G229" s="137" t="s">
        <v>56</v>
      </c>
      <c r="H229" s="273" t="s">
        <v>76</v>
      </c>
      <c r="I229" s="143" t="s">
        <v>58</v>
      </c>
      <c r="J229" s="139"/>
      <c r="K229" s="139"/>
      <c r="L229" s="98" t="s">
        <v>55</v>
      </c>
      <c r="M229" s="79"/>
      <c r="N229" s="139"/>
      <c r="O229" s="139">
        <v>20</v>
      </c>
      <c r="P229" s="138">
        <v>0.70833333333333337</v>
      </c>
      <c r="Q229" s="147">
        <v>0.68402777777777779</v>
      </c>
      <c r="R229" s="147">
        <v>0.69791666666666663</v>
      </c>
      <c r="S229" s="147">
        <v>0.72569444444444453</v>
      </c>
      <c r="T229" s="138">
        <f t="shared" si="19"/>
        <v>1.388888888888884E-2</v>
      </c>
      <c r="U229" s="138">
        <f t="shared" si="19"/>
        <v>2.7777777777777901E-2</v>
      </c>
      <c r="V229" s="147">
        <v>0.72916666666666663</v>
      </c>
      <c r="W229" s="148">
        <f t="shared" si="21"/>
        <v>4.513888888888884E-2</v>
      </c>
      <c r="X229" s="81"/>
    </row>
    <row r="230" spans="1:24" s="113" customFormat="1" x14ac:dyDescent="0.25">
      <c r="A230" s="140">
        <f t="shared" si="20"/>
        <v>5</v>
      </c>
      <c r="B230" s="157">
        <v>43861</v>
      </c>
      <c r="C230" s="157">
        <v>43861</v>
      </c>
      <c r="D230" s="100" t="s">
        <v>68</v>
      </c>
      <c r="E230" s="79"/>
      <c r="F230" s="153">
        <v>540</v>
      </c>
      <c r="G230" s="137" t="s">
        <v>59</v>
      </c>
      <c r="H230" s="158" t="s">
        <v>80</v>
      </c>
      <c r="I230" s="306" t="s">
        <v>63</v>
      </c>
      <c r="J230" s="139"/>
      <c r="K230" s="139"/>
      <c r="L230" s="98" t="s">
        <v>55</v>
      </c>
      <c r="M230" s="79"/>
      <c r="N230" s="139"/>
      <c r="O230" s="139">
        <v>22</v>
      </c>
      <c r="P230" s="138">
        <v>0.75</v>
      </c>
      <c r="Q230" s="147">
        <v>0.70486111111111116</v>
      </c>
      <c r="R230" s="147">
        <v>0.76041666666666663</v>
      </c>
      <c r="S230" s="147">
        <v>0.77430555555555547</v>
      </c>
      <c r="T230" s="138">
        <f t="shared" si="19"/>
        <v>5.5555555555555469E-2</v>
      </c>
      <c r="U230" s="138">
        <f t="shared" si="19"/>
        <v>1.388888888888884E-2</v>
      </c>
      <c r="V230" s="147">
        <v>0.77777777777777779</v>
      </c>
      <c r="W230" s="148">
        <f t="shared" si="21"/>
        <v>7.291666666666663E-2</v>
      </c>
      <c r="X230" s="81" t="s">
        <v>728</v>
      </c>
    </row>
    <row r="231" spans="1:24" s="113" customFormat="1" ht="47.25" x14ac:dyDescent="0.25">
      <c r="A231" s="140">
        <f>WEEKNUM(B231,21)</f>
        <v>5</v>
      </c>
      <c r="B231" s="157">
        <v>43861</v>
      </c>
      <c r="C231" s="157">
        <v>43861</v>
      </c>
      <c r="D231" s="100"/>
      <c r="E231" s="79"/>
      <c r="F231" s="153"/>
      <c r="G231" s="137" t="s">
        <v>701</v>
      </c>
      <c r="H231" s="158" t="s">
        <v>538</v>
      </c>
      <c r="I231" s="79" t="s">
        <v>707</v>
      </c>
      <c r="J231" s="139"/>
      <c r="K231" s="139"/>
      <c r="L231" s="98" t="s">
        <v>55</v>
      </c>
      <c r="M231" s="79"/>
      <c r="N231" s="139"/>
      <c r="O231" s="139"/>
      <c r="P231" s="138"/>
      <c r="Q231" s="147">
        <v>0.26041666666666669</v>
      </c>
      <c r="R231" s="147">
        <v>0.2673611111111111</v>
      </c>
      <c r="S231" s="147">
        <v>0.28472222222222221</v>
      </c>
      <c r="T231" s="138">
        <f>R231-Q231</f>
        <v>6.9444444444444198E-3</v>
      </c>
      <c r="U231" s="138">
        <f>S231-R231</f>
        <v>1.7361111111111105E-2</v>
      </c>
      <c r="V231" s="147">
        <v>0.28819444444444448</v>
      </c>
      <c r="W231" s="148">
        <f>U231-T231</f>
        <v>1.0416666666666685E-2</v>
      </c>
      <c r="X231" s="81"/>
    </row>
    <row r="232" spans="1:24" s="113" customFormat="1" x14ac:dyDescent="0.25">
      <c r="A232" s="140">
        <f>WEEKNUM(B232,21)</f>
        <v>5</v>
      </c>
      <c r="B232" s="157">
        <v>43860</v>
      </c>
      <c r="C232" s="157">
        <v>43861</v>
      </c>
      <c r="D232" s="100"/>
      <c r="E232" s="79"/>
      <c r="F232" s="153"/>
      <c r="G232" s="137" t="s">
        <v>690</v>
      </c>
      <c r="H232" s="158" t="s">
        <v>538</v>
      </c>
      <c r="I232" s="194" t="s">
        <v>691</v>
      </c>
      <c r="J232" s="139" t="s">
        <v>19</v>
      </c>
      <c r="K232" s="139"/>
      <c r="L232" s="98" t="s">
        <v>55</v>
      </c>
      <c r="M232" s="79">
        <v>80</v>
      </c>
      <c r="N232" s="139"/>
      <c r="O232" s="139">
        <v>6</v>
      </c>
      <c r="P232" s="138">
        <v>0.5</v>
      </c>
      <c r="Q232" s="147"/>
      <c r="R232" s="147"/>
      <c r="S232" s="147"/>
      <c r="T232" s="138">
        <f>R232-Q232</f>
        <v>0</v>
      </c>
      <c r="U232" s="138">
        <f>S232-R232</f>
        <v>0</v>
      </c>
      <c r="V232" s="147"/>
      <c r="W232" s="148">
        <f>V232-Q232</f>
        <v>0</v>
      </c>
      <c r="X232" s="81"/>
    </row>
    <row r="233" spans="1:24" s="113" customFormat="1" ht="31.5" x14ac:dyDescent="0.25">
      <c r="A233" s="140">
        <f t="shared" si="20"/>
        <v>5</v>
      </c>
      <c r="B233" s="157">
        <v>43861</v>
      </c>
      <c r="C233" s="157">
        <v>43861</v>
      </c>
      <c r="D233" s="320" t="s">
        <v>361</v>
      </c>
      <c r="E233" s="79" t="s">
        <v>681</v>
      </c>
      <c r="F233" s="153">
        <v>540</v>
      </c>
      <c r="G233" s="137" t="s">
        <v>370</v>
      </c>
      <c r="H233" s="158" t="s">
        <v>374</v>
      </c>
      <c r="I233" s="79" t="s">
        <v>713</v>
      </c>
      <c r="J233" s="139" t="s">
        <v>19</v>
      </c>
      <c r="K233" s="139"/>
      <c r="L233" s="98" t="s">
        <v>55</v>
      </c>
      <c r="M233" s="79">
        <v>80</v>
      </c>
      <c r="N233" s="139" t="s">
        <v>51</v>
      </c>
      <c r="O233" s="139">
        <v>31</v>
      </c>
      <c r="P233" s="138">
        <v>0.41666666666666669</v>
      </c>
      <c r="Q233" s="147">
        <v>0.40625</v>
      </c>
      <c r="R233" s="147">
        <v>0.43055555555555558</v>
      </c>
      <c r="S233" s="147">
        <v>0.44791666666666669</v>
      </c>
      <c r="T233" s="138">
        <f t="shared" si="19"/>
        <v>2.430555555555558E-2</v>
      </c>
      <c r="U233" s="138">
        <f t="shared" si="19"/>
        <v>1.7361111111111105E-2</v>
      </c>
      <c r="V233" s="147">
        <v>0.4513888888888889</v>
      </c>
      <c r="W233" s="148">
        <f t="shared" si="21"/>
        <v>4.5138888888888895E-2</v>
      </c>
      <c r="X233" s="81"/>
    </row>
    <row r="234" spans="1:24" s="113" customFormat="1" x14ac:dyDescent="0.25">
      <c r="A234" s="140">
        <f t="shared" si="20"/>
        <v>5</v>
      </c>
      <c r="B234" s="157">
        <v>43861</v>
      </c>
      <c r="C234" s="157">
        <v>43861</v>
      </c>
      <c r="D234" s="100"/>
      <c r="E234" s="79" t="s">
        <v>682</v>
      </c>
      <c r="F234" s="153"/>
      <c r="G234" s="137" t="s">
        <v>371</v>
      </c>
      <c r="H234" s="158"/>
      <c r="I234" s="79"/>
      <c r="J234" s="139"/>
      <c r="K234" s="139"/>
      <c r="L234" s="98" t="s">
        <v>75</v>
      </c>
      <c r="M234" s="79"/>
      <c r="N234" s="139"/>
      <c r="O234" s="139"/>
      <c r="P234" s="138">
        <v>0.41666666666666669</v>
      </c>
      <c r="Q234" s="147"/>
      <c r="R234" s="147"/>
      <c r="S234" s="147"/>
      <c r="T234" s="138">
        <f t="shared" si="19"/>
        <v>0</v>
      </c>
      <c r="U234" s="138">
        <f t="shared" si="19"/>
        <v>0</v>
      </c>
      <c r="V234" s="147"/>
      <c r="W234" s="148">
        <f t="shared" si="21"/>
        <v>0</v>
      </c>
      <c r="X234" s="81"/>
    </row>
    <row r="235" spans="1:24" s="113" customFormat="1" x14ac:dyDescent="0.25">
      <c r="A235" s="140">
        <f t="shared" si="20"/>
        <v>5</v>
      </c>
      <c r="B235" s="157">
        <v>43861</v>
      </c>
      <c r="C235" s="157">
        <v>43861</v>
      </c>
      <c r="D235" s="100" t="s">
        <v>361</v>
      </c>
      <c r="E235" s="79" t="s">
        <v>683</v>
      </c>
      <c r="F235" s="153">
        <v>300</v>
      </c>
      <c r="G235" s="137" t="s">
        <v>372</v>
      </c>
      <c r="H235" s="158" t="s">
        <v>706</v>
      </c>
      <c r="I235" s="79" t="s">
        <v>716</v>
      </c>
      <c r="J235" s="139" t="s">
        <v>19</v>
      </c>
      <c r="K235" s="139"/>
      <c r="L235" s="98" t="s">
        <v>55</v>
      </c>
      <c r="M235" s="79">
        <v>80</v>
      </c>
      <c r="N235" s="139" t="s">
        <v>51</v>
      </c>
      <c r="O235" s="139">
        <v>36</v>
      </c>
      <c r="P235" s="138">
        <v>0.45833333333333331</v>
      </c>
      <c r="Q235" s="147">
        <v>0.44097222222222227</v>
      </c>
      <c r="R235" s="147">
        <v>0.4513888888888889</v>
      </c>
      <c r="S235" s="147">
        <v>0.46875</v>
      </c>
      <c r="T235" s="138">
        <f>R235-Q235</f>
        <v>1.041666666666663E-2</v>
      </c>
      <c r="U235" s="138">
        <f>S235-R235</f>
        <v>1.7361111111111105E-2</v>
      </c>
      <c r="V235" s="147">
        <v>0.47222222222222227</v>
      </c>
      <c r="W235" s="148">
        <f t="shared" si="21"/>
        <v>3.125E-2</v>
      </c>
      <c r="X235" s="81"/>
    </row>
    <row r="236" spans="1:24" s="113" customFormat="1" ht="31.5" x14ac:dyDescent="0.25">
      <c r="A236" s="140">
        <f t="shared" si="20"/>
        <v>5</v>
      </c>
      <c r="B236" s="157">
        <v>43861</v>
      </c>
      <c r="C236" s="157">
        <v>43861</v>
      </c>
      <c r="D236" s="320" t="s">
        <v>361</v>
      </c>
      <c r="E236" s="79" t="s">
        <v>684</v>
      </c>
      <c r="F236" s="153">
        <v>420</v>
      </c>
      <c r="G236" s="137" t="s">
        <v>533</v>
      </c>
      <c r="H236" s="158" t="s">
        <v>704</v>
      </c>
      <c r="I236" s="194" t="s">
        <v>718</v>
      </c>
      <c r="J236" s="139" t="s">
        <v>19</v>
      </c>
      <c r="K236" s="139"/>
      <c r="L236" s="98" t="s">
        <v>55</v>
      </c>
      <c r="M236" s="79">
        <v>80</v>
      </c>
      <c r="N236" s="139" t="s">
        <v>51</v>
      </c>
      <c r="O236" s="139">
        <v>35</v>
      </c>
      <c r="P236" s="138">
        <v>0.5</v>
      </c>
      <c r="Q236" s="147">
        <v>0.4861111111111111</v>
      </c>
      <c r="R236" s="147">
        <v>0.49305555555555558</v>
      </c>
      <c r="S236" s="147">
        <v>0.51388888888888895</v>
      </c>
      <c r="T236" s="138">
        <f>R236-Q236</f>
        <v>6.9444444444444753E-3</v>
      </c>
      <c r="U236" s="138">
        <f>S236-R236</f>
        <v>2.083333333333337E-2</v>
      </c>
      <c r="V236" s="147">
        <v>0.52083333333333337</v>
      </c>
      <c r="W236" s="148">
        <f t="shared" si="21"/>
        <v>3.4722222222222265E-2</v>
      </c>
      <c r="X236" s="81"/>
    </row>
    <row r="237" spans="1:24" s="113" customFormat="1" ht="32.25" thickBot="1" x14ac:dyDescent="0.3">
      <c r="A237" s="185">
        <f t="shared" si="20"/>
        <v>5</v>
      </c>
      <c r="B237" s="186">
        <v>43861</v>
      </c>
      <c r="C237" s="186">
        <v>43861</v>
      </c>
      <c r="D237" s="319" t="s">
        <v>361</v>
      </c>
      <c r="E237" s="172">
        <v>1000454967</v>
      </c>
      <c r="F237" s="187">
        <v>480</v>
      </c>
      <c r="G237" s="172" t="s">
        <v>510</v>
      </c>
      <c r="H237" s="188" t="s">
        <v>705</v>
      </c>
      <c r="I237" s="172" t="s">
        <v>715</v>
      </c>
      <c r="J237" s="189" t="s">
        <v>19</v>
      </c>
      <c r="K237" s="189"/>
      <c r="L237" s="172" t="s">
        <v>55</v>
      </c>
      <c r="M237" s="172">
        <v>80</v>
      </c>
      <c r="N237" s="189" t="s">
        <v>51</v>
      </c>
      <c r="O237" s="189">
        <v>40</v>
      </c>
      <c r="P237" s="190">
        <v>0.54166666666666663</v>
      </c>
      <c r="Q237" s="191">
        <v>0.55208333333333337</v>
      </c>
      <c r="R237" s="191">
        <v>0.59375</v>
      </c>
      <c r="S237" s="191">
        <v>0.61805555555555558</v>
      </c>
      <c r="T237" s="190">
        <f t="shared" si="19"/>
        <v>4.166666666666663E-2</v>
      </c>
      <c r="U237" s="190">
        <f t="shared" si="19"/>
        <v>2.430555555555558E-2</v>
      </c>
      <c r="V237" s="191">
        <v>0.62847222222222221</v>
      </c>
      <c r="W237" s="191">
        <f t="shared" si="21"/>
        <v>7.638888888888884E-2</v>
      </c>
      <c r="X237" s="174"/>
    </row>
    <row r="238" spans="1:24" s="134" customFormat="1" x14ac:dyDescent="0.25">
      <c r="A238" s="140">
        <f t="shared" si="20"/>
        <v>5</v>
      </c>
      <c r="B238" s="157">
        <v>43862</v>
      </c>
      <c r="C238" s="157">
        <v>43862</v>
      </c>
      <c r="D238" s="100" t="s">
        <v>337</v>
      </c>
      <c r="E238" s="98"/>
      <c r="F238" s="177">
        <v>540</v>
      </c>
      <c r="G238" s="140" t="s">
        <v>53</v>
      </c>
      <c r="H238" s="178" t="s">
        <v>62</v>
      </c>
      <c r="I238" s="143" t="s">
        <v>54</v>
      </c>
      <c r="J238" s="142"/>
      <c r="K238" s="142"/>
      <c r="L238" s="98" t="s">
        <v>55</v>
      </c>
      <c r="M238" s="98"/>
      <c r="N238" s="142"/>
      <c r="O238" s="142">
        <v>17</v>
      </c>
      <c r="P238" s="138">
        <v>0.66666666666666663</v>
      </c>
      <c r="Q238" s="148">
        <v>0.65277777777777779</v>
      </c>
      <c r="R238" s="148">
        <v>0.67708333333333337</v>
      </c>
      <c r="S238" s="148">
        <v>0.6875</v>
      </c>
      <c r="T238" s="179">
        <f t="shared" si="19"/>
        <v>2.430555555555558E-2</v>
      </c>
      <c r="U238" s="179">
        <f t="shared" si="19"/>
        <v>1.041666666666663E-2</v>
      </c>
      <c r="V238" s="148">
        <v>0.69097222222222221</v>
      </c>
      <c r="W238" s="148">
        <f>V238-Q238</f>
        <v>3.819444444444442E-2</v>
      </c>
      <c r="X238" s="96"/>
    </row>
    <row r="239" spans="1:24" s="113" customFormat="1" x14ac:dyDescent="0.25">
      <c r="A239" s="140">
        <f t="shared" si="20"/>
        <v>5</v>
      </c>
      <c r="B239" s="157">
        <v>43862</v>
      </c>
      <c r="C239" s="157">
        <v>43862</v>
      </c>
      <c r="D239" s="100" t="s">
        <v>337</v>
      </c>
      <c r="E239" s="79"/>
      <c r="F239" s="153">
        <v>540</v>
      </c>
      <c r="G239" s="137" t="s">
        <v>56</v>
      </c>
      <c r="H239" s="158" t="s">
        <v>76</v>
      </c>
      <c r="I239" s="143" t="s">
        <v>58</v>
      </c>
      <c r="J239" s="139"/>
      <c r="K239" s="139"/>
      <c r="L239" s="98" t="s">
        <v>55</v>
      </c>
      <c r="M239" s="79"/>
      <c r="N239" s="139"/>
      <c r="O239" s="139">
        <v>21</v>
      </c>
      <c r="P239" s="138">
        <v>0.70833333333333337</v>
      </c>
      <c r="Q239" s="147">
        <v>0.68402777777777779</v>
      </c>
      <c r="R239" s="147">
        <v>0.69097222222222221</v>
      </c>
      <c r="S239" s="147">
        <v>0.70833333333333337</v>
      </c>
      <c r="T239" s="138">
        <f t="shared" si="19"/>
        <v>6.9444444444444198E-3</v>
      </c>
      <c r="U239" s="138">
        <f t="shared" si="19"/>
        <v>1.736111111111116E-2</v>
      </c>
      <c r="V239" s="147">
        <v>0.71180555555555547</v>
      </c>
      <c r="W239" s="148">
        <f>V239-Q239</f>
        <v>2.7777777777777679E-2</v>
      </c>
      <c r="X239" s="81"/>
    </row>
    <row r="240" spans="1:24" s="113" customFormat="1" x14ac:dyDescent="0.25">
      <c r="A240" s="140">
        <f t="shared" si="20"/>
        <v>5</v>
      </c>
      <c r="B240" s="157">
        <v>43862</v>
      </c>
      <c r="C240" s="157">
        <v>43862</v>
      </c>
      <c r="D240" s="100" t="s">
        <v>361</v>
      </c>
      <c r="E240" s="79"/>
      <c r="F240" s="153">
        <v>540</v>
      </c>
      <c r="G240" s="137" t="s">
        <v>59</v>
      </c>
      <c r="H240" s="158" t="s">
        <v>470</v>
      </c>
      <c r="I240" s="143" t="s">
        <v>60</v>
      </c>
      <c r="J240" s="139"/>
      <c r="K240" s="139"/>
      <c r="L240" s="98" t="s">
        <v>55</v>
      </c>
      <c r="M240" s="79"/>
      <c r="N240" s="139"/>
      <c r="O240" s="139">
        <v>9</v>
      </c>
      <c r="P240" s="138">
        <v>0.70833333333333337</v>
      </c>
      <c r="Q240" s="147">
        <v>0.70138888888888884</v>
      </c>
      <c r="R240" s="147">
        <v>0.71180555555555547</v>
      </c>
      <c r="S240" s="147">
        <v>0.72222222222222221</v>
      </c>
      <c r="T240" s="138">
        <f t="shared" si="19"/>
        <v>1.041666666666663E-2</v>
      </c>
      <c r="U240" s="138">
        <f t="shared" si="19"/>
        <v>1.0416666666666741E-2</v>
      </c>
      <c r="V240" s="147">
        <v>0.72569444444444453</v>
      </c>
      <c r="W240" s="148">
        <f>V240-Q240</f>
        <v>2.4305555555555691E-2</v>
      </c>
      <c r="X240" s="81"/>
    </row>
    <row r="241" spans="1:25" s="113" customFormat="1" x14ac:dyDescent="0.25">
      <c r="A241" s="140">
        <f t="shared" si="20"/>
        <v>5</v>
      </c>
      <c r="B241" s="157">
        <v>43862</v>
      </c>
      <c r="C241" s="157">
        <v>43862</v>
      </c>
      <c r="D241" s="100" t="s">
        <v>337</v>
      </c>
      <c r="E241" s="79"/>
      <c r="F241" s="153">
        <v>540</v>
      </c>
      <c r="G241" s="137" t="s">
        <v>61</v>
      </c>
      <c r="H241" s="158" t="s">
        <v>57</v>
      </c>
      <c r="I241" s="342" t="s">
        <v>63</v>
      </c>
      <c r="J241" s="139"/>
      <c r="K241" s="139"/>
      <c r="L241" s="98" t="s">
        <v>55</v>
      </c>
      <c r="M241" s="79"/>
      <c r="N241" s="139"/>
      <c r="O241" s="139">
        <v>33</v>
      </c>
      <c r="P241" s="138">
        <v>0.75</v>
      </c>
      <c r="Q241" s="147">
        <v>0.71875</v>
      </c>
      <c r="R241" s="147">
        <v>0.75347222222222221</v>
      </c>
      <c r="S241" s="147">
        <v>0.77777777777777779</v>
      </c>
      <c r="T241" s="138">
        <f t="shared" si="19"/>
        <v>3.472222222222221E-2</v>
      </c>
      <c r="U241" s="138">
        <f t="shared" si="19"/>
        <v>2.430555555555558E-2</v>
      </c>
      <c r="V241" s="147">
        <v>0.78125</v>
      </c>
      <c r="W241" s="148">
        <f>V241-Q241</f>
        <v>6.25E-2</v>
      </c>
      <c r="X241" s="81"/>
    </row>
    <row r="242" spans="1:25" s="113" customFormat="1" x14ac:dyDescent="0.25">
      <c r="A242" s="140">
        <f t="shared" si="20"/>
        <v>5</v>
      </c>
      <c r="B242" s="157">
        <v>43862</v>
      </c>
      <c r="C242" s="157">
        <v>43862</v>
      </c>
      <c r="D242" s="100" t="s">
        <v>337</v>
      </c>
      <c r="E242" s="79"/>
      <c r="F242" s="153">
        <v>540</v>
      </c>
      <c r="G242" s="137" t="s">
        <v>64</v>
      </c>
      <c r="H242" s="158" t="s">
        <v>330</v>
      </c>
      <c r="I242" s="342" t="s">
        <v>355</v>
      </c>
      <c r="J242" s="139"/>
      <c r="K242" s="139"/>
      <c r="L242" s="98" t="s">
        <v>55</v>
      </c>
      <c r="M242" s="79"/>
      <c r="N242" s="139"/>
      <c r="O242" s="139">
        <v>21</v>
      </c>
      <c r="P242" s="138">
        <v>0.79166666666666663</v>
      </c>
      <c r="Q242" s="147">
        <v>0.70833333333333337</v>
      </c>
      <c r="R242" s="147">
        <v>0.72916666666666663</v>
      </c>
      <c r="S242" s="147">
        <v>0.74652777777777779</v>
      </c>
      <c r="T242" s="138">
        <f t="shared" si="19"/>
        <v>2.0833333333333259E-2</v>
      </c>
      <c r="U242" s="138">
        <f t="shared" si="19"/>
        <v>1.736111111111116E-2</v>
      </c>
      <c r="V242" s="147">
        <v>0.75347222222222221</v>
      </c>
      <c r="W242" s="148">
        <f>V242-Q242</f>
        <v>4.513888888888884E-2</v>
      </c>
      <c r="X242" s="81"/>
    </row>
    <row r="243" spans="1:25" s="113" customFormat="1" x14ac:dyDescent="0.25">
      <c r="A243" s="140">
        <f t="shared" si="20"/>
        <v>5</v>
      </c>
      <c r="B243" s="157">
        <v>43862</v>
      </c>
      <c r="C243" s="157">
        <v>43862</v>
      </c>
      <c r="D243" s="100" t="s">
        <v>337</v>
      </c>
      <c r="E243" s="79"/>
      <c r="F243" s="153">
        <v>540</v>
      </c>
      <c r="G243" s="137" t="s">
        <v>77</v>
      </c>
      <c r="H243" s="158" t="s">
        <v>80</v>
      </c>
      <c r="I243" s="342" t="s">
        <v>78</v>
      </c>
      <c r="J243" s="139"/>
      <c r="K243" s="139"/>
      <c r="L243" s="98" t="s">
        <v>55</v>
      </c>
      <c r="M243" s="79"/>
      <c r="N243" s="139"/>
      <c r="O243" s="139">
        <v>17</v>
      </c>
      <c r="P243" s="138">
        <v>0.83333333333333337</v>
      </c>
      <c r="Q243" s="147">
        <v>0.75694444444444453</v>
      </c>
      <c r="R243" s="147">
        <v>0.78472222222222221</v>
      </c>
      <c r="S243" s="147">
        <v>0.79861111111111116</v>
      </c>
      <c r="T243" s="138">
        <f t="shared" si="19"/>
        <v>2.7777777777777679E-2</v>
      </c>
      <c r="U243" s="138">
        <f t="shared" si="19"/>
        <v>1.3888888888888951E-2</v>
      </c>
      <c r="V243" s="147">
        <v>0.80208333333333337</v>
      </c>
      <c r="W243" s="148">
        <f t="shared" si="21"/>
        <v>4.513888888888884E-2</v>
      </c>
      <c r="X243" s="81"/>
    </row>
    <row r="244" spans="1:25" s="113" customFormat="1" x14ac:dyDescent="0.25">
      <c r="A244" s="140">
        <f t="shared" si="20"/>
        <v>5</v>
      </c>
      <c r="B244" s="157">
        <v>43862</v>
      </c>
      <c r="C244" s="157">
        <v>43862</v>
      </c>
      <c r="D244" s="100"/>
      <c r="E244" s="205" t="s">
        <v>694</v>
      </c>
      <c r="F244" s="153"/>
      <c r="G244" s="137" t="s">
        <v>603</v>
      </c>
      <c r="H244" s="158"/>
      <c r="I244" s="79"/>
      <c r="J244" s="139"/>
      <c r="K244" s="139"/>
      <c r="L244" s="98" t="s">
        <v>75</v>
      </c>
      <c r="M244" s="79"/>
      <c r="N244" s="139"/>
      <c r="O244" s="139"/>
      <c r="P244" s="138">
        <v>0.41666666666666669</v>
      </c>
      <c r="Q244" s="147"/>
      <c r="R244" s="147"/>
      <c r="S244" s="147"/>
      <c r="T244" s="138">
        <f t="shared" si="19"/>
        <v>0</v>
      </c>
      <c r="U244" s="138">
        <f t="shared" si="19"/>
        <v>0</v>
      </c>
      <c r="V244" s="147"/>
      <c r="W244" s="148">
        <f t="shared" si="21"/>
        <v>0</v>
      </c>
      <c r="X244" s="81"/>
    </row>
    <row r="245" spans="1:25" s="113" customFormat="1" x14ac:dyDescent="0.25">
      <c r="A245" s="140">
        <f t="shared" si="20"/>
        <v>5</v>
      </c>
      <c r="B245" s="157">
        <v>43862</v>
      </c>
      <c r="C245" s="157">
        <v>43862</v>
      </c>
      <c r="D245" s="100" t="s">
        <v>337</v>
      </c>
      <c r="E245" s="205" t="s">
        <v>695</v>
      </c>
      <c r="F245" s="153">
        <v>480</v>
      </c>
      <c r="G245" s="137" t="s">
        <v>627</v>
      </c>
      <c r="H245" s="158" t="s">
        <v>719</v>
      </c>
      <c r="I245" s="79" t="s">
        <v>726</v>
      </c>
      <c r="J245" s="139" t="s">
        <v>19</v>
      </c>
      <c r="K245" s="139"/>
      <c r="L245" s="98" t="s">
        <v>55</v>
      </c>
      <c r="M245" s="79">
        <v>80</v>
      </c>
      <c r="N245" s="139" t="s">
        <v>51</v>
      </c>
      <c r="O245" s="139">
        <v>35</v>
      </c>
      <c r="P245" s="138">
        <v>0.45833333333333331</v>
      </c>
      <c r="Q245" s="147">
        <v>0.52430555555555558</v>
      </c>
      <c r="R245" s="147">
        <v>0.55208333333333337</v>
      </c>
      <c r="S245" s="147">
        <v>0.61458333333333337</v>
      </c>
      <c r="T245" s="138">
        <f t="shared" si="19"/>
        <v>2.777777777777779E-2</v>
      </c>
      <c r="U245" s="138">
        <f t="shared" si="19"/>
        <v>6.25E-2</v>
      </c>
      <c r="V245" s="147">
        <v>0.57638888888888895</v>
      </c>
      <c r="W245" s="148">
        <f t="shared" si="21"/>
        <v>5.208333333333337E-2</v>
      </c>
      <c r="X245" s="81"/>
    </row>
    <row r="246" spans="1:25" s="113" customFormat="1" x14ac:dyDescent="0.25">
      <c r="A246" s="140">
        <f t="shared" si="20"/>
        <v>5</v>
      </c>
      <c r="B246" s="157">
        <v>43862</v>
      </c>
      <c r="C246" s="157">
        <v>43862</v>
      </c>
      <c r="D246" s="100" t="s">
        <v>361</v>
      </c>
      <c r="E246" s="205" t="s">
        <v>696</v>
      </c>
      <c r="F246" s="153">
        <v>300</v>
      </c>
      <c r="G246" s="137" t="s">
        <v>373</v>
      </c>
      <c r="H246" s="158" t="s">
        <v>720</v>
      </c>
      <c r="I246" s="79" t="s">
        <v>725</v>
      </c>
      <c r="J246" s="139" t="s">
        <v>19</v>
      </c>
      <c r="K246" s="139"/>
      <c r="L246" s="98" t="s">
        <v>55</v>
      </c>
      <c r="M246" s="79">
        <v>80</v>
      </c>
      <c r="N246" s="139" t="s">
        <v>51</v>
      </c>
      <c r="O246" s="139">
        <v>37</v>
      </c>
      <c r="P246" s="138">
        <v>0.45833333333333331</v>
      </c>
      <c r="Q246" s="147">
        <v>0.45833333333333331</v>
      </c>
      <c r="R246" s="147">
        <v>0.48958333333333331</v>
      </c>
      <c r="S246" s="147">
        <v>0.50694444444444442</v>
      </c>
      <c r="T246" s="138">
        <f t="shared" si="19"/>
        <v>3.125E-2</v>
      </c>
      <c r="U246" s="138">
        <f t="shared" si="19"/>
        <v>1.7361111111111105E-2</v>
      </c>
      <c r="V246" s="147">
        <v>0.51388888888888895</v>
      </c>
      <c r="W246" s="148">
        <f t="shared" si="21"/>
        <v>5.5555555555555636E-2</v>
      </c>
      <c r="X246" s="81"/>
    </row>
    <row r="247" spans="1:25" s="113" customFormat="1" ht="31.5" x14ac:dyDescent="0.25">
      <c r="A247" s="140">
        <f t="shared" si="20"/>
        <v>5</v>
      </c>
      <c r="B247" s="157">
        <v>43862</v>
      </c>
      <c r="C247" s="157">
        <v>43862</v>
      </c>
      <c r="D247" s="100" t="s">
        <v>337</v>
      </c>
      <c r="E247" s="321" t="s">
        <v>697</v>
      </c>
      <c r="F247" s="153">
        <v>360</v>
      </c>
      <c r="G247" s="137" t="s">
        <v>597</v>
      </c>
      <c r="H247" s="158" t="s">
        <v>586</v>
      </c>
      <c r="I247" s="79" t="s">
        <v>717</v>
      </c>
      <c r="J247" s="139" t="s">
        <v>19</v>
      </c>
      <c r="K247" s="139"/>
      <c r="L247" s="98" t="s">
        <v>55</v>
      </c>
      <c r="M247" s="79">
        <v>80</v>
      </c>
      <c r="N247" s="139" t="s">
        <v>51</v>
      </c>
      <c r="O247" s="139">
        <v>41</v>
      </c>
      <c r="P247" s="138">
        <v>0.5</v>
      </c>
      <c r="Q247" s="147">
        <v>0.55555555555555558</v>
      </c>
      <c r="R247" s="147">
        <v>0.57986111111111105</v>
      </c>
      <c r="S247" s="147">
        <v>0.60416666666666663</v>
      </c>
      <c r="T247" s="138">
        <f t="shared" si="19"/>
        <v>2.4305555555555469E-2</v>
      </c>
      <c r="U247" s="138">
        <f t="shared" si="19"/>
        <v>2.430555555555558E-2</v>
      </c>
      <c r="V247" s="147">
        <v>0.61111111111111105</v>
      </c>
      <c r="W247" s="148">
        <f t="shared" si="21"/>
        <v>5.5555555555555469E-2</v>
      </c>
      <c r="X247" s="81"/>
    </row>
    <row r="248" spans="1:25" s="113" customFormat="1" x14ac:dyDescent="0.25">
      <c r="A248" s="140">
        <f t="shared" si="20"/>
        <v>5</v>
      </c>
      <c r="B248" s="157">
        <v>43862</v>
      </c>
      <c r="C248" s="157">
        <v>43862</v>
      </c>
      <c r="D248" s="100"/>
      <c r="E248" s="205" t="s">
        <v>698</v>
      </c>
      <c r="F248" s="153"/>
      <c r="G248" s="137" t="s">
        <v>699</v>
      </c>
      <c r="H248" s="158"/>
      <c r="I248" s="79"/>
      <c r="J248" s="139"/>
      <c r="K248" s="139"/>
      <c r="L248" s="98" t="s">
        <v>75</v>
      </c>
      <c r="M248" s="79"/>
      <c r="N248" s="139"/>
      <c r="O248" s="139"/>
      <c r="P248" s="138">
        <v>0.5</v>
      </c>
      <c r="Q248" s="147"/>
      <c r="R248" s="147"/>
      <c r="S248" s="147"/>
      <c r="T248" s="138">
        <f t="shared" si="19"/>
        <v>0</v>
      </c>
      <c r="U248" s="138">
        <f t="shared" si="19"/>
        <v>0</v>
      </c>
      <c r="V248" s="147"/>
      <c r="W248" s="148">
        <f t="shared" si="21"/>
        <v>0</v>
      </c>
      <c r="X248" s="81"/>
    </row>
    <row r="249" spans="1:25" s="113" customFormat="1" x14ac:dyDescent="0.25">
      <c r="A249" s="140">
        <f t="shared" si="20"/>
        <v>5</v>
      </c>
      <c r="B249" s="157">
        <v>43862</v>
      </c>
      <c r="C249" s="157">
        <v>43862</v>
      </c>
      <c r="D249" s="100" t="s">
        <v>361</v>
      </c>
      <c r="E249" s="205" t="s">
        <v>700</v>
      </c>
      <c r="F249" s="153">
        <v>120</v>
      </c>
      <c r="G249" s="137" t="s">
        <v>543</v>
      </c>
      <c r="H249" s="158" t="s">
        <v>721</v>
      </c>
      <c r="I249" s="79" t="s">
        <v>724</v>
      </c>
      <c r="J249" s="139" t="s">
        <v>19</v>
      </c>
      <c r="K249" s="139"/>
      <c r="L249" s="98" t="s">
        <v>55</v>
      </c>
      <c r="M249" s="79">
        <v>80</v>
      </c>
      <c r="N249" s="139" t="s">
        <v>51</v>
      </c>
      <c r="O249" s="139">
        <v>33</v>
      </c>
      <c r="P249" s="138">
        <v>0.54166666666666663</v>
      </c>
      <c r="Q249" s="147">
        <v>0.54166666666666663</v>
      </c>
      <c r="R249" s="147">
        <v>0.55555555555555558</v>
      </c>
      <c r="S249" s="147">
        <v>0.56944444444444442</v>
      </c>
      <c r="T249" s="138">
        <f t="shared" si="19"/>
        <v>1.3888888888888951E-2</v>
      </c>
      <c r="U249" s="138">
        <f t="shared" si="19"/>
        <v>1.388888888888884E-2</v>
      </c>
      <c r="V249" s="147">
        <v>0.57638888888888895</v>
      </c>
      <c r="W249" s="148">
        <f t="shared" si="21"/>
        <v>3.4722222222222321E-2</v>
      </c>
      <c r="X249" s="81"/>
    </row>
    <row r="250" spans="1:25" s="113" customFormat="1" ht="16.5" thickBot="1" x14ac:dyDescent="0.3">
      <c r="A250" s="185">
        <f t="shared" si="20"/>
        <v>5</v>
      </c>
      <c r="B250" s="186">
        <v>43862</v>
      </c>
      <c r="C250" s="186">
        <v>43865</v>
      </c>
      <c r="D250" s="236"/>
      <c r="E250" s="172"/>
      <c r="F250" s="187"/>
      <c r="G250" s="185" t="s">
        <v>722</v>
      </c>
      <c r="H250" s="188" t="s">
        <v>538</v>
      </c>
      <c r="I250" s="172" t="s">
        <v>723</v>
      </c>
      <c r="J250" s="189"/>
      <c r="K250" s="189"/>
      <c r="L250" s="172" t="s">
        <v>55</v>
      </c>
      <c r="M250" s="172">
        <v>80</v>
      </c>
      <c r="N250" s="189"/>
      <c r="O250" s="189">
        <v>1</v>
      </c>
      <c r="P250" s="190"/>
      <c r="Q250" s="191"/>
      <c r="R250" s="191"/>
      <c r="S250" s="191"/>
      <c r="T250" s="190">
        <f t="shared" si="19"/>
        <v>0</v>
      </c>
      <c r="U250" s="190">
        <f t="shared" si="19"/>
        <v>0</v>
      </c>
      <c r="V250" s="191"/>
      <c r="W250" s="191">
        <f>U250-T250</f>
        <v>0</v>
      </c>
      <c r="X250" s="174"/>
      <c r="Y250" s="268"/>
    </row>
    <row r="251" spans="1:25" s="113" customFormat="1" x14ac:dyDescent="0.25">
      <c r="A251" s="140">
        <f t="shared" si="20"/>
        <v>6</v>
      </c>
      <c r="B251" s="157">
        <v>43865</v>
      </c>
      <c r="C251" s="157">
        <v>43865</v>
      </c>
      <c r="D251" s="102" t="s">
        <v>361</v>
      </c>
      <c r="E251" s="98"/>
      <c r="F251" s="177">
        <v>540</v>
      </c>
      <c r="G251" s="140" t="s">
        <v>53</v>
      </c>
      <c r="H251" s="178" t="s">
        <v>470</v>
      </c>
      <c r="I251" s="143" t="s">
        <v>54</v>
      </c>
      <c r="J251" s="142"/>
      <c r="K251" s="142"/>
      <c r="L251" s="98" t="s">
        <v>55</v>
      </c>
      <c r="M251" s="98"/>
      <c r="N251" s="142"/>
      <c r="O251" s="142">
        <v>16</v>
      </c>
      <c r="P251" s="179">
        <v>0.66666666666666663</v>
      </c>
      <c r="Q251" s="148">
        <v>0.66666666666666663</v>
      </c>
      <c r="R251" s="148">
        <v>0.69097222222222221</v>
      </c>
      <c r="S251" s="148">
        <v>0.70833333333333337</v>
      </c>
      <c r="T251" s="179">
        <f t="shared" si="19"/>
        <v>2.430555555555558E-2</v>
      </c>
      <c r="U251" s="179">
        <f t="shared" si="19"/>
        <v>1.736111111111116E-2</v>
      </c>
      <c r="V251" s="148">
        <v>0.71180555555555547</v>
      </c>
      <c r="W251" s="148">
        <f>V251-Q251</f>
        <v>4.513888888888884E-2</v>
      </c>
      <c r="X251" s="96" t="s">
        <v>748</v>
      </c>
    </row>
    <row r="252" spans="1:25" s="113" customFormat="1" x14ac:dyDescent="0.25">
      <c r="A252" s="140">
        <f t="shared" si="20"/>
        <v>6</v>
      </c>
      <c r="B252" s="157">
        <v>43865</v>
      </c>
      <c r="C252" s="157">
        <v>43865</v>
      </c>
      <c r="D252" s="100" t="s">
        <v>361</v>
      </c>
      <c r="E252" s="79"/>
      <c r="F252" s="153">
        <v>540</v>
      </c>
      <c r="G252" s="137" t="s">
        <v>56</v>
      </c>
      <c r="H252" s="158" t="s">
        <v>65</v>
      </c>
      <c r="I252" s="143" t="s">
        <v>58</v>
      </c>
      <c r="J252" s="139"/>
      <c r="K252" s="139"/>
      <c r="L252" s="98" t="s">
        <v>55</v>
      </c>
      <c r="M252" s="79"/>
      <c r="N252" s="139"/>
      <c r="O252" s="139">
        <v>32</v>
      </c>
      <c r="P252" s="138">
        <v>0.70833333333333337</v>
      </c>
      <c r="Q252" s="147">
        <v>0.70138888888888884</v>
      </c>
      <c r="R252" s="147">
        <v>0.71527777777777779</v>
      </c>
      <c r="S252" s="147">
        <v>0.73958333333333337</v>
      </c>
      <c r="T252" s="138">
        <f t="shared" si="19"/>
        <v>1.3888888888888951E-2</v>
      </c>
      <c r="U252" s="138">
        <f t="shared" si="19"/>
        <v>2.430555555555558E-2</v>
      </c>
      <c r="V252" s="147">
        <v>0.74305555555555547</v>
      </c>
      <c r="W252" s="148">
        <f>V252-Q252</f>
        <v>4.166666666666663E-2</v>
      </c>
      <c r="X252" s="81"/>
    </row>
    <row r="253" spans="1:25" s="113" customFormat="1" x14ac:dyDescent="0.25">
      <c r="A253" s="140">
        <f t="shared" si="20"/>
        <v>6</v>
      </c>
      <c r="B253" s="157">
        <v>43865</v>
      </c>
      <c r="C253" s="157">
        <v>43865</v>
      </c>
      <c r="D253" s="100" t="s">
        <v>361</v>
      </c>
      <c r="E253" s="79"/>
      <c r="F253" s="153">
        <v>540</v>
      </c>
      <c r="G253" s="137" t="s">
        <v>59</v>
      </c>
      <c r="H253" s="158" t="s">
        <v>330</v>
      </c>
      <c r="I253" s="298" t="s">
        <v>60</v>
      </c>
      <c r="J253" s="139"/>
      <c r="K253" s="139"/>
      <c r="L253" s="98" t="s">
        <v>55</v>
      </c>
      <c r="M253" s="79"/>
      <c r="N253" s="139"/>
      <c r="O253" s="139">
        <v>27</v>
      </c>
      <c r="P253" s="138">
        <v>0.70833333333333337</v>
      </c>
      <c r="Q253" s="147">
        <v>0.70138888888888884</v>
      </c>
      <c r="R253" s="147">
        <v>0.74305555555555547</v>
      </c>
      <c r="S253" s="147">
        <v>0.76388888888888884</v>
      </c>
      <c r="T253" s="138">
        <f t="shared" si="19"/>
        <v>4.166666666666663E-2</v>
      </c>
      <c r="U253" s="138">
        <f t="shared" si="19"/>
        <v>2.083333333333337E-2</v>
      </c>
      <c r="V253" s="147">
        <v>0.76736111111111116</v>
      </c>
      <c r="W253" s="148">
        <f>V253-Q253</f>
        <v>6.5972222222222321E-2</v>
      </c>
      <c r="X253" s="81"/>
    </row>
    <row r="254" spans="1:25" s="113" customFormat="1" x14ac:dyDescent="0.25">
      <c r="A254" s="140">
        <f t="shared" si="20"/>
        <v>6</v>
      </c>
      <c r="B254" s="157">
        <v>43865</v>
      </c>
      <c r="C254" s="157">
        <v>43865</v>
      </c>
      <c r="D254" s="100" t="s">
        <v>337</v>
      </c>
      <c r="E254" s="79"/>
      <c r="F254" s="153">
        <v>540</v>
      </c>
      <c r="G254" s="137" t="s">
        <v>61</v>
      </c>
      <c r="H254" s="158" t="s">
        <v>80</v>
      </c>
      <c r="I254" s="306" t="s">
        <v>63</v>
      </c>
      <c r="J254" s="139"/>
      <c r="K254" s="139"/>
      <c r="L254" s="98" t="s">
        <v>55</v>
      </c>
      <c r="M254" s="79"/>
      <c r="N254" s="139"/>
      <c r="O254" s="139">
        <v>19</v>
      </c>
      <c r="P254" s="138">
        <v>0.75</v>
      </c>
      <c r="Q254" s="147">
        <v>0.71875</v>
      </c>
      <c r="R254" s="147">
        <v>0.76041666666666663</v>
      </c>
      <c r="S254" s="147">
        <v>0.78125</v>
      </c>
      <c r="T254" s="138">
        <f t="shared" si="19"/>
        <v>4.166666666666663E-2</v>
      </c>
      <c r="U254" s="138">
        <f t="shared" si="19"/>
        <v>2.083333333333337E-2</v>
      </c>
      <c r="V254" s="147">
        <v>0.78472222222222221</v>
      </c>
      <c r="W254" s="148">
        <f>V254-Q254</f>
        <v>6.597222222222221E-2</v>
      </c>
      <c r="X254" s="81" t="s">
        <v>749</v>
      </c>
    </row>
    <row r="255" spans="1:25" s="113" customFormat="1" x14ac:dyDescent="0.25">
      <c r="A255" s="140">
        <f t="shared" si="20"/>
        <v>6</v>
      </c>
      <c r="B255" s="157">
        <v>43865</v>
      </c>
      <c r="C255" s="157">
        <v>43865</v>
      </c>
      <c r="D255" s="100" t="s">
        <v>337</v>
      </c>
      <c r="E255" s="79"/>
      <c r="F255" s="153">
        <v>540</v>
      </c>
      <c r="G255" s="137" t="s">
        <v>64</v>
      </c>
      <c r="H255" s="158" t="s">
        <v>57</v>
      </c>
      <c r="I255" s="306" t="s">
        <v>355</v>
      </c>
      <c r="J255" s="139"/>
      <c r="K255" s="139"/>
      <c r="L255" s="98" t="s">
        <v>55</v>
      </c>
      <c r="M255" s="79"/>
      <c r="N255" s="139"/>
      <c r="O255" s="139">
        <v>24</v>
      </c>
      <c r="P255" s="138">
        <v>0.79166666666666663</v>
      </c>
      <c r="Q255" s="147">
        <v>0.76041666666666663</v>
      </c>
      <c r="R255" s="147">
        <v>0.78472222222222221</v>
      </c>
      <c r="S255" s="147">
        <v>0.80208333333333337</v>
      </c>
      <c r="T255" s="138">
        <f t="shared" ref="T255:U315" si="26">R255-Q255</f>
        <v>2.430555555555558E-2</v>
      </c>
      <c r="U255" s="138">
        <f t="shared" si="26"/>
        <v>1.736111111111116E-2</v>
      </c>
      <c r="V255" s="147">
        <v>0.80555555555555547</v>
      </c>
      <c r="W255" s="148">
        <f t="shared" si="21"/>
        <v>4.513888888888884E-2</v>
      </c>
      <c r="X255" s="81" t="s">
        <v>750</v>
      </c>
    </row>
    <row r="256" spans="1:25" s="113" customFormat="1" x14ac:dyDescent="0.25">
      <c r="A256" s="140">
        <f t="shared" si="20"/>
        <v>6</v>
      </c>
      <c r="B256" s="157">
        <v>43865</v>
      </c>
      <c r="C256" s="157">
        <v>43865</v>
      </c>
      <c r="D256" s="100" t="s">
        <v>337</v>
      </c>
      <c r="E256" s="79"/>
      <c r="F256" s="153"/>
      <c r="G256" s="137" t="s">
        <v>77</v>
      </c>
      <c r="H256" s="273" t="s">
        <v>667</v>
      </c>
      <c r="I256" s="306" t="s">
        <v>78</v>
      </c>
      <c r="J256" s="139"/>
      <c r="K256" s="139"/>
      <c r="L256" s="98" t="s">
        <v>84</v>
      </c>
      <c r="M256" s="79"/>
      <c r="N256" s="139"/>
      <c r="O256" s="139"/>
      <c r="P256" s="138">
        <v>0.79166666666666663</v>
      </c>
      <c r="Q256" s="147"/>
      <c r="R256" s="147"/>
      <c r="S256" s="147"/>
      <c r="T256" s="138">
        <f t="shared" si="26"/>
        <v>0</v>
      </c>
      <c r="U256" s="138">
        <f t="shared" si="26"/>
        <v>0</v>
      </c>
      <c r="V256" s="147"/>
      <c r="W256" s="148">
        <f t="shared" si="21"/>
        <v>0</v>
      </c>
      <c r="X256" s="81"/>
    </row>
    <row r="257" spans="1:25" s="113" customFormat="1" x14ac:dyDescent="0.25">
      <c r="A257" s="140">
        <f t="shared" si="20"/>
        <v>6</v>
      </c>
      <c r="B257" s="157">
        <v>43865</v>
      </c>
      <c r="C257" s="157">
        <v>43865</v>
      </c>
      <c r="D257" s="100" t="s">
        <v>337</v>
      </c>
      <c r="E257" s="79"/>
      <c r="F257" s="153">
        <v>540</v>
      </c>
      <c r="G257" s="137" t="s">
        <v>493</v>
      </c>
      <c r="H257" s="158" t="s">
        <v>76</v>
      </c>
      <c r="I257" s="306" t="s">
        <v>79</v>
      </c>
      <c r="J257" s="139"/>
      <c r="K257" s="139"/>
      <c r="L257" s="98" t="s">
        <v>55</v>
      </c>
      <c r="M257" s="79"/>
      <c r="N257" s="139"/>
      <c r="O257" s="139">
        <v>19</v>
      </c>
      <c r="P257" s="138">
        <v>0.83333333333333337</v>
      </c>
      <c r="Q257" s="147">
        <v>0.81597222222222221</v>
      </c>
      <c r="R257" s="147">
        <v>0.82291666666666663</v>
      </c>
      <c r="S257" s="147">
        <v>0.83333333333333337</v>
      </c>
      <c r="T257" s="138">
        <f t="shared" si="26"/>
        <v>6.9444444444444198E-3</v>
      </c>
      <c r="U257" s="138">
        <f t="shared" si="26"/>
        <v>1.0416666666666741E-2</v>
      </c>
      <c r="V257" s="147">
        <v>0.84027777777777779</v>
      </c>
      <c r="W257" s="148">
        <f>V257-Q257</f>
        <v>2.430555555555558E-2</v>
      </c>
      <c r="X257" s="81"/>
    </row>
    <row r="258" spans="1:25" s="113" customFormat="1" x14ac:dyDescent="0.25">
      <c r="A258" s="140">
        <v>6</v>
      </c>
      <c r="B258" s="157">
        <v>43865</v>
      </c>
      <c r="C258" s="157">
        <v>43865</v>
      </c>
      <c r="D258" s="100" t="s">
        <v>337</v>
      </c>
      <c r="E258" s="79"/>
      <c r="F258" s="153">
        <v>540</v>
      </c>
      <c r="G258" s="137" t="s">
        <v>736</v>
      </c>
      <c r="H258" s="158" t="s">
        <v>387</v>
      </c>
      <c r="I258" s="340" t="s">
        <v>738</v>
      </c>
      <c r="J258" s="139"/>
      <c r="K258" s="139"/>
      <c r="L258" s="98" t="s">
        <v>55</v>
      </c>
      <c r="M258" s="79"/>
      <c r="N258" s="139"/>
      <c r="O258" s="139">
        <v>9</v>
      </c>
      <c r="P258" s="138">
        <v>0.83333333333333337</v>
      </c>
      <c r="Q258" s="147">
        <v>0.80208333333333337</v>
      </c>
      <c r="R258" s="147">
        <v>0.80902777777777779</v>
      </c>
      <c r="S258" s="147">
        <v>0.81597222222222221</v>
      </c>
      <c r="T258" s="138">
        <f t="shared" si="26"/>
        <v>6.9444444444444198E-3</v>
      </c>
      <c r="U258" s="138">
        <f t="shared" si="26"/>
        <v>6.9444444444444198E-3</v>
      </c>
      <c r="V258" s="147">
        <v>0.81944444444444453</v>
      </c>
      <c r="W258" s="148">
        <f t="shared" si="21"/>
        <v>1.736111111111116E-2</v>
      </c>
      <c r="X258" s="81"/>
    </row>
    <row r="259" spans="1:25" s="113" customFormat="1" ht="16.5" thickBot="1" x14ac:dyDescent="0.3">
      <c r="A259" s="185">
        <f t="shared" ref="A259:A317" si="27">WEEKNUM(B259,21)</f>
        <v>6</v>
      </c>
      <c r="B259" s="186">
        <v>43865</v>
      </c>
      <c r="C259" s="186">
        <v>43865</v>
      </c>
      <c r="D259" s="236" t="s">
        <v>337</v>
      </c>
      <c r="E259" s="172">
        <v>1000456832</v>
      </c>
      <c r="F259" s="187">
        <v>480</v>
      </c>
      <c r="G259" s="185" t="s">
        <v>73</v>
      </c>
      <c r="H259" s="188" t="s">
        <v>734</v>
      </c>
      <c r="I259" s="172" t="s">
        <v>727</v>
      </c>
      <c r="J259" s="189" t="s">
        <v>19</v>
      </c>
      <c r="K259" s="189"/>
      <c r="L259" s="172" t="s">
        <v>55</v>
      </c>
      <c r="M259" s="172">
        <v>80</v>
      </c>
      <c r="N259" s="189" t="s">
        <v>51</v>
      </c>
      <c r="O259" s="189">
        <v>43</v>
      </c>
      <c r="P259" s="190">
        <v>0.5</v>
      </c>
      <c r="Q259" s="191">
        <v>0.65625</v>
      </c>
      <c r="R259" s="191">
        <v>0.66666666666666663</v>
      </c>
      <c r="S259" s="191">
        <v>0.6875</v>
      </c>
      <c r="T259" s="190">
        <f t="shared" si="26"/>
        <v>1.041666666666663E-2</v>
      </c>
      <c r="U259" s="190">
        <f t="shared" si="26"/>
        <v>2.083333333333337E-2</v>
      </c>
      <c r="V259" s="191">
        <v>0.69097222222222221</v>
      </c>
      <c r="W259" s="191">
        <f t="shared" si="21"/>
        <v>3.472222222222221E-2</v>
      </c>
      <c r="X259" s="174"/>
      <c r="Y259" s="268"/>
    </row>
    <row r="260" spans="1:25" s="113" customFormat="1" x14ac:dyDescent="0.25">
      <c r="A260" s="140">
        <f t="shared" si="27"/>
        <v>6</v>
      </c>
      <c r="B260" s="157">
        <v>43866</v>
      </c>
      <c r="C260" s="157">
        <v>43866</v>
      </c>
      <c r="D260" s="102" t="s">
        <v>337</v>
      </c>
      <c r="E260" s="98"/>
      <c r="F260" s="153">
        <v>480</v>
      </c>
      <c r="G260" s="140" t="s">
        <v>53</v>
      </c>
      <c r="H260" s="158" t="s">
        <v>80</v>
      </c>
      <c r="I260" s="143" t="s">
        <v>54</v>
      </c>
      <c r="J260" s="142"/>
      <c r="K260" s="142"/>
      <c r="L260" s="98" t="s">
        <v>55</v>
      </c>
      <c r="M260" s="98"/>
      <c r="N260" s="142"/>
      <c r="O260" s="142">
        <v>8</v>
      </c>
      <c r="P260" s="179">
        <v>0.66666666666666663</v>
      </c>
      <c r="Q260" s="148">
        <v>0.73958333333333337</v>
      </c>
      <c r="R260" s="148">
        <v>0.75694444444444453</v>
      </c>
      <c r="S260" s="148">
        <v>0.76388888888888884</v>
      </c>
      <c r="T260" s="179">
        <f t="shared" si="26"/>
        <v>1.736111111111116E-2</v>
      </c>
      <c r="U260" s="179">
        <f t="shared" si="26"/>
        <v>6.9444444444443088E-3</v>
      </c>
      <c r="V260" s="148">
        <v>0.76736111111111116</v>
      </c>
      <c r="W260" s="148">
        <f t="shared" ref="W260:W318" si="28">V260-Q260</f>
        <v>2.777777777777779E-2</v>
      </c>
      <c r="X260" s="96"/>
    </row>
    <row r="261" spans="1:25" s="113" customFormat="1" x14ac:dyDescent="0.25">
      <c r="A261" s="140">
        <f t="shared" si="27"/>
        <v>6</v>
      </c>
      <c r="B261" s="157">
        <v>43866</v>
      </c>
      <c r="C261" s="157">
        <v>43866</v>
      </c>
      <c r="D261" s="100" t="s">
        <v>337</v>
      </c>
      <c r="E261" s="79"/>
      <c r="F261" s="153">
        <v>480</v>
      </c>
      <c r="G261" s="137" t="s">
        <v>56</v>
      </c>
      <c r="H261" s="158" t="s">
        <v>330</v>
      </c>
      <c r="I261" s="143" t="s">
        <v>58</v>
      </c>
      <c r="J261" s="139"/>
      <c r="K261" s="139"/>
      <c r="L261" s="98" t="s">
        <v>55</v>
      </c>
      <c r="M261" s="79"/>
      <c r="N261" s="139"/>
      <c r="O261" s="139">
        <v>21</v>
      </c>
      <c r="P261" s="138">
        <v>0.70833333333333337</v>
      </c>
      <c r="Q261" s="347">
        <v>0.72569444444444453</v>
      </c>
      <c r="R261" s="147">
        <v>0.72916666666666663</v>
      </c>
      <c r="S261" s="147">
        <v>0.74305555555555547</v>
      </c>
      <c r="T261" s="138">
        <f t="shared" si="26"/>
        <v>3.4722222222220989E-3</v>
      </c>
      <c r="U261" s="138">
        <f t="shared" si="26"/>
        <v>1.388888888888884E-2</v>
      </c>
      <c r="V261" s="147">
        <v>0.74652777777777779</v>
      </c>
      <c r="W261" s="148">
        <f t="shared" si="28"/>
        <v>2.0833333333333259E-2</v>
      </c>
      <c r="X261" s="81" t="s">
        <v>765</v>
      </c>
    </row>
    <row r="262" spans="1:25" s="113" customFormat="1" x14ac:dyDescent="0.25">
      <c r="A262" s="140">
        <f t="shared" si="27"/>
        <v>6</v>
      </c>
      <c r="B262" s="157">
        <v>43866</v>
      </c>
      <c r="C262" s="157">
        <v>43866</v>
      </c>
      <c r="D262" s="100" t="s">
        <v>337</v>
      </c>
      <c r="E262" s="79"/>
      <c r="F262" s="153">
        <v>480</v>
      </c>
      <c r="G262" s="137" t="s">
        <v>59</v>
      </c>
      <c r="H262" s="158" t="s">
        <v>76</v>
      </c>
      <c r="I262" s="313" t="s">
        <v>60</v>
      </c>
      <c r="J262" s="139"/>
      <c r="K262" s="139"/>
      <c r="L262" s="98" t="s">
        <v>55</v>
      </c>
      <c r="M262" s="79"/>
      <c r="N262" s="139"/>
      <c r="O262" s="139">
        <v>17</v>
      </c>
      <c r="P262" s="138">
        <v>0.70833333333333337</v>
      </c>
      <c r="Q262" s="147">
        <v>0.79166666666666663</v>
      </c>
      <c r="R262" s="147">
        <v>0.80208333333333337</v>
      </c>
      <c r="S262" s="147">
        <v>0.80902777777777779</v>
      </c>
      <c r="T262" s="138">
        <f t="shared" si="26"/>
        <v>1.0416666666666741E-2</v>
      </c>
      <c r="U262" s="138">
        <f t="shared" si="26"/>
        <v>6.9444444444444198E-3</v>
      </c>
      <c r="V262" s="147">
        <v>0.8125</v>
      </c>
      <c r="W262" s="148">
        <f t="shared" si="28"/>
        <v>2.083333333333337E-2</v>
      </c>
      <c r="X262" s="81"/>
    </row>
    <row r="263" spans="1:25" s="113" customFormat="1" x14ac:dyDescent="0.25">
      <c r="A263" s="140">
        <f t="shared" si="27"/>
        <v>6</v>
      </c>
      <c r="B263" s="157">
        <v>43866</v>
      </c>
      <c r="C263" s="157">
        <v>43866</v>
      </c>
      <c r="D263" s="100" t="s">
        <v>361</v>
      </c>
      <c r="E263" s="79"/>
      <c r="F263" s="153">
        <v>480</v>
      </c>
      <c r="G263" s="137" t="s">
        <v>61</v>
      </c>
      <c r="H263" s="158" t="s">
        <v>62</v>
      </c>
      <c r="I263" s="306" t="s">
        <v>63</v>
      </c>
      <c r="J263" s="139"/>
      <c r="K263" s="139"/>
      <c r="L263" s="98" t="s">
        <v>55</v>
      </c>
      <c r="M263" s="79"/>
      <c r="N263" s="139"/>
      <c r="O263" s="139">
        <v>24</v>
      </c>
      <c r="P263" s="138">
        <v>0.75</v>
      </c>
      <c r="Q263" s="147">
        <v>0.75</v>
      </c>
      <c r="R263" s="147">
        <v>0.76736111111111116</v>
      </c>
      <c r="S263" s="147">
        <v>0.78472222222222221</v>
      </c>
      <c r="T263" s="138">
        <f t="shared" si="26"/>
        <v>1.736111111111116E-2</v>
      </c>
      <c r="U263" s="138">
        <f t="shared" si="26"/>
        <v>1.7361111111111049E-2</v>
      </c>
      <c r="V263" s="147">
        <v>0.78819444444444453</v>
      </c>
      <c r="W263" s="148">
        <f t="shared" si="28"/>
        <v>3.8194444444444531E-2</v>
      </c>
      <c r="X263" s="81"/>
    </row>
    <row r="264" spans="1:25" s="113" customFormat="1" x14ac:dyDescent="0.25">
      <c r="A264" s="140">
        <f t="shared" si="27"/>
        <v>6</v>
      </c>
      <c r="B264" s="157">
        <v>43866</v>
      </c>
      <c r="C264" s="157">
        <v>43866</v>
      </c>
      <c r="D264" s="100" t="s">
        <v>361</v>
      </c>
      <c r="E264" s="79"/>
      <c r="F264" s="153">
        <v>480</v>
      </c>
      <c r="G264" s="137" t="s">
        <v>64</v>
      </c>
      <c r="H264" s="158" t="s">
        <v>470</v>
      </c>
      <c r="I264" s="306" t="s">
        <v>355</v>
      </c>
      <c r="J264" s="139"/>
      <c r="K264" s="139"/>
      <c r="L264" s="98" t="s">
        <v>55</v>
      </c>
      <c r="M264" s="79"/>
      <c r="N264" s="139"/>
      <c r="O264" s="139">
        <v>24</v>
      </c>
      <c r="P264" s="138">
        <v>0.75</v>
      </c>
      <c r="Q264" s="147">
        <v>0.75</v>
      </c>
      <c r="R264" s="147">
        <v>0.77430555555555547</v>
      </c>
      <c r="S264" s="147">
        <v>0.79166666666666663</v>
      </c>
      <c r="T264" s="138">
        <f t="shared" si="26"/>
        <v>2.4305555555555469E-2</v>
      </c>
      <c r="U264" s="138">
        <f t="shared" si="26"/>
        <v>1.736111111111116E-2</v>
      </c>
      <c r="V264" s="147">
        <v>0.79861111111111116</v>
      </c>
      <c r="W264" s="148">
        <f t="shared" ref="W264:W271" si="29">V264-Q264</f>
        <v>4.861111111111116E-2</v>
      </c>
      <c r="X264" s="81"/>
    </row>
    <row r="265" spans="1:25" s="113" customFormat="1" x14ac:dyDescent="0.25">
      <c r="A265" s="140">
        <f t="shared" si="27"/>
        <v>6</v>
      </c>
      <c r="B265" s="157">
        <v>43866</v>
      </c>
      <c r="C265" s="157">
        <v>43866</v>
      </c>
      <c r="D265" s="100" t="s">
        <v>361</v>
      </c>
      <c r="E265" s="79"/>
      <c r="F265" s="153">
        <v>480</v>
      </c>
      <c r="G265" s="137" t="s">
        <v>77</v>
      </c>
      <c r="H265" s="178" t="s">
        <v>65</v>
      </c>
      <c r="I265" s="306" t="s">
        <v>78</v>
      </c>
      <c r="J265" s="139"/>
      <c r="K265" s="139"/>
      <c r="L265" s="98" t="s">
        <v>55</v>
      </c>
      <c r="M265" s="79"/>
      <c r="N265" s="139"/>
      <c r="O265" s="139">
        <v>7</v>
      </c>
      <c r="P265" s="138">
        <v>0.79166666666666663</v>
      </c>
      <c r="Q265" s="147">
        <v>0.78472222222222221</v>
      </c>
      <c r="R265" s="147">
        <v>0.80208333333333337</v>
      </c>
      <c r="S265" s="147">
        <v>0.80555555555555547</v>
      </c>
      <c r="T265" s="138">
        <f t="shared" si="26"/>
        <v>1.736111111111116E-2</v>
      </c>
      <c r="U265" s="138">
        <f t="shared" si="26"/>
        <v>3.4722222222220989E-3</v>
      </c>
      <c r="V265" s="147">
        <v>0.80902777777777779</v>
      </c>
      <c r="W265" s="148">
        <f t="shared" si="29"/>
        <v>2.430555555555558E-2</v>
      </c>
      <c r="X265" s="81"/>
    </row>
    <row r="266" spans="1:25" s="113" customFormat="1" x14ac:dyDescent="0.25">
      <c r="A266" s="140">
        <f t="shared" si="27"/>
        <v>6</v>
      </c>
      <c r="B266" s="157">
        <v>43866</v>
      </c>
      <c r="C266" s="157">
        <v>43866</v>
      </c>
      <c r="D266" s="100" t="s">
        <v>337</v>
      </c>
      <c r="E266" s="79"/>
      <c r="F266" s="153">
        <v>480</v>
      </c>
      <c r="G266" s="137" t="s">
        <v>493</v>
      </c>
      <c r="H266" s="158" t="s">
        <v>57</v>
      </c>
      <c r="I266" s="340" t="s">
        <v>738</v>
      </c>
      <c r="J266" s="139"/>
      <c r="K266" s="139"/>
      <c r="L266" s="98" t="s">
        <v>55</v>
      </c>
      <c r="M266" s="79"/>
      <c r="N266" s="139"/>
      <c r="O266" s="139">
        <v>23</v>
      </c>
      <c r="P266" s="138">
        <v>0.875</v>
      </c>
      <c r="Q266" s="147">
        <v>0.81944444444444453</v>
      </c>
      <c r="R266" s="147">
        <v>0.82291666666666663</v>
      </c>
      <c r="S266" s="147">
        <v>0.83333333333333337</v>
      </c>
      <c r="T266" s="138">
        <f t="shared" si="26"/>
        <v>3.4722222222220989E-3</v>
      </c>
      <c r="U266" s="138">
        <f t="shared" si="26"/>
        <v>1.0416666666666741E-2</v>
      </c>
      <c r="V266" s="147">
        <v>0.83680555555555547</v>
      </c>
      <c r="W266" s="148">
        <f t="shared" si="29"/>
        <v>1.7361111111110938E-2</v>
      </c>
      <c r="X266" s="81"/>
    </row>
    <row r="267" spans="1:25" s="113" customFormat="1" ht="31.5" x14ac:dyDescent="0.25">
      <c r="A267" s="140">
        <f t="shared" si="27"/>
        <v>6</v>
      </c>
      <c r="B267" s="157">
        <v>43865</v>
      </c>
      <c r="C267" s="157">
        <v>43866</v>
      </c>
      <c r="D267" s="100" t="s">
        <v>361</v>
      </c>
      <c r="E267" s="79"/>
      <c r="F267" s="153">
        <v>480</v>
      </c>
      <c r="G267" s="137" t="s">
        <v>764</v>
      </c>
      <c r="H267" s="158" t="s">
        <v>317</v>
      </c>
      <c r="I267" s="306" t="s">
        <v>78</v>
      </c>
      <c r="J267" s="139"/>
      <c r="K267" s="139"/>
      <c r="L267" s="98" t="s">
        <v>55</v>
      </c>
      <c r="M267" s="79"/>
      <c r="N267" s="139"/>
      <c r="O267" s="139">
        <v>24</v>
      </c>
      <c r="P267" s="138">
        <v>0.41666666666666669</v>
      </c>
      <c r="Q267" s="147">
        <v>0.41666666666666669</v>
      </c>
      <c r="R267" s="147">
        <v>0.4236111111111111</v>
      </c>
      <c r="S267" s="147">
        <v>0.44097222222222227</v>
      </c>
      <c r="T267" s="138">
        <f t="shared" si="26"/>
        <v>6.9444444444444198E-3</v>
      </c>
      <c r="U267" s="138">
        <f t="shared" si="26"/>
        <v>1.736111111111116E-2</v>
      </c>
      <c r="V267" s="147">
        <v>0.44444444444444442</v>
      </c>
      <c r="W267" s="148">
        <f t="shared" si="29"/>
        <v>2.7777777777777735E-2</v>
      </c>
      <c r="X267" s="81" t="s">
        <v>753</v>
      </c>
    </row>
    <row r="268" spans="1:25" s="113" customFormat="1" x14ac:dyDescent="0.25">
      <c r="A268" s="140">
        <f t="shared" si="27"/>
        <v>6</v>
      </c>
      <c r="B268" s="157">
        <v>43866</v>
      </c>
      <c r="C268" s="157">
        <v>43866</v>
      </c>
      <c r="D268" s="100" t="s">
        <v>361</v>
      </c>
      <c r="E268" s="79">
        <v>1000456800</v>
      </c>
      <c r="F268" s="153">
        <v>300</v>
      </c>
      <c r="G268" s="137" t="s">
        <v>67</v>
      </c>
      <c r="H268" s="158" t="s">
        <v>746</v>
      </c>
      <c r="I268" s="79" t="s">
        <v>744</v>
      </c>
      <c r="J268" s="139" t="s">
        <v>19</v>
      </c>
      <c r="K268" s="139"/>
      <c r="L268" s="98" t="s">
        <v>55</v>
      </c>
      <c r="M268" s="79">
        <v>80</v>
      </c>
      <c r="N268" s="139" t="s">
        <v>51</v>
      </c>
      <c r="O268" s="139">
        <v>37</v>
      </c>
      <c r="P268" s="138">
        <v>0.41666666666666669</v>
      </c>
      <c r="Q268" s="147">
        <v>0.39930555555555558</v>
      </c>
      <c r="R268" s="147">
        <v>0.44791666666666669</v>
      </c>
      <c r="S268" s="147">
        <v>0.47916666666666669</v>
      </c>
      <c r="T268" s="138">
        <f t="shared" si="26"/>
        <v>4.8611111111111105E-2</v>
      </c>
      <c r="U268" s="138">
        <f t="shared" si="26"/>
        <v>3.125E-2</v>
      </c>
      <c r="V268" s="147">
        <v>0.4861111111111111</v>
      </c>
      <c r="W268" s="148">
        <f t="shared" si="29"/>
        <v>8.6805555555555525E-2</v>
      </c>
      <c r="X268" s="81"/>
    </row>
    <row r="269" spans="1:25" s="113" customFormat="1" x14ac:dyDescent="0.25">
      <c r="A269" s="140">
        <f t="shared" si="27"/>
        <v>6</v>
      </c>
      <c r="B269" s="157">
        <v>43866</v>
      </c>
      <c r="C269" s="157">
        <v>43866</v>
      </c>
      <c r="D269" s="100" t="s">
        <v>361</v>
      </c>
      <c r="E269" s="79">
        <v>1000456819</v>
      </c>
      <c r="F269" s="153">
        <v>180</v>
      </c>
      <c r="G269" s="137" t="s">
        <v>70</v>
      </c>
      <c r="H269" s="158" t="s">
        <v>399</v>
      </c>
      <c r="I269" s="79" t="s">
        <v>742</v>
      </c>
      <c r="J269" s="139" t="s">
        <v>19</v>
      </c>
      <c r="K269" s="139"/>
      <c r="L269" s="98" t="s">
        <v>55</v>
      </c>
      <c r="M269" s="79">
        <v>80</v>
      </c>
      <c r="N269" s="139" t="s">
        <v>51</v>
      </c>
      <c r="O269" s="139">
        <v>35</v>
      </c>
      <c r="P269" s="138">
        <v>0.45833333333333331</v>
      </c>
      <c r="Q269" s="147">
        <v>0.44097222222222227</v>
      </c>
      <c r="R269" s="147">
        <v>0.48958333333333331</v>
      </c>
      <c r="S269" s="147">
        <v>0.51388888888888895</v>
      </c>
      <c r="T269" s="138">
        <f t="shared" si="26"/>
        <v>4.8611111111111049E-2</v>
      </c>
      <c r="U269" s="138">
        <f t="shared" si="26"/>
        <v>2.4305555555555636E-2</v>
      </c>
      <c r="V269" s="147">
        <v>0.52083333333333337</v>
      </c>
      <c r="W269" s="148">
        <f t="shared" si="29"/>
        <v>7.9861111111111105E-2</v>
      </c>
      <c r="X269" s="81"/>
    </row>
    <row r="270" spans="1:25" s="113" customFormat="1" x14ac:dyDescent="0.25">
      <c r="A270" s="140">
        <f t="shared" si="27"/>
        <v>6</v>
      </c>
      <c r="B270" s="157">
        <v>43866</v>
      </c>
      <c r="C270" s="157">
        <v>43866</v>
      </c>
      <c r="D270" s="100" t="s">
        <v>68</v>
      </c>
      <c r="E270" s="79">
        <v>1000456810</v>
      </c>
      <c r="F270" s="153">
        <v>240</v>
      </c>
      <c r="G270" s="137" t="s">
        <v>71</v>
      </c>
      <c r="H270" s="158" t="s">
        <v>721</v>
      </c>
      <c r="I270" s="79" t="s">
        <v>745</v>
      </c>
      <c r="J270" s="139" t="s">
        <v>19</v>
      </c>
      <c r="K270" s="139"/>
      <c r="L270" s="98" t="s">
        <v>55</v>
      </c>
      <c r="M270" s="79">
        <v>80</v>
      </c>
      <c r="N270" s="139" t="s">
        <v>51</v>
      </c>
      <c r="O270" s="139">
        <v>35</v>
      </c>
      <c r="P270" s="138">
        <v>0.45833333333333331</v>
      </c>
      <c r="Q270" s="147">
        <v>0.4861111111111111</v>
      </c>
      <c r="R270" s="147">
        <v>0.51388888888888895</v>
      </c>
      <c r="S270" s="147">
        <v>0.54513888888888895</v>
      </c>
      <c r="T270" s="138">
        <f t="shared" si="26"/>
        <v>2.7777777777777846E-2</v>
      </c>
      <c r="U270" s="138">
        <f t="shared" si="26"/>
        <v>3.125E-2</v>
      </c>
      <c r="V270" s="147">
        <v>0.54861111111111105</v>
      </c>
      <c r="W270" s="148">
        <f t="shared" si="29"/>
        <v>6.2499999999999944E-2</v>
      </c>
      <c r="X270" s="81"/>
    </row>
    <row r="271" spans="1:25" s="113" customFormat="1" ht="16.5" thickBot="1" x14ac:dyDescent="0.3">
      <c r="A271" s="185">
        <f t="shared" si="27"/>
        <v>6</v>
      </c>
      <c r="B271" s="186">
        <v>43866</v>
      </c>
      <c r="C271" s="186">
        <v>43866</v>
      </c>
      <c r="D271" s="236" t="s">
        <v>68</v>
      </c>
      <c r="E271" s="172">
        <v>1000456838</v>
      </c>
      <c r="F271" s="187"/>
      <c r="G271" s="185" t="s">
        <v>74</v>
      </c>
      <c r="H271" s="188" t="s">
        <v>316</v>
      </c>
      <c r="I271" s="172" t="s">
        <v>743</v>
      </c>
      <c r="J271" s="189" t="s">
        <v>19</v>
      </c>
      <c r="K271" s="189"/>
      <c r="L271" s="172" t="s">
        <v>55</v>
      </c>
      <c r="M271" s="185">
        <v>80</v>
      </c>
      <c r="N271" s="172" t="s">
        <v>51</v>
      </c>
      <c r="O271" s="189">
        <v>34</v>
      </c>
      <c r="P271" s="190">
        <v>0.54166666666666663</v>
      </c>
      <c r="Q271" s="191">
        <v>0.65625</v>
      </c>
      <c r="R271" s="191">
        <v>0.65972222222222221</v>
      </c>
      <c r="S271" s="191">
        <v>0.68402777777777779</v>
      </c>
      <c r="T271" s="190">
        <f t="shared" si="26"/>
        <v>3.4722222222222099E-3</v>
      </c>
      <c r="U271" s="190">
        <f t="shared" si="26"/>
        <v>2.430555555555558E-2</v>
      </c>
      <c r="V271" s="191">
        <v>0.69097222222222221</v>
      </c>
      <c r="W271" s="190">
        <f t="shared" si="29"/>
        <v>3.472222222222221E-2</v>
      </c>
      <c r="X271" s="174"/>
      <c r="Y271" s="268"/>
    </row>
    <row r="272" spans="1:25" s="113" customFormat="1" x14ac:dyDescent="0.25">
      <c r="A272" s="140">
        <f t="shared" si="27"/>
        <v>6</v>
      </c>
      <c r="B272" s="157">
        <v>43867</v>
      </c>
      <c r="C272" s="157">
        <v>43867</v>
      </c>
      <c r="D272" s="100" t="s">
        <v>361</v>
      </c>
      <c r="E272" s="98"/>
      <c r="F272" s="177">
        <v>480</v>
      </c>
      <c r="G272" s="140" t="s">
        <v>53</v>
      </c>
      <c r="H272" s="158" t="s">
        <v>330</v>
      </c>
      <c r="I272" s="143" t="s">
        <v>54</v>
      </c>
      <c r="J272" s="142"/>
      <c r="K272" s="142"/>
      <c r="L272" s="98" t="s">
        <v>55</v>
      </c>
      <c r="M272" s="98"/>
      <c r="N272" s="142"/>
      <c r="O272" s="142">
        <v>35</v>
      </c>
      <c r="P272" s="179">
        <v>0.66666666666666663</v>
      </c>
      <c r="Q272" s="148">
        <v>0.67361111111111116</v>
      </c>
      <c r="R272" s="148">
        <v>0.67708333333333337</v>
      </c>
      <c r="S272" s="148">
        <v>0.71180555555555547</v>
      </c>
      <c r="T272" s="179">
        <f t="shared" si="26"/>
        <v>3.4722222222222099E-3</v>
      </c>
      <c r="U272" s="179">
        <f t="shared" si="26"/>
        <v>3.4722222222222099E-2</v>
      </c>
      <c r="V272" s="148">
        <v>0.71527777777777779</v>
      </c>
      <c r="W272" s="148">
        <f t="shared" si="28"/>
        <v>4.166666666666663E-2</v>
      </c>
      <c r="X272" s="96" t="s">
        <v>773</v>
      </c>
    </row>
    <row r="273" spans="1:25" s="113" customFormat="1" x14ac:dyDescent="0.25">
      <c r="A273" s="140">
        <f t="shared" si="27"/>
        <v>6</v>
      </c>
      <c r="B273" s="157">
        <v>43867</v>
      </c>
      <c r="C273" s="157">
        <v>43867</v>
      </c>
      <c r="D273" s="100" t="s">
        <v>68</v>
      </c>
      <c r="E273" s="79"/>
      <c r="F273" s="153">
        <v>480</v>
      </c>
      <c r="G273" s="137" t="s">
        <v>56</v>
      </c>
      <c r="H273" s="158" t="s">
        <v>80</v>
      </c>
      <c r="I273" s="313" t="s">
        <v>58</v>
      </c>
      <c r="J273" s="139"/>
      <c r="K273" s="139"/>
      <c r="L273" s="98" t="s">
        <v>55</v>
      </c>
      <c r="M273" s="79"/>
      <c r="N273" s="139"/>
      <c r="O273" s="139">
        <v>33</v>
      </c>
      <c r="P273" s="138">
        <v>0.70833333333333337</v>
      </c>
      <c r="Q273" s="147">
        <v>0.73958333333333337</v>
      </c>
      <c r="R273" s="147">
        <v>0.76388888888888884</v>
      </c>
      <c r="S273" s="147">
        <v>0.78819444444444453</v>
      </c>
      <c r="T273" s="138">
        <f t="shared" si="26"/>
        <v>2.4305555555555469E-2</v>
      </c>
      <c r="U273" s="138">
        <f t="shared" si="26"/>
        <v>2.4305555555555691E-2</v>
      </c>
      <c r="V273" s="147">
        <v>0.79166666666666663</v>
      </c>
      <c r="W273" s="148">
        <f t="shared" si="28"/>
        <v>5.2083333333333259E-2</v>
      </c>
      <c r="X273" s="81"/>
    </row>
    <row r="274" spans="1:25" s="113" customFormat="1" x14ac:dyDescent="0.25">
      <c r="A274" s="140">
        <f t="shared" si="27"/>
        <v>6</v>
      </c>
      <c r="B274" s="157">
        <v>43867</v>
      </c>
      <c r="C274" s="157">
        <v>43867</v>
      </c>
      <c r="D274" s="100" t="s">
        <v>361</v>
      </c>
      <c r="E274" s="79"/>
      <c r="F274" s="153">
        <v>480</v>
      </c>
      <c r="G274" s="137" t="s">
        <v>59</v>
      </c>
      <c r="H274" s="158" t="s">
        <v>62</v>
      </c>
      <c r="I274" s="306" t="s">
        <v>63</v>
      </c>
      <c r="J274" s="139"/>
      <c r="K274" s="139"/>
      <c r="L274" s="98" t="s">
        <v>55</v>
      </c>
      <c r="M274" s="79"/>
      <c r="N274" s="139"/>
      <c r="O274" s="139">
        <v>24</v>
      </c>
      <c r="P274" s="138">
        <v>0.75</v>
      </c>
      <c r="Q274" s="147">
        <v>0.73263888888888884</v>
      </c>
      <c r="R274" s="147">
        <v>0.74652777777777779</v>
      </c>
      <c r="S274" s="147">
        <v>0.76736111111111116</v>
      </c>
      <c r="T274" s="138">
        <f t="shared" si="26"/>
        <v>1.3888888888888951E-2</v>
      </c>
      <c r="U274" s="138">
        <f t="shared" si="26"/>
        <v>2.083333333333337E-2</v>
      </c>
      <c r="V274" s="147">
        <v>0.77083333333333337</v>
      </c>
      <c r="W274" s="148">
        <f t="shared" si="28"/>
        <v>3.8194444444444531E-2</v>
      </c>
      <c r="X274" s="81"/>
    </row>
    <row r="275" spans="1:25" s="113" customFormat="1" x14ac:dyDescent="0.25">
      <c r="A275" s="140">
        <f t="shared" si="27"/>
        <v>6</v>
      </c>
      <c r="B275" s="157">
        <v>43867</v>
      </c>
      <c r="C275" s="157">
        <v>43867</v>
      </c>
      <c r="D275" s="100" t="s">
        <v>361</v>
      </c>
      <c r="E275" s="79"/>
      <c r="F275" s="153">
        <v>480</v>
      </c>
      <c r="G275" s="137" t="s">
        <v>61</v>
      </c>
      <c r="H275" s="273" t="s">
        <v>317</v>
      </c>
      <c r="I275" s="306" t="s">
        <v>355</v>
      </c>
      <c r="J275" s="139"/>
      <c r="K275" s="139"/>
      <c r="L275" s="98" t="s">
        <v>55</v>
      </c>
      <c r="M275" s="79"/>
      <c r="N275" s="139"/>
      <c r="O275" s="139">
        <v>31</v>
      </c>
      <c r="P275" s="138">
        <v>0.75</v>
      </c>
      <c r="Q275" s="147">
        <v>0.72916666666666663</v>
      </c>
      <c r="R275" s="147">
        <v>0.77430555555555547</v>
      </c>
      <c r="S275" s="147">
        <v>0.79861111111111116</v>
      </c>
      <c r="T275" s="138">
        <f t="shared" si="26"/>
        <v>4.513888888888884E-2</v>
      </c>
      <c r="U275" s="138">
        <f t="shared" si="26"/>
        <v>2.4305555555555691E-2</v>
      </c>
      <c r="V275" s="147">
        <v>0.80208333333333337</v>
      </c>
      <c r="W275" s="148">
        <f t="shared" si="28"/>
        <v>7.2916666666666741E-2</v>
      </c>
      <c r="X275" s="81"/>
    </row>
    <row r="276" spans="1:25" s="113" customFormat="1" x14ac:dyDescent="0.25">
      <c r="A276" s="140">
        <f t="shared" si="27"/>
        <v>6</v>
      </c>
      <c r="B276" s="157">
        <v>43867</v>
      </c>
      <c r="C276" s="157">
        <v>43867</v>
      </c>
      <c r="D276" s="100" t="s">
        <v>68</v>
      </c>
      <c r="E276" s="79"/>
      <c r="F276" s="153">
        <v>480</v>
      </c>
      <c r="G276" s="137" t="s">
        <v>64</v>
      </c>
      <c r="H276" s="178" t="s">
        <v>65</v>
      </c>
      <c r="I276" s="306" t="s">
        <v>78</v>
      </c>
      <c r="J276" s="139"/>
      <c r="K276" s="139"/>
      <c r="L276" s="98" t="s">
        <v>55</v>
      </c>
      <c r="M276" s="79"/>
      <c r="N276" s="139"/>
      <c r="O276" s="139">
        <v>15</v>
      </c>
      <c r="P276" s="138">
        <v>0.79166666666666663</v>
      </c>
      <c r="Q276" s="147">
        <v>0.75</v>
      </c>
      <c r="R276" s="147">
        <v>0.80208333333333337</v>
      </c>
      <c r="S276" s="147">
        <v>0.81597222222222221</v>
      </c>
      <c r="T276" s="138">
        <f t="shared" si="26"/>
        <v>5.208333333333337E-2</v>
      </c>
      <c r="U276" s="138">
        <f t="shared" si="26"/>
        <v>1.388888888888884E-2</v>
      </c>
      <c r="V276" s="147">
        <v>0.81944444444444453</v>
      </c>
      <c r="W276" s="148">
        <f t="shared" si="28"/>
        <v>6.9444444444444531E-2</v>
      </c>
      <c r="X276" s="81"/>
    </row>
    <row r="277" spans="1:25" s="113" customFormat="1" x14ac:dyDescent="0.25">
      <c r="A277" s="140">
        <f t="shared" si="27"/>
        <v>6</v>
      </c>
      <c r="B277" s="157">
        <v>43867</v>
      </c>
      <c r="C277" s="157">
        <v>43867</v>
      </c>
      <c r="D277" s="100" t="s">
        <v>361</v>
      </c>
      <c r="E277" s="79"/>
      <c r="F277" s="153">
        <v>480</v>
      </c>
      <c r="G277" s="137" t="s">
        <v>77</v>
      </c>
      <c r="H277" s="158" t="s">
        <v>470</v>
      </c>
      <c r="I277" s="340" t="s">
        <v>738</v>
      </c>
      <c r="J277" s="139"/>
      <c r="K277" s="139"/>
      <c r="L277" s="98" t="s">
        <v>55</v>
      </c>
      <c r="M277" s="79"/>
      <c r="N277" s="139"/>
      <c r="O277" s="139">
        <v>29</v>
      </c>
      <c r="P277" s="138">
        <v>0.83333333333333337</v>
      </c>
      <c r="Q277" s="147">
        <v>0.84027777777777779</v>
      </c>
      <c r="R277" s="147">
        <v>0.84722222222222221</v>
      </c>
      <c r="S277" s="147">
        <v>0.85763888888888884</v>
      </c>
      <c r="T277" s="138">
        <f t="shared" si="26"/>
        <v>6.9444444444444198E-3</v>
      </c>
      <c r="U277" s="138">
        <f t="shared" si="26"/>
        <v>1.041666666666663E-2</v>
      </c>
      <c r="V277" s="147">
        <v>0.86111111111111116</v>
      </c>
      <c r="W277" s="148">
        <f t="shared" si="28"/>
        <v>2.083333333333337E-2</v>
      </c>
      <c r="X277" s="81"/>
    </row>
    <row r="278" spans="1:25" s="113" customFormat="1" x14ac:dyDescent="0.25">
      <c r="A278" s="140">
        <f t="shared" si="27"/>
        <v>6</v>
      </c>
      <c r="B278" s="157">
        <v>43867</v>
      </c>
      <c r="C278" s="157">
        <v>43867</v>
      </c>
      <c r="D278" s="100" t="s">
        <v>68</v>
      </c>
      <c r="E278" s="79">
        <v>1000456820</v>
      </c>
      <c r="F278" s="153">
        <v>240</v>
      </c>
      <c r="G278" s="137" t="s">
        <v>325</v>
      </c>
      <c r="H278" s="158" t="s">
        <v>762</v>
      </c>
      <c r="I278" s="79" t="s">
        <v>757</v>
      </c>
      <c r="J278" s="139" t="s">
        <v>19</v>
      </c>
      <c r="K278" s="139"/>
      <c r="L278" s="98" t="s">
        <v>55</v>
      </c>
      <c r="M278" s="79">
        <v>80</v>
      </c>
      <c r="N278" s="139" t="s">
        <v>51</v>
      </c>
      <c r="O278" s="139">
        <v>35</v>
      </c>
      <c r="P278" s="138">
        <v>0.45833333333333331</v>
      </c>
      <c r="Q278" s="147">
        <v>0.6875</v>
      </c>
      <c r="R278" s="147">
        <v>0.72222222222222221</v>
      </c>
      <c r="S278" s="147">
        <v>0.73958333333333337</v>
      </c>
      <c r="T278" s="138">
        <f t="shared" si="26"/>
        <v>3.472222222222221E-2</v>
      </c>
      <c r="U278" s="138">
        <f t="shared" si="26"/>
        <v>1.736111111111116E-2</v>
      </c>
      <c r="V278" s="147">
        <v>0.74305555555555547</v>
      </c>
      <c r="W278" s="148">
        <f t="shared" si="28"/>
        <v>5.5555555555555469E-2</v>
      </c>
      <c r="X278" s="81"/>
    </row>
    <row r="279" spans="1:25" s="113" customFormat="1" x14ac:dyDescent="0.25">
      <c r="A279" s="140">
        <f t="shared" si="27"/>
        <v>6</v>
      </c>
      <c r="B279" s="157">
        <v>43867</v>
      </c>
      <c r="C279" s="157">
        <v>43867</v>
      </c>
      <c r="D279" s="100" t="s">
        <v>361</v>
      </c>
      <c r="E279" s="79">
        <v>1000456811</v>
      </c>
      <c r="F279" s="153">
        <v>390</v>
      </c>
      <c r="G279" s="137" t="s">
        <v>324</v>
      </c>
      <c r="H279" s="158" t="s">
        <v>763</v>
      </c>
      <c r="I279" s="79" t="s">
        <v>758</v>
      </c>
      <c r="J279" s="139" t="s">
        <v>19</v>
      </c>
      <c r="K279" s="139"/>
      <c r="L279" s="98" t="s">
        <v>55</v>
      </c>
      <c r="M279" s="79">
        <v>80</v>
      </c>
      <c r="N279" s="139" t="s">
        <v>51</v>
      </c>
      <c r="O279" s="139">
        <v>36</v>
      </c>
      <c r="P279" s="138">
        <v>0.45833333333333331</v>
      </c>
      <c r="Q279" s="147">
        <v>0.47916666666666669</v>
      </c>
      <c r="R279" s="147">
        <v>0.52083333333333337</v>
      </c>
      <c r="S279" s="147">
        <v>0.53819444444444442</v>
      </c>
      <c r="T279" s="138">
        <f t="shared" si="26"/>
        <v>4.1666666666666685E-2</v>
      </c>
      <c r="U279" s="138">
        <f t="shared" si="26"/>
        <v>1.7361111111111049E-2</v>
      </c>
      <c r="V279" s="147">
        <v>0.54166666666666663</v>
      </c>
      <c r="W279" s="148">
        <f t="shared" si="28"/>
        <v>6.2499999999999944E-2</v>
      </c>
      <c r="X279" s="81"/>
    </row>
    <row r="280" spans="1:25" s="113" customFormat="1" ht="16.5" thickBot="1" x14ac:dyDescent="0.3">
      <c r="A280" s="185">
        <f t="shared" si="27"/>
        <v>6</v>
      </c>
      <c r="B280" s="186">
        <v>43867</v>
      </c>
      <c r="C280" s="186">
        <v>43867</v>
      </c>
      <c r="D280" s="236" t="s">
        <v>337</v>
      </c>
      <c r="E280" s="172">
        <v>1000456834</v>
      </c>
      <c r="F280" s="187">
        <v>360</v>
      </c>
      <c r="G280" s="185" t="s">
        <v>340</v>
      </c>
      <c r="H280" s="188" t="s">
        <v>348</v>
      </c>
      <c r="I280" s="172" t="s">
        <v>747</v>
      </c>
      <c r="J280" s="189" t="s">
        <v>19</v>
      </c>
      <c r="K280" s="189"/>
      <c r="L280" s="172" t="s">
        <v>55</v>
      </c>
      <c r="M280" s="172">
        <v>80</v>
      </c>
      <c r="N280" s="189" t="s">
        <v>51</v>
      </c>
      <c r="O280" s="189">
        <v>44</v>
      </c>
      <c r="P280" s="190">
        <v>0.5</v>
      </c>
      <c r="Q280" s="191">
        <v>0.4236111111111111</v>
      </c>
      <c r="R280" s="191">
        <v>0.47916666666666669</v>
      </c>
      <c r="S280" s="191">
        <v>0.51041666666666663</v>
      </c>
      <c r="T280" s="190">
        <f t="shared" si="26"/>
        <v>5.555555555555558E-2</v>
      </c>
      <c r="U280" s="190">
        <f t="shared" si="26"/>
        <v>3.1249999999999944E-2</v>
      </c>
      <c r="V280" s="191">
        <v>0.53472222222222221</v>
      </c>
      <c r="W280" s="191">
        <f t="shared" si="28"/>
        <v>0.1111111111111111</v>
      </c>
      <c r="X280" s="174"/>
      <c r="Y280" s="268"/>
    </row>
    <row r="281" spans="1:25" s="113" customFormat="1" x14ac:dyDescent="0.25">
      <c r="A281" s="140">
        <f t="shared" si="27"/>
        <v>6</v>
      </c>
      <c r="B281" s="157">
        <v>43868</v>
      </c>
      <c r="C281" s="157">
        <v>43868</v>
      </c>
      <c r="D281" s="102" t="s">
        <v>361</v>
      </c>
      <c r="E281" s="98"/>
      <c r="F281" s="177"/>
      <c r="G281" s="140" t="s">
        <v>53</v>
      </c>
      <c r="H281" s="158" t="s">
        <v>330</v>
      </c>
      <c r="I281" s="143" t="s">
        <v>54</v>
      </c>
      <c r="J281" s="142"/>
      <c r="K281" s="142"/>
      <c r="L281" s="98" t="s">
        <v>55</v>
      </c>
      <c r="M281" s="98"/>
      <c r="N281" s="142"/>
      <c r="O281" s="142">
        <v>28</v>
      </c>
      <c r="P281" s="179">
        <v>0.66666666666666663</v>
      </c>
      <c r="Q281" s="148">
        <v>0.67013888888888884</v>
      </c>
      <c r="R281" s="148">
        <v>0.68402777777777779</v>
      </c>
      <c r="S281" s="148">
        <v>0.70833333333333337</v>
      </c>
      <c r="T281" s="179">
        <f t="shared" si="26"/>
        <v>1.3888888888888951E-2</v>
      </c>
      <c r="U281" s="179">
        <f t="shared" si="26"/>
        <v>2.430555555555558E-2</v>
      </c>
      <c r="V281" s="148">
        <v>0.71180555555555547</v>
      </c>
      <c r="W281" s="148">
        <f t="shared" si="28"/>
        <v>4.166666666666663E-2</v>
      </c>
      <c r="X281" s="96"/>
    </row>
    <row r="282" spans="1:25" s="113" customFormat="1" x14ac:dyDescent="0.25">
      <c r="A282" s="140">
        <f t="shared" si="27"/>
        <v>6</v>
      </c>
      <c r="B282" s="157">
        <v>43868</v>
      </c>
      <c r="C282" s="157">
        <v>43868</v>
      </c>
      <c r="D282" s="102" t="s">
        <v>361</v>
      </c>
      <c r="E282" s="98"/>
      <c r="F282" s="177"/>
      <c r="G282" s="140" t="s">
        <v>56</v>
      </c>
      <c r="H282" s="158" t="s">
        <v>76</v>
      </c>
      <c r="I282" s="143" t="s">
        <v>58</v>
      </c>
      <c r="J282" s="142"/>
      <c r="K282" s="142"/>
      <c r="L282" s="98" t="s">
        <v>55</v>
      </c>
      <c r="M282" s="98"/>
      <c r="N282" s="142"/>
      <c r="O282" s="142">
        <v>6</v>
      </c>
      <c r="P282" s="179">
        <v>0.70833333333333337</v>
      </c>
      <c r="Q282" s="148">
        <v>0.70486111111111116</v>
      </c>
      <c r="R282" s="148">
        <v>0.71527777777777779</v>
      </c>
      <c r="S282" s="148">
        <v>0.72222222222222221</v>
      </c>
      <c r="T282" s="179">
        <f t="shared" si="26"/>
        <v>1.041666666666663E-2</v>
      </c>
      <c r="U282" s="179">
        <f t="shared" si="26"/>
        <v>6.9444444444444198E-3</v>
      </c>
      <c r="V282" s="148">
        <v>0.72569444444444453</v>
      </c>
      <c r="W282" s="148">
        <f t="shared" si="28"/>
        <v>2.083333333333337E-2</v>
      </c>
      <c r="X282" s="96"/>
    </row>
    <row r="283" spans="1:25" s="113" customFormat="1" x14ac:dyDescent="0.25">
      <c r="A283" s="140">
        <f t="shared" si="27"/>
        <v>6</v>
      </c>
      <c r="B283" s="157">
        <v>43868</v>
      </c>
      <c r="C283" s="157">
        <v>43868</v>
      </c>
      <c r="D283" s="100" t="s">
        <v>337</v>
      </c>
      <c r="E283" s="79"/>
      <c r="F283" s="153"/>
      <c r="G283" s="137" t="s">
        <v>59</v>
      </c>
      <c r="H283" s="273" t="s">
        <v>80</v>
      </c>
      <c r="I283" s="306" t="s">
        <v>63</v>
      </c>
      <c r="J283" s="139"/>
      <c r="K283" s="139"/>
      <c r="L283" s="98" t="s">
        <v>55</v>
      </c>
      <c r="M283" s="79"/>
      <c r="N283" s="139"/>
      <c r="O283" s="139"/>
      <c r="P283" s="138">
        <v>0.75</v>
      </c>
      <c r="Q283" s="147">
        <v>0.82430555555555562</v>
      </c>
      <c r="R283" s="147">
        <v>0.83333333333333337</v>
      </c>
      <c r="S283" s="147">
        <v>0.84375</v>
      </c>
      <c r="T283" s="138">
        <f t="shared" si="26"/>
        <v>9.0277777777777457E-3</v>
      </c>
      <c r="U283" s="138">
        <f t="shared" si="26"/>
        <v>1.041666666666663E-2</v>
      </c>
      <c r="V283" s="147">
        <v>0.84722222222222221</v>
      </c>
      <c r="W283" s="148">
        <f t="shared" si="28"/>
        <v>2.2916666666666585E-2</v>
      </c>
      <c r="X283" s="81"/>
    </row>
    <row r="284" spans="1:25" s="113" customFormat="1" x14ac:dyDescent="0.25">
      <c r="A284" s="140">
        <f t="shared" si="27"/>
        <v>6</v>
      </c>
      <c r="B284" s="157">
        <v>43868</v>
      </c>
      <c r="C284" s="157">
        <v>43868</v>
      </c>
      <c r="D284" s="100" t="s">
        <v>361</v>
      </c>
      <c r="E284" s="79"/>
      <c r="F284" s="153"/>
      <c r="G284" s="137" t="s">
        <v>64</v>
      </c>
      <c r="H284" s="158" t="s">
        <v>387</v>
      </c>
      <c r="I284" s="340" t="s">
        <v>738</v>
      </c>
      <c r="J284" s="139"/>
      <c r="K284" s="139"/>
      <c r="L284" s="98" t="s">
        <v>55</v>
      </c>
      <c r="M284" s="79"/>
      <c r="N284" s="139"/>
      <c r="O284" s="139"/>
      <c r="P284" s="138">
        <v>0.83333333333333337</v>
      </c>
      <c r="Q284" s="147">
        <v>0.80972222222222223</v>
      </c>
      <c r="R284" s="147">
        <v>0.82291666666666663</v>
      </c>
      <c r="S284" s="147">
        <v>0.82986111111111116</v>
      </c>
      <c r="T284" s="138">
        <f t="shared" si="26"/>
        <v>1.3194444444444398E-2</v>
      </c>
      <c r="U284" s="138">
        <f t="shared" si="26"/>
        <v>6.9444444444445308E-3</v>
      </c>
      <c r="V284" s="147">
        <v>0.83333333333333337</v>
      </c>
      <c r="W284" s="148">
        <f t="shared" si="28"/>
        <v>2.3611111111111138E-2</v>
      </c>
      <c r="X284" s="81"/>
    </row>
    <row r="285" spans="1:25" s="113" customFormat="1" ht="31.5" x14ac:dyDescent="0.25">
      <c r="A285" s="140">
        <f t="shared" si="27"/>
        <v>6</v>
      </c>
      <c r="B285" s="157">
        <v>43868</v>
      </c>
      <c r="C285" s="157">
        <v>43868</v>
      </c>
      <c r="D285" s="320" t="s">
        <v>337</v>
      </c>
      <c r="E285" s="79">
        <v>1000456802</v>
      </c>
      <c r="F285" s="153">
        <v>480</v>
      </c>
      <c r="G285" s="137" t="s">
        <v>69</v>
      </c>
      <c r="H285" s="158" t="s">
        <v>689</v>
      </c>
      <c r="I285" s="79" t="s">
        <v>780</v>
      </c>
      <c r="J285" s="139" t="s">
        <v>19</v>
      </c>
      <c r="K285" s="139" t="s">
        <v>66</v>
      </c>
      <c r="L285" s="98" t="s">
        <v>55</v>
      </c>
      <c r="M285" s="79">
        <v>80</v>
      </c>
      <c r="N285" s="139" t="s">
        <v>51</v>
      </c>
      <c r="O285" s="139">
        <v>39</v>
      </c>
      <c r="P285" s="138">
        <v>0.41666666666666669</v>
      </c>
      <c r="Q285" s="147">
        <v>0.3611111111111111</v>
      </c>
      <c r="R285" s="147">
        <v>0.46527777777777773</v>
      </c>
      <c r="S285" s="147">
        <v>0.48958333333333331</v>
      </c>
      <c r="T285" s="138">
        <f t="shared" si="26"/>
        <v>0.10416666666666663</v>
      </c>
      <c r="U285" s="138">
        <f t="shared" si="26"/>
        <v>2.430555555555558E-2</v>
      </c>
      <c r="V285" s="147">
        <v>0.5</v>
      </c>
      <c r="W285" s="148">
        <f t="shared" si="28"/>
        <v>0.1388888888888889</v>
      </c>
      <c r="X285" s="81" t="s">
        <v>793</v>
      </c>
    </row>
    <row r="286" spans="1:25" s="113" customFormat="1" ht="47.25" x14ac:dyDescent="0.25">
      <c r="A286" s="140">
        <f t="shared" si="27"/>
        <v>6</v>
      </c>
      <c r="B286" s="157">
        <v>43868</v>
      </c>
      <c r="C286" s="157">
        <v>43868</v>
      </c>
      <c r="D286" s="320" t="s">
        <v>337</v>
      </c>
      <c r="E286" s="79">
        <v>1000456830</v>
      </c>
      <c r="F286" s="153">
        <v>420</v>
      </c>
      <c r="G286" s="137" t="s">
        <v>72</v>
      </c>
      <c r="H286" s="158" t="s">
        <v>705</v>
      </c>
      <c r="I286" s="79" t="s">
        <v>781</v>
      </c>
      <c r="J286" s="139" t="s">
        <v>19</v>
      </c>
      <c r="K286" s="139" t="s">
        <v>66</v>
      </c>
      <c r="L286" s="98" t="s">
        <v>55</v>
      </c>
      <c r="M286" s="79">
        <v>80</v>
      </c>
      <c r="N286" s="139" t="s">
        <v>51</v>
      </c>
      <c r="O286" s="139">
        <v>38</v>
      </c>
      <c r="P286" s="138">
        <v>0.5</v>
      </c>
      <c r="Q286" s="147">
        <v>0.54513888888888895</v>
      </c>
      <c r="R286" s="147">
        <v>0.55902777777777779</v>
      </c>
      <c r="S286" s="147">
        <v>0.57986111111111105</v>
      </c>
      <c r="T286" s="138">
        <f t="shared" si="26"/>
        <v>1.388888888888884E-2</v>
      </c>
      <c r="U286" s="138">
        <f t="shared" si="26"/>
        <v>2.0833333333333259E-2</v>
      </c>
      <c r="V286" s="147">
        <v>0.60416666666666663</v>
      </c>
      <c r="W286" s="148">
        <f t="shared" si="28"/>
        <v>5.9027777777777679E-2</v>
      </c>
      <c r="X286" s="81"/>
    </row>
    <row r="287" spans="1:25" s="113" customFormat="1" x14ac:dyDescent="0.25">
      <c r="A287" s="140">
        <f t="shared" si="27"/>
        <v>6</v>
      </c>
      <c r="B287" s="157">
        <v>43868</v>
      </c>
      <c r="C287" s="157">
        <v>43868</v>
      </c>
      <c r="D287" s="320" t="s">
        <v>337</v>
      </c>
      <c r="E287" s="79">
        <v>1000456835</v>
      </c>
      <c r="F287" s="153"/>
      <c r="G287" s="137" t="s">
        <v>597</v>
      </c>
      <c r="H287" s="158" t="s">
        <v>573</v>
      </c>
      <c r="I287" s="79" t="s">
        <v>760</v>
      </c>
      <c r="J287" s="139" t="s">
        <v>19</v>
      </c>
      <c r="K287" s="139"/>
      <c r="L287" s="98" t="s">
        <v>55</v>
      </c>
      <c r="M287" s="79">
        <v>80</v>
      </c>
      <c r="N287" s="139" t="s">
        <v>51</v>
      </c>
      <c r="O287" s="139">
        <v>42</v>
      </c>
      <c r="P287" s="138">
        <v>0.5</v>
      </c>
      <c r="Q287" s="147">
        <v>0.75416666666666676</v>
      </c>
      <c r="R287" s="147">
        <v>0.77083333333333337</v>
      </c>
      <c r="S287" s="147">
        <v>0.79166666666666663</v>
      </c>
      <c r="T287" s="138">
        <f t="shared" si="26"/>
        <v>1.6666666666666607E-2</v>
      </c>
      <c r="U287" s="138">
        <f t="shared" si="26"/>
        <v>2.0833333333333259E-2</v>
      </c>
      <c r="V287" s="147">
        <v>0.79861111111111116</v>
      </c>
      <c r="W287" s="148">
        <f t="shared" si="28"/>
        <v>4.4444444444444398E-2</v>
      </c>
      <c r="X287" s="81"/>
    </row>
    <row r="288" spans="1:25" s="113" customFormat="1" ht="32.25" thickBot="1" x14ac:dyDescent="0.3">
      <c r="A288" s="185">
        <f t="shared" si="27"/>
        <v>6</v>
      </c>
      <c r="B288" s="186">
        <v>43868</v>
      </c>
      <c r="C288" s="186">
        <v>43868</v>
      </c>
      <c r="D288" s="319" t="s">
        <v>337</v>
      </c>
      <c r="E288" s="172">
        <v>1000456840</v>
      </c>
      <c r="F288" s="187">
        <v>240</v>
      </c>
      <c r="G288" s="185" t="s">
        <v>342</v>
      </c>
      <c r="H288" s="188" t="s">
        <v>772</v>
      </c>
      <c r="I288" s="172" t="s">
        <v>783</v>
      </c>
      <c r="J288" s="189" t="s">
        <v>19</v>
      </c>
      <c r="K288" s="189" t="s">
        <v>66</v>
      </c>
      <c r="L288" s="172" t="s">
        <v>55</v>
      </c>
      <c r="M288" s="172">
        <v>80</v>
      </c>
      <c r="N288" s="189" t="s">
        <v>51</v>
      </c>
      <c r="O288" s="189">
        <v>38</v>
      </c>
      <c r="P288" s="190">
        <v>0.54166666666666663</v>
      </c>
      <c r="Q288" s="191">
        <v>0.51388888888888895</v>
      </c>
      <c r="R288" s="191">
        <v>0.52083333333333337</v>
      </c>
      <c r="S288" s="191">
        <v>0.54166666666666663</v>
      </c>
      <c r="T288" s="190">
        <f t="shared" si="26"/>
        <v>6.9444444444444198E-3</v>
      </c>
      <c r="U288" s="190">
        <f t="shared" si="26"/>
        <v>2.0833333333333259E-2</v>
      </c>
      <c r="V288" s="191">
        <v>0.5625</v>
      </c>
      <c r="W288" s="191">
        <f t="shared" si="28"/>
        <v>4.8611111111111049E-2</v>
      </c>
      <c r="X288" s="174"/>
      <c r="Y288" s="268"/>
    </row>
    <row r="289" spans="1:25" s="113" customFormat="1" x14ac:dyDescent="0.25">
      <c r="A289" s="140">
        <f t="shared" si="27"/>
        <v>6</v>
      </c>
      <c r="B289" s="157">
        <v>43869</v>
      </c>
      <c r="C289" s="157">
        <v>43869</v>
      </c>
      <c r="D289" s="102" t="s">
        <v>337</v>
      </c>
      <c r="E289" s="98"/>
      <c r="F289" s="177"/>
      <c r="G289" s="140" t="s">
        <v>53</v>
      </c>
      <c r="H289" s="178" t="s">
        <v>317</v>
      </c>
      <c r="I289" s="143" t="s">
        <v>54</v>
      </c>
      <c r="J289" s="142"/>
      <c r="K289" s="142"/>
      <c r="L289" s="98" t="s">
        <v>55</v>
      </c>
      <c r="M289" s="98"/>
      <c r="N289" s="142"/>
      <c r="O289" s="142">
        <v>24</v>
      </c>
      <c r="P289" s="179">
        <v>0.66666666666666663</v>
      </c>
      <c r="Q289" s="148">
        <v>0.62152777777777779</v>
      </c>
      <c r="R289" s="148">
        <v>0.63888888888888895</v>
      </c>
      <c r="S289" s="148">
        <v>0.66666666666666663</v>
      </c>
      <c r="T289" s="179">
        <f t="shared" si="26"/>
        <v>1.736111111111116E-2</v>
      </c>
      <c r="U289" s="179">
        <f t="shared" si="26"/>
        <v>2.7777777777777679E-2</v>
      </c>
      <c r="V289" s="148">
        <v>0.67361111111111116</v>
      </c>
      <c r="W289" s="148">
        <f t="shared" si="28"/>
        <v>5.208333333333337E-2</v>
      </c>
      <c r="X289" s="96" t="s">
        <v>804</v>
      </c>
    </row>
    <row r="290" spans="1:25" s="113" customFormat="1" x14ac:dyDescent="0.25">
      <c r="A290" s="140">
        <f t="shared" si="27"/>
        <v>6</v>
      </c>
      <c r="B290" s="157">
        <v>43869</v>
      </c>
      <c r="C290" s="157">
        <v>43869</v>
      </c>
      <c r="D290" s="100" t="s">
        <v>337</v>
      </c>
      <c r="E290" s="79"/>
      <c r="F290" s="153"/>
      <c r="G290" s="137" t="s">
        <v>56</v>
      </c>
      <c r="H290" s="158" t="s">
        <v>57</v>
      </c>
      <c r="I290" s="143" t="s">
        <v>58</v>
      </c>
      <c r="J290" s="139"/>
      <c r="K290" s="139"/>
      <c r="L290" s="98" t="s">
        <v>55</v>
      </c>
      <c r="M290" s="79"/>
      <c r="N290" s="139"/>
      <c r="O290" s="139">
        <v>20</v>
      </c>
      <c r="P290" s="138">
        <v>0.70833333333333337</v>
      </c>
      <c r="Q290" s="147">
        <v>0.68194444444444446</v>
      </c>
      <c r="R290" s="147">
        <v>0.69097222222222221</v>
      </c>
      <c r="S290" s="147">
        <v>0.71180555555555547</v>
      </c>
      <c r="T290" s="138">
        <f t="shared" si="26"/>
        <v>9.0277777777777457E-3</v>
      </c>
      <c r="U290" s="138">
        <f t="shared" si="26"/>
        <v>2.0833333333333259E-2</v>
      </c>
      <c r="V290" s="147">
        <v>0.71527777777777779</v>
      </c>
      <c r="W290" s="148">
        <f t="shared" si="28"/>
        <v>3.3333333333333326E-2</v>
      </c>
      <c r="X290" s="81"/>
    </row>
    <row r="291" spans="1:25" s="113" customFormat="1" x14ac:dyDescent="0.25">
      <c r="A291" s="140">
        <f t="shared" si="27"/>
        <v>6</v>
      </c>
      <c r="B291" s="157">
        <v>43869</v>
      </c>
      <c r="C291" s="157">
        <v>43869</v>
      </c>
      <c r="D291" s="100" t="s">
        <v>361</v>
      </c>
      <c r="E291" s="79"/>
      <c r="F291" s="153"/>
      <c r="G291" s="137" t="s">
        <v>59</v>
      </c>
      <c r="H291" s="158" t="s">
        <v>470</v>
      </c>
      <c r="I291" s="313" t="s">
        <v>60</v>
      </c>
      <c r="J291" s="139"/>
      <c r="K291" s="139"/>
      <c r="L291" s="98" t="s">
        <v>55</v>
      </c>
      <c r="M291" s="79"/>
      <c r="N291" s="139"/>
      <c r="O291" s="139">
        <v>13</v>
      </c>
      <c r="P291" s="138">
        <v>0.70833333333333337</v>
      </c>
      <c r="Q291" s="147">
        <v>0.7006944444444444</v>
      </c>
      <c r="R291" s="147">
        <v>0.71527777777777779</v>
      </c>
      <c r="S291" s="147">
        <v>0.72916666666666663</v>
      </c>
      <c r="T291" s="138">
        <f t="shared" si="26"/>
        <v>1.4583333333333393E-2</v>
      </c>
      <c r="U291" s="138">
        <f t="shared" si="26"/>
        <v>1.388888888888884E-2</v>
      </c>
      <c r="V291" s="147">
        <v>0.73263888888888884</v>
      </c>
      <c r="W291" s="148">
        <f t="shared" si="28"/>
        <v>3.1944444444444442E-2</v>
      </c>
      <c r="X291" s="81" t="s">
        <v>805</v>
      </c>
    </row>
    <row r="292" spans="1:25" s="113" customFormat="1" x14ac:dyDescent="0.25">
      <c r="A292" s="140">
        <f t="shared" si="27"/>
        <v>6</v>
      </c>
      <c r="B292" s="157">
        <v>43869</v>
      </c>
      <c r="C292" s="157">
        <v>43869</v>
      </c>
      <c r="D292" s="100" t="s">
        <v>361</v>
      </c>
      <c r="E292" s="79"/>
      <c r="F292" s="153"/>
      <c r="G292" s="137" t="s">
        <v>61</v>
      </c>
      <c r="H292" s="158" t="s">
        <v>62</v>
      </c>
      <c r="I292" s="306" t="s">
        <v>63</v>
      </c>
      <c r="J292" s="139"/>
      <c r="K292" s="139"/>
      <c r="L292" s="98" t="s">
        <v>55</v>
      </c>
      <c r="M292" s="79"/>
      <c r="N292" s="139"/>
      <c r="O292" s="139">
        <v>18</v>
      </c>
      <c r="P292" s="138">
        <v>0.75</v>
      </c>
      <c r="Q292" s="147">
        <v>0.74513888888888891</v>
      </c>
      <c r="R292" s="147">
        <v>0.75555555555555554</v>
      </c>
      <c r="S292" s="147">
        <v>0.77083333333333337</v>
      </c>
      <c r="T292" s="138">
        <f t="shared" si="26"/>
        <v>1.041666666666663E-2</v>
      </c>
      <c r="U292" s="138">
        <f t="shared" si="26"/>
        <v>1.5277777777777835E-2</v>
      </c>
      <c r="V292" s="147">
        <v>0.77430555555555547</v>
      </c>
      <c r="W292" s="148">
        <f t="shared" si="28"/>
        <v>2.9166666666666563E-2</v>
      </c>
      <c r="X292" s="81"/>
    </row>
    <row r="293" spans="1:25" s="113" customFormat="1" x14ac:dyDescent="0.25">
      <c r="A293" s="140">
        <f t="shared" si="27"/>
        <v>6</v>
      </c>
      <c r="B293" s="157">
        <v>43869</v>
      </c>
      <c r="C293" s="157">
        <v>43869</v>
      </c>
      <c r="D293" s="100" t="s">
        <v>361</v>
      </c>
      <c r="E293" s="79"/>
      <c r="F293" s="153"/>
      <c r="G293" s="137" t="s">
        <v>64</v>
      </c>
      <c r="H293" s="158" t="s">
        <v>65</v>
      </c>
      <c r="I293" s="306" t="s">
        <v>355</v>
      </c>
      <c r="J293" s="139"/>
      <c r="K293" s="139"/>
      <c r="L293" s="98" t="s">
        <v>55</v>
      </c>
      <c r="M293" s="79"/>
      <c r="N293" s="139"/>
      <c r="O293" s="139">
        <v>30</v>
      </c>
      <c r="P293" s="138">
        <v>0.79166666666666663</v>
      </c>
      <c r="Q293" s="147">
        <v>0.79722222222222217</v>
      </c>
      <c r="R293" s="147">
        <v>0.80555555555555547</v>
      </c>
      <c r="S293" s="147">
        <v>0.81944444444444453</v>
      </c>
      <c r="T293" s="138">
        <f t="shared" si="26"/>
        <v>8.3333333333333037E-3</v>
      </c>
      <c r="U293" s="138">
        <f t="shared" si="26"/>
        <v>1.3888888888889062E-2</v>
      </c>
      <c r="V293" s="147">
        <v>0.82291666666666663</v>
      </c>
      <c r="W293" s="148">
        <f t="shared" si="28"/>
        <v>2.5694444444444464E-2</v>
      </c>
      <c r="X293" s="81"/>
    </row>
    <row r="294" spans="1:25" s="113" customFormat="1" x14ac:dyDescent="0.25">
      <c r="A294" s="140">
        <f t="shared" si="27"/>
        <v>6</v>
      </c>
      <c r="B294" s="157">
        <v>43869</v>
      </c>
      <c r="C294" s="157">
        <v>43869</v>
      </c>
      <c r="D294" s="100" t="s">
        <v>337</v>
      </c>
      <c r="E294" s="79"/>
      <c r="F294" s="153"/>
      <c r="G294" s="137" t="s">
        <v>77</v>
      </c>
      <c r="H294" s="158" t="s">
        <v>80</v>
      </c>
      <c r="I294" s="306" t="s">
        <v>78</v>
      </c>
      <c r="J294" s="139"/>
      <c r="K294" s="139"/>
      <c r="L294" s="98" t="s">
        <v>55</v>
      </c>
      <c r="M294" s="79"/>
      <c r="N294" s="139"/>
      <c r="O294" s="139">
        <v>16</v>
      </c>
      <c r="P294" s="138">
        <v>0.83333333333333337</v>
      </c>
      <c r="Q294" s="147">
        <v>0.85763888888888884</v>
      </c>
      <c r="R294" s="147">
        <v>0.86111111111111116</v>
      </c>
      <c r="S294" s="147">
        <v>0.86805555555555547</v>
      </c>
      <c r="T294" s="138">
        <f t="shared" si="26"/>
        <v>3.4722222222223209E-3</v>
      </c>
      <c r="U294" s="138">
        <f t="shared" si="26"/>
        <v>6.9444444444443088E-3</v>
      </c>
      <c r="V294" s="147">
        <v>0.87152777777777779</v>
      </c>
      <c r="W294" s="148">
        <f t="shared" si="28"/>
        <v>1.3888888888888951E-2</v>
      </c>
      <c r="X294" s="81"/>
    </row>
    <row r="295" spans="1:25" s="113" customFormat="1" x14ac:dyDescent="0.25">
      <c r="A295" s="140">
        <f t="shared" si="27"/>
        <v>6</v>
      </c>
      <c r="B295" s="157">
        <v>43869</v>
      </c>
      <c r="C295" s="157">
        <v>43869</v>
      </c>
      <c r="D295" s="100" t="s">
        <v>361</v>
      </c>
      <c r="E295" s="79"/>
      <c r="F295" s="153"/>
      <c r="G295" s="137" t="s">
        <v>493</v>
      </c>
      <c r="H295" s="158" t="s">
        <v>330</v>
      </c>
      <c r="I295" s="340" t="s">
        <v>738</v>
      </c>
      <c r="J295" s="139"/>
      <c r="K295" s="139"/>
      <c r="L295" s="98" t="s">
        <v>55</v>
      </c>
      <c r="M295" s="79"/>
      <c r="N295" s="139"/>
      <c r="O295" s="139">
        <v>23</v>
      </c>
      <c r="P295" s="138">
        <v>0.83333333333333337</v>
      </c>
      <c r="Q295" s="147">
        <v>0.82916666666666661</v>
      </c>
      <c r="R295" s="147">
        <v>0.83333333333333337</v>
      </c>
      <c r="S295" s="147">
        <v>0.85069444444444453</v>
      </c>
      <c r="T295" s="138">
        <f t="shared" si="26"/>
        <v>4.1666666666667629E-3</v>
      </c>
      <c r="U295" s="138">
        <f t="shared" si="26"/>
        <v>1.736111111111116E-2</v>
      </c>
      <c r="V295" s="147">
        <v>0.86111111111111116</v>
      </c>
      <c r="W295" s="148">
        <f t="shared" si="28"/>
        <v>3.1944444444444553E-2</v>
      </c>
      <c r="X295" s="81"/>
    </row>
    <row r="296" spans="1:25" s="113" customFormat="1" x14ac:dyDescent="0.25">
      <c r="A296" s="140">
        <f t="shared" si="27"/>
        <v>6</v>
      </c>
      <c r="B296" s="157">
        <v>43869</v>
      </c>
      <c r="C296" s="157">
        <v>43869</v>
      </c>
      <c r="D296" s="100" t="s">
        <v>337</v>
      </c>
      <c r="E296" s="79"/>
      <c r="F296" s="153"/>
      <c r="G296" s="137" t="s">
        <v>736</v>
      </c>
      <c r="H296" s="158" t="s">
        <v>76</v>
      </c>
      <c r="I296" s="340" t="s">
        <v>794</v>
      </c>
      <c r="J296" s="139"/>
      <c r="K296" s="139"/>
      <c r="L296" s="98" t="s">
        <v>55</v>
      </c>
      <c r="M296" s="79"/>
      <c r="N296" s="139"/>
      <c r="O296" s="139">
        <v>21</v>
      </c>
      <c r="P296" s="138">
        <v>0.875</v>
      </c>
      <c r="Q296" s="147">
        <v>0.82291666666666663</v>
      </c>
      <c r="R296" s="147">
        <v>0.82986111111111116</v>
      </c>
      <c r="S296" s="147">
        <v>0.83680555555555547</v>
      </c>
      <c r="T296" s="138">
        <f t="shared" si="26"/>
        <v>6.9444444444445308E-3</v>
      </c>
      <c r="U296" s="138">
        <f t="shared" si="26"/>
        <v>6.9444444444443088E-3</v>
      </c>
      <c r="V296" s="147">
        <v>0.84375</v>
      </c>
      <c r="W296" s="148">
        <f t="shared" si="28"/>
        <v>2.083333333333337E-2</v>
      </c>
      <c r="X296" s="81"/>
    </row>
    <row r="297" spans="1:25" s="113" customFormat="1" x14ac:dyDescent="0.25">
      <c r="A297" s="140">
        <f t="shared" si="27"/>
        <v>6</v>
      </c>
      <c r="B297" s="157">
        <v>43869</v>
      </c>
      <c r="C297" s="157">
        <v>43869</v>
      </c>
      <c r="D297" s="100"/>
      <c r="E297" s="79"/>
      <c r="F297" s="153"/>
      <c r="G297" s="137" t="s">
        <v>690</v>
      </c>
      <c r="H297" s="158" t="s">
        <v>802</v>
      </c>
      <c r="I297" s="194">
        <v>3202697602</v>
      </c>
      <c r="J297" s="139" t="s">
        <v>19</v>
      </c>
      <c r="K297" s="139"/>
      <c r="L297" s="98" t="s">
        <v>55</v>
      </c>
      <c r="M297" s="79"/>
      <c r="N297" s="139"/>
      <c r="O297" s="139">
        <v>3</v>
      </c>
      <c r="P297" s="138"/>
      <c r="Q297" s="147"/>
      <c r="R297" s="147"/>
      <c r="S297" s="147"/>
      <c r="T297" s="138"/>
      <c r="U297" s="138"/>
      <c r="V297" s="147"/>
      <c r="W297" s="148">
        <f t="shared" si="28"/>
        <v>0</v>
      </c>
      <c r="X297" s="81"/>
      <c r="Y297" s="268"/>
    </row>
    <row r="298" spans="1:25" s="113" customFormat="1" x14ac:dyDescent="0.25">
      <c r="A298" s="79">
        <f t="shared" si="27"/>
        <v>6</v>
      </c>
      <c r="B298" s="349">
        <v>43869</v>
      </c>
      <c r="C298" s="349">
        <v>43869</v>
      </c>
      <c r="D298" s="350" t="s">
        <v>337</v>
      </c>
      <c r="E298" s="79">
        <v>1000456822</v>
      </c>
      <c r="F298" s="79">
        <v>180</v>
      </c>
      <c r="G298" s="79" t="s">
        <v>373</v>
      </c>
      <c r="H298" s="245" t="s">
        <v>792</v>
      </c>
      <c r="I298" s="79" t="s">
        <v>788</v>
      </c>
      <c r="J298" s="79" t="s">
        <v>19</v>
      </c>
      <c r="K298" s="79"/>
      <c r="L298" s="79" t="s">
        <v>55</v>
      </c>
      <c r="M298" s="79">
        <v>80</v>
      </c>
      <c r="N298" s="79" t="s">
        <v>51</v>
      </c>
      <c r="O298" s="79">
        <v>37</v>
      </c>
      <c r="P298" s="138">
        <v>0.45833333333333331</v>
      </c>
      <c r="Q298" s="138">
        <v>0.41666666666666669</v>
      </c>
      <c r="R298" s="138">
        <v>0.4513888888888889</v>
      </c>
      <c r="S298" s="138">
        <v>0.47222222222222227</v>
      </c>
      <c r="T298" s="138">
        <f t="shared" si="26"/>
        <v>3.472222222222221E-2</v>
      </c>
      <c r="U298" s="138">
        <f t="shared" si="26"/>
        <v>2.083333333333337E-2</v>
      </c>
      <c r="V298" s="138">
        <v>0.47916666666666669</v>
      </c>
      <c r="W298" s="148">
        <f t="shared" si="28"/>
        <v>6.25E-2</v>
      </c>
      <c r="X298" s="81"/>
      <c r="Y298" s="268"/>
    </row>
    <row r="299" spans="1:25" s="113" customFormat="1" ht="31.5" x14ac:dyDescent="0.25">
      <c r="A299" s="140">
        <f t="shared" si="27"/>
        <v>6</v>
      </c>
      <c r="B299" s="157">
        <v>43869</v>
      </c>
      <c r="C299" s="157">
        <v>43869</v>
      </c>
      <c r="D299" s="102" t="s">
        <v>361</v>
      </c>
      <c r="E299" s="98">
        <v>1000456814</v>
      </c>
      <c r="F299" s="177">
        <v>360</v>
      </c>
      <c r="G299" s="140" t="s">
        <v>372</v>
      </c>
      <c r="H299" s="178" t="s">
        <v>772</v>
      </c>
      <c r="I299" s="98" t="s">
        <v>787</v>
      </c>
      <c r="J299" s="142" t="s">
        <v>19</v>
      </c>
      <c r="K299" s="142"/>
      <c r="L299" s="98" t="s">
        <v>55</v>
      </c>
      <c r="M299" s="98">
        <v>80</v>
      </c>
      <c r="N299" s="142" t="s">
        <v>51</v>
      </c>
      <c r="O299" s="142">
        <v>40</v>
      </c>
      <c r="P299" s="179">
        <v>0.45833333333333331</v>
      </c>
      <c r="Q299" s="148">
        <v>0.44444444444444442</v>
      </c>
      <c r="R299" s="148">
        <v>0.47916666666666669</v>
      </c>
      <c r="S299" s="148">
        <v>0.5</v>
      </c>
      <c r="T299" s="179">
        <f t="shared" si="26"/>
        <v>3.4722222222222265E-2</v>
      </c>
      <c r="U299" s="179">
        <f t="shared" si="26"/>
        <v>2.0833333333333315E-2</v>
      </c>
      <c r="V299" s="148">
        <v>0.51041666666666663</v>
      </c>
      <c r="W299" s="148">
        <f t="shared" si="28"/>
        <v>6.597222222222221E-2</v>
      </c>
      <c r="X299" s="96"/>
    </row>
    <row r="300" spans="1:25" s="113" customFormat="1" ht="32.25" thickBot="1" x14ac:dyDescent="0.3">
      <c r="A300" s="185">
        <f t="shared" si="27"/>
        <v>6</v>
      </c>
      <c r="B300" s="186">
        <v>43869</v>
      </c>
      <c r="C300" s="186">
        <v>43869</v>
      </c>
      <c r="D300" s="236" t="s">
        <v>337</v>
      </c>
      <c r="E300" s="172">
        <v>1000456836</v>
      </c>
      <c r="F300" s="187">
        <v>180</v>
      </c>
      <c r="G300" s="185" t="s">
        <v>628</v>
      </c>
      <c r="H300" s="188" t="s">
        <v>791</v>
      </c>
      <c r="I300" s="172" t="s">
        <v>784</v>
      </c>
      <c r="J300" s="189" t="s">
        <v>19</v>
      </c>
      <c r="K300" s="189"/>
      <c r="L300" s="172" t="s">
        <v>55</v>
      </c>
      <c r="M300" s="172">
        <v>80</v>
      </c>
      <c r="N300" s="189"/>
      <c r="O300" s="189">
        <v>44</v>
      </c>
      <c r="P300" s="190">
        <v>0.5</v>
      </c>
      <c r="Q300" s="191">
        <v>0.69791666666666663</v>
      </c>
      <c r="R300" s="191">
        <v>0.72916666666666663</v>
      </c>
      <c r="S300" s="191">
        <v>0.75347222222222221</v>
      </c>
      <c r="T300" s="190">
        <f t="shared" si="26"/>
        <v>3.125E-2</v>
      </c>
      <c r="U300" s="190">
        <f t="shared" si="26"/>
        <v>2.430555555555558E-2</v>
      </c>
      <c r="V300" s="191">
        <v>0.76041666666666663</v>
      </c>
      <c r="W300" s="191">
        <f t="shared" si="28"/>
        <v>6.25E-2</v>
      </c>
      <c r="X300" s="174"/>
      <c r="Y300" s="268"/>
    </row>
    <row r="301" spans="1:25" s="113" customFormat="1" x14ac:dyDescent="0.25">
      <c r="A301" s="140">
        <f t="shared" si="27"/>
        <v>7</v>
      </c>
      <c r="B301" s="157">
        <v>43872</v>
      </c>
      <c r="C301" s="157">
        <v>43872</v>
      </c>
      <c r="D301" s="100" t="s">
        <v>361</v>
      </c>
      <c r="E301" s="98"/>
      <c r="F301" s="177">
        <v>540</v>
      </c>
      <c r="G301" s="140" t="s">
        <v>53</v>
      </c>
      <c r="H301" s="178" t="s">
        <v>80</v>
      </c>
      <c r="I301" s="143" t="s">
        <v>54</v>
      </c>
      <c r="J301" s="142"/>
      <c r="K301" s="142"/>
      <c r="L301" s="98" t="s">
        <v>55</v>
      </c>
      <c r="M301" s="98"/>
      <c r="N301" s="142"/>
      <c r="O301" s="108">
        <v>31</v>
      </c>
      <c r="P301" s="179">
        <v>0.66666666666666663</v>
      </c>
      <c r="Q301" s="148">
        <v>0.65972222222222221</v>
      </c>
      <c r="R301" s="148">
        <v>0.66666666666666663</v>
      </c>
      <c r="S301" s="148">
        <v>0.6875</v>
      </c>
      <c r="T301" s="179">
        <f t="shared" si="26"/>
        <v>6.9444444444444198E-3</v>
      </c>
      <c r="U301" s="179">
        <f t="shared" si="26"/>
        <v>2.083333333333337E-2</v>
      </c>
      <c r="V301" s="148">
        <v>0.69097222222222221</v>
      </c>
      <c r="W301" s="148">
        <f t="shared" si="28"/>
        <v>3.125E-2</v>
      </c>
      <c r="X301" s="96"/>
    </row>
    <row r="302" spans="1:25" s="113" customFormat="1" x14ac:dyDescent="0.25">
      <c r="A302" s="140">
        <f t="shared" si="27"/>
        <v>7</v>
      </c>
      <c r="B302" s="157">
        <v>43872</v>
      </c>
      <c r="C302" s="157">
        <v>43872</v>
      </c>
      <c r="D302" s="350" t="s">
        <v>337</v>
      </c>
      <c r="E302" s="98"/>
      <c r="F302" s="177">
        <v>540</v>
      </c>
      <c r="G302" s="140" t="s">
        <v>56</v>
      </c>
      <c r="H302" s="178" t="s">
        <v>65</v>
      </c>
      <c r="I302" s="143" t="s">
        <v>58</v>
      </c>
      <c r="J302" s="142"/>
      <c r="K302" s="142"/>
      <c r="L302" s="98" t="s">
        <v>55</v>
      </c>
      <c r="M302" s="98"/>
      <c r="N302" s="142"/>
      <c r="O302" s="108">
        <v>27</v>
      </c>
      <c r="P302" s="179">
        <v>0.70833333333333337</v>
      </c>
      <c r="Q302" s="148">
        <v>0.69791666666666663</v>
      </c>
      <c r="R302" s="148">
        <v>0.71180555555555547</v>
      </c>
      <c r="S302" s="148">
        <v>0.72569444444444453</v>
      </c>
      <c r="T302" s="179">
        <f t="shared" si="26"/>
        <v>1.388888888888884E-2</v>
      </c>
      <c r="U302" s="179">
        <f t="shared" si="26"/>
        <v>1.3888888888889062E-2</v>
      </c>
      <c r="V302" s="148">
        <v>0.73263888888888884</v>
      </c>
      <c r="W302" s="148">
        <f t="shared" si="28"/>
        <v>3.472222222222221E-2</v>
      </c>
      <c r="X302" s="96"/>
    </row>
    <row r="303" spans="1:25" s="113" customFormat="1" x14ac:dyDescent="0.25">
      <c r="A303" s="140">
        <f t="shared" si="27"/>
        <v>7</v>
      </c>
      <c r="B303" s="157">
        <v>43872</v>
      </c>
      <c r="C303" s="157">
        <v>43872</v>
      </c>
      <c r="D303" s="350" t="s">
        <v>337</v>
      </c>
      <c r="E303" s="98"/>
      <c r="F303" s="177">
        <v>540</v>
      </c>
      <c r="G303" s="140" t="s">
        <v>59</v>
      </c>
      <c r="H303" s="178" t="s">
        <v>667</v>
      </c>
      <c r="I303" s="143" t="s">
        <v>60</v>
      </c>
      <c r="J303" s="142"/>
      <c r="K303" s="142"/>
      <c r="L303" s="98" t="s">
        <v>55</v>
      </c>
      <c r="M303" s="98"/>
      <c r="N303" s="142"/>
      <c r="O303" s="108">
        <v>19</v>
      </c>
      <c r="P303" s="179">
        <v>0.70833333333333337</v>
      </c>
      <c r="Q303" s="148">
        <v>0.6875</v>
      </c>
      <c r="R303" s="148">
        <v>0.69444444444444453</v>
      </c>
      <c r="S303" s="148">
        <v>0.70833333333333337</v>
      </c>
      <c r="T303" s="179">
        <f t="shared" si="26"/>
        <v>6.9444444444445308E-3</v>
      </c>
      <c r="U303" s="179">
        <f t="shared" si="26"/>
        <v>1.388888888888884E-2</v>
      </c>
      <c r="V303" s="148">
        <v>0.70833333333333337</v>
      </c>
      <c r="W303" s="148">
        <f t="shared" si="28"/>
        <v>2.083333333333337E-2</v>
      </c>
      <c r="X303" s="96"/>
    </row>
    <row r="304" spans="1:25" s="113" customFormat="1" x14ac:dyDescent="0.25">
      <c r="A304" s="140">
        <f t="shared" si="27"/>
        <v>7</v>
      </c>
      <c r="B304" s="157">
        <v>43872</v>
      </c>
      <c r="C304" s="157">
        <v>43872</v>
      </c>
      <c r="D304" s="350" t="s">
        <v>337</v>
      </c>
      <c r="E304" s="79"/>
      <c r="F304" s="153">
        <v>540</v>
      </c>
      <c r="G304" s="137" t="s">
        <v>61</v>
      </c>
      <c r="H304" s="158" t="s">
        <v>330</v>
      </c>
      <c r="I304" s="306" t="s">
        <v>63</v>
      </c>
      <c r="J304" s="139"/>
      <c r="K304" s="139"/>
      <c r="L304" s="98" t="s">
        <v>55</v>
      </c>
      <c r="M304" s="79"/>
      <c r="N304" s="139"/>
      <c r="O304" s="139">
        <v>31</v>
      </c>
      <c r="P304" s="138">
        <v>0.75</v>
      </c>
      <c r="Q304" s="147">
        <v>0.72569444444444453</v>
      </c>
      <c r="R304" s="147">
        <v>0.76388888888888884</v>
      </c>
      <c r="S304" s="147">
        <v>0.78125</v>
      </c>
      <c r="T304" s="138">
        <f t="shared" si="26"/>
        <v>3.8194444444444309E-2</v>
      </c>
      <c r="U304" s="138">
        <f t="shared" si="26"/>
        <v>1.736111111111116E-2</v>
      </c>
      <c r="V304" s="147">
        <v>0.78472222222222221</v>
      </c>
      <c r="W304" s="148">
        <f t="shared" si="28"/>
        <v>5.9027777777777679E-2</v>
      </c>
      <c r="X304" s="81" t="s">
        <v>821</v>
      </c>
    </row>
    <row r="305" spans="1:24" s="113" customFormat="1" x14ac:dyDescent="0.25">
      <c r="A305" s="140">
        <f t="shared" si="27"/>
        <v>7</v>
      </c>
      <c r="B305" s="157">
        <v>43872</v>
      </c>
      <c r="C305" s="157">
        <v>43872</v>
      </c>
      <c r="D305" s="100" t="s">
        <v>361</v>
      </c>
      <c r="E305" s="79"/>
      <c r="F305" s="153">
        <v>540</v>
      </c>
      <c r="G305" s="137" t="s">
        <v>64</v>
      </c>
      <c r="H305" s="158" t="s">
        <v>62</v>
      </c>
      <c r="I305" s="306" t="s">
        <v>355</v>
      </c>
      <c r="J305" s="139"/>
      <c r="K305" s="139"/>
      <c r="L305" s="98" t="s">
        <v>55</v>
      </c>
      <c r="M305" s="79"/>
      <c r="N305" s="139"/>
      <c r="O305" s="139">
        <v>28</v>
      </c>
      <c r="P305" s="138">
        <v>0.75</v>
      </c>
      <c r="Q305" s="147">
        <v>0.73611111111111116</v>
      </c>
      <c r="R305" s="147">
        <v>0.78125</v>
      </c>
      <c r="S305" s="147">
        <v>0.79861111111111116</v>
      </c>
      <c r="T305" s="138">
        <f t="shared" si="26"/>
        <v>4.513888888888884E-2</v>
      </c>
      <c r="U305" s="138">
        <f t="shared" si="26"/>
        <v>1.736111111111116E-2</v>
      </c>
      <c r="V305" s="147">
        <v>0.80555555555555547</v>
      </c>
      <c r="W305" s="148">
        <f t="shared" si="28"/>
        <v>6.9444444444444309E-2</v>
      </c>
      <c r="X305" s="81" t="s">
        <v>821</v>
      </c>
    </row>
    <row r="306" spans="1:24" s="113" customFormat="1" x14ac:dyDescent="0.25">
      <c r="A306" s="140">
        <f t="shared" si="27"/>
        <v>7</v>
      </c>
      <c r="B306" s="157">
        <v>43872</v>
      </c>
      <c r="C306" s="157">
        <v>43872</v>
      </c>
      <c r="D306" s="350" t="s">
        <v>337</v>
      </c>
      <c r="E306" s="79"/>
      <c r="F306" s="153">
        <v>540</v>
      </c>
      <c r="G306" s="137" t="s">
        <v>77</v>
      </c>
      <c r="H306" s="158" t="s">
        <v>387</v>
      </c>
      <c r="I306" s="306" t="s">
        <v>78</v>
      </c>
      <c r="J306" s="139"/>
      <c r="K306" s="139"/>
      <c r="L306" s="98" t="s">
        <v>55</v>
      </c>
      <c r="M306" s="79"/>
      <c r="N306" s="139"/>
      <c r="O306" s="139">
        <v>33</v>
      </c>
      <c r="P306" s="138">
        <v>0.79166666666666663</v>
      </c>
      <c r="Q306" s="147">
        <v>0.71180555555555547</v>
      </c>
      <c r="R306" s="147">
        <v>0.80555555555555547</v>
      </c>
      <c r="S306" s="147">
        <v>0.81944444444444453</v>
      </c>
      <c r="T306" s="138">
        <f t="shared" si="26"/>
        <v>9.375E-2</v>
      </c>
      <c r="U306" s="138">
        <f t="shared" si="26"/>
        <v>1.3888888888889062E-2</v>
      </c>
      <c r="V306" s="147">
        <v>0.82291666666666663</v>
      </c>
      <c r="W306" s="148">
        <f t="shared" si="28"/>
        <v>0.11111111111111116</v>
      </c>
      <c r="X306" s="81" t="s">
        <v>822</v>
      </c>
    </row>
    <row r="307" spans="1:24" s="113" customFormat="1" x14ac:dyDescent="0.25">
      <c r="A307" s="140">
        <f t="shared" si="27"/>
        <v>7</v>
      </c>
      <c r="B307" s="157">
        <v>43872</v>
      </c>
      <c r="C307" s="157">
        <v>43872</v>
      </c>
      <c r="D307" s="350" t="s">
        <v>337</v>
      </c>
      <c r="E307" s="98"/>
      <c r="F307" s="177">
        <v>540</v>
      </c>
      <c r="G307" s="140" t="s">
        <v>493</v>
      </c>
      <c r="H307" s="178" t="s">
        <v>76</v>
      </c>
      <c r="I307" s="363" t="s">
        <v>72</v>
      </c>
      <c r="J307" s="142"/>
      <c r="K307" s="142"/>
      <c r="L307" s="98" t="s">
        <v>55</v>
      </c>
      <c r="M307" s="98"/>
      <c r="N307" s="142"/>
      <c r="O307" s="108">
        <v>2</v>
      </c>
      <c r="P307" s="179">
        <v>0.83333333333333337</v>
      </c>
      <c r="Q307" s="148">
        <v>0.79861111111111116</v>
      </c>
      <c r="R307" s="148">
        <v>0.84722222222222221</v>
      </c>
      <c r="S307" s="148">
        <v>0.85069444444444453</v>
      </c>
      <c r="T307" s="179">
        <f t="shared" si="26"/>
        <v>4.8611111111111049E-2</v>
      </c>
      <c r="U307" s="179">
        <f t="shared" si="26"/>
        <v>3.4722222222223209E-3</v>
      </c>
      <c r="V307" s="148">
        <v>0.85416666666666663</v>
      </c>
      <c r="W307" s="148">
        <f t="shared" si="28"/>
        <v>5.5555555555555469E-2</v>
      </c>
      <c r="X307" s="96"/>
    </row>
    <row r="308" spans="1:24" s="113" customFormat="1" x14ac:dyDescent="0.25">
      <c r="A308" s="140">
        <f t="shared" si="27"/>
        <v>7</v>
      </c>
      <c r="B308" s="157">
        <v>43872</v>
      </c>
      <c r="C308" s="157">
        <v>43872</v>
      </c>
      <c r="D308" s="100" t="s">
        <v>361</v>
      </c>
      <c r="E308" s="98"/>
      <c r="F308" s="177">
        <v>540</v>
      </c>
      <c r="G308" s="140" t="s">
        <v>736</v>
      </c>
      <c r="H308" s="178" t="s">
        <v>470</v>
      </c>
      <c r="I308" s="340" t="s">
        <v>738</v>
      </c>
      <c r="J308" s="142"/>
      <c r="K308" s="142"/>
      <c r="L308" s="98" t="s">
        <v>55</v>
      </c>
      <c r="M308" s="98"/>
      <c r="N308" s="142"/>
      <c r="O308" s="108">
        <v>17</v>
      </c>
      <c r="P308" s="179">
        <v>0.875</v>
      </c>
      <c r="Q308" s="148">
        <v>0.85763888888888884</v>
      </c>
      <c r="R308" s="148">
        <v>0.86111111111111116</v>
      </c>
      <c r="S308" s="148">
        <v>0.86805555555555547</v>
      </c>
      <c r="T308" s="179">
        <f t="shared" si="26"/>
        <v>3.4722222222223209E-3</v>
      </c>
      <c r="U308" s="179">
        <f t="shared" si="26"/>
        <v>6.9444444444443088E-3</v>
      </c>
      <c r="V308" s="148">
        <v>0.87152777777777779</v>
      </c>
      <c r="W308" s="148">
        <f t="shared" si="28"/>
        <v>1.3888888888888951E-2</v>
      </c>
      <c r="X308" s="96"/>
    </row>
    <row r="309" spans="1:24" s="113" customFormat="1" ht="16.5" thickBot="1" x14ac:dyDescent="0.3">
      <c r="A309" s="185">
        <f t="shared" si="27"/>
        <v>7</v>
      </c>
      <c r="B309" s="186">
        <v>43872</v>
      </c>
      <c r="C309" s="186">
        <v>43872</v>
      </c>
      <c r="D309" s="236" t="s">
        <v>361</v>
      </c>
      <c r="E309" s="172">
        <v>1000458919</v>
      </c>
      <c r="F309" s="187">
        <v>360</v>
      </c>
      <c r="G309" s="185" t="s">
        <v>67</v>
      </c>
      <c r="H309" s="188" t="s">
        <v>806</v>
      </c>
      <c r="I309" s="172" t="s">
        <v>803</v>
      </c>
      <c r="J309" s="189" t="s">
        <v>19</v>
      </c>
      <c r="K309" s="189"/>
      <c r="L309" s="172" t="s">
        <v>55</v>
      </c>
      <c r="M309" s="172">
        <v>80</v>
      </c>
      <c r="N309" s="189" t="s">
        <v>51</v>
      </c>
      <c r="O309" s="189">
        <v>41</v>
      </c>
      <c r="P309" s="190">
        <v>0.41666666666666669</v>
      </c>
      <c r="Q309" s="191">
        <v>0.39583333333333331</v>
      </c>
      <c r="R309" s="191">
        <v>0.40277777777777773</v>
      </c>
      <c r="S309" s="191">
        <v>0.44444444444444442</v>
      </c>
      <c r="T309" s="190">
        <f t="shared" si="26"/>
        <v>6.9444444444444198E-3</v>
      </c>
      <c r="U309" s="190">
        <f t="shared" si="26"/>
        <v>4.1666666666666685E-2</v>
      </c>
      <c r="V309" s="191">
        <v>0.44791666666666669</v>
      </c>
      <c r="W309" s="191">
        <f>U309-T309</f>
        <v>3.4722222222222265E-2</v>
      </c>
      <c r="X309" s="174" t="s">
        <v>812</v>
      </c>
    </row>
    <row r="310" spans="1:24" s="113" customFormat="1" x14ac:dyDescent="0.25">
      <c r="A310" s="140">
        <f t="shared" si="27"/>
        <v>7</v>
      </c>
      <c r="B310" s="157">
        <v>43873</v>
      </c>
      <c r="C310" s="157">
        <v>43873</v>
      </c>
      <c r="D310" s="100" t="s">
        <v>361</v>
      </c>
      <c r="E310" s="98"/>
      <c r="F310" s="177">
        <v>540</v>
      </c>
      <c r="G310" s="140" t="s">
        <v>53</v>
      </c>
      <c r="H310" s="178" t="s">
        <v>57</v>
      </c>
      <c r="I310" s="143" t="s">
        <v>54</v>
      </c>
      <c r="J310" s="142"/>
      <c r="K310" s="142"/>
      <c r="L310" s="98" t="s">
        <v>55</v>
      </c>
      <c r="M310" s="98"/>
      <c r="N310" s="142"/>
      <c r="O310" s="142">
        <v>30</v>
      </c>
      <c r="P310" s="179">
        <v>0.66666666666666663</v>
      </c>
      <c r="Q310" s="148">
        <v>0.67013888888888884</v>
      </c>
      <c r="R310" s="148">
        <v>0.67708333333333337</v>
      </c>
      <c r="S310" s="148">
        <v>0.69097222222222221</v>
      </c>
      <c r="T310" s="179">
        <f t="shared" si="26"/>
        <v>6.9444444444445308E-3</v>
      </c>
      <c r="U310" s="179">
        <f t="shared" si="26"/>
        <v>1.388888888888884E-2</v>
      </c>
      <c r="V310" s="148">
        <v>0.69791666666666663</v>
      </c>
      <c r="W310" s="148">
        <f>U310-T310</f>
        <v>6.9444444444443088E-3</v>
      </c>
      <c r="X310" s="96"/>
    </row>
    <row r="311" spans="1:24" s="113" customFormat="1" x14ac:dyDescent="0.25">
      <c r="A311" s="140">
        <f t="shared" si="27"/>
        <v>7</v>
      </c>
      <c r="B311" s="157">
        <v>43873</v>
      </c>
      <c r="C311" s="157">
        <v>43873</v>
      </c>
      <c r="D311" s="100" t="s">
        <v>361</v>
      </c>
      <c r="E311" s="98"/>
      <c r="F311" s="177">
        <v>540</v>
      </c>
      <c r="G311" s="140" t="s">
        <v>56</v>
      </c>
      <c r="H311" s="286" t="s">
        <v>65</v>
      </c>
      <c r="I311" s="143" t="s">
        <v>58</v>
      </c>
      <c r="J311" s="142"/>
      <c r="K311" s="142"/>
      <c r="L311" s="98" t="s">
        <v>55</v>
      </c>
      <c r="M311" s="98"/>
      <c r="N311" s="142"/>
      <c r="O311" s="108">
        <v>18</v>
      </c>
      <c r="P311" s="179">
        <v>0.70833333333333337</v>
      </c>
      <c r="Q311" s="148">
        <v>0.69444444444444453</v>
      </c>
      <c r="R311" s="148">
        <v>0.70833333333333337</v>
      </c>
      <c r="S311" s="148">
        <v>0.72222222222222221</v>
      </c>
      <c r="T311" s="179">
        <f t="shared" si="26"/>
        <v>1.388888888888884E-2</v>
      </c>
      <c r="U311" s="179">
        <f t="shared" si="26"/>
        <v>1.388888888888884E-2</v>
      </c>
      <c r="V311" s="148">
        <v>0.72916666666666663</v>
      </c>
      <c r="W311" s="148">
        <f>U311-T311</f>
        <v>0</v>
      </c>
      <c r="X311" s="96"/>
    </row>
    <row r="312" spans="1:24" s="113" customFormat="1" x14ac:dyDescent="0.25">
      <c r="A312" s="140">
        <f t="shared" si="27"/>
        <v>7</v>
      </c>
      <c r="B312" s="157">
        <v>43873</v>
      </c>
      <c r="C312" s="157">
        <v>43873</v>
      </c>
      <c r="D312" s="100" t="s">
        <v>361</v>
      </c>
      <c r="E312" s="98"/>
      <c r="F312" s="177">
        <v>540</v>
      </c>
      <c r="G312" s="140" t="s">
        <v>59</v>
      </c>
      <c r="H312" s="178" t="s">
        <v>387</v>
      </c>
      <c r="I312" s="143" t="s">
        <v>60</v>
      </c>
      <c r="J312" s="142"/>
      <c r="K312" s="142"/>
      <c r="L312" s="98" t="s">
        <v>55</v>
      </c>
      <c r="M312" s="98"/>
      <c r="N312" s="142"/>
      <c r="O312" s="108">
        <v>15</v>
      </c>
      <c r="P312" s="179">
        <v>0.70833333333333337</v>
      </c>
      <c r="Q312" s="148">
        <v>0.70486111111111116</v>
      </c>
      <c r="R312" s="148">
        <v>0.70833333333333337</v>
      </c>
      <c r="S312" s="148">
        <v>0.72916666666666663</v>
      </c>
      <c r="T312" s="179">
        <f t="shared" si="26"/>
        <v>3.4722222222222099E-3</v>
      </c>
      <c r="U312" s="179">
        <f t="shared" si="26"/>
        <v>2.0833333333333259E-2</v>
      </c>
      <c r="V312" s="148">
        <v>0.73611111111111116</v>
      </c>
      <c r="W312" s="148">
        <f t="shared" si="28"/>
        <v>3.125E-2</v>
      </c>
      <c r="X312" s="96"/>
    </row>
    <row r="313" spans="1:24" s="113" customFormat="1" x14ac:dyDescent="0.25">
      <c r="A313" s="140">
        <f t="shared" si="27"/>
        <v>7</v>
      </c>
      <c r="B313" s="157">
        <v>43873</v>
      </c>
      <c r="C313" s="157">
        <v>43873</v>
      </c>
      <c r="D313" s="100" t="s">
        <v>361</v>
      </c>
      <c r="E313" s="79"/>
      <c r="F313" s="153">
        <v>540</v>
      </c>
      <c r="G313" s="137" t="s">
        <v>61</v>
      </c>
      <c r="H313" s="158" t="s">
        <v>317</v>
      </c>
      <c r="I313" s="306" t="s">
        <v>63</v>
      </c>
      <c r="J313" s="139"/>
      <c r="K313" s="139"/>
      <c r="L313" s="98" t="s">
        <v>55</v>
      </c>
      <c r="M313" s="79"/>
      <c r="N313" s="139"/>
      <c r="O313" s="139">
        <v>21</v>
      </c>
      <c r="P313" s="138">
        <v>0.75</v>
      </c>
      <c r="Q313" s="147">
        <v>0.75</v>
      </c>
      <c r="R313" s="147">
        <v>0.76041666666666663</v>
      </c>
      <c r="S313" s="147">
        <v>0.77083333333333337</v>
      </c>
      <c r="T313" s="138">
        <f t="shared" si="26"/>
        <v>1.041666666666663E-2</v>
      </c>
      <c r="U313" s="138">
        <f t="shared" si="26"/>
        <v>1.0416666666666741E-2</v>
      </c>
      <c r="V313" s="147">
        <v>0.77430555555555547</v>
      </c>
      <c r="W313" s="148">
        <f t="shared" si="28"/>
        <v>2.4305555555555469E-2</v>
      </c>
      <c r="X313" s="81"/>
    </row>
    <row r="314" spans="1:24" s="113" customFormat="1" x14ac:dyDescent="0.25">
      <c r="A314" s="140">
        <f t="shared" si="27"/>
        <v>7</v>
      </c>
      <c r="B314" s="157">
        <v>43873</v>
      </c>
      <c r="C314" s="157">
        <v>43873</v>
      </c>
      <c r="D314" s="100" t="s">
        <v>361</v>
      </c>
      <c r="E314" s="79"/>
      <c r="F314" s="153">
        <v>540</v>
      </c>
      <c r="G314" s="137" t="s">
        <v>64</v>
      </c>
      <c r="H314" s="158" t="s">
        <v>80</v>
      </c>
      <c r="I314" s="306" t="s">
        <v>355</v>
      </c>
      <c r="J314" s="139"/>
      <c r="K314" s="139"/>
      <c r="L314" s="98" t="s">
        <v>55</v>
      </c>
      <c r="M314" s="79"/>
      <c r="N314" s="139"/>
      <c r="O314" s="139">
        <v>23</v>
      </c>
      <c r="P314" s="138">
        <v>0.75</v>
      </c>
      <c r="Q314" s="147">
        <v>0.73611111111111116</v>
      </c>
      <c r="R314" s="147">
        <v>0.75694444444444453</v>
      </c>
      <c r="S314" s="147">
        <v>0.77430555555555547</v>
      </c>
      <c r="T314" s="138">
        <f t="shared" si="26"/>
        <v>2.083333333333337E-2</v>
      </c>
      <c r="U314" s="138">
        <f t="shared" si="26"/>
        <v>1.7361111111110938E-2</v>
      </c>
      <c r="V314" s="147">
        <v>0.78125</v>
      </c>
      <c r="W314" s="148">
        <f t="shared" si="28"/>
        <v>4.513888888888884E-2</v>
      </c>
      <c r="X314" s="81"/>
    </row>
    <row r="315" spans="1:24" s="113" customFormat="1" x14ac:dyDescent="0.25">
      <c r="A315" s="140">
        <f t="shared" si="27"/>
        <v>7</v>
      </c>
      <c r="B315" s="157">
        <v>43873</v>
      </c>
      <c r="C315" s="157">
        <v>43873</v>
      </c>
      <c r="D315" s="350" t="s">
        <v>337</v>
      </c>
      <c r="E315" s="79"/>
      <c r="F315" s="153">
        <v>540</v>
      </c>
      <c r="G315" s="137" t="s">
        <v>77</v>
      </c>
      <c r="H315" s="158" t="s">
        <v>667</v>
      </c>
      <c r="I315" s="306" t="s">
        <v>78</v>
      </c>
      <c r="J315" s="139"/>
      <c r="K315" s="139"/>
      <c r="L315" s="98" t="s">
        <v>55</v>
      </c>
      <c r="M315" s="79"/>
      <c r="N315" s="139"/>
      <c r="O315" s="139">
        <v>23</v>
      </c>
      <c r="P315" s="138">
        <v>0.79166666666666663</v>
      </c>
      <c r="Q315" s="147">
        <v>0.77083333333333337</v>
      </c>
      <c r="R315" s="147">
        <v>0.78125</v>
      </c>
      <c r="S315" s="147">
        <v>0.79166666666666663</v>
      </c>
      <c r="T315" s="138">
        <f t="shared" si="26"/>
        <v>1.041666666666663E-2</v>
      </c>
      <c r="U315" s="138">
        <f t="shared" si="26"/>
        <v>1.041666666666663E-2</v>
      </c>
      <c r="V315" s="147">
        <v>0.79513888888888884</v>
      </c>
      <c r="W315" s="148">
        <f t="shared" si="28"/>
        <v>2.4305555555555469E-2</v>
      </c>
      <c r="X315" s="81"/>
    </row>
    <row r="316" spans="1:24" s="113" customFormat="1" x14ac:dyDescent="0.25">
      <c r="A316" s="140">
        <f t="shared" si="27"/>
        <v>7</v>
      </c>
      <c r="B316" s="157">
        <v>43873</v>
      </c>
      <c r="C316" s="157">
        <v>43873</v>
      </c>
      <c r="D316" s="100" t="s">
        <v>361</v>
      </c>
      <c r="E316" s="79"/>
      <c r="F316" s="153">
        <v>540</v>
      </c>
      <c r="G316" s="137" t="s">
        <v>493</v>
      </c>
      <c r="H316" s="158" t="s">
        <v>62</v>
      </c>
      <c r="I316" s="363" t="s">
        <v>72</v>
      </c>
      <c r="J316" s="139"/>
      <c r="K316" s="139"/>
      <c r="L316" s="98" t="s">
        <v>55</v>
      </c>
      <c r="M316" s="79"/>
      <c r="N316" s="139"/>
      <c r="O316" s="139">
        <v>15</v>
      </c>
      <c r="P316" s="138">
        <v>0.83333333333333337</v>
      </c>
      <c r="Q316" s="147">
        <v>0.81944444444444453</v>
      </c>
      <c r="R316" s="147">
        <v>0.82291666666666663</v>
      </c>
      <c r="S316" s="147">
        <v>0.82986111111111116</v>
      </c>
      <c r="T316" s="138">
        <f t="shared" ref="T316:U382" si="30">R316-Q316</f>
        <v>3.4722222222220989E-3</v>
      </c>
      <c r="U316" s="138">
        <f t="shared" si="30"/>
        <v>6.9444444444445308E-3</v>
      </c>
      <c r="V316" s="147">
        <v>0.83333333333333337</v>
      </c>
      <c r="W316" s="148">
        <f t="shared" si="28"/>
        <v>1.388888888888884E-2</v>
      </c>
      <c r="X316" s="81"/>
    </row>
    <row r="317" spans="1:24" s="113" customFormat="1" x14ac:dyDescent="0.25">
      <c r="A317" s="140">
        <f t="shared" si="27"/>
        <v>7</v>
      </c>
      <c r="B317" s="157">
        <v>43873</v>
      </c>
      <c r="C317" s="157">
        <v>43873</v>
      </c>
      <c r="D317" s="350" t="s">
        <v>337</v>
      </c>
      <c r="E317" s="79"/>
      <c r="F317" s="153">
        <v>540</v>
      </c>
      <c r="G317" s="137" t="s">
        <v>736</v>
      </c>
      <c r="H317" s="158" t="s">
        <v>330</v>
      </c>
      <c r="I317" s="340" t="s">
        <v>738</v>
      </c>
      <c r="J317" s="139"/>
      <c r="K317" s="139"/>
      <c r="L317" s="98" t="s">
        <v>55</v>
      </c>
      <c r="M317" s="79"/>
      <c r="N317" s="139"/>
      <c r="O317" s="139">
        <v>30</v>
      </c>
      <c r="P317" s="138">
        <v>0.875</v>
      </c>
      <c r="Q317" s="147">
        <v>0.85069444444444453</v>
      </c>
      <c r="R317" s="147">
        <v>0.85416666666666663</v>
      </c>
      <c r="S317" s="147">
        <v>0.86458333333333337</v>
      </c>
      <c r="T317" s="138">
        <f t="shared" si="30"/>
        <v>3.4722222222220989E-3</v>
      </c>
      <c r="U317" s="138">
        <f t="shared" si="30"/>
        <v>1.0416666666666741E-2</v>
      </c>
      <c r="V317" s="147">
        <v>0.86805555555555547</v>
      </c>
      <c r="W317" s="148">
        <f t="shared" si="28"/>
        <v>1.7361111111110938E-2</v>
      </c>
      <c r="X317" s="81"/>
    </row>
    <row r="318" spans="1:24" s="113" customFormat="1" x14ac:dyDescent="0.25">
      <c r="A318" s="140">
        <f t="shared" ref="A318:A384" si="31">WEEKNUM(B318,21)</f>
        <v>7</v>
      </c>
      <c r="B318" s="157">
        <v>43873</v>
      </c>
      <c r="C318" s="157">
        <v>43873</v>
      </c>
      <c r="D318" s="100" t="s">
        <v>68</v>
      </c>
      <c r="E318" s="79">
        <v>1000459100</v>
      </c>
      <c r="F318" s="153">
        <v>420</v>
      </c>
      <c r="G318" s="137" t="s">
        <v>70</v>
      </c>
      <c r="H318" s="158" t="s">
        <v>315</v>
      </c>
      <c r="I318" s="79" t="s">
        <v>816</v>
      </c>
      <c r="J318" s="139" t="s">
        <v>19</v>
      </c>
      <c r="K318" s="139"/>
      <c r="L318" s="98" t="s">
        <v>55</v>
      </c>
      <c r="M318" s="79">
        <v>80</v>
      </c>
      <c r="N318" s="139" t="s">
        <v>51</v>
      </c>
      <c r="O318" s="139">
        <v>35</v>
      </c>
      <c r="P318" s="138">
        <v>0.45833333333333331</v>
      </c>
      <c r="Q318" s="147">
        <v>0.41319444444444442</v>
      </c>
      <c r="R318" s="147">
        <v>0.41666666666666669</v>
      </c>
      <c r="S318" s="147">
        <v>0.4375</v>
      </c>
      <c r="T318" s="138">
        <f t="shared" si="30"/>
        <v>3.4722222222222654E-3</v>
      </c>
      <c r="U318" s="138">
        <f t="shared" si="30"/>
        <v>2.0833333333333315E-2</v>
      </c>
      <c r="V318" s="147">
        <v>0.44444444444444442</v>
      </c>
      <c r="W318" s="148">
        <f t="shared" si="28"/>
        <v>3.125E-2</v>
      </c>
      <c r="X318" s="81"/>
    </row>
    <row r="319" spans="1:24" s="113" customFormat="1" x14ac:dyDescent="0.25">
      <c r="A319" s="140">
        <f t="shared" si="31"/>
        <v>7</v>
      </c>
      <c r="B319" s="157">
        <v>43873</v>
      </c>
      <c r="C319" s="157">
        <v>43873</v>
      </c>
      <c r="D319" s="100" t="s">
        <v>68</v>
      </c>
      <c r="E319" s="79">
        <v>1000458923</v>
      </c>
      <c r="F319" s="153">
        <v>540</v>
      </c>
      <c r="G319" s="137" t="s">
        <v>71</v>
      </c>
      <c r="H319" s="158" t="s">
        <v>818</v>
      </c>
      <c r="I319" s="79" t="s">
        <v>817</v>
      </c>
      <c r="J319" s="139" t="s">
        <v>19</v>
      </c>
      <c r="K319" s="139"/>
      <c r="L319" s="98" t="s">
        <v>55</v>
      </c>
      <c r="M319" s="79">
        <v>80</v>
      </c>
      <c r="N319" s="139" t="s">
        <v>51</v>
      </c>
      <c r="O319" s="139">
        <v>35</v>
      </c>
      <c r="P319" s="138">
        <v>0.45833333333333331</v>
      </c>
      <c r="Q319" s="147">
        <v>0.61111111111111105</v>
      </c>
      <c r="R319" s="147">
        <v>0.62152777777777779</v>
      </c>
      <c r="S319" s="147">
        <v>0.64236111111111105</v>
      </c>
      <c r="T319" s="138">
        <f t="shared" si="30"/>
        <v>1.0416666666666741E-2</v>
      </c>
      <c r="U319" s="138">
        <f t="shared" si="30"/>
        <v>2.0833333333333259E-2</v>
      </c>
      <c r="V319" s="147">
        <v>0.64583333333333337</v>
      </c>
      <c r="W319" s="148">
        <f t="shared" ref="W319:W386" si="32">V319-Q319</f>
        <v>3.4722222222222321E-2</v>
      </c>
      <c r="X319" s="81"/>
    </row>
    <row r="320" spans="1:24" s="113" customFormat="1" x14ac:dyDescent="0.25">
      <c r="A320" s="140">
        <f t="shared" si="31"/>
        <v>7</v>
      </c>
      <c r="B320" s="157">
        <v>43873</v>
      </c>
      <c r="C320" s="157">
        <v>43873</v>
      </c>
      <c r="D320" s="100" t="s">
        <v>68</v>
      </c>
      <c r="E320" s="79">
        <v>1000458930</v>
      </c>
      <c r="F320" s="153">
        <v>360</v>
      </c>
      <c r="G320" s="137" t="s">
        <v>73</v>
      </c>
      <c r="H320" s="158" t="s">
        <v>87</v>
      </c>
      <c r="I320" s="79" t="s">
        <v>807</v>
      </c>
      <c r="J320" s="139" t="s">
        <v>19</v>
      </c>
      <c r="K320" s="139"/>
      <c r="L320" s="98" t="s">
        <v>55</v>
      </c>
      <c r="M320" s="79">
        <v>80</v>
      </c>
      <c r="N320" s="139" t="s">
        <v>51</v>
      </c>
      <c r="O320" s="139">
        <v>47</v>
      </c>
      <c r="P320" s="138">
        <v>0.5</v>
      </c>
      <c r="Q320" s="147">
        <v>0.64583333333333337</v>
      </c>
      <c r="R320" s="147">
        <v>0.65972222222222221</v>
      </c>
      <c r="S320" s="147">
        <v>0.68402777777777779</v>
      </c>
      <c r="T320" s="138">
        <f t="shared" si="30"/>
        <v>1.388888888888884E-2</v>
      </c>
      <c r="U320" s="138">
        <f t="shared" si="30"/>
        <v>2.430555555555558E-2</v>
      </c>
      <c r="V320" s="147">
        <v>0.6875</v>
      </c>
      <c r="W320" s="260">
        <f t="shared" si="32"/>
        <v>4.166666666666663E-2</v>
      </c>
      <c r="X320" s="81"/>
    </row>
    <row r="321" spans="1:16384" s="113" customFormat="1" ht="32.25" thickBot="1" x14ac:dyDescent="0.3">
      <c r="A321" s="185">
        <f t="shared" si="31"/>
        <v>7</v>
      </c>
      <c r="B321" s="186">
        <v>43873</v>
      </c>
      <c r="C321" s="186">
        <v>43873</v>
      </c>
      <c r="D321" s="236" t="s">
        <v>68</v>
      </c>
      <c r="E321" s="172">
        <v>1000458928</v>
      </c>
      <c r="F321" s="187">
        <v>540</v>
      </c>
      <c r="G321" s="185" t="s">
        <v>74</v>
      </c>
      <c r="H321" s="188" t="s">
        <v>573</v>
      </c>
      <c r="I321" s="172" t="s">
        <v>813</v>
      </c>
      <c r="J321" s="189" t="s">
        <v>19</v>
      </c>
      <c r="K321" s="189"/>
      <c r="L321" s="172" t="s">
        <v>55</v>
      </c>
      <c r="M321" s="172">
        <v>80</v>
      </c>
      <c r="N321" s="189" t="s">
        <v>51</v>
      </c>
      <c r="O321" s="189">
        <v>38</v>
      </c>
      <c r="P321" s="190">
        <v>0.54166666666666663</v>
      </c>
      <c r="Q321" s="191">
        <v>0.40625</v>
      </c>
      <c r="R321" s="191">
        <v>0.4236111111111111</v>
      </c>
      <c r="S321" s="191">
        <v>0.43402777777777773</v>
      </c>
      <c r="T321" s="190">
        <f t="shared" si="30"/>
        <v>1.7361111111111105E-2</v>
      </c>
      <c r="U321" s="190">
        <f t="shared" si="30"/>
        <v>1.041666666666663E-2</v>
      </c>
      <c r="V321" s="287">
        <v>0.44791666666666669</v>
      </c>
      <c r="W321" s="190">
        <f>V321-Q321</f>
        <v>4.1666666666666685E-2</v>
      </c>
      <c r="X321" s="288"/>
      <c r="Y321" s="268"/>
    </row>
    <row r="322" spans="1:16384" s="113" customFormat="1" x14ac:dyDescent="0.25">
      <c r="A322" s="140">
        <f t="shared" si="31"/>
        <v>7</v>
      </c>
      <c r="B322" s="157">
        <v>43874</v>
      </c>
      <c r="C322" s="157">
        <v>43874</v>
      </c>
      <c r="D322" s="100" t="s">
        <v>68</v>
      </c>
      <c r="E322" s="98"/>
      <c r="F322" s="177">
        <v>540</v>
      </c>
      <c r="G322" s="140" t="s">
        <v>53</v>
      </c>
      <c r="H322" s="178" t="s">
        <v>65</v>
      </c>
      <c r="I322" s="143" t="s">
        <v>54</v>
      </c>
      <c r="J322" s="142"/>
      <c r="K322" s="142"/>
      <c r="L322" s="98" t="s">
        <v>55</v>
      </c>
      <c r="M322" s="98"/>
      <c r="N322" s="142"/>
      <c r="O322" s="142">
        <v>35</v>
      </c>
      <c r="P322" s="179">
        <v>0.66666666666666663</v>
      </c>
      <c r="Q322" s="148">
        <v>0.6875</v>
      </c>
      <c r="R322" s="148">
        <v>0.70138888888888884</v>
      </c>
      <c r="S322" s="148">
        <v>0.72569444444444453</v>
      </c>
      <c r="T322" s="179">
        <f t="shared" si="30"/>
        <v>1.388888888888884E-2</v>
      </c>
      <c r="U322" s="179">
        <f t="shared" si="30"/>
        <v>2.4305555555555691E-2</v>
      </c>
      <c r="V322" s="148">
        <v>0.73611111111111116</v>
      </c>
      <c r="W322" s="148">
        <f>U322-T322</f>
        <v>1.0416666666666852E-2</v>
      </c>
      <c r="X322" s="96"/>
    </row>
    <row r="323" spans="1:16384" s="113" customFormat="1" x14ac:dyDescent="0.25">
      <c r="A323" s="140">
        <f>WEEKNUM(B323,21)</f>
        <v>7</v>
      </c>
      <c r="B323" s="157">
        <v>43874</v>
      </c>
      <c r="C323" s="157">
        <v>43874</v>
      </c>
      <c r="D323" s="100" t="s">
        <v>361</v>
      </c>
      <c r="E323" s="79"/>
      <c r="F323" s="153">
        <v>540</v>
      </c>
      <c r="G323" s="137" t="s">
        <v>56</v>
      </c>
      <c r="H323" s="158" t="s">
        <v>317</v>
      </c>
      <c r="I323" s="143" t="s">
        <v>58</v>
      </c>
      <c r="J323" s="139"/>
      <c r="K323" s="139"/>
      <c r="L323" s="98" t="s">
        <v>55</v>
      </c>
      <c r="M323" s="79"/>
      <c r="N323" s="139"/>
      <c r="O323" s="139">
        <v>27</v>
      </c>
      <c r="P323" s="138">
        <v>0.70833333333333337</v>
      </c>
      <c r="Q323" s="147">
        <v>0.70486111111111116</v>
      </c>
      <c r="R323" s="147">
        <v>0.72916666666666663</v>
      </c>
      <c r="S323" s="147">
        <v>0.75694444444444453</v>
      </c>
      <c r="T323" s="138">
        <f t="shared" si="30"/>
        <v>2.4305555555555469E-2</v>
      </c>
      <c r="U323" s="138">
        <f t="shared" si="30"/>
        <v>2.7777777777777901E-2</v>
      </c>
      <c r="V323" s="147">
        <v>0.76041666666666663</v>
      </c>
      <c r="W323" s="148">
        <f>U323-T323</f>
        <v>3.4722222222224319E-3</v>
      </c>
      <c r="X323" s="81"/>
    </row>
    <row r="324" spans="1:16384" s="113" customFormat="1" x14ac:dyDescent="0.25">
      <c r="A324" s="140">
        <f t="shared" si="31"/>
        <v>7</v>
      </c>
      <c r="B324" s="157">
        <v>43874</v>
      </c>
      <c r="C324" s="157">
        <v>43874</v>
      </c>
      <c r="D324" s="100"/>
      <c r="E324" s="79"/>
      <c r="F324" s="153"/>
      <c r="G324" s="137" t="s">
        <v>59</v>
      </c>
      <c r="H324" s="158" t="s">
        <v>317</v>
      </c>
      <c r="I324" s="363" t="s">
        <v>60</v>
      </c>
      <c r="J324" s="139"/>
      <c r="K324" s="139"/>
      <c r="L324" s="98" t="s">
        <v>75</v>
      </c>
      <c r="M324" s="79"/>
      <c r="N324" s="139"/>
      <c r="O324" s="139"/>
      <c r="P324" s="138">
        <v>0.70833333333333337</v>
      </c>
      <c r="Q324" s="147"/>
      <c r="R324" s="147"/>
      <c r="S324" s="147"/>
      <c r="T324" s="138">
        <f t="shared" si="30"/>
        <v>0</v>
      </c>
      <c r="U324" s="138">
        <f t="shared" si="30"/>
        <v>0</v>
      </c>
      <c r="V324" s="147"/>
      <c r="W324" s="148">
        <f t="shared" si="32"/>
        <v>0</v>
      </c>
      <c r="X324" s="81"/>
      <c r="Y324" s="140"/>
      <c r="Z324" s="157"/>
      <c r="AA324" s="157"/>
      <c r="AB324" s="100"/>
      <c r="AC324" s="79"/>
      <c r="AD324" s="153"/>
      <c r="AE324" s="137"/>
      <c r="AF324" s="158"/>
      <c r="AG324" s="363"/>
      <c r="AH324" s="139"/>
      <c r="AI324" s="139"/>
      <c r="AJ324" s="98"/>
      <c r="AK324" s="79"/>
      <c r="AL324" s="139"/>
      <c r="AM324" s="139"/>
      <c r="AN324" s="138"/>
      <c r="AO324" s="147"/>
      <c r="AP324" s="147"/>
      <c r="AQ324" s="147"/>
      <c r="AR324" s="138"/>
      <c r="AS324" s="138"/>
      <c r="AT324" s="147"/>
      <c r="AU324" s="148"/>
      <c r="AV324" s="81"/>
      <c r="AW324" s="140"/>
      <c r="AX324" s="157"/>
      <c r="AY324" s="157"/>
      <c r="AZ324" s="100"/>
      <c r="BA324" s="79"/>
      <c r="BB324" s="153"/>
      <c r="BC324" s="137"/>
      <c r="BD324" s="158"/>
      <c r="BE324" s="363"/>
      <c r="BF324" s="139"/>
      <c r="BG324" s="139"/>
      <c r="BH324" s="98"/>
      <c r="BI324" s="79"/>
      <c r="BJ324" s="139"/>
      <c r="BK324" s="139"/>
      <c r="BL324" s="138"/>
      <c r="BM324" s="147"/>
      <c r="BN324" s="147"/>
      <c r="BO324" s="147"/>
      <c r="BP324" s="138"/>
      <c r="BQ324" s="138"/>
      <c r="BR324" s="147"/>
      <c r="BS324" s="148"/>
      <c r="BT324" s="81"/>
      <c r="BU324" s="140"/>
      <c r="BV324" s="157"/>
      <c r="BW324" s="157"/>
      <c r="BX324" s="100"/>
      <c r="BY324" s="79"/>
      <c r="BZ324" s="153"/>
      <c r="CA324" s="137"/>
      <c r="CB324" s="158"/>
      <c r="CC324" s="363"/>
      <c r="CD324" s="139"/>
      <c r="CE324" s="139"/>
      <c r="CF324" s="98"/>
      <c r="CG324" s="79"/>
      <c r="CH324" s="139"/>
      <c r="CI324" s="139"/>
      <c r="CJ324" s="138"/>
      <c r="CK324" s="147"/>
      <c r="CL324" s="147"/>
      <c r="CM324" s="147"/>
      <c r="CN324" s="138"/>
      <c r="CO324" s="138"/>
      <c r="CP324" s="147"/>
      <c r="CQ324" s="148"/>
      <c r="CR324" s="81"/>
      <c r="CS324" s="140"/>
      <c r="CT324" s="157"/>
      <c r="CU324" s="157"/>
      <c r="CV324" s="100"/>
      <c r="CW324" s="79"/>
      <c r="CX324" s="153"/>
      <c r="CY324" s="137"/>
      <c r="CZ324" s="158"/>
      <c r="DA324" s="363"/>
      <c r="DB324" s="139"/>
      <c r="DC324" s="139"/>
      <c r="DD324" s="98"/>
      <c r="DE324" s="79"/>
      <c r="DF324" s="139"/>
      <c r="DG324" s="139"/>
      <c r="DH324" s="138"/>
      <c r="DI324" s="147"/>
      <c r="DJ324" s="147"/>
      <c r="DK324" s="147"/>
      <c r="DL324" s="138"/>
      <c r="DM324" s="138"/>
      <c r="DN324" s="147"/>
      <c r="DO324" s="148"/>
      <c r="DP324" s="81"/>
      <c r="DQ324" s="140"/>
      <c r="DR324" s="157"/>
      <c r="DS324" s="157"/>
      <c r="DT324" s="100"/>
      <c r="DU324" s="79"/>
      <c r="DV324" s="153"/>
      <c r="DW324" s="137"/>
      <c r="DX324" s="158"/>
      <c r="DY324" s="363"/>
      <c r="DZ324" s="139"/>
      <c r="EA324" s="139"/>
      <c r="EB324" s="98"/>
      <c r="EC324" s="79"/>
      <c r="ED324" s="139"/>
      <c r="EE324" s="139"/>
      <c r="EF324" s="138"/>
      <c r="EG324" s="147"/>
      <c r="EH324" s="147"/>
      <c r="EI324" s="147"/>
      <c r="EJ324" s="138"/>
      <c r="EK324" s="138"/>
      <c r="EL324" s="147"/>
      <c r="EM324" s="148"/>
      <c r="EN324" s="81"/>
      <c r="EO324" s="140"/>
      <c r="EP324" s="157"/>
      <c r="EQ324" s="157"/>
      <c r="ER324" s="100"/>
      <c r="ES324" s="79"/>
      <c r="ET324" s="153"/>
      <c r="EU324" s="137"/>
      <c r="EV324" s="158"/>
      <c r="EW324" s="363"/>
      <c r="EX324" s="139"/>
      <c r="EY324" s="139"/>
      <c r="EZ324" s="98"/>
      <c r="FA324" s="79"/>
      <c r="FB324" s="139"/>
      <c r="FC324" s="139"/>
      <c r="FD324" s="138"/>
      <c r="FE324" s="147"/>
      <c r="FF324" s="147"/>
      <c r="FG324" s="147"/>
      <c r="FH324" s="138"/>
      <c r="FI324" s="138"/>
      <c r="FJ324" s="147"/>
      <c r="FK324" s="148"/>
      <c r="FL324" s="81"/>
      <c r="FM324" s="140"/>
      <c r="FN324" s="157"/>
      <c r="FO324" s="157"/>
      <c r="FP324" s="100"/>
      <c r="FQ324" s="79"/>
      <c r="FR324" s="153"/>
      <c r="FS324" s="137"/>
      <c r="FT324" s="158"/>
      <c r="FU324" s="363"/>
      <c r="FV324" s="139"/>
      <c r="FW324" s="139"/>
      <c r="FX324" s="98"/>
      <c r="FY324" s="79"/>
      <c r="FZ324" s="139"/>
      <c r="GA324" s="139"/>
      <c r="GB324" s="138"/>
      <c r="GC324" s="147"/>
      <c r="GD324" s="147"/>
      <c r="GE324" s="147"/>
      <c r="GF324" s="138"/>
      <c r="GG324" s="138"/>
      <c r="GH324" s="147"/>
      <c r="GI324" s="148"/>
      <c r="GJ324" s="81"/>
      <c r="GK324" s="140"/>
      <c r="GL324" s="157"/>
      <c r="GM324" s="157"/>
      <c r="GN324" s="100"/>
      <c r="GO324" s="79"/>
      <c r="GP324" s="153"/>
      <c r="GQ324" s="137"/>
      <c r="GR324" s="158"/>
      <c r="GS324" s="363"/>
      <c r="GT324" s="139"/>
      <c r="GU324" s="139"/>
      <c r="GV324" s="98"/>
      <c r="GW324" s="79"/>
      <c r="GX324" s="139"/>
      <c r="GY324" s="139"/>
      <c r="GZ324" s="138"/>
      <c r="HA324" s="147"/>
      <c r="HB324" s="147"/>
      <c r="HC324" s="147"/>
      <c r="HD324" s="138"/>
      <c r="HE324" s="138"/>
      <c r="HF324" s="147"/>
      <c r="HG324" s="148"/>
      <c r="HH324" s="81"/>
      <c r="HI324" s="140"/>
      <c r="HJ324" s="157"/>
      <c r="HK324" s="157"/>
      <c r="HL324" s="100"/>
      <c r="HM324" s="79"/>
      <c r="HN324" s="153"/>
      <c r="HO324" s="137"/>
      <c r="HP324" s="158"/>
      <c r="HQ324" s="363"/>
      <c r="HR324" s="139"/>
      <c r="HS324" s="139"/>
      <c r="HT324" s="98"/>
      <c r="HU324" s="79"/>
      <c r="HV324" s="139"/>
      <c r="HW324" s="139"/>
      <c r="HX324" s="138"/>
      <c r="HY324" s="147"/>
      <c r="HZ324" s="147"/>
      <c r="IA324" s="147"/>
      <c r="IB324" s="138"/>
      <c r="IC324" s="138"/>
      <c r="ID324" s="147"/>
      <c r="IE324" s="148"/>
      <c r="IF324" s="81"/>
      <c r="IG324" s="140"/>
      <c r="IH324" s="157"/>
      <c r="II324" s="157"/>
      <c r="IJ324" s="100"/>
      <c r="IK324" s="79"/>
      <c r="IL324" s="153"/>
      <c r="IM324" s="137"/>
      <c r="IN324" s="158"/>
      <c r="IO324" s="363"/>
      <c r="IP324" s="139"/>
      <c r="IQ324" s="139"/>
      <c r="IR324" s="98"/>
      <c r="IS324" s="79"/>
      <c r="IT324" s="139"/>
      <c r="IU324" s="139"/>
      <c r="IV324" s="138"/>
      <c r="IW324" s="147"/>
      <c r="IX324" s="147"/>
      <c r="IY324" s="147"/>
      <c r="IZ324" s="138"/>
      <c r="JA324" s="138"/>
      <c r="JB324" s="147"/>
      <c r="JC324" s="148"/>
      <c r="JD324" s="81"/>
      <c r="JE324" s="140"/>
      <c r="JF324" s="157"/>
      <c r="JG324" s="157"/>
      <c r="JH324" s="100"/>
      <c r="JI324" s="79"/>
      <c r="JJ324" s="153"/>
      <c r="JK324" s="137"/>
      <c r="JL324" s="158"/>
      <c r="JM324" s="363"/>
      <c r="JN324" s="139"/>
      <c r="JO324" s="139"/>
      <c r="JP324" s="98"/>
      <c r="JQ324" s="79"/>
      <c r="JR324" s="139"/>
      <c r="JS324" s="139"/>
      <c r="JT324" s="138"/>
      <c r="JU324" s="147"/>
      <c r="JV324" s="147"/>
      <c r="JW324" s="147"/>
      <c r="JX324" s="138"/>
      <c r="JY324" s="138"/>
      <c r="JZ324" s="147"/>
      <c r="KA324" s="148"/>
      <c r="KB324" s="81"/>
      <c r="KC324" s="140"/>
      <c r="KD324" s="157"/>
      <c r="KE324" s="157"/>
      <c r="KF324" s="100"/>
      <c r="KG324" s="79"/>
      <c r="KH324" s="153"/>
      <c r="KI324" s="137"/>
      <c r="KJ324" s="158"/>
      <c r="KK324" s="363"/>
      <c r="KL324" s="139"/>
      <c r="KM324" s="139"/>
      <c r="KN324" s="98"/>
      <c r="KO324" s="79"/>
      <c r="KP324" s="139"/>
      <c r="KQ324" s="139"/>
      <c r="KR324" s="138"/>
      <c r="KS324" s="147"/>
      <c r="KT324" s="147"/>
      <c r="KU324" s="147"/>
      <c r="KV324" s="138"/>
      <c r="KW324" s="138"/>
      <c r="KX324" s="147"/>
      <c r="KY324" s="148"/>
      <c r="KZ324" s="81"/>
      <c r="LA324" s="140"/>
      <c r="LB324" s="157"/>
      <c r="LC324" s="157"/>
      <c r="LD324" s="100"/>
      <c r="LE324" s="79"/>
      <c r="LF324" s="153"/>
      <c r="LG324" s="137"/>
      <c r="LH324" s="158"/>
      <c r="LI324" s="363"/>
      <c r="LJ324" s="139"/>
      <c r="LK324" s="139"/>
      <c r="LL324" s="98"/>
      <c r="LM324" s="79"/>
      <c r="LN324" s="139"/>
      <c r="LO324" s="139"/>
      <c r="LP324" s="138"/>
      <c r="LQ324" s="147"/>
      <c r="LR324" s="147"/>
      <c r="LS324" s="147"/>
      <c r="LT324" s="138"/>
      <c r="LU324" s="138"/>
      <c r="LV324" s="147"/>
      <c r="LW324" s="148"/>
      <c r="LX324" s="81"/>
      <c r="LY324" s="140"/>
      <c r="LZ324" s="157"/>
      <c r="MA324" s="157"/>
      <c r="MB324" s="100"/>
      <c r="MC324" s="79"/>
      <c r="MD324" s="153"/>
      <c r="ME324" s="137"/>
      <c r="MF324" s="158"/>
      <c r="MG324" s="363"/>
      <c r="MH324" s="139"/>
      <c r="MI324" s="139"/>
      <c r="MJ324" s="98"/>
      <c r="MK324" s="79"/>
      <c r="ML324" s="139"/>
      <c r="MM324" s="139"/>
      <c r="MN324" s="138"/>
      <c r="MO324" s="147"/>
      <c r="MP324" s="147"/>
      <c r="MQ324" s="147"/>
      <c r="MR324" s="138"/>
      <c r="MS324" s="138"/>
      <c r="MT324" s="147"/>
      <c r="MU324" s="148"/>
      <c r="MV324" s="81"/>
      <c r="MW324" s="140"/>
      <c r="MX324" s="157"/>
      <c r="MY324" s="157"/>
      <c r="MZ324" s="100"/>
      <c r="NA324" s="79"/>
      <c r="NB324" s="153"/>
      <c r="NC324" s="137"/>
      <c r="ND324" s="158"/>
      <c r="NE324" s="363"/>
      <c r="NF324" s="139"/>
      <c r="NG324" s="139"/>
      <c r="NH324" s="98"/>
      <c r="NI324" s="79"/>
      <c r="NJ324" s="139"/>
      <c r="NK324" s="139"/>
      <c r="NL324" s="138"/>
      <c r="NM324" s="147"/>
      <c r="NN324" s="147"/>
      <c r="NO324" s="147"/>
      <c r="NP324" s="138"/>
      <c r="NQ324" s="138"/>
      <c r="NR324" s="147"/>
      <c r="NS324" s="148"/>
      <c r="NT324" s="81"/>
      <c r="NU324" s="140"/>
      <c r="NV324" s="157"/>
      <c r="NW324" s="157"/>
      <c r="NX324" s="100"/>
      <c r="NY324" s="79"/>
      <c r="NZ324" s="153"/>
      <c r="OA324" s="137"/>
      <c r="OB324" s="158"/>
      <c r="OC324" s="363"/>
      <c r="OD324" s="139"/>
      <c r="OE324" s="139"/>
      <c r="OF324" s="98"/>
      <c r="OG324" s="79"/>
      <c r="OH324" s="139"/>
      <c r="OI324" s="139"/>
      <c r="OJ324" s="138"/>
      <c r="OK324" s="147"/>
      <c r="OL324" s="147"/>
      <c r="OM324" s="147"/>
      <c r="ON324" s="138"/>
      <c r="OO324" s="138"/>
      <c r="OP324" s="147"/>
      <c r="OQ324" s="148"/>
      <c r="OR324" s="81"/>
      <c r="OS324" s="140"/>
      <c r="OT324" s="157"/>
      <c r="OU324" s="157"/>
      <c r="OV324" s="100"/>
      <c r="OW324" s="79"/>
      <c r="OX324" s="153"/>
      <c r="OY324" s="137"/>
      <c r="OZ324" s="158"/>
      <c r="PA324" s="363"/>
      <c r="PB324" s="139"/>
      <c r="PC324" s="139"/>
      <c r="PD324" s="98"/>
      <c r="PE324" s="79"/>
      <c r="PF324" s="139"/>
      <c r="PG324" s="139"/>
      <c r="PH324" s="138"/>
      <c r="PI324" s="147"/>
      <c r="PJ324" s="147"/>
      <c r="PK324" s="147"/>
      <c r="PL324" s="138"/>
      <c r="PM324" s="138"/>
      <c r="PN324" s="147"/>
      <c r="PO324" s="148"/>
      <c r="PP324" s="81"/>
      <c r="PQ324" s="140"/>
      <c r="PR324" s="157"/>
      <c r="PS324" s="157"/>
      <c r="PT324" s="100"/>
      <c r="PU324" s="79"/>
      <c r="PV324" s="153"/>
      <c r="PW324" s="137"/>
      <c r="PX324" s="158"/>
      <c r="PY324" s="363"/>
      <c r="PZ324" s="139"/>
      <c r="QA324" s="139"/>
      <c r="QB324" s="98"/>
      <c r="QC324" s="79"/>
      <c r="QD324" s="139"/>
      <c r="QE324" s="139"/>
      <c r="QF324" s="138"/>
      <c r="QG324" s="147"/>
      <c r="QH324" s="147"/>
      <c r="QI324" s="147"/>
      <c r="QJ324" s="138"/>
      <c r="QK324" s="138"/>
      <c r="QL324" s="147"/>
      <c r="QM324" s="148"/>
      <c r="QN324" s="81"/>
      <c r="QO324" s="140"/>
      <c r="QP324" s="157"/>
      <c r="QQ324" s="157"/>
      <c r="QR324" s="100"/>
      <c r="QS324" s="79"/>
      <c r="QT324" s="153"/>
      <c r="QU324" s="137"/>
      <c r="QV324" s="158"/>
      <c r="QW324" s="363"/>
      <c r="QX324" s="139"/>
      <c r="QY324" s="139"/>
      <c r="QZ324" s="98"/>
      <c r="RA324" s="79"/>
      <c r="RB324" s="139"/>
      <c r="RC324" s="139"/>
      <c r="RD324" s="138"/>
      <c r="RE324" s="147"/>
      <c r="RF324" s="147"/>
      <c r="RG324" s="147"/>
      <c r="RH324" s="138"/>
      <c r="RI324" s="138"/>
      <c r="RJ324" s="147"/>
      <c r="RK324" s="148"/>
      <c r="RL324" s="81"/>
      <c r="RM324" s="140"/>
      <c r="RN324" s="157"/>
      <c r="RO324" s="157"/>
      <c r="RP324" s="100"/>
      <c r="RQ324" s="79"/>
      <c r="RR324" s="153"/>
      <c r="RS324" s="137"/>
      <c r="RT324" s="158"/>
      <c r="RU324" s="363"/>
      <c r="RV324" s="139"/>
      <c r="RW324" s="139"/>
      <c r="RX324" s="98"/>
      <c r="RY324" s="79"/>
      <c r="RZ324" s="139"/>
      <c r="SA324" s="139"/>
      <c r="SB324" s="138"/>
      <c r="SC324" s="147"/>
      <c r="SD324" s="147"/>
      <c r="SE324" s="147"/>
      <c r="SF324" s="138"/>
      <c r="SG324" s="138"/>
      <c r="SH324" s="147"/>
      <c r="SI324" s="148"/>
      <c r="SJ324" s="81"/>
      <c r="SK324" s="140"/>
      <c r="SL324" s="157"/>
      <c r="SM324" s="157"/>
      <c r="SN324" s="100"/>
      <c r="SO324" s="79"/>
      <c r="SP324" s="153"/>
      <c r="SQ324" s="137"/>
      <c r="SR324" s="158"/>
      <c r="SS324" s="363"/>
      <c r="ST324" s="139"/>
      <c r="SU324" s="139"/>
      <c r="SV324" s="98"/>
      <c r="SW324" s="79"/>
      <c r="SX324" s="139"/>
      <c r="SY324" s="139"/>
      <c r="SZ324" s="138"/>
      <c r="TA324" s="147"/>
      <c r="TB324" s="147"/>
      <c r="TC324" s="147"/>
      <c r="TD324" s="138"/>
      <c r="TE324" s="138"/>
      <c r="TF324" s="147"/>
      <c r="TG324" s="148"/>
      <c r="TH324" s="81"/>
      <c r="TI324" s="140"/>
      <c r="TJ324" s="157"/>
      <c r="TK324" s="157"/>
      <c r="TL324" s="100"/>
      <c r="TM324" s="79"/>
      <c r="TN324" s="153"/>
      <c r="TO324" s="137"/>
      <c r="TP324" s="158"/>
      <c r="TQ324" s="363"/>
      <c r="TR324" s="139"/>
      <c r="TS324" s="139"/>
      <c r="TT324" s="98"/>
      <c r="TU324" s="79"/>
      <c r="TV324" s="139"/>
      <c r="TW324" s="139"/>
      <c r="TX324" s="138"/>
      <c r="TY324" s="147"/>
      <c r="TZ324" s="147"/>
      <c r="UA324" s="147"/>
      <c r="UB324" s="138"/>
      <c r="UC324" s="138"/>
      <c r="UD324" s="147"/>
      <c r="UE324" s="148"/>
      <c r="UF324" s="81"/>
      <c r="UG324" s="140"/>
      <c r="UH324" s="157"/>
      <c r="UI324" s="157"/>
      <c r="UJ324" s="100"/>
      <c r="UK324" s="79"/>
      <c r="UL324" s="153"/>
      <c r="UM324" s="137"/>
      <c r="UN324" s="158"/>
      <c r="UO324" s="363"/>
      <c r="UP324" s="139"/>
      <c r="UQ324" s="139"/>
      <c r="UR324" s="98"/>
      <c r="US324" s="79"/>
      <c r="UT324" s="139"/>
      <c r="UU324" s="139"/>
      <c r="UV324" s="138"/>
      <c r="UW324" s="147"/>
      <c r="UX324" s="147"/>
      <c r="UY324" s="147"/>
      <c r="UZ324" s="138"/>
      <c r="VA324" s="138"/>
      <c r="VB324" s="147"/>
      <c r="VC324" s="148"/>
      <c r="VD324" s="81"/>
      <c r="VE324" s="140"/>
      <c r="VF324" s="157"/>
      <c r="VG324" s="157"/>
      <c r="VH324" s="100"/>
      <c r="VI324" s="79"/>
      <c r="VJ324" s="153"/>
      <c r="VK324" s="137"/>
      <c r="VL324" s="158"/>
      <c r="VM324" s="363"/>
      <c r="VN324" s="139"/>
      <c r="VO324" s="139"/>
      <c r="VP324" s="98"/>
      <c r="VQ324" s="79"/>
      <c r="VR324" s="139"/>
      <c r="VS324" s="139"/>
      <c r="VT324" s="138"/>
      <c r="VU324" s="147"/>
      <c r="VV324" s="147"/>
      <c r="VW324" s="147"/>
      <c r="VX324" s="138"/>
      <c r="VY324" s="138"/>
      <c r="VZ324" s="147"/>
      <c r="WA324" s="148"/>
      <c r="WB324" s="81"/>
      <c r="WC324" s="140"/>
      <c r="WD324" s="157"/>
      <c r="WE324" s="157"/>
      <c r="WF324" s="100"/>
      <c r="WG324" s="79"/>
      <c r="WH324" s="153"/>
      <c r="WI324" s="137"/>
      <c r="WJ324" s="158"/>
      <c r="WK324" s="363"/>
      <c r="WL324" s="139"/>
      <c r="WM324" s="139"/>
      <c r="WN324" s="98"/>
      <c r="WO324" s="79"/>
      <c r="WP324" s="139"/>
      <c r="WQ324" s="139"/>
      <c r="WR324" s="138"/>
      <c r="WS324" s="147"/>
      <c r="WT324" s="147"/>
      <c r="WU324" s="147"/>
      <c r="WV324" s="138"/>
      <c r="WW324" s="138"/>
      <c r="WX324" s="147"/>
      <c r="WY324" s="148"/>
      <c r="WZ324" s="81"/>
      <c r="XA324" s="140"/>
      <c r="XB324" s="157"/>
      <c r="XC324" s="157"/>
      <c r="XD324" s="100"/>
      <c r="XE324" s="79"/>
      <c r="XF324" s="153"/>
      <c r="XG324" s="137"/>
      <c r="XH324" s="158"/>
      <c r="XI324" s="363"/>
      <c r="XJ324" s="139"/>
      <c r="XK324" s="139"/>
      <c r="XL324" s="98"/>
      <c r="XM324" s="79"/>
      <c r="XN324" s="139"/>
      <c r="XO324" s="139"/>
      <c r="XP324" s="138"/>
      <c r="XQ324" s="147"/>
      <c r="XR324" s="147"/>
      <c r="XS324" s="147"/>
      <c r="XT324" s="138"/>
      <c r="XU324" s="138"/>
      <c r="XV324" s="147"/>
      <c r="XW324" s="148"/>
      <c r="XX324" s="81"/>
      <c r="XY324" s="140"/>
      <c r="XZ324" s="157"/>
      <c r="YA324" s="157"/>
      <c r="YB324" s="100"/>
      <c r="YC324" s="79"/>
      <c r="YD324" s="153"/>
      <c r="YE324" s="137"/>
      <c r="YF324" s="158"/>
      <c r="YG324" s="363"/>
      <c r="YH324" s="139"/>
      <c r="YI324" s="139"/>
      <c r="YJ324" s="98"/>
      <c r="YK324" s="79"/>
      <c r="YL324" s="139"/>
      <c r="YM324" s="139"/>
      <c r="YN324" s="138"/>
      <c r="YO324" s="147"/>
      <c r="YP324" s="147"/>
      <c r="YQ324" s="147"/>
      <c r="YR324" s="138"/>
      <c r="YS324" s="138"/>
      <c r="YT324" s="147"/>
      <c r="YU324" s="148"/>
      <c r="YV324" s="81"/>
      <c r="YW324" s="140"/>
      <c r="YX324" s="157"/>
      <c r="YY324" s="157"/>
      <c r="YZ324" s="100"/>
      <c r="ZA324" s="79"/>
      <c r="ZB324" s="153"/>
      <c r="ZC324" s="137"/>
      <c r="ZD324" s="158"/>
      <c r="ZE324" s="363"/>
      <c r="ZF324" s="139"/>
      <c r="ZG324" s="139"/>
      <c r="ZH324" s="98"/>
      <c r="ZI324" s="79"/>
      <c r="ZJ324" s="139"/>
      <c r="ZK324" s="139"/>
      <c r="ZL324" s="138"/>
      <c r="ZM324" s="147"/>
      <c r="ZN324" s="147"/>
      <c r="ZO324" s="147"/>
      <c r="ZP324" s="138"/>
      <c r="ZQ324" s="138"/>
      <c r="ZR324" s="147"/>
      <c r="ZS324" s="148"/>
      <c r="ZT324" s="81"/>
      <c r="ZU324" s="140"/>
      <c r="ZV324" s="157"/>
      <c r="ZW324" s="157"/>
      <c r="ZX324" s="100"/>
      <c r="ZY324" s="79"/>
      <c r="ZZ324" s="153"/>
      <c r="AAA324" s="137"/>
      <c r="AAB324" s="158"/>
      <c r="AAC324" s="363"/>
      <c r="AAD324" s="139"/>
      <c r="AAE324" s="139"/>
      <c r="AAF324" s="98"/>
      <c r="AAG324" s="79"/>
      <c r="AAH324" s="139"/>
      <c r="AAI324" s="139"/>
      <c r="AAJ324" s="138"/>
      <c r="AAK324" s="147"/>
      <c r="AAL324" s="147"/>
      <c r="AAM324" s="147"/>
      <c r="AAN324" s="138"/>
      <c r="AAO324" s="138"/>
      <c r="AAP324" s="147"/>
      <c r="AAQ324" s="148"/>
      <c r="AAR324" s="81"/>
      <c r="AAS324" s="140"/>
      <c r="AAT324" s="157"/>
      <c r="AAU324" s="157"/>
      <c r="AAV324" s="100"/>
      <c r="AAW324" s="79"/>
      <c r="AAX324" s="153"/>
      <c r="AAY324" s="137"/>
      <c r="AAZ324" s="158"/>
      <c r="ABA324" s="363"/>
      <c r="ABB324" s="139"/>
      <c r="ABC324" s="139"/>
      <c r="ABD324" s="98"/>
      <c r="ABE324" s="79"/>
      <c r="ABF324" s="139"/>
      <c r="ABG324" s="139"/>
      <c r="ABH324" s="138"/>
      <c r="ABI324" s="147"/>
      <c r="ABJ324" s="147"/>
      <c r="ABK324" s="147"/>
      <c r="ABL324" s="138"/>
      <c r="ABM324" s="138"/>
      <c r="ABN324" s="147"/>
      <c r="ABO324" s="148"/>
      <c r="ABP324" s="81"/>
      <c r="ABQ324" s="140"/>
      <c r="ABR324" s="157"/>
      <c r="ABS324" s="157"/>
      <c r="ABT324" s="100"/>
      <c r="ABU324" s="79"/>
      <c r="ABV324" s="153"/>
      <c r="ABW324" s="137"/>
      <c r="ABX324" s="158"/>
      <c r="ABY324" s="363"/>
      <c r="ABZ324" s="139"/>
      <c r="ACA324" s="139"/>
      <c r="ACB324" s="98"/>
      <c r="ACC324" s="79"/>
      <c r="ACD324" s="139"/>
      <c r="ACE324" s="139"/>
      <c r="ACF324" s="138"/>
      <c r="ACG324" s="147"/>
      <c r="ACH324" s="147"/>
      <c r="ACI324" s="147"/>
      <c r="ACJ324" s="138"/>
      <c r="ACK324" s="138"/>
      <c r="ACL324" s="147"/>
      <c r="ACM324" s="148"/>
      <c r="ACN324" s="81"/>
      <c r="ACO324" s="140"/>
      <c r="ACP324" s="157"/>
      <c r="ACQ324" s="157"/>
      <c r="ACR324" s="100"/>
      <c r="ACS324" s="79"/>
      <c r="ACT324" s="153"/>
      <c r="ACU324" s="137"/>
      <c r="ACV324" s="158"/>
      <c r="ACW324" s="363"/>
      <c r="ACX324" s="139"/>
      <c r="ACY324" s="139"/>
      <c r="ACZ324" s="98"/>
      <c r="ADA324" s="79"/>
      <c r="ADB324" s="139"/>
      <c r="ADC324" s="139"/>
      <c r="ADD324" s="138"/>
      <c r="ADE324" s="147"/>
      <c r="ADF324" s="147"/>
      <c r="ADG324" s="147"/>
      <c r="ADH324" s="138"/>
      <c r="ADI324" s="138"/>
      <c r="ADJ324" s="147"/>
      <c r="ADK324" s="148"/>
      <c r="ADL324" s="81"/>
      <c r="ADM324" s="140"/>
      <c r="ADN324" s="157"/>
      <c r="ADO324" s="157"/>
      <c r="ADP324" s="100"/>
      <c r="ADQ324" s="79"/>
      <c r="ADR324" s="153"/>
      <c r="ADS324" s="137"/>
      <c r="ADT324" s="158"/>
      <c r="ADU324" s="363"/>
      <c r="ADV324" s="139"/>
      <c r="ADW324" s="139"/>
      <c r="ADX324" s="98"/>
      <c r="ADY324" s="79"/>
      <c r="ADZ324" s="139"/>
      <c r="AEA324" s="139"/>
      <c r="AEB324" s="138"/>
      <c r="AEC324" s="147"/>
      <c r="AED324" s="147"/>
      <c r="AEE324" s="147"/>
      <c r="AEF324" s="138"/>
      <c r="AEG324" s="138"/>
      <c r="AEH324" s="147"/>
      <c r="AEI324" s="148"/>
      <c r="AEJ324" s="81"/>
      <c r="AEK324" s="140"/>
      <c r="AEL324" s="157"/>
      <c r="AEM324" s="157"/>
      <c r="AEN324" s="100"/>
      <c r="AEO324" s="79"/>
      <c r="AEP324" s="153"/>
      <c r="AEQ324" s="137"/>
      <c r="AER324" s="158"/>
      <c r="AES324" s="363"/>
      <c r="AET324" s="139"/>
      <c r="AEU324" s="139"/>
      <c r="AEV324" s="98"/>
      <c r="AEW324" s="79"/>
      <c r="AEX324" s="139"/>
      <c r="AEY324" s="139"/>
      <c r="AEZ324" s="138"/>
      <c r="AFA324" s="147"/>
      <c r="AFB324" s="147"/>
      <c r="AFC324" s="147"/>
      <c r="AFD324" s="138"/>
      <c r="AFE324" s="138"/>
      <c r="AFF324" s="147"/>
      <c r="AFG324" s="148"/>
      <c r="AFH324" s="81"/>
      <c r="AFI324" s="140"/>
      <c r="AFJ324" s="157"/>
      <c r="AFK324" s="157"/>
      <c r="AFL324" s="100"/>
      <c r="AFM324" s="79"/>
      <c r="AFN324" s="153"/>
      <c r="AFO324" s="137"/>
      <c r="AFP324" s="158"/>
      <c r="AFQ324" s="363"/>
      <c r="AFR324" s="139"/>
      <c r="AFS324" s="139"/>
      <c r="AFT324" s="98"/>
      <c r="AFU324" s="79"/>
      <c r="AFV324" s="139"/>
      <c r="AFW324" s="139"/>
      <c r="AFX324" s="138"/>
      <c r="AFY324" s="147"/>
      <c r="AFZ324" s="147"/>
      <c r="AGA324" s="147"/>
      <c r="AGB324" s="138"/>
      <c r="AGC324" s="138"/>
      <c r="AGD324" s="147"/>
      <c r="AGE324" s="148"/>
      <c r="AGF324" s="81"/>
      <c r="AGG324" s="140"/>
      <c r="AGH324" s="157"/>
      <c r="AGI324" s="157"/>
      <c r="AGJ324" s="100"/>
      <c r="AGK324" s="79"/>
      <c r="AGL324" s="153"/>
      <c r="AGM324" s="137"/>
      <c r="AGN324" s="158"/>
      <c r="AGO324" s="363"/>
      <c r="AGP324" s="139"/>
      <c r="AGQ324" s="139"/>
      <c r="AGR324" s="98"/>
      <c r="AGS324" s="79"/>
      <c r="AGT324" s="139"/>
      <c r="AGU324" s="139"/>
      <c r="AGV324" s="138"/>
      <c r="AGW324" s="147"/>
      <c r="AGX324" s="147"/>
      <c r="AGY324" s="147"/>
      <c r="AGZ324" s="138"/>
      <c r="AHA324" s="138"/>
      <c r="AHB324" s="147"/>
      <c r="AHC324" s="148"/>
      <c r="AHD324" s="81"/>
      <c r="AHE324" s="140"/>
      <c r="AHF324" s="157"/>
      <c r="AHG324" s="157"/>
      <c r="AHH324" s="100"/>
      <c r="AHI324" s="79"/>
      <c r="AHJ324" s="153"/>
      <c r="AHK324" s="137"/>
      <c r="AHL324" s="158"/>
      <c r="AHM324" s="363"/>
      <c r="AHN324" s="139"/>
      <c r="AHO324" s="139"/>
      <c r="AHP324" s="98"/>
      <c r="AHQ324" s="79"/>
      <c r="AHR324" s="139"/>
      <c r="AHS324" s="139"/>
      <c r="AHT324" s="138"/>
      <c r="AHU324" s="147"/>
      <c r="AHV324" s="147"/>
      <c r="AHW324" s="147"/>
      <c r="AHX324" s="138"/>
      <c r="AHY324" s="138"/>
      <c r="AHZ324" s="147"/>
      <c r="AIA324" s="148"/>
      <c r="AIB324" s="81"/>
      <c r="AIC324" s="140"/>
      <c r="AID324" s="157"/>
      <c r="AIE324" s="157"/>
      <c r="AIF324" s="100"/>
      <c r="AIG324" s="79"/>
      <c r="AIH324" s="153"/>
      <c r="AII324" s="137"/>
      <c r="AIJ324" s="158"/>
      <c r="AIK324" s="363"/>
      <c r="AIL324" s="139"/>
      <c r="AIM324" s="139"/>
      <c r="AIN324" s="98"/>
      <c r="AIO324" s="79"/>
      <c r="AIP324" s="139"/>
      <c r="AIQ324" s="139"/>
      <c r="AIR324" s="138"/>
      <c r="AIS324" s="147"/>
      <c r="AIT324" s="147"/>
      <c r="AIU324" s="147"/>
      <c r="AIV324" s="138"/>
      <c r="AIW324" s="138"/>
      <c r="AIX324" s="147"/>
      <c r="AIY324" s="148"/>
      <c r="AIZ324" s="81"/>
      <c r="AJA324" s="140"/>
      <c r="AJB324" s="157"/>
      <c r="AJC324" s="157"/>
      <c r="AJD324" s="100"/>
      <c r="AJE324" s="79"/>
      <c r="AJF324" s="153"/>
      <c r="AJG324" s="137"/>
      <c r="AJH324" s="158"/>
      <c r="AJI324" s="363"/>
      <c r="AJJ324" s="139"/>
      <c r="AJK324" s="139"/>
      <c r="AJL324" s="98"/>
      <c r="AJM324" s="79"/>
      <c r="AJN324" s="139"/>
      <c r="AJO324" s="139"/>
      <c r="AJP324" s="138"/>
      <c r="AJQ324" s="147"/>
      <c r="AJR324" s="147"/>
      <c r="AJS324" s="147"/>
      <c r="AJT324" s="138"/>
      <c r="AJU324" s="138"/>
      <c r="AJV324" s="147"/>
      <c r="AJW324" s="148"/>
      <c r="AJX324" s="81"/>
      <c r="AJY324" s="140"/>
      <c r="AJZ324" s="157"/>
      <c r="AKA324" s="157"/>
      <c r="AKB324" s="100"/>
      <c r="AKC324" s="79"/>
      <c r="AKD324" s="153"/>
      <c r="AKE324" s="137"/>
      <c r="AKF324" s="158"/>
      <c r="AKG324" s="363"/>
      <c r="AKH324" s="139"/>
      <c r="AKI324" s="139"/>
      <c r="AKJ324" s="98"/>
      <c r="AKK324" s="79"/>
      <c r="AKL324" s="139"/>
      <c r="AKM324" s="139"/>
      <c r="AKN324" s="138"/>
      <c r="AKO324" s="147"/>
      <c r="AKP324" s="147"/>
      <c r="AKQ324" s="147"/>
      <c r="AKR324" s="138"/>
      <c r="AKS324" s="138"/>
      <c r="AKT324" s="147"/>
      <c r="AKU324" s="148"/>
      <c r="AKV324" s="81"/>
      <c r="AKW324" s="140"/>
      <c r="AKX324" s="157"/>
      <c r="AKY324" s="157"/>
      <c r="AKZ324" s="100"/>
      <c r="ALA324" s="79"/>
      <c r="ALB324" s="153"/>
      <c r="ALC324" s="137"/>
      <c r="ALD324" s="158"/>
      <c r="ALE324" s="363"/>
      <c r="ALF324" s="139"/>
      <c r="ALG324" s="139"/>
      <c r="ALH324" s="98"/>
      <c r="ALI324" s="79"/>
      <c r="ALJ324" s="139"/>
      <c r="ALK324" s="139"/>
      <c r="ALL324" s="138"/>
      <c r="ALM324" s="147"/>
      <c r="ALN324" s="147"/>
      <c r="ALO324" s="147"/>
      <c r="ALP324" s="138"/>
      <c r="ALQ324" s="138"/>
      <c r="ALR324" s="147"/>
      <c r="ALS324" s="148"/>
      <c r="ALT324" s="81"/>
      <c r="ALU324" s="140"/>
      <c r="ALV324" s="157"/>
      <c r="ALW324" s="157"/>
      <c r="ALX324" s="100"/>
      <c r="ALY324" s="79"/>
      <c r="ALZ324" s="153"/>
      <c r="AMA324" s="137"/>
      <c r="AMB324" s="158"/>
      <c r="AMC324" s="363"/>
      <c r="AMD324" s="139"/>
      <c r="AME324" s="139"/>
      <c r="AMF324" s="98"/>
      <c r="AMG324" s="79"/>
      <c r="AMH324" s="139"/>
      <c r="AMI324" s="139"/>
      <c r="AMJ324" s="138"/>
      <c r="AMK324" s="147"/>
      <c r="AML324" s="147"/>
      <c r="AMM324" s="147"/>
      <c r="AMN324" s="138"/>
      <c r="AMO324" s="138"/>
      <c r="AMP324" s="147"/>
      <c r="AMQ324" s="148"/>
      <c r="AMR324" s="81"/>
      <c r="AMS324" s="140"/>
      <c r="AMT324" s="157"/>
      <c r="AMU324" s="157"/>
      <c r="AMV324" s="100"/>
      <c r="AMW324" s="79"/>
      <c r="AMX324" s="153"/>
      <c r="AMY324" s="137"/>
      <c r="AMZ324" s="158"/>
      <c r="ANA324" s="363"/>
      <c r="ANB324" s="139"/>
      <c r="ANC324" s="139"/>
      <c r="AND324" s="98"/>
      <c r="ANE324" s="79"/>
      <c r="ANF324" s="139"/>
      <c r="ANG324" s="139"/>
      <c r="ANH324" s="138"/>
      <c r="ANI324" s="147"/>
      <c r="ANJ324" s="147"/>
      <c r="ANK324" s="147"/>
      <c r="ANL324" s="138"/>
      <c r="ANM324" s="138"/>
      <c r="ANN324" s="147"/>
      <c r="ANO324" s="148"/>
      <c r="ANP324" s="81"/>
      <c r="ANQ324" s="140"/>
      <c r="ANR324" s="157"/>
      <c r="ANS324" s="157"/>
      <c r="ANT324" s="100"/>
      <c r="ANU324" s="79"/>
      <c r="ANV324" s="153"/>
      <c r="ANW324" s="137"/>
      <c r="ANX324" s="158"/>
      <c r="ANY324" s="363"/>
      <c r="ANZ324" s="139"/>
      <c r="AOA324" s="139"/>
      <c r="AOB324" s="98"/>
      <c r="AOC324" s="79"/>
      <c r="AOD324" s="139"/>
      <c r="AOE324" s="139"/>
      <c r="AOF324" s="138"/>
      <c r="AOG324" s="147"/>
      <c r="AOH324" s="147"/>
      <c r="AOI324" s="147"/>
      <c r="AOJ324" s="138"/>
      <c r="AOK324" s="138"/>
      <c r="AOL324" s="147"/>
      <c r="AOM324" s="148"/>
      <c r="AON324" s="81"/>
      <c r="AOO324" s="140"/>
      <c r="AOP324" s="157"/>
      <c r="AOQ324" s="157"/>
      <c r="AOR324" s="100"/>
      <c r="AOS324" s="79"/>
      <c r="AOT324" s="153"/>
      <c r="AOU324" s="137"/>
      <c r="AOV324" s="158"/>
      <c r="AOW324" s="363"/>
      <c r="AOX324" s="139"/>
      <c r="AOY324" s="139"/>
      <c r="AOZ324" s="98"/>
      <c r="APA324" s="79"/>
      <c r="APB324" s="139"/>
      <c r="APC324" s="139"/>
      <c r="APD324" s="138"/>
      <c r="APE324" s="147"/>
      <c r="APF324" s="147"/>
      <c r="APG324" s="147"/>
      <c r="APH324" s="138"/>
      <c r="API324" s="138"/>
      <c r="APJ324" s="147"/>
      <c r="APK324" s="148"/>
      <c r="APL324" s="81"/>
      <c r="APM324" s="140"/>
      <c r="APN324" s="157"/>
      <c r="APO324" s="157"/>
      <c r="APP324" s="100"/>
      <c r="APQ324" s="79"/>
      <c r="APR324" s="153"/>
      <c r="APS324" s="137"/>
      <c r="APT324" s="158"/>
      <c r="APU324" s="363"/>
      <c r="APV324" s="139"/>
      <c r="APW324" s="139"/>
      <c r="APX324" s="98"/>
      <c r="APY324" s="79"/>
      <c r="APZ324" s="139"/>
      <c r="AQA324" s="139"/>
      <c r="AQB324" s="138"/>
      <c r="AQC324" s="147"/>
      <c r="AQD324" s="147"/>
      <c r="AQE324" s="147"/>
      <c r="AQF324" s="138"/>
      <c r="AQG324" s="138"/>
      <c r="AQH324" s="147"/>
      <c r="AQI324" s="148"/>
      <c r="AQJ324" s="81"/>
      <c r="AQK324" s="140"/>
      <c r="AQL324" s="157"/>
      <c r="AQM324" s="157"/>
      <c r="AQN324" s="100"/>
      <c r="AQO324" s="79"/>
      <c r="AQP324" s="153"/>
      <c r="AQQ324" s="137"/>
      <c r="AQR324" s="158"/>
      <c r="AQS324" s="363"/>
      <c r="AQT324" s="139"/>
      <c r="AQU324" s="139"/>
      <c r="AQV324" s="98"/>
      <c r="AQW324" s="79"/>
      <c r="AQX324" s="139"/>
      <c r="AQY324" s="139"/>
      <c r="AQZ324" s="138"/>
      <c r="ARA324" s="147"/>
      <c r="ARB324" s="147"/>
      <c r="ARC324" s="147"/>
      <c r="ARD324" s="138"/>
      <c r="ARE324" s="138"/>
      <c r="ARF324" s="147"/>
      <c r="ARG324" s="148"/>
      <c r="ARH324" s="81"/>
      <c r="ARI324" s="140"/>
      <c r="ARJ324" s="157"/>
      <c r="ARK324" s="157"/>
      <c r="ARL324" s="100"/>
      <c r="ARM324" s="79"/>
      <c r="ARN324" s="153"/>
      <c r="ARO324" s="137"/>
      <c r="ARP324" s="158"/>
      <c r="ARQ324" s="363"/>
      <c r="ARR324" s="139"/>
      <c r="ARS324" s="139"/>
      <c r="ART324" s="98"/>
      <c r="ARU324" s="79"/>
      <c r="ARV324" s="139"/>
      <c r="ARW324" s="139"/>
      <c r="ARX324" s="138"/>
      <c r="ARY324" s="147"/>
      <c r="ARZ324" s="147"/>
      <c r="ASA324" s="147"/>
      <c r="ASB324" s="138"/>
      <c r="ASC324" s="138"/>
      <c r="ASD324" s="147"/>
      <c r="ASE324" s="148"/>
      <c r="ASF324" s="81"/>
      <c r="ASG324" s="140"/>
      <c r="ASH324" s="157"/>
      <c r="ASI324" s="157"/>
      <c r="ASJ324" s="100"/>
      <c r="ASK324" s="79"/>
      <c r="ASL324" s="153"/>
      <c r="ASM324" s="137"/>
      <c r="ASN324" s="158"/>
      <c r="ASO324" s="363"/>
      <c r="ASP324" s="139"/>
      <c r="ASQ324" s="139"/>
      <c r="ASR324" s="98"/>
      <c r="ASS324" s="79"/>
      <c r="AST324" s="139"/>
      <c r="ASU324" s="139"/>
      <c r="ASV324" s="138"/>
      <c r="ASW324" s="147"/>
      <c r="ASX324" s="147"/>
      <c r="ASY324" s="147"/>
      <c r="ASZ324" s="138"/>
      <c r="ATA324" s="138"/>
      <c r="ATB324" s="147"/>
      <c r="ATC324" s="148"/>
      <c r="ATD324" s="81"/>
      <c r="ATE324" s="140"/>
      <c r="ATF324" s="157"/>
      <c r="ATG324" s="157"/>
      <c r="ATH324" s="100"/>
      <c r="ATI324" s="79"/>
      <c r="ATJ324" s="153"/>
      <c r="ATK324" s="137"/>
      <c r="ATL324" s="158"/>
      <c r="ATM324" s="363"/>
      <c r="ATN324" s="139"/>
      <c r="ATO324" s="139"/>
      <c r="ATP324" s="98"/>
      <c r="ATQ324" s="79"/>
      <c r="ATR324" s="139"/>
      <c r="ATS324" s="139"/>
      <c r="ATT324" s="138"/>
      <c r="ATU324" s="147"/>
      <c r="ATV324" s="147"/>
      <c r="ATW324" s="147"/>
      <c r="ATX324" s="138"/>
      <c r="ATY324" s="138"/>
      <c r="ATZ324" s="147"/>
      <c r="AUA324" s="148"/>
      <c r="AUB324" s="81"/>
      <c r="AUC324" s="140"/>
      <c r="AUD324" s="157"/>
      <c r="AUE324" s="157"/>
      <c r="AUF324" s="100"/>
      <c r="AUG324" s="79"/>
      <c r="AUH324" s="153"/>
      <c r="AUI324" s="137"/>
      <c r="AUJ324" s="158"/>
      <c r="AUK324" s="363"/>
      <c r="AUL324" s="139"/>
      <c r="AUM324" s="139"/>
      <c r="AUN324" s="98"/>
      <c r="AUO324" s="79"/>
      <c r="AUP324" s="139"/>
      <c r="AUQ324" s="139"/>
      <c r="AUR324" s="138"/>
      <c r="AUS324" s="147"/>
      <c r="AUT324" s="147"/>
      <c r="AUU324" s="147"/>
      <c r="AUV324" s="138"/>
      <c r="AUW324" s="138"/>
      <c r="AUX324" s="147"/>
      <c r="AUY324" s="148"/>
      <c r="AUZ324" s="81"/>
      <c r="AVA324" s="140"/>
      <c r="AVB324" s="157"/>
      <c r="AVC324" s="157"/>
      <c r="AVD324" s="100"/>
      <c r="AVE324" s="79"/>
      <c r="AVF324" s="153"/>
      <c r="AVG324" s="137"/>
      <c r="AVH324" s="158"/>
      <c r="AVI324" s="363"/>
      <c r="AVJ324" s="139"/>
      <c r="AVK324" s="139"/>
      <c r="AVL324" s="98"/>
      <c r="AVM324" s="79"/>
      <c r="AVN324" s="139"/>
      <c r="AVO324" s="139"/>
      <c r="AVP324" s="138"/>
      <c r="AVQ324" s="147"/>
      <c r="AVR324" s="147"/>
      <c r="AVS324" s="147"/>
      <c r="AVT324" s="138"/>
      <c r="AVU324" s="138"/>
      <c r="AVV324" s="147"/>
      <c r="AVW324" s="148"/>
      <c r="AVX324" s="81"/>
      <c r="AVY324" s="140"/>
      <c r="AVZ324" s="157"/>
      <c r="AWA324" s="157"/>
      <c r="AWB324" s="100"/>
      <c r="AWC324" s="79"/>
      <c r="AWD324" s="153"/>
      <c r="AWE324" s="137"/>
      <c r="AWF324" s="158"/>
      <c r="AWG324" s="363"/>
      <c r="AWH324" s="139"/>
      <c r="AWI324" s="139"/>
      <c r="AWJ324" s="98"/>
      <c r="AWK324" s="79"/>
      <c r="AWL324" s="139"/>
      <c r="AWM324" s="139"/>
      <c r="AWN324" s="138"/>
      <c r="AWO324" s="147"/>
      <c r="AWP324" s="147"/>
      <c r="AWQ324" s="147"/>
      <c r="AWR324" s="138"/>
      <c r="AWS324" s="138"/>
      <c r="AWT324" s="147"/>
      <c r="AWU324" s="148"/>
      <c r="AWV324" s="81"/>
      <c r="AWW324" s="140"/>
      <c r="AWX324" s="157"/>
      <c r="AWY324" s="157"/>
      <c r="AWZ324" s="100"/>
      <c r="AXA324" s="79"/>
      <c r="AXB324" s="153"/>
      <c r="AXC324" s="137"/>
      <c r="AXD324" s="158"/>
      <c r="AXE324" s="363"/>
      <c r="AXF324" s="139"/>
      <c r="AXG324" s="139"/>
      <c r="AXH324" s="98"/>
      <c r="AXI324" s="79"/>
      <c r="AXJ324" s="139"/>
      <c r="AXK324" s="139"/>
      <c r="AXL324" s="138"/>
      <c r="AXM324" s="147"/>
      <c r="AXN324" s="147"/>
      <c r="AXO324" s="147"/>
      <c r="AXP324" s="138"/>
      <c r="AXQ324" s="138"/>
      <c r="AXR324" s="147"/>
      <c r="AXS324" s="148"/>
      <c r="AXT324" s="81"/>
      <c r="AXU324" s="140"/>
      <c r="AXV324" s="157"/>
      <c r="AXW324" s="157"/>
      <c r="AXX324" s="100"/>
      <c r="AXY324" s="79"/>
      <c r="AXZ324" s="153"/>
      <c r="AYA324" s="137"/>
      <c r="AYB324" s="158"/>
      <c r="AYC324" s="363"/>
      <c r="AYD324" s="139"/>
      <c r="AYE324" s="139"/>
      <c r="AYF324" s="98"/>
      <c r="AYG324" s="79"/>
      <c r="AYH324" s="139"/>
      <c r="AYI324" s="139"/>
      <c r="AYJ324" s="138"/>
      <c r="AYK324" s="147"/>
      <c r="AYL324" s="147"/>
      <c r="AYM324" s="147"/>
      <c r="AYN324" s="138"/>
      <c r="AYO324" s="138"/>
      <c r="AYP324" s="147"/>
      <c r="AYQ324" s="148"/>
      <c r="AYR324" s="81"/>
      <c r="AYS324" s="140"/>
      <c r="AYT324" s="157"/>
      <c r="AYU324" s="157"/>
      <c r="AYV324" s="100"/>
      <c r="AYW324" s="79"/>
      <c r="AYX324" s="153"/>
      <c r="AYY324" s="137"/>
      <c r="AYZ324" s="158"/>
      <c r="AZA324" s="363"/>
      <c r="AZB324" s="139"/>
      <c r="AZC324" s="139"/>
      <c r="AZD324" s="98"/>
      <c r="AZE324" s="79"/>
      <c r="AZF324" s="139"/>
      <c r="AZG324" s="139"/>
      <c r="AZH324" s="138"/>
      <c r="AZI324" s="147"/>
      <c r="AZJ324" s="147"/>
      <c r="AZK324" s="147"/>
      <c r="AZL324" s="138"/>
      <c r="AZM324" s="138"/>
      <c r="AZN324" s="147"/>
      <c r="AZO324" s="148"/>
      <c r="AZP324" s="81"/>
      <c r="AZQ324" s="140"/>
      <c r="AZR324" s="157"/>
      <c r="AZS324" s="157"/>
      <c r="AZT324" s="100"/>
      <c r="AZU324" s="79"/>
      <c r="AZV324" s="153"/>
      <c r="AZW324" s="137"/>
      <c r="AZX324" s="158"/>
      <c r="AZY324" s="363"/>
      <c r="AZZ324" s="139"/>
      <c r="BAA324" s="139"/>
      <c r="BAB324" s="98"/>
      <c r="BAC324" s="79"/>
      <c r="BAD324" s="139"/>
      <c r="BAE324" s="139"/>
      <c r="BAF324" s="138"/>
      <c r="BAG324" s="147"/>
      <c r="BAH324" s="147"/>
      <c r="BAI324" s="147"/>
      <c r="BAJ324" s="138"/>
      <c r="BAK324" s="138"/>
      <c r="BAL324" s="147"/>
      <c r="BAM324" s="148"/>
      <c r="BAN324" s="81"/>
      <c r="BAO324" s="140"/>
      <c r="BAP324" s="157"/>
      <c r="BAQ324" s="157"/>
      <c r="BAR324" s="100"/>
      <c r="BAS324" s="79"/>
      <c r="BAT324" s="153"/>
      <c r="BAU324" s="137"/>
      <c r="BAV324" s="158"/>
      <c r="BAW324" s="363"/>
      <c r="BAX324" s="139"/>
      <c r="BAY324" s="139"/>
      <c r="BAZ324" s="98"/>
      <c r="BBA324" s="79"/>
      <c r="BBB324" s="139"/>
      <c r="BBC324" s="139"/>
      <c r="BBD324" s="138"/>
      <c r="BBE324" s="147"/>
      <c r="BBF324" s="147"/>
      <c r="BBG324" s="147"/>
      <c r="BBH324" s="138"/>
      <c r="BBI324" s="138"/>
      <c r="BBJ324" s="147"/>
      <c r="BBK324" s="148"/>
      <c r="BBL324" s="81"/>
      <c r="BBM324" s="140"/>
      <c r="BBN324" s="157"/>
      <c r="BBO324" s="157"/>
      <c r="BBP324" s="100"/>
      <c r="BBQ324" s="79"/>
      <c r="BBR324" s="153"/>
      <c r="BBS324" s="137"/>
      <c r="BBT324" s="158"/>
      <c r="BBU324" s="363"/>
      <c r="BBV324" s="139"/>
      <c r="BBW324" s="139"/>
      <c r="BBX324" s="98"/>
      <c r="BBY324" s="79"/>
      <c r="BBZ324" s="139"/>
      <c r="BCA324" s="139"/>
      <c r="BCB324" s="138"/>
      <c r="BCC324" s="147"/>
      <c r="BCD324" s="147"/>
      <c r="BCE324" s="147"/>
      <c r="BCF324" s="138"/>
      <c r="BCG324" s="138"/>
      <c r="BCH324" s="147"/>
      <c r="BCI324" s="148"/>
      <c r="BCJ324" s="81"/>
      <c r="BCK324" s="140"/>
      <c r="BCL324" s="157"/>
      <c r="BCM324" s="157"/>
      <c r="BCN324" s="100"/>
      <c r="BCO324" s="79"/>
      <c r="BCP324" s="153"/>
      <c r="BCQ324" s="137"/>
      <c r="BCR324" s="158"/>
      <c r="BCS324" s="363"/>
      <c r="BCT324" s="139"/>
      <c r="BCU324" s="139"/>
      <c r="BCV324" s="98"/>
      <c r="BCW324" s="79"/>
      <c r="BCX324" s="139"/>
      <c r="BCY324" s="139"/>
      <c r="BCZ324" s="138"/>
      <c r="BDA324" s="147"/>
      <c r="BDB324" s="147"/>
      <c r="BDC324" s="147"/>
      <c r="BDD324" s="138"/>
      <c r="BDE324" s="138"/>
      <c r="BDF324" s="147"/>
      <c r="BDG324" s="148"/>
      <c r="BDH324" s="81"/>
      <c r="BDI324" s="140"/>
      <c r="BDJ324" s="157"/>
      <c r="BDK324" s="157"/>
      <c r="BDL324" s="100"/>
      <c r="BDM324" s="79"/>
      <c r="BDN324" s="153"/>
      <c r="BDO324" s="137"/>
      <c r="BDP324" s="158"/>
      <c r="BDQ324" s="363"/>
      <c r="BDR324" s="139"/>
      <c r="BDS324" s="139"/>
      <c r="BDT324" s="98"/>
      <c r="BDU324" s="79"/>
      <c r="BDV324" s="139"/>
      <c r="BDW324" s="139"/>
      <c r="BDX324" s="138"/>
      <c r="BDY324" s="147"/>
      <c r="BDZ324" s="147"/>
      <c r="BEA324" s="147"/>
      <c r="BEB324" s="138"/>
      <c r="BEC324" s="138"/>
      <c r="BED324" s="147"/>
      <c r="BEE324" s="148"/>
      <c r="BEF324" s="81"/>
      <c r="BEG324" s="140"/>
      <c r="BEH324" s="157"/>
      <c r="BEI324" s="157"/>
      <c r="BEJ324" s="100"/>
      <c r="BEK324" s="79"/>
      <c r="BEL324" s="153"/>
      <c r="BEM324" s="137"/>
      <c r="BEN324" s="158"/>
      <c r="BEO324" s="363"/>
      <c r="BEP324" s="139"/>
      <c r="BEQ324" s="139"/>
      <c r="BER324" s="98"/>
      <c r="BES324" s="79"/>
      <c r="BET324" s="139"/>
      <c r="BEU324" s="139"/>
      <c r="BEV324" s="138"/>
      <c r="BEW324" s="147"/>
      <c r="BEX324" s="147"/>
      <c r="BEY324" s="147"/>
      <c r="BEZ324" s="138"/>
      <c r="BFA324" s="138"/>
      <c r="BFB324" s="147"/>
      <c r="BFC324" s="148"/>
      <c r="BFD324" s="81"/>
      <c r="BFE324" s="140"/>
      <c r="BFF324" s="157"/>
      <c r="BFG324" s="157"/>
      <c r="BFH324" s="100"/>
      <c r="BFI324" s="79"/>
      <c r="BFJ324" s="153"/>
      <c r="BFK324" s="137"/>
      <c r="BFL324" s="158"/>
      <c r="BFM324" s="363"/>
      <c r="BFN324" s="139"/>
      <c r="BFO324" s="139"/>
      <c r="BFP324" s="98"/>
      <c r="BFQ324" s="79"/>
      <c r="BFR324" s="139"/>
      <c r="BFS324" s="139"/>
      <c r="BFT324" s="138"/>
      <c r="BFU324" s="147"/>
      <c r="BFV324" s="147"/>
      <c r="BFW324" s="147"/>
      <c r="BFX324" s="138"/>
      <c r="BFY324" s="138"/>
      <c r="BFZ324" s="147"/>
      <c r="BGA324" s="148"/>
      <c r="BGB324" s="81"/>
      <c r="BGC324" s="140"/>
      <c r="BGD324" s="157"/>
      <c r="BGE324" s="157"/>
      <c r="BGF324" s="100"/>
      <c r="BGG324" s="79"/>
      <c r="BGH324" s="153"/>
      <c r="BGI324" s="137"/>
      <c r="BGJ324" s="158"/>
      <c r="BGK324" s="363"/>
      <c r="BGL324" s="139"/>
      <c r="BGM324" s="139"/>
      <c r="BGN324" s="98"/>
      <c r="BGO324" s="79"/>
      <c r="BGP324" s="139"/>
      <c r="BGQ324" s="139"/>
      <c r="BGR324" s="138"/>
      <c r="BGS324" s="147"/>
      <c r="BGT324" s="147"/>
      <c r="BGU324" s="147"/>
      <c r="BGV324" s="138"/>
      <c r="BGW324" s="138"/>
      <c r="BGX324" s="147"/>
      <c r="BGY324" s="148"/>
      <c r="BGZ324" s="81"/>
      <c r="BHA324" s="140"/>
      <c r="BHB324" s="157"/>
      <c r="BHC324" s="157"/>
      <c r="BHD324" s="100"/>
      <c r="BHE324" s="79"/>
      <c r="BHF324" s="153"/>
      <c r="BHG324" s="137"/>
      <c r="BHH324" s="158"/>
      <c r="BHI324" s="363"/>
      <c r="BHJ324" s="139"/>
      <c r="BHK324" s="139"/>
      <c r="BHL324" s="98"/>
      <c r="BHM324" s="79"/>
      <c r="BHN324" s="139"/>
      <c r="BHO324" s="139"/>
      <c r="BHP324" s="138"/>
      <c r="BHQ324" s="147"/>
      <c r="BHR324" s="147"/>
      <c r="BHS324" s="147"/>
      <c r="BHT324" s="138"/>
      <c r="BHU324" s="138"/>
      <c r="BHV324" s="147"/>
      <c r="BHW324" s="148"/>
      <c r="BHX324" s="81"/>
      <c r="BHY324" s="140"/>
      <c r="BHZ324" s="157"/>
      <c r="BIA324" s="157"/>
      <c r="BIB324" s="100"/>
      <c r="BIC324" s="79"/>
      <c r="BID324" s="153"/>
      <c r="BIE324" s="137"/>
      <c r="BIF324" s="158"/>
      <c r="BIG324" s="363"/>
      <c r="BIH324" s="139"/>
      <c r="BII324" s="139"/>
      <c r="BIJ324" s="98"/>
      <c r="BIK324" s="79"/>
      <c r="BIL324" s="139"/>
      <c r="BIM324" s="139"/>
      <c r="BIN324" s="138"/>
      <c r="BIO324" s="147"/>
      <c r="BIP324" s="147"/>
      <c r="BIQ324" s="147"/>
      <c r="BIR324" s="138"/>
      <c r="BIS324" s="138"/>
      <c r="BIT324" s="147"/>
      <c r="BIU324" s="148"/>
      <c r="BIV324" s="81"/>
      <c r="BIW324" s="140"/>
      <c r="BIX324" s="157"/>
      <c r="BIY324" s="157"/>
      <c r="BIZ324" s="100"/>
      <c r="BJA324" s="79"/>
      <c r="BJB324" s="153"/>
      <c r="BJC324" s="137"/>
      <c r="BJD324" s="158"/>
      <c r="BJE324" s="363"/>
      <c r="BJF324" s="139"/>
      <c r="BJG324" s="139"/>
      <c r="BJH324" s="98"/>
      <c r="BJI324" s="79"/>
      <c r="BJJ324" s="139"/>
      <c r="BJK324" s="139"/>
      <c r="BJL324" s="138"/>
      <c r="BJM324" s="147"/>
      <c r="BJN324" s="147"/>
      <c r="BJO324" s="147"/>
      <c r="BJP324" s="138"/>
      <c r="BJQ324" s="138"/>
      <c r="BJR324" s="147"/>
      <c r="BJS324" s="148"/>
      <c r="BJT324" s="81"/>
      <c r="BJU324" s="140"/>
      <c r="BJV324" s="157"/>
      <c r="BJW324" s="157"/>
      <c r="BJX324" s="100"/>
      <c r="BJY324" s="79"/>
      <c r="BJZ324" s="153"/>
      <c r="BKA324" s="137"/>
      <c r="BKB324" s="158"/>
      <c r="BKC324" s="363"/>
      <c r="BKD324" s="139"/>
      <c r="BKE324" s="139"/>
      <c r="BKF324" s="98"/>
      <c r="BKG324" s="79"/>
      <c r="BKH324" s="139"/>
      <c r="BKI324" s="139"/>
      <c r="BKJ324" s="138"/>
      <c r="BKK324" s="147"/>
      <c r="BKL324" s="147"/>
      <c r="BKM324" s="147"/>
      <c r="BKN324" s="138"/>
      <c r="BKO324" s="138"/>
      <c r="BKP324" s="147"/>
      <c r="BKQ324" s="148"/>
      <c r="BKR324" s="81"/>
      <c r="BKS324" s="140"/>
      <c r="BKT324" s="157"/>
      <c r="BKU324" s="157"/>
      <c r="BKV324" s="100"/>
      <c r="BKW324" s="79"/>
      <c r="BKX324" s="153"/>
      <c r="BKY324" s="137"/>
      <c r="BKZ324" s="158"/>
      <c r="BLA324" s="363"/>
      <c r="BLB324" s="139"/>
      <c r="BLC324" s="139"/>
      <c r="BLD324" s="98"/>
      <c r="BLE324" s="79"/>
      <c r="BLF324" s="139"/>
      <c r="BLG324" s="139"/>
      <c r="BLH324" s="138"/>
      <c r="BLI324" s="147"/>
      <c r="BLJ324" s="147"/>
      <c r="BLK324" s="147"/>
      <c r="BLL324" s="138"/>
      <c r="BLM324" s="138"/>
      <c r="BLN324" s="147"/>
      <c r="BLO324" s="148"/>
      <c r="BLP324" s="81"/>
      <c r="BLQ324" s="140"/>
      <c r="BLR324" s="157"/>
      <c r="BLS324" s="157"/>
      <c r="BLT324" s="100"/>
      <c r="BLU324" s="79"/>
      <c r="BLV324" s="153"/>
      <c r="BLW324" s="137"/>
      <c r="BLX324" s="158"/>
      <c r="BLY324" s="363"/>
      <c r="BLZ324" s="139"/>
      <c r="BMA324" s="139"/>
      <c r="BMB324" s="98"/>
      <c r="BMC324" s="79"/>
      <c r="BMD324" s="139"/>
      <c r="BME324" s="139"/>
      <c r="BMF324" s="138"/>
      <c r="BMG324" s="147"/>
      <c r="BMH324" s="147"/>
      <c r="BMI324" s="147"/>
      <c r="BMJ324" s="138"/>
      <c r="BMK324" s="138"/>
      <c r="BML324" s="147"/>
      <c r="BMM324" s="148"/>
      <c r="BMN324" s="81"/>
      <c r="BMO324" s="140"/>
      <c r="BMP324" s="157"/>
      <c r="BMQ324" s="157"/>
      <c r="BMR324" s="100"/>
      <c r="BMS324" s="79"/>
      <c r="BMT324" s="153"/>
      <c r="BMU324" s="137"/>
      <c r="BMV324" s="158"/>
      <c r="BMW324" s="363"/>
      <c r="BMX324" s="139"/>
      <c r="BMY324" s="139"/>
      <c r="BMZ324" s="98"/>
      <c r="BNA324" s="79"/>
      <c r="BNB324" s="139"/>
      <c r="BNC324" s="139"/>
      <c r="BND324" s="138"/>
      <c r="BNE324" s="147"/>
      <c r="BNF324" s="147"/>
      <c r="BNG324" s="147"/>
      <c r="BNH324" s="138"/>
      <c r="BNI324" s="138"/>
      <c r="BNJ324" s="147"/>
      <c r="BNK324" s="148"/>
      <c r="BNL324" s="81"/>
      <c r="BNM324" s="140"/>
      <c r="BNN324" s="157"/>
      <c r="BNO324" s="157"/>
      <c r="BNP324" s="100"/>
      <c r="BNQ324" s="79"/>
      <c r="BNR324" s="153"/>
      <c r="BNS324" s="137"/>
      <c r="BNT324" s="158"/>
      <c r="BNU324" s="363"/>
      <c r="BNV324" s="139"/>
      <c r="BNW324" s="139"/>
      <c r="BNX324" s="98"/>
      <c r="BNY324" s="79"/>
      <c r="BNZ324" s="139"/>
      <c r="BOA324" s="139"/>
      <c r="BOB324" s="138"/>
      <c r="BOC324" s="147"/>
      <c r="BOD324" s="147"/>
      <c r="BOE324" s="147"/>
      <c r="BOF324" s="138"/>
      <c r="BOG324" s="138"/>
      <c r="BOH324" s="147"/>
      <c r="BOI324" s="148"/>
      <c r="BOJ324" s="81"/>
      <c r="BOK324" s="140"/>
      <c r="BOL324" s="157"/>
      <c r="BOM324" s="157"/>
      <c r="BON324" s="100"/>
      <c r="BOO324" s="79"/>
      <c r="BOP324" s="153"/>
      <c r="BOQ324" s="137"/>
      <c r="BOR324" s="158"/>
      <c r="BOS324" s="363"/>
      <c r="BOT324" s="139"/>
      <c r="BOU324" s="139"/>
      <c r="BOV324" s="98"/>
      <c r="BOW324" s="79"/>
      <c r="BOX324" s="139"/>
      <c r="BOY324" s="139"/>
      <c r="BOZ324" s="138"/>
      <c r="BPA324" s="147"/>
      <c r="BPB324" s="147"/>
      <c r="BPC324" s="147"/>
      <c r="BPD324" s="138"/>
      <c r="BPE324" s="138"/>
      <c r="BPF324" s="147"/>
      <c r="BPG324" s="148"/>
      <c r="BPH324" s="81"/>
      <c r="BPI324" s="140"/>
      <c r="BPJ324" s="157"/>
      <c r="BPK324" s="157"/>
      <c r="BPL324" s="100"/>
      <c r="BPM324" s="79"/>
      <c r="BPN324" s="153"/>
      <c r="BPO324" s="137"/>
      <c r="BPP324" s="158"/>
      <c r="BPQ324" s="363"/>
      <c r="BPR324" s="139"/>
      <c r="BPS324" s="139"/>
      <c r="BPT324" s="98"/>
      <c r="BPU324" s="79"/>
      <c r="BPV324" s="139"/>
      <c r="BPW324" s="139"/>
      <c r="BPX324" s="138"/>
      <c r="BPY324" s="147"/>
      <c r="BPZ324" s="147"/>
      <c r="BQA324" s="147"/>
      <c r="BQB324" s="138"/>
      <c r="BQC324" s="138"/>
      <c r="BQD324" s="147"/>
      <c r="BQE324" s="148"/>
      <c r="BQF324" s="81"/>
      <c r="BQG324" s="140"/>
      <c r="BQH324" s="157"/>
      <c r="BQI324" s="157"/>
      <c r="BQJ324" s="100"/>
      <c r="BQK324" s="79"/>
      <c r="BQL324" s="153"/>
      <c r="BQM324" s="137"/>
      <c r="BQN324" s="158"/>
      <c r="BQO324" s="363"/>
      <c r="BQP324" s="139"/>
      <c r="BQQ324" s="139"/>
      <c r="BQR324" s="98"/>
      <c r="BQS324" s="79"/>
      <c r="BQT324" s="139"/>
      <c r="BQU324" s="139"/>
      <c r="BQV324" s="138"/>
      <c r="BQW324" s="147"/>
      <c r="BQX324" s="147"/>
      <c r="BQY324" s="147"/>
      <c r="BQZ324" s="138"/>
      <c r="BRA324" s="138"/>
      <c r="BRB324" s="147"/>
      <c r="BRC324" s="148"/>
      <c r="BRD324" s="81"/>
      <c r="BRE324" s="140"/>
      <c r="BRF324" s="157"/>
      <c r="BRG324" s="157"/>
      <c r="BRH324" s="100"/>
      <c r="BRI324" s="79"/>
      <c r="BRJ324" s="153"/>
      <c r="BRK324" s="137"/>
      <c r="BRL324" s="158"/>
      <c r="BRM324" s="363"/>
      <c r="BRN324" s="139"/>
      <c r="BRO324" s="139"/>
      <c r="BRP324" s="98"/>
      <c r="BRQ324" s="79"/>
      <c r="BRR324" s="139"/>
      <c r="BRS324" s="139"/>
      <c r="BRT324" s="138"/>
      <c r="BRU324" s="147"/>
      <c r="BRV324" s="147"/>
      <c r="BRW324" s="147"/>
      <c r="BRX324" s="138"/>
      <c r="BRY324" s="138"/>
      <c r="BRZ324" s="147"/>
      <c r="BSA324" s="148"/>
      <c r="BSB324" s="81"/>
      <c r="BSC324" s="140"/>
      <c r="BSD324" s="157"/>
      <c r="BSE324" s="157"/>
      <c r="BSF324" s="100"/>
      <c r="BSG324" s="79"/>
      <c r="BSH324" s="153"/>
      <c r="BSI324" s="137"/>
      <c r="BSJ324" s="158"/>
      <c r="BSK324" s="363"/>
      <c r="BSL324" s="139"/>
      <c r="BSM324" s="139"/>
      <c r="BSN324" s="98"/>
      <c r="BSO324" s="79"/>
      <c r="BSP324" s="139"/>
      <c r="BSQ324" s="139"/>
      <c r="BSR324" s="138"/>
      <c r="BSS324" s="147"/>
      <c r="BST324" s="147"/>
      <c r="BSU324" s="147"/>
      <c r="BSV324" s="138"/>
      <c r="BSW324" s="138"/>
      <c r="BSX324" s="147"/>
      <c r="BSY324" s="148"/>
      <c r="BSZ324" s="81"/>
      <c r="BTA324" s="140"/>
      <c r="BTB324" s="157"/>
      <c r="BTC324" s="157"/>
      <c r="BTD324" s="100"/>
      <c r="BTE324" s="79"/>
      <c r="BTF324" s="153"/>
      <c r="BTG324" s="137"/>
      <c r="BTH324" s="158"/>
      <c r="BTI324" s="363"/>
      <c r="BTJ324" s="139"/>
      <c r="BTK324" s="139"/>
      <c r="BTL324" s="98"/>
      <c r="BTM324" s="79"/>
      <c r="BTN324" s="139"/>
      <c r="BTO324" s="139"/>
      <c r="BTP324" s="138"/>
      <c r="BTQ324" s="147"/>
      <c r="BTR324" s="147"/>
      <c r="BTS324" s="147"/>
      <c r="BTT324" s="138"/>
      <c r="BTU324" s="138"/>
      <c r="BTV324" s="147"/>
      <c r="BTW324" s="148"/>
      <c r="BTX324" s="81"/>
      <c r="BTY324" s="140"/>
      <c r="BTZ324" s="157"/>
      <c r="BUA324" s="157"/>
      <c r="BUB324" s="100"/>
      <c r="BUC324" s="79"/>
      <c r="BUD324" s="153"/>
      <c r="BUE324" s="137"/>
      <c r="BUF324" s="158"/>
      <c r="BUG324" s="363"/>
      <c r="BUH324" s="139"/>
      <c r="BUI324" s="139"/>
      <c r="BUJ324" s="98"/>
      <c r="BUK324" s="79"/>
      <c r="BUL324" s="139"/>
      <c r="BUM324" s="139"/>
      <c r="BUN324" s="138"/>
      <c r="BUO324" s="147"/>
      <c r="BUP324" s="147"/>
      <c r="BUQ324" s="147"/>
      <c r="BUR324" s="138"/>
      <c r="BUS324" s="138"/>
      <c r="BUT324" s="147"/>
      <c r="BUU324" s="148"/>
      <c r="BUV324" s="81"/>
      <c r="BUW324" s="140"/>
      <c r="BUX324" s="157"/>
      <c r="BUY324" s="157"/>
      <c r="BUZ324" s="100"/>
      <c r="BVA324" s="79"/>
      <c r="BVB324" s="153"/>
      <c r="BVC324" s="137"/>
      <c r="BVD324" s="158"/>
      <c r="BVE324" s="363"/>
      <c r="BVF324" s="139"/>
      <c r="BVG324" s="139"/>
      <c r="BVH324" s="98"/>
      <c r="BVI324" s="79"/>
      <c r="BVJ324" s="139"/>
      <c r="BVK324" s="139"/>
      <c r="BVL324" s="138"/>
      <c r="BVM324" s="147"/>
      <c r="BVN324" s="147"/>
      <c r="BVO324" s="147"/>
      <c r="BVP324" s="138"/>
      <c r="BVQ324" s="138"/>
      <c r="BVR324" s="147"/>
      <c r="BVS324" s="148"/>
      <c r="BVT324" s="81"/>
      <c r="BVU324" s="140"/>
      <c r="BVV324" s="157"/>
      <c r="BVW324" s="157"/>
      <c r="BVX324" s="100"/>
      <c r="BVY324" s="79"/>
      <c r="BVZ324" s="153"/>
      <c r="BWA324" s="137"/>
      <c r="BWB324" s="158"/>
      <c r="BWC324" s="363"/>
      <c r="BWD324" s="139"/>
      <c r="BWE324" s="139"/>
      <c r="BWF324" s="98"/>
      <c r="BWG324" s="79"/>
      <c r="BWH324" s="139"/>
      <c r="BWI324" s="139"/>
      <c r="BWJ324" s="138"/>
      <c r="BWK324" s="147"/>
      <c r="BWL324" s="147"/>
      <c r="BWM324" s="147"/>
      <c r="BWN324" s="138"/>
      <c r="BWO324" s="138"/>
      <c r="BWP324" s="147"/>
      <c r="BWQ324" s="148"/>
      <c r="BWR324" s="81"/>
      <c r="BWS324" s="140"/>
      <c r="BWT324" s="157"/>
      <c r="BWU324" s="157"/>
      <c r="BWV324" s="100"/>
      <c r="BWW324" s="79"/>
      <c r="BWX324" s="153"/>
      <c r="BWY324" s="137"/>
      <c r="BWZ324" s="158"/>
      <c r="BXA324" s="363"/>
      <c r="BXB324" s="139"/>
      <c r="BXC324" s="139"/>
      <c r="BXD324" s="98"/>
      <c r="BXE324" s="79"/>
      <c r="BXF324" s="139"/>
      <c r="BXG324" s="139"/>
      <c r="BXH324" s="138"/>
      <c r="BXI324" s="147"/>
      <c r="BXJ324" s="147"/>
      <c r="BXK324" s="147"/>
      <c r="BXL324" s="138"/>
      <c r="BXM324" s="138"/>
      <c r="BXN324" s="147"/>
      <c r="BXO324" s="148"/>
      <c r="BXP324" s="81"/>
      <c r="BXQ324" s="140"/>
      <c r="BXR324" s="157"/>
      <c r="BXS324" s="157"/>
      <c r="BXT324" s="100"/>
      <c r="BXU324" s="79"/>
      <c r="BXV324" s="153"/>
      <c r="BXW324" s="137"/>
      <c r="BXX324" s="158"/>
      <c r="BXY324" s="363"/>
      <c r="BXZ324" s="139"/>
      <c r="BYA324" s="139"/>
      <c r="BYB324" s="98"/>
      <c r="BYC324" s="79"/>
      <c r="BYD324" s="139"/>
      <c r="BYE324" s="139"/>
      <c r="BYF324" s="138"/>
      <c r="BYG324" s="147"/>
      <c r="BYH324" s="147"/>
      <c r="BYI324" s="147"/>
      <c r="BYJ324" s="138"/>
      <c r="BYK324" s="138"/>
      <c r="BYL324" s="147"/>
      <c r="BYM324" s="148"/>
      <c r="BYN324" s="81"/>
      <c r="BYO324" s="140"/>
      <c r="BYP324" s="157"/>
      <c r="BYQ324" s="157"/>
      <c r="BYR324" s="100"/>
      <c r="BYS324" s="79"/>
      <c r="BYT324" s="153"/>
      <c r="BYU324" s="137"/>
      <c r="BYV324" s="158"/>
      <c r="BYW324" s="363"/>
      <c r="BYX324" s="139"/>
      <c r="BYY324" s="139"/>
      <c r="BYZ324" s="98"/>
      <c r="BZA324" s="79"/>
      <c r="BZB324" s="139"/>
      <c r="BZC324" s="139"/>
      <c r="BZD324" s="138"/>
      <c r="BZE324" s="147"/>
      <c r="BZF324" s="147"/>
      <c r="BZG324" s="147"/>
      <c r="BZH324" s="138"/>
      <c r="BZI324" s="138"/>
      <c r="BZJ324" s="147"/>
      <c r="BZK324" s="148"/>
      <c r="BZL324" s="81"/>
      <c r="BZM324" s="140"/>
      <c r="BZN324" s="157"/>
      <c r="BZO324" s="157"/>
      <c r="BZP324" s="100"/>
      <c r="BZQ324" s="79"/>
      <c r="BZR324" s="153"/>
      <c r="BZS324" s="137"/>
      <c r="BZT324" s="158"/>
      <c r="BZU324" s="363"/>
      <c r="BZV324" s="139"/>
      <c r="BZW324" s="139"/>
      <c r="BZX324" s="98"/>
      <c r="BZY324" s="79"/>
      <c r="BZZ324" s="139"/>
      <c r="CAA324" s="139"/>
      <c r="CAB324" s="138"/>
      <c r="CAC324" s="147"/>
      <c r="CAD324" s="147"/>
      <c r="CAE324" s="147"/>
      <c r="CAF324" s="138"/>
      <c r="CAG324" s="138"/>
      <c r="CAH324" s="147"/>
      <c r="CAI324" s="148"/>
      <c r="CAJ324" s="81"/>
      <c r="CAK324" s="140"/>
      <c r="CAL324" s="157"/>
      <c r="CAM324" s="157"/>
      <c r="CAN324" s="100"/>
      <c r="CAO324" s="79"/>
      <c r="CAP324" s="153"/>
      <c r="CAQ324" s="137"/>
      <c r="CAR324" s="158"/>
      <c r="CAS324" s="363"/>
      <c r="CAT324" s="139"/>
      <c r="CAU324" s="139"/>
      <c r="CAV324" s="98"/>
      <c r="CAW324" s="79"/>
      <c r="CAX324" s="139"/>
      <c r="CAY324" s="139"/>
      <c r="CAZ324" s="138"/>
      <c r="CBA324" s="147"/>
      <c r="CBB324" s="147"/>
      <c r="CBC324" s="147"/>
      <c r="CBD324" s="138"/>
      <c r="CBE324" s="138"/>
      <c r="CBF324" s="147"/>
      <c r="CBG324" s="148"/>
      <c r="CBH324" s="81"/>
      <c r="CBI324" s="140"/>
      <c r="CBJ324" s="157"/>
      <c r="CBK324" s="157"/>
      <c r="CBL324" s="100"/>
      <c r="CBM324" s="79"/>
      <c r="CBN324" s="153"/>
      <c r="CBO324" s="137"/>
      <c r="CBP324" s="158"/>
      <c r="CBQ324" s="363"/>
      <c r="CBR324" s="139"/>
      <c r="CBS324" s="139"/>
      <c r="CBT324" s="98"/>
      <c r="CBU324" s="79"/>
      <c r="CBV324" s="139"/>
      <c r="CBW324" s="139"/>
      <c r="CBX324" s="138"/>
      <c r="CBY324" s="147"/>
      <c r="CBZ324" s="147"/>
      <c r="CCA324" s="147"/>
      <c r="CCB324" s="138"/>
      <c r="CCC324" s="138"/>
      <c r="CCD324" s="147"/>
      <c r="CCE324" s="148"/>
      <c r="CCF324" s="81"/>
      <c r="CCG324" s="140"/>
      <c r="CCH324" s="157"/>
      <c r="CCI324" s="157"/>
      <c r="CCJ324" s="100"/>
      <c r="CCK324" s="79"/>
      <c r="CCL324" s="153"/>
      <c r="CCM324" s="137"/>
      <c r="CCN324" s="158"/>
      <c r="CCO324" s="363"/>
      <c r="CCP324" s="139"/>
      <c r="CCQ324" s="139"/>
      <c r="CCR324" s="98"/>
      <c r="CCS324" s="79"/>
      <c r="CCT324" s="139"/>
      <c r="CCU324" s="139"/>
      <c r="CCV324" s="138"/>
      <c r="CCW324" s="147"/>
      <c r="CCX324" s="147"/>
      <c r="CCY324" s="147"/>
      <c r="CCZ324" s="138"/>
      <c r="CDA324" s="138"/>
      <c r="CDB324" s="147"/>
      <c r="CDC324" s="148"/>
      <c r="CDD324" s="81"/>
      <c r="CDE324" s="140"/>
      <c r="CDF324" s="157"/>
      <c r="CDG324" s="157"/>
      <c r="CDH324" s="100"/>
      <c r="CDI324" s="79"/>
      <c r="CDJ324" s="153"/>
      <c r="CDK324" s="137"/>
      <c r="CDL324" s="158"/>
      <c r="CDM324" s="363"/>
      <c r="CDN324" s="139"/>
      <c r="CDO324" s="139"/>
      <c r="CDP324" s="98"/>
      <c r="CDQ324" s="79"/>
      <c r="CDR324" s="139"/>
      <c r="CDS324" s="139"/>
      <c r="CDT324" s="138"/>
      <c r="CDU324" s="147"/>
      <c r="CDV324" s="147"/>
      <c r="CDW324" s="147"/>
      <c r="CDX324" s="138"/>
      <c r="CDY324" s="138"/>
      <c r="CDZ324" s="147"/>
      <c r="CEA324" s="148"/>
      <c r="CEB324" s="81"/>
      <c r="CEC324" s="140"/>
      <c r="CED324" s="157"/>
      <c r="CEE324" s="157"/>
      <c r="CEF324" s="100"/>
      <c r="CEG324" s="79"/>
      <c r="CEH324" s="153"/>
      <c r="CEI324" s="137"/>
      <c r="CEJ324" s="158"/>
      <c r="CEK324" s="363"/>
      <c r="CEL324" s="139"/>
      <c r="CEM324" s="139"/>
      <c r="CEN324" s="98"/>
      <c r="CEO324" s="79"/>
      <c r="CEP324" s="139"/>
      <c r="CEQ324" s="139"/>
      <c r="CER324" s="138"/>
      <c r="CES324" s="147"/>
      <c r="CET324" s="147"/>
      <c r="CEU324" s="147"/>
      <c r="CEV324" s="138"/>
      <c r="CEW324" s="138"/>
      <c r="CEX324" s="147"/>
      <c r="CEY324" s="148"/>
      <c r="CEZ324" s="81"/>
      <c r="CFA324" s="140"/>
      <c r="CFB324" s="157"/>
      <c r="CFC324" s="157"/>
      <c r="CFD324" s="100"/>
      <c r="CFE324" s="79"/>
      <c r="CFF324" s="153"/>
      <c r="CFG324" s="137"/>
      <c r="CFH324" s="158"/>
      <c r="CFI324" s="363"/>
      <c r="CFJ324" s="139"/>
      <c r="CFK324" s="139"/>
      <c r="CFL324" s="98"/>
      <c r="CFM324" s="79"/>
      <c r="CFN324" s="139"/>
      <c r="CFO324" s="139"/>
      <c r="CFP324" s="138"/>
      <c r="CFQ324" s="147"/>
      <c r="CFR324" s="147"/>
      <c r="CFS324" s="147"/>
      <c r="CFT324" s="138"/>
      <c r="CFU324" s="138"/>
      <c r="CFV324" s="147"/>
      <c r="CFW324" s="148"/>
      <c r="CFX324" s="81"/>
      <c r="CFY324" s="140"/>
      <c r="CFZ324" s="157"/>
      <c r="CGA324" s="157"/>
      <c r="CGB324" s="100"/>
      <c r="CGC324" s="79"/>
      <c r="CGD324" s="153"/>
      <c r="CGE324" s="137"/>
      <c r="CGF324" s="158"/>
      <c r="CGG324" s="363"/>
      <c r="CGH324" s="139"/>
      <c r="CGI324" s="139"/>
      <c r="CGJ324" s="98"/>
      <c r="CGK324" s="79"/>
      <c r="CGL324" s="139"/>
      <c r="CGM324" s="139"/>
      <c r="CGN324" s="138"/>
      <c r="CGO324" s="147"/>
      <c r="CGP324" s="147"/>
      <c r="CGQ324" s="147"/>
      <c r="CGR324" s="138"/>
      <c r="CGS324" s="138"/>
      <c r="CGT324" s="147"/>
      <c r="CGU324" s="148"/>
      <c r="CGV324" s="81"/>
      <c r="CGW324" s="140"/>
      <c r="CGX324" s="157"/>
      <c r="CGY324" s="157"/>
      <c r="CGZ324" s="100"/>
      <c r="CHA324" s="79"/>
      <c r="CHB324" s="153"/>
      <c r="CHC324" s="137"/>
      <c r="CHD324" s="158"/>
      <c r="CHE324" s="363"/>
      <c r="CHF324" s="139"/>
      <c r="CHG324" s="139"/>
      <c r="CHH324" s="98"/>
      <c r="CHI324" s="79"/>
      <c r="CHJ324" s="139"/>
      <c r="CHK324" s="139"/>
      <c r="CHL324" s="138"/>
      <c r="CHM324" s="147"/>
      <c r="CHN324" s="147"/>
      <c r="CHO324" s="147"/>
      <c r="CHP324" s="138"/>
      <c r="CHQ324" s="138"/>
      <c r="CHR324" s="147"/>
      <c r="CHS324" s="148"/>
      <c r="CHT324" s="81"/>
      <c r="CHU324" s="140"/>
      <c r="CHV324" s="157"/>
      <c r="CHW324" s="157"/>
      <c r="CHX324" s="100"/>
      <c r="CHY324" s="79"/>
      <c r="CHZ324" s="153"/>
      <c r="CIA324" s="137"/>
      <c r="CIB324" s="158"/>
      <c r="CIC324" s="363"/>
      <c r="CID324" s="139"/>
      <c r="CIE324" s="139"/>
      <c r="CIF324" s="98"/>
      <c r="CIG324" s="79"/>
      <c r="CIH324" s="139"/>
      <c r="CII324" s="139"/>
      <c r="CIJ324" s="138"/>
      <c r="CIK324" s="147"/>
      <c r="CIL324" s="147"/>
      <c r="CIM324" s="147"/>
      <c r="CIN324" s="138"/>
      <c r="CIO324" s="138"/>
      <c r="CIP324" s="147"/>
      <c r="CIQ324" s="148"/>
      <c r="CIR324" s="81"/>
      <c r="CIS324" s="140"/>
      <c r="CIT324" s="157"/>
      <c r="CIU324" s="157"/>
      <c r="CIV324" s="100"/>
      <c r="CIW324" s="79"/>
      <c r="CIX324" s="153"/>
      <c r="CIY324" s="137"/>
      <c r="CIZ324" s="158"/>
      <c r="CJA324" s="363"/>
      <c r="CJB324" s="139"/>
      <c r="CJC324" s="139"/>
      <c r="CJD324" s="98"/>
      <c r="CJE324" s="79"/>
      <c r="CJF324" s="139"/>
      <c r="CJG324" s="139"/>
      <c r="CJH324" s="138"/>
      <c r="CJI324" s="147"/>
      <c r="CJJ324" s="147"/>
      <c r="CJK324" s="147"/>
      <c r="CJL324" s="138"/>
      <c r="CJM324" s="138"/>
      <c r="CJN324" s="147"/>
      <c r="CJO324" s="148"/>
      <c r="CJP324" s="81"/>
      <c r="CJQ324" s="140"/>
      <c r="CJR324" s="157"/>
      <c r="CJS324" s="157"/>
      <c r="CJT324" s="100"/>
      <c r="CJU324" s="79"/>
      <c r="CJV324" s="153"/>
      <c r="CJW324" s="137"/>
      <c r="CJX324" s="158"/>
      <c r="CJY324" s="363"/>
      <c r="CJZ324" s="139"/>
      <c r="CKA324" s="139"/>
      <c r="CKB324" s="98"/>
      <c r="CKC324" s="79"/>
      <c r="CKD324" s="139"/>
      <c r="CKE324" s="139"/>
      <c r="CKF324" s="138"/>
      <c r="CKG324" s="147"/>
      <c r="CKH324" s="147"/>
      <c r="CKI324" s="147"/>
      <c r="CKJ324" s="138"/>
      <c r="CKK324" s="138"/>
      <c r="CKL324" s="147"/>
      <c r="CKM324" s="148"/>
      <c r="CKN324" s="81"/>
      <c r="CKO324" s="140"/>
      <c r="CKP324" s="157"/>
      <c r="CKQ324" s="157"/>
      <c r="CKR324" s="100"/>
      <c r="CKS324" s="79"/>
      <c r="CKT324" s="153"/>
      <c r="CKU324" s="137"/>
      <c r="CKV324" s="158"/>
      <c r="CKW324" s="363"/>
      <c r="CKX324" s="139"/>
      <c r="CKY324" s="139"/>
      <c r="CKZ324" s="98"/>
      <c r="CLA324" s="79"/>
      <c r="CLB324" s="139"/>
      <c r="CLC324" s="139"/>
      <c r="CLD324" s="138"/>
      <c r="CLE324" s="147"/>
      <c r="CLF324" s="147"/>
      <c r="CLG324" s="147"/>
      <c r="CLH324" s="138"/>
      <c r="CLI324" s="138"/>
      <c r="CLJ324" s="147"/>
      <c r="CLK324" s="148"/>
      <c r="CLL324" s="81"/>
      <c r="CLM324" s="140"/>
      <c r="CLN324" s="157"/>
      <c r="CLO324" s="157"/>
      <c r="CLP324" s="100"/>
      <c r="CLQ324" s="79"/>
      <c r="CLR324" s="153"/>
      <c r="CLS324" s="137"/>
      <c r="CLT324" s="158"/>
      <c r="CLU324" s="363"/>
      <c r="CLV324" s="139"/>
      <c r="CLW324" s="139"/>
      <c r="CLX324" s="98"/>
      <c r="CLY324" s="79"/>
      <c r="CLZ324" s="139"/>
      <c r="CMA324" s="139"/>
      <c r="CMB324" s="138"/>
      <c r="CMC324" s="147"/>
      <c r="CMD324" s="147"/>
      <c r="CME324" s="147"/>
      <c r="CMF324" s="138"/>
      <c r="CMG324" s="138"/>
      <c r="CMH324" s="147"/>
      <c r="CMI324" s="148"/>
      <c r="CMJ324" s="81"/>
      <c r="CMK324" s="140"/>
      <c r="CML324" s="157"/>
      <c r="CMM324" s="157"/>
      <c r="CMN324" s="100"/>
      <c r="CMO324" s="79"/>
      <c r="CMP324" s="153"/>
      <c r="CMQ324" s="137"/>
      <c r="CMR324" s="158"/>
      <c r="CMS324" s="363"/>
      <c r="CMT324" s="139"/>
      <c r="CMU324" s="139"/>
      <c r="CMV324" s="98"/>
      <c r="CMW324" s="79"/>
      <c r="CMX324" s="139"/>
      <c r="CMY324" s="139"/>
      <c r="CMZ324" s="138"/>
      <c r="CNA324" s="147"/>
      <c r="CNB324" s="147"/>
      <c r="CNC324" s="147"/>
      <c r="CND324" s="138"/>
      <c r="CNE324" s="138"/>
      <c r="CNF324" s="147"/>
      <c r="CNG324" s="148"/>
      <c r="CNH324" s="81"/>
      <c r="CNI324" s="140"/>
      <c r="CNJ324" s="157"/>
      <c r="CNK324" s="157"/>
      <c r="CNL324" s="100"/>
      <c r="CNM324" s="79"/>
      <c r="CNN324" s="153"/>
      <c r="CNO324" s="137"/>
      <c r="CNP324" s="158"/>
      <c r="CNQ324" s="363"/>
      <c r="CNR324" s="139"/>
      <c r="CNS324" s="139"/>
      <c r="CNT324" s="98"/>
      <c r="CNU324" s="79"/>
      <c r="CNV324" s="139"/>
      <c r="CNW324" s="139"/>
      <c r="CNX324" s="138"/>
      <c r="CNY324" s="147"/>
      <c r="CNZ324" s="147"/>
      <c r="COA324" s="147"/>
      <c r="COB324" s="138"/>
      <c r="COC324" s="138"/>
      <c r="COD324" s="147"/>
      <c r="COE324" s="148"/>
      <c r="COF324" s="81"/>
      <c r="COG324" s="140"/>
      <c r="COH324" s="157"/>
      <c r="COI324" s="157"/>
      <c r="COJ324" s="100"/>
      <c r="COK324" s="79"/>
      <c r="COL324" s="153"/>
      <c r="COM324" s="137"/>
      <c r="CON324" s="158"/>
      <c r="COO324" s="363"/>
      <c r="COP324" s="139"/>
      <c r="COQ324" s="139"/>
      <c r="COR324" s="98"/>
      <c r="COS324" s="79"/>
      <c r="COT324" s="139"/>
      <c r="COU324" s="139"/>
      <c r="COV324" s="138"/>
      <c r="COW324" s="147"/>
      <c r="COX324" s="147"/>
      <c r="COY324" s="147"/>
      <c r="COZ324" s="138"/>
      <c r="CPA324" s="138"/>
      <c r="CPB324" s="147"/>
      <c r="CPC324" s="148"/>
      <c r="CPD324" s="81"/>
      <c r="CPE324" s="140"/>
      <c r="CPF324" s="157"/>
      <c r="CPG324" s="157"/>
      <c r="CPH324" s="100"/>
      <c r="CPI324" s="79"/>
      <c r="CPJ324" s="153"/>
      <c r="CPK324" s="137"/>
      <c r="CPL324" s="158"/>
      <c r="CPM324" s="363"/>
      <c r="CPN324" s="139"/>
      <c r="CPO324" s="139"/>
      <c r="CPP324" s="98"/>
      <c r="CPQ324" s="79"/>
      <c r="CPR324" s="139"/>
      <c r="CPS324" s="139"/>
      <c r="CPT324" s="138"/>
      <c r="CPU324" s="147"/>
      <c r="CPV324" s="147"/>
      <c r="CPW324" s="147"/>
      <c r="CPX324" s="138"/>
      <c r="CPY324" s="138"/>
      <c r="CPZ324" s="147"/>
      <c r="CQA324" s="148"/>
      <c r="CQB324" s="81"/>
      <c r="CQC324" s="140"/>
      <c r="CQD324" s="157"/>
      <c r="CQE324" s="157"/>
      <c r="CQF324" s="100"/>
      <c r="CQG324" s="79"/>
      <c r="CQH324" s="153"/>
      <c r="CQI324" s="137"/>
      <c r="CQJ324" s="158"/>
      <c r="CQK324" s="363"/>
      <c r="CQL324" s="139"/>
      <c r="CQM324" s="139"/>
      <c r="CQN324" s="98"/>
      <c r="CQO324" s="79"/>
      <c r="CQP324" s="139"/>
      <c r="CQQ324" s="139"/>
      <c r="CQR324" s="138"/>
      <c r="CQS324" s="147"/>
      <c r="CQT324" s="147"/>
      <c r="CQU324" s="147"/>
      <c r="CQV324" s="138"/>
      <c r="CQW324" s="138"/>
      <c r="CQX324" s="147"/>
      <c r="CQY324" s="148"/>
      <c r="CQZ324" s="81"/>
      <c r="CRA324" s="140"/>
      <c r="CRB324" s="157"/>
      <c r="CRC324" s="157"/>
      <c r="CRD324" s="100"/>
      <c r="CRE324" s="79"/>
      <c r="CRF324" s="153"/>
      <c r="CRG324" s="137"/>
      <c r="CRH324" s="158"/>
      <c r="CRI324" s="363"/>
      <c r="CRJ324" s="139"/>
      <c r="CRK324" s="139"/>
      <c r="CRL324" s="98"/>
      <c r="CRM324" s="79"/>
      <c r="CRN324" s="139"/>
      <c r="CRO324" s="139"/>
      <c r="CRP324" s="138"/>
      <c r="CRQ324" s="147"/>
      <c r="CRR324" s="147"/>
      <c r="CRS324" s="147"/>
      <c r="CRT324" s="138"/>
      <c r="CRU324" s="138"/>
      <c r="CRV324" s="147"/>
      <c r="CRW324" s="148"/>
      <c r="CRX324" s="81"/>
      <c r="CRY324" s="140"/>
      <c r="CRZ324" s="157"/>
      <c r="CSA324" s="157"/>
      <c r="CSB324" s="100"/>
      <c r="CSC324" s="79"/>
      <c r="CSD324" s="153"/>
      <c r="CSE324" s="137"/>
      <c r="CSF324" s="158"/>
      <c r="CSG324" s="363"/>
      <c r="CSH324" s="139"/>
      <c r="CSI324" s="139"/>
      <c r="CSJ324" s="98"/>
      <c r="CSK324" s="79"/>
      <c r="CSL324" s="139"/>
      <c r="CSM324" s="139"/>
      <c r="CSN324" s="138"/>
      <c r="CSO324" s="147"/>
      <c r="CSP324" s="147"/>
      <c r="CSQ324" s="147"/>
      <c r="CSR324" s="138"/>
      <c r="CSS324" s="138"/>
      <c r="CST324" s="147"/>
      <c r="CSU324" s="148"/>
      <c r="CSV324" s="81"/>
      <c r="CSW324" s="140"/>
      <c r="CSX324" s="157"/>
      <c r="CSY324" s="157"/>
      <c r="CSZ324" s="100"/>
      <c r="CTA324" s="79"/>
      <c r="CTB324" s="153"/>
      <c r="CTC324" s="137"/>
      <c r="CTD324" s="158"/>
      <c r="CTE324" s="363"/>
      <c r="CTF324" s="139"/>
      <c r="CTG324" s="139"/>
      <c r="CTH324" s="98"/>
      <c r="CTI324" s="79"/>
      <c r="CTJ324" s="139"/>
      <c r="CTK324" s="139"/>
      <c r="CTL324" s="138"/>
      <c r="CTM324" s="147"/>
      <c r="CTN324" s="147"/>
      <c r="CTO324" s="147"/>
      <c r="CTP324" s="138"/>
      <c r="CTQ324" s="138"/>
      <c r="CTR324" s="147"/>
      <c r="CTS324" s="148"/>
      <c r="CTT324" s="81"/>
      <c r="CTU324" s="140"/>
      <c r="CTV324" s="157"/>
      <c r="CTW324" s="157"/>
      <c r="CTX324" s="100"/>
      <c r="CTY324" s="79"/>
      <c r="CTZ324" s="153"/>
      <c r="CUA324" s="137"/>
      <c r="CUB324" s="158"/>
      <c r="CUC324" s="363"/>
      <c r="CUD324" s="139"/>
      <c r="CUE324" s="139"/>
      <c r="CUF324" s="98"/>
      <c r="CUG324" s="79"/>
      <c r="CUH324" s="139"/>
      <c r="CUI324" s="139"/>
      <c r="CUJ324" s="138"/>
      <c r="CUK324" s="147"/>
      <c r="CUL324" s="147"/>
      <c r="CUM324" s="147"/>
      <c r="CUN324" s="138"/>
      <c r="CUO324" s="138"/>
      <c r="CUP324" s="147"/>
      <c r="CUQ324" s="148"/>
      <c r="CUR324" s="81"/>
      <c r="CUS324" s="140"/>
      <c r="CUT324" s="157"/>
      <c r="CUU324" s="157"/>
      <c r="CUV324" s="100"/>
      <c r="CUW324" s="79"/>
      <c r="CUX324" s="153"/>
      <c r="CUY324" s="137"/>
      <c r="CUZ324" s="158"/>
      <c r="CVA324" s="363"/>
      <c r="CVB324" s="139"/>
      <c r="CVC324" s="139"/>
      <c r="CVD324" s="98"/>
      <c r="CVE324" s="79"/>
      <c r="CVF324" s="139"/>
      <c r="CVG324" s="139"/>
      <c r="CVH324" s="138"/>
      <c r="CVI324" s="147"/>
      <c r="CVJ324" s="147"/>
      <c r="CVK324" s="147"/>
      <c r="CVL324" s="138"/>
      <c r="CVM324" s="138"/>
      <c r="CVN324" s="147"/>
      <c r="CVO324" s="148"/>
      <c r="CVP324" s="81"/>
      <c r="CVQ324" s="140"/>
      <c r="CVR324" s="157"/>
      <c r="CVS324" s="157"/>
      <c r="CVT324" s="100"/>
      <c r="CVU324" s="79"/>
      <c r="CVV324" s="153"/>
      <c r="CVW324" s="137"/>
      <c r="CVX324" s="158"/>
      <c r="CVY324" s="363"/>
      <c r="CVZ324" s="139"/>
      <c r="CWA324" s="139"/>
      <c r="CWB324" s="98"/>
      <c r="CWC324" s="79"/>
      <c r="CWD324" s="139"/>
      <c r="CWE324" s="139"/>
      <c r="CWF324" s="138"/>
      <c r="CWG324" s="147"/>
      <c r="CWH324" s="147"/>
      <c r="CWI324" s="147"/>
      <c r="CWJ324" s="138"/>
      <c r="CWK324" s="138"/>
      <c r="CWL324" s="147"/>
      <c r="CWM324" s="148"/>
      <c r="CWN324" s="81"/>
      <c r="CWO324" s="140"/>
      <c r="CWP324" s="157"/>
      <c r="CWQ324" s="157"/>
      <c r="CWR324" s="100"/>
      <c r="CWS324" s="79"/>
      <c r="CWT324" s="153"/>
      <c r="CWU324" s="137"/>
      <c r="CWV324" s="158"/>
      <c r="CWW324" s="363"/>
      <c r="CWX324" s="139"/>
      <c r="CWY324" s="139"/>
      <c r="CWZ324" s="98"/>
      <c r="CXA324" s="79"/>
      <c r="CXB324" s="139"/>
      <c r="CXC324" s="139"/>
      <c r="CXD324" s="138"/>
      <c r="CXE324" s="147"/>
      <c r="CXF324" s="147"/>
      <c r="CXG324" s="147"/>
      <c r="CXH324" s="138"/>
      <c r="CXI324" s="138"/>
      <c r="CXJ324" s="147"/>
      <c r="CXK324" s="148"/>
      <c r="CXL324" s="81"/>
      <c r="CXM324" s="140"/>
      <c r="CXN324" s="157"/>
      <c r="CXO324" s="157"/>
      <c r="CXP324" s="100"/>
      <c r="CXQ324" s="79"/>
      <c r="CXR324" s="153"/>
      <c r="CXS324" s="137"/>
      <c r="CXT324" s="158"/>
      <c r="CXU324" s="363"/>
      <c r="CXV324" s="139"/>
      <c r="CXW324" s="139"/>
      <c r="CXX324" s="98"/>
      <c r="CXY324" s="79"/>
      <c r="CXZ324" s="139"/>
      <c r="CYA324" s="139"/>
      <c r="CYB324" s="138"/>
      <c r="CYC324" s="147"/>
      <c r="CYD324" s="147"/>
      <c r="CYE324" s="147"/>
      <c r="CYF324" s="138"/>
      <c r="CYG324" s="138"/>
      <c r="CYH324" s="147"/>
      <c r="CYI324" s="148"/>
      <c r="CYJ324" s="81"/>
      <c r="CYK324" s="140"/>
      <c r="CYL324" s="157"/>
      <c r="CYM324" s="157"/>
      <c r="CYN324" s="100"/>
      <c r="CYO324" s="79"/>
      <c r="CYP324" s="153"/>
      <c r="CYQ324" s="137"/>
      <c r="CYR324" s="158"/>
      <c r="CYS324" s="363"/>
      <c r="CYT324" s="139"/>
      <c r="CYU324" s="139"/>
      <c r="CYV324" s="98"/>
      <c r="CYW324" s="79"/>
      <c r="CYX324" s="139"/>
      <c r="CYY324" s="139"/>
      <c r="CYZ324" s="138"/>
      <c r="CZA324" s="147"/>
      <c r="CZB324" s="147"/>
      <c r="CZC324" s="147"/>
      <c r="CZD324" s="138"/>
      <c r="CZE324" s="138"/>
      <c r="CZF324" s="147"/>
      <c r="CZG324" s="148"/>
      <c r="CZH324" s="81"/>
      <c r="CZI324" s="140"/>
      <c r="CZJ324" s="157"/>
      <c r="CZK324" s="157"/>
      <c r="CZL324" s="100"/>
      <c r="CZM324" s="79"/>
      <c r="CZN324" s="153"/>
      <c r="CZO324" s="137"/>
      <c r="CZP324" s="158"/>
      <c r="CZQ324" s="363"/>
      <c r="CZR324" s="139"/>
      <c r="CZS324" s="139"/>
      <c r="CZT324" s="98"/>
      <c r="CZU324" s="79"/>
      <c r="CZV324" s="139"/>
      <c r="CZW324" s="139"/>
      <c r="CZX324" s="138"/>
      <c r="CZY324" s="147"/>
      <c r="CZZ324" s="147"/>
      <c r="DAA324" s="147"/>
      <c r="DAB324" s="138"/>
      <c r="DAC324" s="138"/>
      <c r="DAD324" s="147"/>
      <c r="DAE324" s="148"/>
      <c r="DAF324" s="81"/>
      <c r="DAG324" s="140"/>
      <c r="DAH324" s="157"/>
      <c r="DAI324" s="157"/>
      <c r="DAJ324" s="100"/>
      <c r="DAK324" s="79"/>
      <c r="DAL324" s="153"/>
      <c r="DAM324" s="137"/>
      <c r="DAN324" s="158"/>
      <c r="DAO324" s="363"/>
      <c r="DAP324" s="139"/>
      <c r="DAQ324" s="139"/>
      <c r="DAR324" s="98"/>
      <c r="DAS324" s="79"/>
      <c r="DAT324" s="139"/>
      <c r="DAU324" s="139"/>
      <c r="DAV324" s="138"/>
      <c r="DAW324" s="147"/>
      <c r="DAX324" s="147"/>
      <c r="DAY324" s="147"/>
      <c r="DAZ324" s="138"/>
      <c r="DBA324" s="138"/>
      <c r="DBB324" s="147"/>
      <c r="DBC324" s="148"/>
      <c r="DBD324" s="81"/>
      <c r="DBE324" s="140"/>
      <c r="DBF324" s="157"/>
      <c r="DBG324" s="157"/>
      <c r="DBH324" s="100"/>
      <c r="DBI324" s="79"/>
      <c r="DBJ324" s="153"/>
      <c r="DBK324" s="137"/>
      <c r="DBL324" s="158"/>
      <c r="DBM324" s="363"/>
      <c r="DBN324" s="139"/>
      <c r="DBO324" s="139"/>
      <c r="DBP324" s="98"/>
      <c r="DBQ324" s="79"/>
      <c r="DBR324" s="139"/>
      <c r="DBS324" s="139"/>
      <c r="DBT324" s="138"/>
      <c r="DBU324" s="147"/>
      <c r="DBV324" s="147"/>
      <c r="DBW324" s="147"/>
      <c r="DBX324" s="138"/>
      <c r="DBY324" s="138"/>
      <c r="DBZ324" s="147"/>
      <c r="DCA324" s="148"/>
      <c r="DCB324" s="81"/>
      <c r="DCC324" s="140"/>
      <c r="DCD324" s="157"/>
      <c r="DCE324" s="157"/>
      <c r="DCF324" s="100"/>
      <c r="DCG324" s="79"/>
      <c r="DCH324" s="153"/>
      <c r="DCI324" s="137"/>
      <c r="DCJ324" s="158"/>
      <c r="DCK324" s="363"/>
      <c r="DCL324" s="139"/>
      <c r="DCM324" s="139"/>
      <c r="DCN324" s="98"/>
      <c r="DCO324" s="79"/>
      <c r="DCP324" s="139"/>
      <c r="DCQ324" s="139"/>
      <c r="DCR324" s="138"/>
      <c r="DCS324" s="147"/>
      <c r="DCT324" s="147"/>
      <c r="DCU324" s="147"/>
      <c r="DCV324" s="138"/>
      <c r="DCW324" s="138"/>
      <c r="DCX324" s="147"/>
      <c r="DCY324" s="148"/>
      <c r="DCZ324" s="81"/>
      <c r="DDA324" s="140"/>
      <c r="DDB324" s="157"/>
      <c r="DDC324" s="157"/>
      <c r="DDD324" s="100"/>
      <c r="DDE324" s="79"/>
      <c r="DDF324" s="153"/>
      <c r="DDG324" s="137"/>
      <c r="DDH324" s="158"/>
      <c r="DDI324" s="363"/>
      <c r="DDJ324" s="139"/>
      <c r="DDK324" s="139"/>
      <c r="DDL324" s="98"/>
      <c r="DDM324" s="79"/>
      <c r="DDN324" s="139"/>
      <c r="DDO324" s="139"/>
      <c r="DDP324" s="138"/>
      <c r="DDQ324" s="147"/>
      <c r="DDR324" s="147"/>
      <c r="DDS324" s="147"/>
      <c r="DDT324" s="138"/>
      <c r="DDU324" s="138"/>
      <c r="DDV324" s="147"/>
      <c r="DDW324" s="148"/>
      <c r="DDX324" s="81"/>
      <c r="DDY324" s="140"/>
      <c r="DDZ324" s="157"/>
      <c r="DEA324" s="157"/>
      <c r="DEB324" s="100"/>
      <c r="DEC324" s="79"/>
      <c r="DED324" s="153"/>
      <c r="DEE324" s="137"/>
      <c r="DEF324" s="158"/>
      <c r="DEG324" s="363"/>
      <c r="DEH324" s="139"/>
      <c r="DEI324" s="139"/>
      <c r="DEJ324" s="98"/>
      <c r="DEK324" s="79"/>
      <c r="DEL324" s="139"/>
      <c r="DEM324" s="139"/>
      <c r="DEN324" s="138"/>
      <c r="DEO324" s="147"/>
      <c r="DEP324" s="147"/>
      <c r="DEQ324" s="147"/>
      <c r="DER324" s="138"/>
      <c r="DES324" s="138"/>
      <c r="DET324" s="147"/>
      <c r="DEU324" s="148"/>
      <c r="DEV324" s="81"/>
      <c r="DEW324" s="140"/>
      <c r="DEX324" s="157"/>
      <c r="DEY324" s="157"/>
      <c r="DEZ324" s="100"/>
      <c r="DFA324" s="79"/>
      <c r="DFB324" s="153"/>
      <c r="DFC324" s="137"/>
      <c r="DFD324" s="158"/>
      <c r="DFE324" s="363"/>
      <c r="DFF324" s="139"/>
      <c r="DFG324" s="139"/>
      <c r="DFH324" s="98"/>
      <c r="DFI324" s="79"/>
      <c r="DFJ324" s="139"/>
      <c r="DFK324" s="139"/>
      <c r="DFL324" s="138"/>
      <c r="DFM324" s="147"/>
      <c r="DFN324" s="147"/>
      <c r="DFO324" s="147"/>
      <c r="DFP324" s="138"/>
      <c r="DFQ324" s="138"/>
      <c r="DFR324" s="147"/>
      <c r="DFS324" s="148"/>
      <c r="DFT324" s="81"/>
      <c r="DFU324" s="140"/>
      <c r="DFV324" s="157"/>
      <c r="DFW324" s="157"/>
      <c r="DFX324" s="100"/>
      <c r="DFY324" s="79"/>
      <c r="DFZ324" s="153"/>
      <c r="DGA324" s="137"/>
      <c r="DGB324" s="158"/>
      <c r="DGC324" s="363"/>
      <c r="DGD324" s="139"/>
      <c r="DGE324" s="139"/>
      <c r="DGF324" s="98"/>
      <c r="DGG324" s="79"/>
      <c r="DGH324" s="139"/>
      <c r="DGI324" s="139"/>
      <c r="DGJ324" s="138"/>
      <c r="DGK324" s="147"/>
      <c r="DGL324" s="147"/>
      <c r="DGM324" s="147"/>
      <c r="DGN324" s="138"/>
      <c r="DGO324" s="138"/>
      <c r="DGP324" s="147"/>
      <c r="DGQ324" s="148"/>
      <c r="DGR324" s="81"/>
      <c r="DGS324" s="140"/>
      <c r="DGT324" s="157"/>
      <c r="DGU324" s="157"/>
      <c r="DGV324" s="100"/>
      <c r="DGW324" s="79"/>
      <c r="DGX324" s="153"/>
      <c r="DGY324" s="137"/>
      <c r="DGZ324" s="158"/>
      <c r="DHA324" s="363"/>
      <c r="DHB324" s="139"/>
      <c r="DHC324" s="139"/>
      <c r="DHD324" s="98"/>
      <c r="DHE324" s="79"/>
      <c r="DHF324" s="139"/>
      <c r="DHG324" s="139"/>
      <c r="DHH324" s="138"/>
      <c r="DHI324" s="147"/>
      <c r="DHJ324" s="147"/>
      <c r="DHK324" s="147"/>
      <c r="DHL324" s="138"/>
      <c r="DHM324" s="138"/>
      <c r="DHN324" s="147"/>
      <c r="DHO324" s="148"/>
      <c r="DHP324" s="81"/>
      <c r="DHQ324" s="140"/>
      <c r="DHR324" s="157"/>
      <c r="DHS324" s="157"/>
      <c r="DHT324" s="100"/>
      <c r="DHU324" s="79"/>
      <c r="DHV324" s="153"/>
      <c r="DHW324" s="137"/>
      <c r="DHX324" s="158"/>
      <c r="DHY324" s="363"/>
      <c r="DHZ324" s="139"/>
      <c r="DIA324" s="139"/>
      <c r="DIB324" s="98"/>
      <c r="DIC324" s="79"/>
      <c r="DID324" s="139"/>
      <c r="DIE324" s="139"/>
      <c r="DIF324" s="138"/>
      <c r="DIG324" s="147"/>
      <c r="DIH324" s="147"/>
      <c r="DII324" s="147"/>
      <c r="DIJ324" s="138"/>
      <c r="DIK324" s="138"/>
      <c r="DIL324" s="147"/>
      <c r="DIM324" s="148"/>
      <c r="DIN324" s="81"/>
      <c r="DIO324" s="140"/>
      <c r="DIP324" s="157"/>
      <c r="DIQ324" s="157"/>
      <c r="DIR324" s="100"/>
      <c r="DIS324" s="79"/>
      <c r="DIT324" s="153"/>
      <c r="DIU324" s="137"/>
      <c r="DIV324" s="158"/>
      <c r="DIW324" s="363"/>
      <c r="DIX324" s="139"/>
      <c r="DIY324" s="139"/>
      <c r="DIZ324" s="98"/>
      <c r="DJA324" s="79"/>
      <c r="DJB324" s="139"/>
      <c r="DJC324" s="139"/>
      <c r="DJD324" s="138"/>
      <c r="DJE324" s="147"/>
      <c r="DJF324" s="147"/>
      <c r="DJG324" s="147"/>
      <c r="DJH324" s="138"/>
      <c r="DJI324" s="138"/>
      <c r="DJJ324" s="147"/>
      <c r="DJK324" s="148"/>
      <c r="DJL324" s="81"/>
      <c r="DJM324" s="140"/>
      <c r="DJN324" s="157"/>
      <c r="DJO324" s="157"/>
      <c r="DJP324" s="100"/>
      <c r="DJQ324" s="79"/>
      <c r="DJR324" s="153"/>
      <c r="DJS324" s="137"/>
      <c r="DJT324" s="158"/>
      <c r="DJU324" s="363"/>
      <c r="DJV324" s="139"/>
      <c r="DJW324" s="139"/>
      <c r="DJX324" s="98"/>
      <c r="DJY324" s="79"/>
      <c r="DJZ324" s="139"/>
      <c r="DKA324" s="139"/>
      <c r="DKB324" s="138"/>
      <c r="DKC324" s="147"/>
      <c r="DKD324" s="147"/>
      <c r="DKE324" s="147"/>
      <c r="DKF324" s="138"/>
      <c r="DKG324" s="138"/>
      <c r="DKH324" s="147"/>
      <c r="DKI324" s="148"/>
      <c r="DKJ324" s="81"/>
      <c r="DKK324" s="140"/>
      <c r="DKL324" s="157"/>
      <c r="DKM324" s="157"/>
      <c r="DKN324" s="100"/>
      <c r="DKO324" s="79"/>
      <c r="DKP324" s="153"/>
      <c r="DKQ324" s="137"/>
      <c r="DKR324" s="158"/>
      <c r="DKS324" s="363"/>
      <c r="DKT324" s="139"/>
      <c r="DKU324" s="139"/>
      <c r="DKV324" s="98"/>
      <c r="DKW324" s="79"/>
      <c r="DKX324" s="139"/>
      <c r="DKY324" s="139"/>
      <c r="DKZ324" s="138"/>
      <c r="DLA324" s="147"/>
      <c r="DLB324" s="147"/>
      <c r="DLC324" s="147"/>
      <c r="DLD324" s="138"/>
      <c r="DLE324" s="138"/>
      <c r="DLF324" s="147"/>
      <c r="DLG324" s="148"/>
      <c r="DLH324" s="81"/>
      <c r="DLI324" s="140"/>
      <c r="DLJ324" s="157"/>
      <c r="DLK324" s="157"/>
      <c r="DLL324" s="100"/>
      <c r="DLM324" s="79"/>
      <c r="DLN324" s="153"/>
      <c r="DLO324" s="137"/>
      <c r="DLP324" s="158"/>
      <c r="DLQ324" s="363"/>
      <c r="DLR324" s="139"/>
      <c r="DLS324" s="139"/>
      <c r="DLT324" s="98"/>
      <c r="DLU324" s="79"/>
      <c r="DLV324" s="139"/>
      <c r="DLW324" s="139"/>
      <c r="DLX324" s="138"/>
      <c r="DLY324" s="147"/>
      <c r="DLZ324" s="147"/>
      <c r="DMA324" s="147"/>
      <c r="DMB324" s="138"/>
      <c r="DMC324" s="138"/>
      <c r="DMD324" s="147"/>
      <c r="DME324" s="148"/>
      <c r="DMF324" s="81"/>
      <c r="DMG324" s="140"/>
      <c r="DMH324" s="157"/>
      <c r="DMI324" s="157"/>
      <c r="DMJ324" s="100"/>
      <c r="DMK324" s="79"/>
      <c r="DML324" s="153"/>
      <c r="DMM324" s="137"/>
      <c r="DMN324" s="158"/>
      <c r="DMO324" s="363"/>
      <c r="DMP324" s="139"/>
      <c r="DMQ324" s="139"/>
      <c r="DMR324" s="98"/>
      <c r="DMS324" s="79"/>
      <c r="DMT324" s="139"/>
      <c r="DMU324" s="139"/>
      <c r="DMV324" s="138"/>
      <c r="DMW324" s="147"/>
      <c r="DMX324" s="147"/>
      <c r="DMY324" s="147"/>
      <c r="DMZ324" s="138"/>
      <c r="DNA324" s="138"/>
      <c r="DNB324" s="147"/>
      <c r="DNC324" s="148"/>
      <c r="DND324" s="81"/>
      <c r="DNE324" s="140"/>
      <c r="DNF324" s="157"/>
      <c r="DNG324" s="157"/>
      <c r="DNH324" s="100"/>
      <c r="DNI324" s="79"/>
      <c r="DNJ324" s="153"/>
      <c r="DNK324" s="137"/>
      <c r="DNL324" s="158"/>
      <c r="DNM324" s="363"/>
      <c r="DNN324" s="139"/>
      <c r="DNO324" s="139"/>
      <c r="DNP324" s="98"/>
      <c r="DNQ324" s="79"/>
      <c r="DNR324" s="139"/>
      <c r="DNS324" s="139"/>
      <c r="DNT324" s="138"/>
      <c r="DNU324" s="147"/>
      <c r="DNV324" s="147"/>
      <c r="DNW324" s="147"/>
      <c r="DNX324" s="138"/>
      <c r="DNY324" s="138"/>
      <c r="DNZ324" s="147"/>
      <c r="DOA324" s="148"/>
      <c r="DOB324" s="81"/>
      <c r="DOC324" s="140"/>
      <c r="DOD324" s="157"/>
      <c r="DOE324" s="157"/>
      <c r="DOF324" s="100"/>
      <c r="DOG324" s="79"/>
      <c r="DOH324" s="153"/>
      <c r="DOI324" s="137"/>
      <c r="DOJ324" s="158"/>
      <c r="DOK324" s="363"/>
      <c r="DOL324" s="139"/>
      <c r="DOM324" s="139"/>
      <c r="DON324" s="98"/>
      <c r="DOO324" s="79"/>
      <c r="DOP324" s="139"/>
      <c r="DOQ324" s="139"/>
      <c r="DOR324" s="138"/>
      <c r="DOS324" s="147"/>
      <c r="DOT324" s="147"/>
      <c r="DOU324" s="147"/>
      <c r="DOV324" s="138"/>
      <c r="DOW324" s="138"/>
      <c r="DOX324" s="147"/>
      <c r="DOY324" s="148"/>
      <c r="DOZ324" s="81"/>
      <c r="DPA324" s="140"/>
      <c r="DPB324" s="157"/>
      <c r="DPC324" s="157"/>
      <c r="DPD324" s="100"/>
      <c r="DPE324" s="79"/>
      <c r="DPF324" s="153"/>
      <c r="DPG324" s="137"/>
      <c r="DPH324" s="158"/>
      <c r="DPI324" s="363"/>
      <c r="DPJ324" s="139"/>
      <c r="DPK324" s="139"/>
      <c r="DPL324" s="98"/>
      <c r="DPM324" s="79"/>
      <c r="DPN324" s="139"/>
      <c r="DPO324" s="139"/>
      <c r="DPP324" s="138"/>
      <c r="DPQ324" s="147"/>
      <c r="DPR324" s="147"/>
      <c r="DPS324" s="147"/>
      <c r="DPT324" s="138"/>
      <c r="DPU324" s="138"/>
      <c r="DPV324" s="147"/>
      <c r="DPW324" s="148"/>
      <c r="DPX324" s="81"/>
      <c r="DPY324" s="140"/>
      <c r="DPZ324" s="157"/>
      <c r="DQA324" s="157"/>
      <c r="DQB324" s="100"/>
      <c r="DQC324" s="79"/>
      <c r="DQD324" s="153"/>
      <c r="DQE324" s="137"/>
      <c r="DQF324" s="158"/>
      <c r="DQG324" s="363"/>
      <c r="DQH324" s="139"/>
      <c r="DQI324" s="139"/>
      <c r="DQJ324" s="98"/>
      <c r="DQK324" s="79"/>
      <c r="DQL324" s="139"/>
      <c r="DQM324" s="139"/>
      <c r="DQN324" s="138"/>
      <c r="DQO324" s="147"/>
      <c r="DQP324" s="147"/>
      <c r="DQQ324" s="147"/>
      <c r="DQR324" s="138"/>
      <c r="DQS324" s="138"/>
      <c r="DQT324" s="147"/>
      <c r="DQU324" s="148"/>
      <c r="DQV324" s="81"/>
      <c r="DQW324" s="140"/>
      <c r="DQX324" s="157"/>
      <c r="DQY324" s="157"/>
      <c r="DQZ324" s="100"/>
      <c r="DRA324" s="79"/>
      <c r="DRB324" s="153"/>
      <c r="DRC324" s="137"/>
      <c r="DRD324" s="158"/>
      <c r="DRE324" s="363"/>
      <c r="DRF324" s="139"/>
      <c r="DRG324" s="139"/>
      <c r="DRH324" s="98"/>
      <c r="DRI324" s="79"/>
      <c r="DRJ324" s="139"/>
      <c r="DRK324" s="139"/>
      <c r="DRL324" s="138"/>
      <c r="DRM324" s="147"/>
      <c r="DRN324" s="147"/>
      <c r="DRO324" s="147"/>
      <c r="DRP324" s="138"/>
      <c r="DRQ324" s="138"/>
      <c r="DRR324" s="147"/>
      <c r="DRS324" s="148"/>
      <c r="DRT324" s="81"/>
      <c r="DRU324" s="140"/>
      <c r="DRV324" s="157"/>
      <c r="DRW324" s="157"/>
      <c r="DRX324" s="100"/>
      <c r="DRY324" s="79"/>
      <c r="DRZ324" s="153"/>
      <c r="DSA324" s="137"/>
      <c r="DSB324" s="158"/>
      <c r="DSC324" s="363"/>
      <c r="DSD324" s="139"/>
      <c r="DSE324" s="139"/>
      <c r="DSF324" s="98"/>
      <c r="DSG324" s="79"/>
      <c r="DSH324" s="139"/>
      <c r="DSI324" s="139"/>
      <c r="DSJ324" s="138"/>
      <c r="DSK324" s="147"/>
      <c r="DSL324" s="147"/>
      <c r="DSM324" s="147"/>
      <c r="DSN324" s="138"/>
      <c r="DSO324" s="138"/>
      <c r="DSP324" s="147"/>
      <c r="DSQ324" s="148"/>
      <c r="DSR324" s="81"/>
      <c r="DSS324" s="140"/>
      <c r="DST324" s="157"/>
      <c r="DSU324" s="157"/>
      <c r="DSV324" s="100"/>
      <c r="DSW324" s="79"/>
      <c r="DSX324" s="153"/>
      <c r="DSY324" s="137"/>
      <c r="DSZ324" s="158"/>
      <c r="DTA324" s="363"/>
      <c r="DTB324" s="139"/>
      <c r="DTC324" s="139"/>
      <c r="DTD324" s="98"/>
      <c r="DTE324" s="79"/>
      <c r="DTF324" s="139"/>
      <c r="DTG324" s="139"/>
      <c r="DTH324" s="138"/>
      <c r="DTI324" s="147"/>
      <c r="DTJ324" s="147"/>
      <c r="DTK324" s="147"/>
      <c r="DTL324" s="138"/>
      <c r="DTM324" s="138"/>
      <c r="DTN324" s="147"/>
      <c r="DTO324" s="148"/>
      <c r="DTP324" s="81"/>
      <c r="DTQ324" s="140"/>
      <c r="DTR324" s="157"/>
      <c r="DTS324" s="157"/>
      <c r="DTT324" s="100"/>
      <c r="DTU324" s="79"/>
      <c r="DTV324" s="153"/>
      <c r="DTW324" s="137"/>
      <c r="DTX324" s="158"/>
      <c r="DTY324" s="363"/>
      <c r="DTZ324" s="139"/>
      <c r="DUA324" s="139"/>
      <c r="DUB324" s="98"/>
      <c r="DUC324" s="79"/>
      <c r="DUD324" s="139"/>
      <c r="DUE324" s="139"/>
      <c r="DUF324" s="138"/>
      <c r="DUG324" s="147"/>
      <c r="DUH324" s="147"/>
      <c r="DUI324" s="147"/>
      <c r="DUJ324" s="138"/>
      <c r="DUK324" s="138"/>
      <c r="DUL324" s="147"/>
      <c r="DUM324" s="148"/>
      <c r="DUN324" s="81"/>
      <c r="DUO324" s="140"/>
      <c r="DUP324" s="157"/>
      <c r="DUQ324" s="157"/>
      <c r="DUR324" s="100"/>
      <c r="DUS324" s="79"/>
      <c r="DUT324" s="153"/>
      <c r="DUU324" s="137"/>
      <c r="DUV324" s="158"/>
      <c r="DUW324" s="363"/>
      <c r="DUX324" s="139"/>
      <c r="DUY324" s="139"/>
      <c r="DUZ324" s="98"/>
      <c r="DVA324" s="79"/>
      <c r="DVB324" s="139"/>
      <c r="DVC324" s="139"/>
      <c r="DVD324" s="138"/>
      <c r="DVE324" s="147"/>
      <c r="DVF324" s="147"/>
      <c r="DVG324" s="147"/>
      <c r="DVH324" s="138"/>
      <c r="DVI324" s="138"/>
      <c r="DVJ324" s="147"/>
      <c r="DVK324" s="148"/>
      <c r="DVL324" s="81"/>
      <c r="DVM324" s="140"/>
      <c r="DVN324" s="157"/>
      <c r="DVO324" s="157"/>
      <c r="DVP324" s="100"/>
      <c r="DVQ324" s="79"/>
      <c r="DVR324" s="153"/>
      <c r="DVS324" s="137"/>
      <c r="DVT324" s="158"/>
      <c r="DVU324" s="363"/>
      <c r="DVV324" s="139"/>
      <c r="DVW324" s="139"/>
      <c r="DVX324" s="98"/>
      <c r="DVY324" s="79"/>
      <c r="DVZ324" s="139"/>
      <c r="DWA324" s="139"/>
      <c r="DWB324" s="138"/>
      <c r="DWC324" s="147"/>
      <c r="DWD324" s="147"/>
      <c r="DWE324" s="147"/>
      <c r="DWF324" s="138"/>
      <c r="DWG324" s="138"/>
      <c r="DWH324" s="147"/>
      <c r="DWI324" s="148"/>
      <c r="DWJ324" s="81"/>
      <c r="DWK324" s="140"/>
      <c r="DWL324" s="157"/>
      <c r="DWM324" s="157"/>
      <c r="DWN324" s="100"/>
      <c r="DWO324" s="79"/>
      <c r="DWP324" s="153"/>
      <c r="DWQ324" s="137"/>
      <c r="DWR324" s="158"/>
      <c r="DWS324" s="363"/>
      <c r="DWT324" s="139"/>
      <c r="DWU324" s="139"/>
      <c r="DWV324" s="98"/>
      <c r="DWW324" s="79"/>
      <c r="DWX324" s="139"/>
      <c r="DWY324" s="139"/>
      <c r="DWZ324" s="138"/>
      <c r="DXA324" s="147"/>
      <c r="DXB324" s="147"/>
      <c r="DXC324" s="147"/>
      <c r="DXD324" s="138"/>
      <c r="DXE324" s="138"/>
      <c r="DXF324" s="147"/>
      <c r="DXG324" s="148"/>
      <c r="DXH324" s="81"/>
      <c r="DXI324" s="140"/>
      <c r="DXJ324" s="157"/>
      <c r="DXK324" s="157"/>
      <c r="DXL324" s="100"/>
      <c r="DXM324" s="79"/>
      <c r="DXN324" s="153"/>
      <c r="DXO324" s="137"/>
      <c r="DXP324" s="158"/>
      <c r="DXQ324" s="363"/>
      <c r="DXR324" s="139"/>
      <c r="DXS324" s="139"/>
      <c r="DXT324" s="98"/>
      <c r="DXU324" s="79"/>
      <c r="DXV324" s="139"/>
      <c r="DXW324" s="139"/>
      <c r="DXX324" s="138"/>
      <c r="DXY324" s="147"/>
      <c r="DXZ324" s="147"/>
      <c r="DYA324" s="147"/>
      <c r="DYB324" s="138"/>
      <c r="DYC324" s="138"/>
      <c r="DYD324" s="147"/>
      <c r="DYE324" s="148"/>
      <c r="DYF324" s="81"/>
      <c r="DYG324" s="140"/>
      <c r="DYH324" s="157"/>
      <c r="DYI324" s="157"/>
      <c r="DYJ324" s="100"/>
      <c r="DYK324" s="79"/>
      <c r="DYL324" s="153"/>
      <c r="DYM324" s="137"/>
      <c r="DYN324" s="158"/>
      <c r="DYO324" s="363"/>
      <c r="DYP324" s="139"/>
      <c r="DYQ324" s="139"/>
      <c r="DYR324" s="98"/>
      <c r="DYS324" s="79"/>
      <c r="DYT324" s="139"/>
      <c r="DYU324" s="139"/>
      <c r="DYV324" s="138"/>
      <c r="DYW324" s="147"/>
      <c r="DYX324" s="147"/>
      <c r="DYY324" s="147"/>
      <c r="DYZ324" s="138"/>
      <c r="DZA324" s="138"/>
      <c r="DZB324" s="147"/>
      <c r="DZC324" s="148"/>
      <c r="DZD324" s="81"/>
      <c r="DZE324" s="140"/>
      <c r="DZF324" s="157"/>
      <c r="DZG324" s="157"/>
      <c r="DZH324" s="100"/>
      <c r="DZI324" s="79"/>
      <c r="DZJ324" s="153"/>
      <c r="DZK324" s="137"/>
      <c r="DZL324" s="158"/>
      <c r="DZM324" s="363"/>
      <c r="DZN324" s="139"/>
      <c r="DZO324" s="139"/>
      <c r="DZP324" s="98"/>
      <c r="DZQ324" s="79"/>
      <c r="DZR324" s="139"/>
      <c r="DZS324" s="139"/>
      <c r="DZT324" s="138"/>
      <c r="DZU324" s="147"/>
      <c r="DZV324" s="147"/>
      <c r="DZW324" s="147"/>
      <c r="DZX324" s="138"/>
      <c r="DZY324" s="138"/>
      <c r="DZZ324" s="147"/>
      <c r="EAA324" s="148"/>
      <c r="EAB324" s="81"/>
      <c r="EAC324" s="140"/>
      <c r="EAD324" s="157"/>
      <c r="EAE324" s="157"/>
      <c r="EAF324" s="100"/>
      <c r="EAG324" s="79"/>
      <c r="EAH324" s="153"/>
      <c r="EAI324" s="137"/>
      <c r="EAJ324" s="158"/>
      <c r="EAK324" s="363"/>
      <c r="EAL324" s="139"/>
      <c r="EAM324" s="139"/>
      <c r="EAN324" s="98"/>
      <c r="EAO324" s="79"/>
      <c r="EAP324" s="139"/>
      <c r="EAQ324" s="139"/>
      <c r="EAR324" s="138"/>
      <c r="EAS324" s="147"/>
      <c r="EAT324" s="147"/>
      <c r="EAU324" s="147"/>
      <c r="EAV324" s="138"/>
      <c r="EAW324" s="138"/>
      <c r="EAX324" s="147"/>
      <c r="EAY324" s="148"/>
      <c r="EAZ324" s="81"/>
      <c r="EBA324" s="140"/>
      <c r="EBB324" s="157"/>
      <c r="EBC324" s="157"/>
      <c r="EBD324" s="100"/>
      <c r="EBE324" s="79"/>
      <c r="EBF324" s="153"/>
      <c r="EBG324" s="137"/>
      <c r="EBH324" s="158"/>
      <c r="EBI324" s="363"/>
      <c r="EBJ324" s="139"/>
      <c r="EBK324" s="139"/>
      <c r="EBL324" s="98"/>
      <c r="EBM324" s="79"/>
      <c r="EBN324" s="139"/>
      <c r="EBO324" s="139"/>
      <c r="EBP324" s="138"/>
      <c r="EBQ324" s="147"/>
      <c r="EBR324" s="147"/>
      <c r="EBS324" s="147"/>
      <c r="EBT324" s="138"/>
      <c r="EBU324" s="138"/>
      <c r="EBV324" s="147"/>
      <c r="EBW324" s="148"/>
      <c r="EBX324" s="81"/>
      <c r="EBY324" s="140"/>
      <c r="EBZ324" s="157"/>
      <c r="ECA324" s="157"/>
      <c r="ECB324" s="100"/>
      <c r="ECC324" s="79"/>
      <c r="ECD324" s="153"/>
      <c r="ECE324" s="137"/>
      <c r="ECF324" s="158"/>
      <c r="ECG324" s="363"/>
      <c r="ECH324" s="139"/>
      <c r="ECI324" s="139"/>
      <c r="ECJ324" s="98"/>
      <c r="ECK324" s="79"/>
      <c r="ECL324" s="139"/>
      <c r="ECM324" s="139"/>
      <c r="ECN324" s="138"/>
      <c r="ECO324" s="147"/>
      <c r="ECP324" s="147"/>
      <c r="ECQ324" s="147"/>
      <c r="ECR324" s="138"/>
      <c r="ECS324" s="138"/>
      <c r="ECT324" s="147"/>
      <c r="ECU324" s="148"/>
      <c r="ECV324" s="81"/>
      <c r="ECW324" s="140"/>
      <c r="ECX324" s="157"/>
      <c r="ECY324" s="157"/>
      <c r="ECZ324" s="100"/>
      <c r="EDA324" s="79"/>
      <c r="EDB324" s="153"/>
      <c r="EDC324" s="137"/>
      <c r="EDD324" s="158"/>
      <c r="EDE324" s="363"/>
      <c r="EDF324" s="139"/>
      <c r="EDG324" s="139"/>
      <c r="EDH324" s="98"/>
      <c r="EDI324" s="79"/>
      <c r="EDJ324" s="139"/>
      <c r="EDK324" s="139"/>
      <c r="EDL324" s="138"/>
      <c r="EDM324" s="147"/>
      <c r="EDN324" s="147"/>
      <c r="EDO324" s="147"/>
      <c r="EDP324" s="138"/>
      <c r="EDQ324" s="138"/>
      <c r="EDR324" s="147"/>
      <c r="EDS324" s="148"/>
      <c r="EDT324" s="81"/>
      <c r="EDU324" s="140"/>
      <c r="EDV324" s="157"/>
      <c r="EDW324" s="157"/>
      <c r="EDX324" s="100"/>
      <c r="EDY324" s="79"/>
      <c r="EDZ324" s="153"/>
      <c r="EEA324" s="137"/>
      <c r="EEB324" s="158"/>
      <c r="EEC324" s="363"/>
      <c r="EED324" s="139"/>
      <c r="EEE324" s="139"/>
      <c r="EEF324" s="98"/>
      <c r="EEG324" s="79"/>
      <c r="EEH324" s="139"/>
      <c r="EEI324" s="139"/>
      <c r="EEJ324" s="138"/>
      <c r="EEK324" s="147"/>
      <c r="EEL324" s="147"/>
      <c r="EEM324" s="147"/>
      <c r="EEN324" s="138"/>
      <c r="EEO324" s="138"/>
      <c r="EEP324" s="147"/>
      <c r="EEQ324" s="148"/>
      <c r="EER324" s="81"/>
      <c r="EES324" s="140"/>
      <c r="EET324" s="157"/>
      <c r="EEU324" s="157"/>
      <c r="EEV324" s="100"/>
      <c r="EEW324" s="79"/>
      <c r="EEX324" s="153"/>
      <c r="EEY324" s="137"/>
      <c r="EEZ324" s="158"/>
      <c r="EFA324" s="363"/>
      <c r="EFB324" s="139"/>
      <c r="EFC324" s="139"/>
      <c r="EFD324" s="98"/>
      <c r="EFE324" s="79"/>
      <c r="EFF324" s="139"/>
      <c r="EFG324" s="139"/>
      <c r="EFH324" s="138"/>
      <c r="EFI324" s="147"/>
      <c r="EFJ324" s="147"/>
      <c r="EFK324" s="147"/>
      <c r="EFL324" s="138"/>
      <c r="EFM324" s="138"/>
      <c r="EFN324" s="147"/>
      <c r="EFO324" s="148"/>
      <c r="EFP324" s="81"/>
      <c r="EFQ324" s="140"/>
      <c r="EFR324" s="157"/>
      <c r="EFS324" s="157"/>
      <c r="EFT324" s="100"/>
      <c r="EFU324" s="79"/>
      <c r="EFV324" s="153"/>
      <c r="EFW324" s="137"/>
      <c r="EFX324" s="158"/>
      <c r="EFY324" s="363"/>
      <c r="EFZ324" s="139"/>
      <c r="EGA324" s="139"/>
      <c r="EGB324" s="98"/>
      <c r="EGC324" s="79"/>
      <c r="EGD324" s="139"/>
      <c r="EGE324" s="139"/>
      <c r="EGF324" s="138"/>
      <c r="EGG324" s="147"/>
      <c r="EGH324" s="147"/>
      <c r="EGI324" s="147"/>
      <c r="EGJ324" s="138"/>
      <c r="EGK324" s="138"/>
      <c r="EGL324" s="147"/>
      <c r="EGM324" s="148"/>
      <c r="EGN324" s="81"/>
      <c r="EGO324" s="140"/>
      <c r="EGP324" s="157"/>
      <c r="EGQ324" s="157"/>
      <c r="EGR324" s="100"/>
      <c r="EGS324" s="79"/>
      <c r="EGT324" s="153"/>
      <c r="EGU324" s="137"/>
      <c r="EGV324" s="158"/>
      <c r="EGW324" s="363"/>
      <c r="EGX324" s="139"/>
      <c r="EGY324" s="139"/>
      <c r="EGZ324" s="98"/>
      <c r="EHA324" s="79"/>
      <c r="EHB324" s="139"/>
      <c r="EHC324" s="139"/>
      <c r="EHD324" s="138"/>
      <c r="EHE324" s="147"/>
      <c r="EHF324" s="147"/>
      <c r="EHG324" s="147"/>
      <c r="EHH324" s="138"/>
      <c r="EHI324" s="138"/>
      <c r="EHJ324" s="147"/>
      <c r="EHK324" s="148"/>
      <c r="EHL324" s="81"/>
      <c r="EHM324" s="140"/>
      <c r="EHN324" s="157"/>
      <c r="EHO324" s="157"/>
      <c r="EHP324" s="100"/>
      <c r="EHQ324" s="79"/>
      <c r="EHR324" s="153"/>
      <c r="EHS324" s="137"/>
      <c r="EHT324" s="158"/>
      <c r="EHU324" s="363"/>
      <c r="EHV324" s="139"/>
      <c r="EHW324" s="139"/>
      <c r="EHX324" s="98"/>
      <c r="EHY324" s="79"/>
      <c r="EHZ324" s="139"/>
      <c r="EIA324" s="139"/>
      <c r="EIB324" s="138"/>
      <c r="EIC324" s="147"/>
      <c r="EID324" s="147"/>
      <c r="EIE324" s="147"/>
      <c r="EIF324" s="138"/>
      <c r="EIG324" s="138"/>
      <c r="EIH324" s="147"/>
      <c r="EII324" s="148"/>
      <c r="EIJ324" s="81"/>
      <c r="EIK324" s="140"/>
      <c r="EIL324" s="157"/>
      <c r="EIM324" s="157"/>
      <c r="EIN324" s="100"/>
      <c r="EIO324" s="79"/>
      <c r="EIP324" s="153"/>
      <c r="EIQ324" s="137"/>
      <c r="EIR324" s="158"/>
      <c r="EIS324" s="363"/>
      <c r="EIT324" s="139"/>
      <c r="EIU324" s="139"/>
      <c r="EIV324" s="98"/>
      <c r="EIW324" s="79"/>
      <c r="EIX324" s="139"/>
      <c r="EIY324" s="139"/>
      <c r="EIZ324" s="138"/>
      <c r="EJA324" s="147"/>
      <c r="EJB324" s="147"/>
      <c r="EJC324" s="147"/>
      <c r="EJD324" s="138"/>
      <c r="EJE324" s="138"/>
      <c r="EJF324" s="147"/>
      <c r="EJG324" s="148"/>
      <c r="EJH324" s="81"/>
      <c r="EJI324" s="140"/>
      <c r="EJJ324" s="157"/>
      <c r="EJK324" s="157"/>
      <c r="EJL324" s="100"/>
      <c r="EJM324" s="79"/>
      <c r="EJN324" s="153"/>
      <c r="EJO324" s="137"/>
      <c r="EJP324" s="158"/>
      <c r="EJQ324" s="363"/>
      <c r="EJR324" s="139"/>
      <c r="EJS324" s="139"/>
      <c r="EJT324" s="98"/>
      <c r="EJU324" s="79"/>
      <c r="EJV324" s="139"/>
      <c r="EJW324" s="139"/>
      <c r="EJX324" s="138"/>
      <c r="EJY324" s="147"/>
      <c r="EJZ324" s="147"/>
      <c r="EKA324" s="147"/>
      <c r="EKB324" s="138"/>
      <c r="EKC324" s="138"/>
      <c r="EKD324" s="147"/>
      <c r="EKE324" s="148"/>
      <c r="EKF324" s="81"/>
      <c r="EKG324" s="140"/>
      <c r="EKH324" s="157"/>
      <c r="EKI324" s="157"/>
      <c r="EKJ324" s="100"/>
      <c r="EKK324" s="79"/>
      <c r="EKL324" s="153"/>
      <c r="EKM324" s="137"/>
      <c r="EKN324" s="158"/>
      <c r="EKO324" s="363"/>
      <c r="EKP324" s="139"/>
      <c r="EKQ324" s="139"/>
      <c r="EKR324" s="98"/>
      <c r="EKS324" s="79"/>
      <c r="EKT324" s="139"/>
      <c r="EKU324" s="139"/>
      <c r="EKV324" s="138"/>
      <c r="EKW324" s="147"/>
      <c r="EKX324" s="147"/>
      <c r="EKY324" s="147"/>
      <c r="EKZ324" s="138"/>
      <c r="ELA324" s="138"/>
      <c r="ELB324" s="147"/>
      <c r="ELC324" s="148"/>
      <c r="ELD324" s="81"/>
      <c r="ELE324" s="140"/>
      <c r="ELF324" s="157"/>
      <c r="ELG324" s="157"/>
      <c r="ELH324" s="100"/>
      <c r="ELI324" s="79"/>
      <c r="ELJ324" s="153"/>
      <c r="ELK324" s="137"/>
      <c r="ELL324" s="158"/>
      <c r="ELM324" s="363"/>
      <c r="ELN324" s="139"/>
      <c r="ELO324" s="139"/>
      <c r="ELP324" s="98"/>
      <c r="ELQ324" s="79"/>
      <c r="ELR324" s="139"/>
      <c r="ELS324" s="139"/>
      <c r="ELT324" s="138"/>
      <c r="ELU324" s="147"/>
      <c r="ELV324" s="147"/>
      <c r="ELW324" s="147"/>
      <c r="ELX324" s="138"/>
      <c r="ELY324" s="138"/>
      <c r="ELZ324" s="147"/>
      <c r="EMA324" s="148"/>
      <c r="EMB324" s="81"/>
      <c r="EMC324" s="140"/>
      <c r="EMD324" s="157"/>
      <c r="EME324" s="157"/>
      <c r="EMF324" s="100"/>
      <c r="EMG324" s="79"/>
      <c r="EMH324" s="153"/>
      <c r="EMI324" s="137"/>
      <c r="EMJ324" s="158"/>
      <c r="EMK324" s="363"/>
      <c r="EML324" s="139"/>
      <c r="EMM324" s="139"/>
      <c r="EMN324" s="98"/>
      <c r="EMO324" s="79"/>
      <c r="EMP324" s="139"/>
      <c r="EMQ324" s="139"/>
      <c r="EMR324" s="138"/>
      <c r="EMS324" s="147"/>
      <c r="EMT324" s="147"/>
      <c r="EMU324" s="147"/>
      <c r="EMV324" s="138"/>
      <c r="EMW324" s="138"/>
      <c r="EMX324" s="147"/>
      <c r="EMY324" s="148"/>
      <c r="EMZ324" s="81"/>
      <c r="ENA324" s="140"/>
      <c r="ENB324" s="157"/>
      <c r="ENC324" s="157"/>
      <c r="END324" s="100"/>
      <c r="ENE324" s="79"/>
      <c r="ENF324" s="153"/>
      <c r="ENG324" s="137"/>
      <c r="ENH324" s="158"/>
      <c r="ENI324" s="363"/>
      <c r="ENJ324" s="139"/>
      <c r="ENK324" s="139"/>
      <c r="ENL324" s="98"/>
      <c r="ENM324" s="79"/>
      <c r="ENN324" s="139"/>
      <c r="ENO324" s="139"/>
      <c r="ENP324" s="138"/>
      <c r="ENQ324" s="147"/>
      <c r="ENR324" s="147"/>
      <c r="ENS324" s="147"/>
      <c r="ENT324" s="138"/>
      <c r="ENU324" s="138"/>
      <c r="ENV324" s="147"/>
      <c r="ENW324" s="148"/>
      <c r="ENX324" s="81"/>
      <c r="ENY324" s="140"/>
      <c r="ENZ324" s="157"/>
      <c r="EOA324" s="157"/>
      <c r="EOB324" s="100"/>
      <c r="EOC324" s="79"/>
      <c r="EOD324" s="153"/>
      <c r="EOE324" s="137"/>
      <c r="EOF324" s="158"/>
      <c r="EOG324" s="363"/>
      <c r="EOH324" s="139"/>
      <c r="EOI324" s="139"/>
      <c r="EOJ324" s="98"/>
      <c r="EOK324" s="79"/>
      <c r="EOL324" s="139"/>
      <c r="EOM324" s="139"/>
      <c r="EON324" s="138"/>
      <c r="EOO324" s="147"/>
      <c r="EOP324" s="147"/>
      <c r="EOQ324" s="147"/>
      <c r="EOR324" s="138"/>
      <c r="EOS324" s="138"/>
      <c r="EOT324" s="147"/>
      <c r="EOU324" s="148"/>
      <c r="EOV324" s="81"/>
      <c r="EOW324" s="140"/>
      <c r="EOX324" s="157"/>
      <c r="EOY324" s="157"/>
      <c r="EOZ324" s="100"/>
      <c r="EPA324" s="79"/>
      <c r="EPB324" s="153"/>
      <c r="EPC324" s="137"/>
      <c r="EPD324" s="158"/>
      <c r="EPE324" s="363"/>
      <c r="EPF324" s="139"/>
      <c r="EPG324" s="139"/>
      <c r="EPH324" s="98"/>
      <c r="EPI324" s="79"/>
      <c r="EPJ324" s="139"/>
      <c r="EPK324" s="139"/>
      <c r="EPL324" s="138"/>
      <c r="EPM324" s="147"/>
      <c r="EPN324" s="147"/>
      <c r="EPO324" s="147"/>
      <c r="EPP324" s="138"/>
      <c r="EPQ324" s="138"/>
      <c r="EPR324" s="147"/>
      <c r="EPS324" s="148"/>
      <c r="EPT324" s="81"/>
      <c r="EPU324" s="140"/>
      <c r="EPV324" s="157"/>
      <c r="EPW324" s="157"/>
      <c r="EPX324" s="100"/>
      <c r="EPY324" s="79"/>
      <c r="EPZ324" s="153"/>
      <c r="EQA324" s="137"/>
      <c r="EQB324" s="158"/>
      <c r="EQC324" s="363"/>
      <c r="EQD324" s="139"/>
      <c r="EQE324" s="139"/>
      <c r="EQF324" s="98"/>
      <c r="EQG324" s="79"/>
      <c r="EQH324" s="139"/>
      <c r="EQI324" s="139"/>
      <c r="EQJ324" s="138"/>
      <c r="EQK324" s="147"/>
      <c r="EQL324" s="147"/>
      <c r="EQM324" s="147"/>
      <c r="EQN324" s="138"/>
      <c r="EQO324" s="138"/>
      <c r="EQP324" s="147"/>
      <c r="EQQ324" s="148"/>
      <c r="EQR324" s="81"/>
      <c r="EQS324" s="140"/>
      <c r="EQT324" s="157"/>
      <c r="EQU324" s="157"/>
      <c r="EQV324" s="100"/>
      <c r="EQW324" s="79"/>
      <c r="EQX324" s="153"/>
      <c r="EQY324" s="137"/>
      <c r="EQZ324" s="158"/>
      <c r="ERA324" s="363"/>
      <c r="ERB324" s="139"/>
      <c r="ERC324" s="139"/>
      <c r="ERD324" s="98"/>
      <c r="ERE324" s="79"/>
      <c r="ERF324" s="139"/>
      <c r="ERG324" s="139"/>
      <c r="ERH324" s="138"/>
      <c r="ERI324" s="147"/>
      <c r="ERJ324" s="147"/>
      <c r="ERK324" s="147"/>
      <c r="ERL324" s="138"/>
      <c r="ERM324" s="138"/>
      <c r="ERN324" s="147"/>
      <c r="ERO324" s="148"/>
      <c r="ERP324" s="81"/>
      <c r="ERQ324" s="140"/>
      <c r="ERR324" s="157"/>
      <c r="ERS324" s="157"/>
      <c r="ERT324" s="100"/>
      <c r="ERU324" s="79"/>
      <c r="ERV324" s="153"/>
      <c r="ERW324" s="137"/>
      <c r="ERX324" s="158"/>
      <c r="ERY324" s="363"/>
      <c r="ERZ324" s="139"/>
      <c r="ESA324" s="139"/>
      <c r="ESB324" s="98"/>
      <c r="ESC324" s="79"/>
      <c r="ESD324" s="139"/>
      <c r="ESE324" s="139"/>
      <c r="ESF324" s="138"/>
      <c r="ESG324" s="147"/>
      <c r="ESH324" s="147"/>
      <c r="ESI324" s="147"/>
      <c r="ESJ324" s="138"/>
      <c r="ESK324" s="138"/>
      <c r="ESL324" s="147"/>
      <c r="ESM324" s="148"/>
      <c r="ESN324" s="81"/>
      <c r="ESO324" s="140"/>
      <c r="ESP324" s="157"/>
      <c r="ESQ324" s="157"/>
      <c r="ESR324" s="100"/>
      <c r="ESS324" s="79"/>
      <c r="EST324" s="153"/>
      <c r="ESU324" s="137"/>
      <c r="ESV324" s="158"/>
      <c r="ESW324" s="363"/>
      <c r="ESX324" s="139"/>
      <c r="ESY324" s="139"/>
      <c r="ESZ324" s="98"/>
      <c r="ETA324" s="79"/>
      <c r="ETB324" s="139"/>
      <c r="ETC324" s="139"/>
      <c r="ETD324" s="138"/>
      <c r="ETE324" s="147"/>
      <c r="ETF324" s="147"/>
      <c r="ETG324" s="147"/>
      <c r="ETH324" s="138"/>
      <c r="ETI324" s="138"/>
      <c r="ETJ324" s="147"/>
      <c r="ETK324" s="148"/>
      <c r="ETL324" s="81"/>
      <c r="ETM324" s="140"/>
      <c r="ETN324" s="157"/>
      <c r="ETO324" s="157"/>
      <c r="ETP324" s="100"/>
      <c r="ETQ324" s="79"/>
      <c r="ETR324" s="153"/>
      <c r="ETS324" s="137"/>
      <c r="ETT324" s="158"/>
      <c r="ETU324" s="363"/>
      <c r="ETV324" s="139"/>
      <c r="ETW324" s="139"/>
      <c r="ETX324" s="98"/>
      <c r="ETY324" s="79"/>
      <c r="ETZ324" s="139"/>
      <c r="EUA324" s="139"/>
      <c r="EUB324" s="138"/>
      <c r="EUC324" s="147"/>
      <c r="EUD324" s="147"/>
      <c r="EUE324" s="147"/>
      <c r="EUF324" s="138"/>
      <c r="EUG324" s="138"/>
      <c r="EUH324" s="147"/>
      <c r="EUI324" s="148"/>
      <c r="EUJ324" s="81"/>
      <c r="EUK324" s="140"/>
      <c r="EUL324" s="157"/>
      <c r="EUM324" s="157"/>
      <c r="EUN324" s="100"/>
      <c r="EUO324" s="79"/>
      <c r="EUP324" s="153"/>
      <c r="EUQ324" s="137"/>
      <c r="EUR324" s="158"/>
      <c r="EUS324" s="363"/>
      <c r="EUT324" s="139"/>
      <c r="EUU324" s="139"/>
      <c r="EUV324" s="98"/>
      <c r="EUW324" s="79"/>
      <c r="EUX324" s="139"/>
      <c r="EUY324" s="139"/>
      <c r="EUZ324" s="138"/>
      <c r="EVA324" s="147"/>
      <c r="EVB324" s="147"/>
      <c r="EVC324" s="147"/>
      <c r="EVD324" s="138"/>
      <c r="EVE324" s="138"/>
      <c r="EVF324" s="147"/>
      <c r="EVG324" s="148"/>
      <c r="EVH324" s="81"/>
      <c r="EVI324" s="140"/>
      <c r="EVJ324" s="157"/>
      <c r="EVK324" s="157"/>
      <c r="EVL324" s="100"/>
      <c r="EVM324" s="79"/>
      <c r="EVN324" s="153"/>
      <c r="EVO324" s="137"/>
      <c r="EVP324" s="158"/>
      <c r="EVQ324" s="363"/>
      <c r="EVR324" s="139"/>
      <c r="EVS324" s="139"/>
      <c r="EVT324" s="98"/>
      <c r="EVU324" s="79"/>
      <c r="EVV324" s="139"/>
      <c r="EVW324" s="139"/>
      <c r="EVX324" s="138"/>
      <c r="EVY324" s="147"/>
      <c r="EVZ324" s="147"/>
      <c r="EWA324" s="147"/>
      <c r="EWB324" s="138"/>
      <c r="EWC324" s="138"/>
      <c r="EWD324" s="147"/>
      <c r="EWE324" s="148"/>
      <c r="EWF324" s="81"/>
      <c r="EWG324" s="140"/>
      <c r="EWH324" s="157"/>
      <c r="EWI324" s="157"/>
      <c r="EWJ324" s="100"/>
      <c r="EWK324" s="79"/>
      <c r="EWL324" s="153"/>
      <c r="EWM324" s="137"/>
      <c r="EWN324" s="158"/>
      <c r="EWO324" s="363"/>
      <c r="EWP324" s="139"/>
      <c r="EWQ324" s="139"/>
      <c r="EWR324" s="98"/>
      <c r="EWS324" s="79"/>
      <c r="EWT324" s="139"/>
      <c r="EWU324" s="139"/>
      <c r="EWV324" s="138"/>
      <c r="EWW324" s="147"/>
      <c r="EWX324" s="147"/>
      <c r="EWY324" s="147"/>
      <c r="EWZ324" s="138"/>
      <c r="EXA324" s="138"/>
      <c r="EXB324" s="147"/>
      <c r="EXC324" s="148"/>
      <c r="EXD324" s="81"/>
      <c r="EXE324" s="140"/>
      <c r="EXF324" s="157"/>
      <c r="EXG324" s="157"/>
      <c r="EXH324" s="100"/>
      <c r="EXI324" s="79"/>
      <c r="EXJ324" s="153"/>
      <c r="EXK324" s="137"/>
      <c r="EXL324" s="158"/>
      <c r="EXM324" s="363"/>
      <c r="EXN324" s="139"/>
      <c r="EXO324" s="139"/>
      <c r="EXP324" s="98"/>
      <c r="EXQ324" s="79"/>
      <c r="EXR324" s="139"/>
      <c r="EXS324" s="139"/>
      <c r="EXT324" s="138"/>
      <c r="EXU324" s="147"/>
      <c r="EXV324" s="147"/>
      <c r="EXW324" s="147"/>
      <c r="EXX324" s="138"/>
      <c r="EXY324" s="138"/>
      <c r="EXZ324" s="147"/>
      <c r="EYA324" s="148"/>
      <c r="EYB324" s="81"/>
      <c r="EYC324" s="140"/>
      <c r="EYD324" s="157"/>
      <c r="EYE324" s="157"/>
      <c r="EYF324" s="100"/>
      <c r="EYG324" s="79"/>
      <c r="EYH324" s="153"/>
      <c r="EYI324" s="137"/>
      <c r="EYJ324" s="158"/>
      <c r="EYK324" s="363"/>
      <c r="EYL324" s="139"/>
      <c r="EYM324" s="139"/>
      <c r="EYN324" s="98"/>
      <c r="EYO324" s="79"/>
      <c r="EYP324" s="139"/>
      <c r="EYQ324" s="139"/>
      <c r="EYR324" s="138"/>
      <c r="EYS324" s="147"/>
      <c r="EYT324" s="147"/>
      <c r="EYU324" s="147"/>
      <c r="EYV324" s="138"/>
      <c r="EYW324" s="138"/>
      <c r="EYX324" s="147"/>
      <c r="EYY324" s="148"/>
      <c r="EYZ324" s="81"/>
      <c r="EZA324" s="140"/>
      <c r="EZB324" s="157"/>
      <c r="EZC324" s="157"/>
      <c r="EZD324" s="100"/>
      <c r="EZE324" s="79"/>
      <c r="EZF324" s="153"/>
      <c r="EZG324" s="137"/>
      <c r="EZH324" s="158"/>
      <c r="EZI324" s="363"/>
      <c r="EZJ324" s="139"/>
      <c r="EZK324" s="139"/>
      <c r="EZL324" s="98"/>
      <c r="EZM324" s="79"/>
      <c r="EZN324" s="139"/>
      <c r="EZO324" s="139"/>
      <c r="EZP324" s="138"/>
      <c r="EZQ324" s="147"/>
      <c r="EZR324" s="147"/>
      <c r="EZS324" s="147"/>
      <c r="EZT324" s="138"/>
      <c r="EZU324" s="138"/>
      <c r="EZV324" s="147"/>
      <c r="EZW324" s="148"/>
      <c r="EZX324" s="81"/>
      <c r="EZY324" s="140"/>
      <c r="EZZ324" s="157"/>
      <c r="FAA324" s="157"/>
      <c r="FAB324" s="100"/>
      <c r="FAC324" s="79"/>
      <c r="FAD324" s="153"/>
      <c r="FAE324" s="137"/>
      <c r="FAF324" s="158"/>
      <c r="FAG324" s="363"/>
      <c r="FAH324" s="139"/>
      <c r="FAI324" s="139"/>
      <c r="FAJ324" s="98"/>
      <c r="FAK324" s="79"/>
      <c r="FAL324" s="139"/>
      <c r="FAM324" s="139"/>
      <c r="FAN324" s="138"/>
      <c r="FAO324" s="147"/>
      <c r="FAP324" s="147"/>
      <c r="FAQ324" s="147"/>
      <c r="FAR324" s="138"/>
      <c r="FAS324" s="138"/>
      <c r="FAT324" s="147"/>
      <c r="FAU324" s="148"/>
      <c r="FAV324" s="81"/>
      <c r="FAW324" s="140"/>
      <c r="FAX324" s="157"/>
      <c r="FAY324" s="157"/>
      <c r="FAZ324" s="100"/>
      <c r="FBA324" s="79"/>
      <c r="FBB324" s="153"/>
      <c r="FBC324" s="137"/>
      <c r="FBD324" s="158"/>
      <c r="FBE324" s="363"/>
      <c r="FBF324" s="139"/>
      <c r="FBG324" s="139"/>
      <c r="FBH324" s="98"/>
      <c r="FBI324" s="79"/>
      <c r="FBJ324" s="139"/>
      <c r="FBK324" s="139"/>
      <c r="FBL324" s="138"/>
      <c r="FBM324" s="147"/>
      <c r="FBN324" s="147"/>
      <c r="FBO324" s="147"/>
      <c r="FBP324" s="138"/>
      <c r="FBQ324" s="138"/>
      <c r="FBR324" s="147"/>
      <c r="FBS324" s="148"/>
      <c r="FBT324" s="81"/>
      <c r="FBU324" s="140"/>
      <c r="FBV324" s="157"/>
      <c r="FBW324" s="157"/>
      <c r="FBX324" s="100"/>
      <c r="FBY324" s="79"/>
      <c r="FBZ324" s="153"/>
      <c r="FCA324" s="137"/>
      <c r="FCB324" s="158"/>
      <c r="FCC324" s="363"/>
      <c r="FCD324" s="139"/>
      <c r="FCE324" s="139"/>
      <c r="FCF324" s="98"/>
      <c r="FCG324" s="79"/>
      <c r="FCH324" s="139"/>
      <c r="FCI324" s="139"/>
      <c r="FCJ324" s="138"/>
      <c r="FCK324" s="147"/>
      <c r="FCL324" s="147"/>
      <c r="FCM324" s="147"/>
      <c r="FCN324" s="138"/>
      <c r="FCO324" s="138"/>
      <c r="FCP324" s="147"/>
      <c r="FCQ324" s="148"/>
      <c r="FCR324" s="81"/>
      <c r="FCS324" s="140"/>
      <c r="FCT324" s="157"/>
      <c r="FCU324" s="157"/>
      <c r="FCV324" s="100"/>
      <c r="FCW324" s="79"/>
      <c r="FCX324" s="153"/>
      <c r="FCY324" s="137"/>
      <c r="FCZ324" s="158"/>
      <c r="FDA324" s="363"/>
      <c r="FDB324" s="139"/>
      <c r="FDC324" s="139"/>
      <c r="FDD324" s="98"/>
      <c r="FDE324" s="79"/>
      <c r="FDF324" s="139"/>
      <c r="FDG324" s="139"/>
      <c r="FDH324" s="138"/>
      <c r="FDI324" s="147"/>
      <c r="FDJ324" s="147"/>
      <c r="FDK324" s="147"/>
      <c r="FDL324" s="138"/>
      <c r="FDM324" s="138"/>
      <c r="FDN324" s="147"/>
      <c r="FDO324" s="148"/>
      <c r="FDP324" s="81"/>
      <c r="FDQ324" s="140"/>
      <c r="FDR324" s="157"/>
      <c r="FDS324" s="157"/>
      <c r="FDT324" s="100"/>
      <c r="FDU324" s="79"/>
      <c r="FDV324" s="153"/>
      <c r="FDW324" s="137"/>
      <c r="FDX324" s="158"/>
      <c r="FDY324" s="363"/>
      <c r="FDZ324" s="139"/>
      <c r="FEA324" s="139"/>
      <c r="FEB324" s="98"/>
      <c r="FEC324" s="79"/>
      <c r="FED324" s="139"/>
      <c r="FEE324" s="139"/>
      <c r="FEF324" s="138"/>
      <c r="FEG324" s="147"/>
      <c r="FEH324" s="147"/>
      <c r="FEI324" s="147"/>
      <c r="FEJ324" s="138"/>
      <c r="FEK324" s="138"/>
      <c r="FEL324" s="147"/>
      <c r="FEM324" s="148"/>
      <c r="FEN324" s="81"/>
      <c r="FEO324" s="140"/>
      <c r="FEP324" s="157"/>
      <c r="FEQ324" s="157"/>
      <c r="FER324" s="100"/>
      <c r="FES324" s="79"/>
      <c r="FET324" s="153"/>
      <c r="FEU324" s="137"/>
      <c r="FEV324" s="158"/>
      <c r="FEW324" s="363"/>
      <c r="FEX324" s="139"/>
      <c r="FEY324" s="139"/>
      <c r="FEZ324" s="98"/>
      <c r="FFA324" s="79"/>
      <c r="FFB324" s="139"/>
      <c r="FFC324" s="139"/>
      <c r="FFD324" s="138"/>
      <c r="FFE324" s="147"/>
      <c r="FFF324" s="147"/>
      <c r="FFG324" s="147"/>
      <c r="FFH324" s="138"/>
      <c r="FFI324" s="138"/>
      <c r="FFJ324" s="147"/>
      <c r="FFK324" s="148"/>
      <c r="FFL324" s="81"/>
      <c r="FFM324" s="140"/>
      <c r="FFN324" s="157"/>
      <c r="FFO324" s="157"/>
      <c r="FFP324" s="100"/>
      <c r="FFQ324" s="79"/>
      <c r="FFR324" s="153"/>
      <c r="FFS324" s="137"/>
      <c r="FFT324" s="158"/>
      <c r="FFU324" s="363"/>
      <c r="FFV324" s="139"/>
      <c r="FFW324" s="139"/>
      <c r="FFX324" s="98"/>
      <c r="FFY324" s="79"/>
      <c r="FFZ324" s="139"/>
      <c r="FGA324" s="139"/>
      <c r="FGB324" s="138"/>
      <c r="FGC324" s="147"/>
      <c r="FGD324" s="147"/>
      <c r="FGE324" s="147"/>
      <c r="FGF324" s="138"/>
      <c r="FGG324" s="138"/>
      <c r="FGH324" s="147"/>
      <c r="FGI324" s="148"/>
      <c r="FGJ324" s="81"/>
      <c r="FGK324" s="140"/>
      <c r="FGL324" s="157"/>
      <c r="FGM324" s="157"/>
      <c r="FGN324" s="100"/>
      <c r="FGO324" s="79"/>
      <c r="FGP324" s="153"/>
      <c r="FGQ324" s="137"/>
      <c r="FGR324" s="158"/>
      <c r="FGS324" s="363"/>
      <c r="FGT324" s="139"/>
      <c r="FGU324" s="139"/>
      <c r="FGV324" s="98"/>
      <c r="FGW324" s="79"/>
      <c r="FGX324" s="139"/>
      <c r="FGY324" s="139"/>
      <c r="FGZ324" s="138"/>
      <c r="FHA324" s="147"/>
      <c r="FHB324" s="147"/>
      <c r="FHC324" s="147"/>
      <c r="FHD324" s="138"/>
      <c r="FHE324" s="138"/>
      <c r="FHF324" s="147"/>
      <c r="FHG324" s="148"/>
      <c r="FHH324" s="81"/>
      <c r="FHI324" s="140"/>
      <c r="FHJ324" s="157"/>
      <c r="FHK324" s="157"/>
      <c r="FHL324" s="100"/>
      <c r="FHM324" s="79"/>
      <c r="FHN324" s="153"/>
      <c r="FHO324" s="137"/>
      <c r="FHP324" s="158"/>
      <c r="FHQ324" s="363"/>
      <c r="FHR324" s="139"/>
      <c r="FHS324" s="139"/>
      <c r="FHT324" s="98"/>
      <c r="FHU324" s="79"/>
      <c r="FHV324" s="139"/>
      <c r="FHW324" s="139"/>
      <c r="FHX324" s="138"/>
      <c r="FHY324" s="147"/>
      <c r="FHZ324" s="147"/>
      <c r="FIA324" s="147"/>
      <c r="FIB324" s="138"/>
      <c r="FIC324" s="138"/>
      <c r="FID324" s="147"/>
      <c r="FIE324" s="148"/>
      <c r="FIF324" s="81"/>
      <c r="FIG324" s="140"/>
      <c r="FIH324" s="157"/>
      <c r="FII324" s="157"/>
      <c r="FIJ324" s="100"/>
      <c r="FIK324" s="79"/>
      <c r="FIL324" s="153"/>
      <c r="FIM324" s="137"/>
      <c r="FIN324" s="158"/>
      <c r="FIO324" s="363"/>
      <c r="FIP324" s="139"/>
      <c r="FIQ324" s="139"/>
      <c r="FIR324" s="98"/>
      <c r="FIS324" s="79"/>
      <c r="FIT324" s="139"/>
      <c r="FIU324" s="139"/>
      <c r="FIV324" s="138"/>
      <c r="FIW324" s="147"/>
      <c r="FIX324" s="147"/>
      <c r="FIY324" s="147"/>
      <c r="FIZ324" s="138"/>
      <c r="FJA324" s="138"/>
      <c r="FJB324" s="147"/>
      <c r="FJC324" s="148"/>
      <c r="FJD324" s="81"/>
      <c r="FJE324" s="140"/>
      <c r="FJF324" s="157"/>
      <c r="FJG324" s="157"/>
      <c r="FJH324" s="100"/>
      <c r="FJI324" s="79"/>
      <c r="FJJ324" s="153"/>
      <c r="FJK324" s="137"/>
      <c r="FJL324" s="158"/>
      <c r="FJM324" s="363"/>
      <c r="FJN324" s="139"/>
      <c r="FJO324" s="139"/>
      <c r="FJP324" s="98"/>
      <c r="FJQ324" s="79"/>
      <c r="FJR324" s="139"/>
      <c r="FJS324" s="139"/>
      <c r="FJT324" s="138"/>
      <c r="FJU324" s="147"/>
      <c r="FJV324" s="147"/>
      <c r="FJW324" s="147"/>
      <c r="FJX324" s="138"/>
      <c r="FJY324" s="138"/>
      <c r="FJZ324" s="147"/>
      <c r="FKA324" s="148"/>
      <c r="FKB324" s="81"/>
      <c r="FKC324" s="140"/>
      <c r="FKD324" s="157"/>
      <c r="FKE324" s="157"/>
      <c r="FKF324" s="100"/>
      <c r="FKG324" s="79"/>
      <c r="FKH324" s="153"/>
      <c r="FKI324" s="137"/>
      <c r="FKJ324" s="158"/>
      <c r="FKK324" s="363"/>
      <c r="FKL324" s="139"/>
      <c r="FKM324" s="139"/>
      <c r="FKN324" s="98"/>
      <c r="FKO324" s="79"/>
      <c r="FKP324" s="139"/>
      <c r="FKQ324" s="139"/>
      <c r="FKR324" s="138"/>
      <c r="FKS324" s="147"/>
      <c r="FKT324" s="147"/>
      <c r="FKU324" s="147"/>
      <c r="FKV324" s="138"/>
      <c r="FKW324" s="138"/>
      <c r="FKX324" s="147"/>
      <c r="FKY324" s="148"/>
      <c r="FKZ324" s="81"/>
      <c r="FLA324" s="140"/>
      <c r="FLB324" s="157"/>
      <c r="FLC324" s="157"/>
      <c r="FLD324" s="100"/>
      <c r="FLE324" s="79"/>
      <c r="FLF324" s="153"/>
      <c r="FLG324" s="137"/>
      <c r="FLH324" s="158"/>
      <c r="FLI324" s="363"/>
      <c r="FLJ324" s="139"/>
      <c r="FLK324" s="139"/>
      <c r="FLL324" s="98"/>
      <c r="FLM324" s="79"/>
      <c r="FLN324" s="139"/>
      <c r="FLO324" s="139"/>
      <c r="FLP324" s="138"/>
      <c r="FLQ324" s="147"/>
      <c r="FLR324" s="147"/>
      <c r="FLS324" s="147"/>
      <c r="FLT324" s="138"/>
      <c r="FLU324" s="138"/>
      <c r="FLV324" s="147"/>
      <c r="FLW324" s="148"/>
      <c r="FLX324" s="81"/>
      <c r="FLY324" s="140"/>
      <c r="FLZ324" s="157"/>
      <c r="FMA324" s="157"/>
      <c r="FMB324" s="100"/>
      <c r="FMC324" s="79"/>
      <c r="FMD324" s="153"/>
      <c r="FME324" s="137"/>
      <c r="FMF324" s="158"/>
      <c r="FMG324" s="363"/>
      <c r="FMH324" s="139"/>
      <c r="FMI324" s="139"/>
      <c r="FMJ324" s="98"/>
      <c r="FMK324" s="79"/>
      <c r="FML324" s="139"/>
      <c r="FMM324" s="139"/>
      <c r="FMN324" s="138"/>
      <c r="FMO324" s="147"/>
      <c r="FMP324" s="147"/>
      <c r="FMQ324" s="147"/>
      <c r="FMR324" s="138"/>
      <c r="FMS324" s="138"/>
      <c r="FMT324" s="147"/>
      <c r="FMU324" s="148"/>
      <c r="FMV324" s="81"/>
      <c r="FMW324" s="140"/>
      <c r="FMX324" s="157"/>
      <c r="FMY324" s="157"/>
      <c r="FMZ324" s="100"/>
      <c r="FNA324" s="79"/>
      <c r="FNB324" s="153"/>
      <c r="FNC324" s="137"/>
      <c r="FND324" s="158"/>
      <c r="FNE324" s="363"/>
      <c r="FNF324" s="139"/>
      <c r="FNG324" s="139"/>
      <c r="FNH324" s="98"/>
      <c r="FNI324" s="79"/>
      <c r="FNJ324" s="139"/>
      <c r="FNK324" s="139"/>
      <c r="FNL324" s="138"/>
      <c r="FNM324" s="147"/>
      <c r="FNN324" s="147"/>
      <c r="FNO324" s="147"/>
      <c r="FNP324" s="138"/>
      <c r="FNQ324" s="138"/>
      <c r="FNR324" s="147"/>
      <c r="FNS324" s="148"/>
      <c r="FNT324" s="81"/>
      <c r="FNU324" s="140"/>
      <c r="FNV324" s="157"/>
      <c r="FNW324" s="157"/>
      <c r="FNX324" s="100"/>
      <c r="FNY324" s="79"/>
      <c r="FNZ324" s="153"/>
      <c r="FOA324" s="137"/>
      <c r="FOB324" s="158"/>
      <c r="FOC324" s="363"/>
      <c r="FOD324" s="139"/>
      <c r="FOE324" s="139"/>
      <c r="FOF324" s="98"/>
      <c r="FOG324" s="79"/>
      <c r="FOH324" s="139"/>
      <c r="FOI324" s="139"/>
      <c r="FOJ324" s="138"/>
      <c r="FOK324" s="147"/>
      <c r="FOL324" s="147"/>
      <c r="FOM324" s="147"/>
      <c r="FON324" s="138"/>
      <c r="FOO324" s="138"/>
      <c r="FOP324" s="147"/>
      <c r="FOQ324" s="148"/>
      <c r="FOR324" s="81"/>
      <c r="FOS324" s="140"/>
      <c r="FOT324" s="157"/>
      <c r="FOU324" s="157"/>
      <c r="FOV324" s="100"/>
      <c r="FOW324" s="79"/>
      <c r="FOX324" s="153"/>
      <c r="FOY324" s="137"/>
      <c r="FOZ324" s="158"/>
      <c r="FPA324" s="363"/>
      <c r="FPB324" s="139"/>
      <c r="FPC324" s="139"/>
      <c r="FPD324" s="98"/>
      <c r="FPE324" s="79"/>
      <c r="FPF324" s="139"/>
      <c r="FPG324" s="139"/>
      <c r="FPH324" s="138"/>
      <c r="FPI324" s="147"/>
      <c r="FPJ324" s="147"/>
      <c r="FPK324" s="147"/>
      <c r="FPL324" s="138"/>
      <c r="FPM324" s="138"/>
      <c r="FPN324" s="147"/>
      <c r="FPO324" s="148"/>
      <c r="FPP324" s="81"/>
      <c r="FPQ324" s="140"/>
      <c r="FPR324" s="157"/>
      <c r="FPS324" s="157"/>
      <c r="FPT324" s="100"/>
      <c r="FPU324" s="79"/>
      <c r="FPV324" s="153"/>
      <c r="FPW324" s="137"/>
      <c r="FPX324" s="158"/>
      <c r="FPY324" s="363"/>
      <c r="FPZ324" s="139"/>
      <c r="FQA324" s="139"/>
      <c r="FQB324" s="98"/>
      <c r="FQC324" s="79"/>
      <c r="FQD324" s="139"/>
      <c r="FQE324" s="139"/>
      <c r="FQF324" s="138"/>
      <c r="FQG324" s="147"/>
      <c r="FQH324" s="147"/>
      <c r="FQI324" s="147"/>
      <c r="FQJ324" s="138"/>
      <c r="FQK324" s="138"/>
      <c r="FQL324" s="147"/>
      <c r="FQM324" s="148"/>
      <c r="FQN324" s="81"/>
      <c r="FQO324" s="140"/>
      <c r="FQP324" s="157"/>
      <c r="FQQ324" s="157"/>
      <c r="FQR324" s="100"/>
      <c r="FQS324" s="79"/>
      <c r="FQT324" s="153"/>
      <c r="FQU324" s="137"/>
      <c r="FQV324" s="158"/>
      <c r="FQW324" s="363"/>
      <c r="FQX324" s="139"/>
      <c r="FQY324" s="139"/>
      <c r="FQZ324" s="98"/>
      <c r="FRA324" s="79"/>
      <c r="FRB324" s="139"/>
      <c r="FRC324" s="139"/>
      <c r="FRD324" s="138"/>
      <c r="FRE324" s="147"/>
      <c r="FRF324" s="147"/>
      <c r="FRG324" s="147"/>
      <c r="FRH324" s="138"/>
      <c r="FRI324" s="138"/>
      <c r="FRJ324" s="147"/>
      <c r="FRK324" s="148"/>
      <c r="FRL324" s="81"/>
      <c r="FRM324" s="140"/>
      <c r="FRN324" s="157"/>
      <c r="FRO324" s="157"/>
      <c r="FRP324" s="100"/>
      <c r="FRQ324" s="79"/>
      <c r="FRR324" s="153"/>
      <c r="FRS324" s="137"/>
      <c r="FRT324" s="158"/>
      <c r="FRU324" s="363"/>
      <c r="FRV324" s="139"/>
      <c r="FRW324" s="139"/>
      <c r="FRX324" s="98"/>
      <c r="FRY324" s="79"/>
      <c r="FRZ324" s="139"/>
      <c r="FSA324" s="139"/>
      <c r="FSB324" s="138"/>
      <c r="FSC324" s="147"/>
      <c r="FSD324" s="147"/>
      <c r="FSE324" s="147"/>
      <c r="FSF324" s="138"/>
      <c r="FSG324" s="138"/>
      <c r="FSH324" s="147"/>
      <c r="FSI324" s="148"/>
      <c r="FSJ324" s="81"/>
      <c r="FSK324" s="140"/>
      <c r="FSL324" s="157"/>
      <c r="FSM324" s="157"/>
      <c r="FSN324" s="100"/>
      <c r="FSO324" s="79"/>
      <c r="FSP324" s="153"/>
      <c r="FSQ324" s="137"/>
      <c r="FSR324" s="158"/>
      <c r="FSS324" s="363"/>
      <c r="FST324" s="139"/>
      <c r="FSU324" s="139"/>
      <c r="FSV324" s="98"/>
      <c r="FSW324" s="79"/>
      <c r="FSX324" s="139"/>
      <c r="FSY324" s="139"/>
      <c r="FSZ324" s="138"/>
      <c r="FTA324" s="147"/>
      <c r="FTB324" s="147"/>
      <c r="FTC324" s="147"/>
      <c r="FTD324" s="138"/>
      <c r="FTE324" s="138"/>
      <c r="FTF324" s="147"/>
      <c r="FTG324" s="148"/>
      <c r="FTH324" s="81"/>
      <c r="FTI324" s="140"/>
      <c r="FTJ324" s="157"/>
      <c r="FTK324" s="157"/>
      <c r="FTL324" s="100"/>
      <c r="FTM324" s="79"/>
      <c r="FTN324" s="153"/>
      <c r="FTO324" s="137"/>
      <c r="FTP324" s="158"/>
      <c r="FTQ324" s="363"/>
      <c r="FTR324" s="139"/>
      <c r="FTS324" s="139"/>
      <c r="FTT324" s="98"/>
      <c r="FTU324" s="79"/>
      <c r="FTV324" s="139"/>
      <c r="FTW324" s="139"/>
      <c r="FTX324" s="138"/>
      <c r="FTY324" s="147"/>
      <c r="FTZ324" s="147"/>
      <c r="FUA324" s="147"/>
      <c r="FUB324" s="138"/>
      <c r="FUC324" s="138"/>
      <c r="FUD324" s="147"/>
      <c r="FUE324" s="148"/>
      <c r="FUF324" s="81"/>
      <c r="FUG324" s="140"/>
      <c r="FUH324" s="157"/>
      <c r="FUI324" s="157"/>
      <c r="FUJ324" s="100"/>
      <c r="FUK324" s="79"/>
      <c r="FUL324" s="153"/>
      <c r="FUM324" s="137"/>
      <c r="FUN324" s="158"/>
      <c r="FUO324" s="363"/>
      <c r="FUP324" s="139"/>
      <c r="FUQ324" s="139"/>
      <c r="FUR324" s="98"/>
      <c r="FUS324" s="79"/>
      <c r="FUT324" s="139"/>
      <c r="FUU324" s="139"/>
      <c r="FUV324" s="138"/>
      <c r="FUW324" s="147"/>
      <c r="FUX324" s="147"/>
      <c r="FUY324" s="147"/>
      <c r="FUZ324" s="138"/>
      <c r="FVA324" s="138"/>
      <c r="FVB324" s="147"/>
      <c r="FVC324" s="148"/>
      <c r="FVD324" s="81"/>
      <c r="FVE324" s="140"/>
      <c r="FVF324" s="157"/>
      <c r="FVG324" s="157"/>
      <c r="FVH324" s="100"/>
      <c r="FVI324" s="79"/>
      <c r="FVJ324" s="153"/>
      <c r="FVK324" s="137"/>
      <c r="FVL324" s="158"/>
      <c r="FVM324" s="363"/>
      <c r="FVN324" s="139"/>
      <c r="FVO324" s="139"/>
      <c r="FVP324" s="98"/>
      <c r="FVQ324" s="79"/>
      <c r="FVR324" s="139"/>
      <c r="FVS324" s="139"/>
      <c r="FVT324" s="138"/>
      <c r="FVU324" s="147"/>
      <c r="FVV324" s="147"/>
      <c r="FVW324" s="147"/>
      <c r="FVX324" s="138"/>
      <c r="FVY324" s="138"/>
      <c r="FVZ324" s="147"/>
      <c r="FWA324" s="148"/>
      <c r="FWB324" s="81"/>
      <c r="FWC324" s="140"/>
      <c r="FWD324" s="157"/>
      <c r="FWE324" s="157"/>
      <c r="FWF324" s="100"/>
      <c r="FWG324" s="79"/>
      <c r="FWH324" s="153"/>
      <c r="FWI324" s="137"/>
      <c r="FWJ324" s="158"/>
      <c r="FWK324" s="363"/>
      <c r="FWL324" s="139"/>
      <c r="FWM324" s="139"/>
      <c r="FWN324" s="98"/>
      <c r="FWO324" s="79"/>
      <c r="FWP324" s="139"/>
      <c r="FWQ324" s="139"/>
      <c r="FWR324" s="138"/>
      <c r="FWS324" s="147"/>
      <c r="FWT324" s="147"/>
      <c r="FWU324" s="147"/>
      <c r="FWV324" s="138"/>
      <c r="FWW324" s="138"/>
      <c r="FWX324" s="147"/>
      <c r="FWY324" s="148"/>
      <c r="FWZ324" s="81"/>
      <c r="FXA324" s="140"/>
      <c r="FXB324" s="157"/>
      <c r="FXC324" s="157"/>
      <c r="FXD324" s="100"/>
      <c r="FXE324" s="79"/>
      <c r="FXF324" s="153"/>
      <c r="FXG324" s="137"/>
      <c r="FXH324" s="158"/>
      <c r="FXI324" s="363"/>
      <c r="FXJ324" s="139"/>
      <c r="FXK324" s="139"/>
      <c r="FXL324" s="98"/>
      <c r="FXM324" s="79"/>
      <c r="FXN324" s="139"/>
      <c r="FXO324" s="139"/>
      <c r="FXP324" s="138"/>
      <c r="FXQ324" s="147"/>
      <c r="FXR324" s="147"/>
      <c r="FXS324" s="147"/>
      <c r="FXT324" s="138"/>
      <c r="FXU324" s="138"/>
      <c r="FXV324" s="147"/>
      <c r="FXW324" s="148"/>
      <c r="FXX324" s="81"/>
      <c r="FXY324" s="140"/>
      <c r="FXZ324" s="157"/>
      <c r="FYA324" s="157"/>
      <c r="FYB324" s="100"/>
      <c r="FYC324" s="79"/>
      <c r="FYD324" s="153"/>
      <c r="FYE324" s="137"/>
      <c r="FYF324" s="158"/>
      <c r="FYG324" s="363"/>
      <c r="FYH324" s="139"/>
      <c r="FYI324" s="139"/>
      <c r="FYJ324" s="98"/>
      <c r="FYK324" s="79"/>
      <c r="FYL324" s="139"/>
      <c r="FYM324" s="139"/>
      <c r="FYN324" s="138"/>
      <c r="FYO324" s="147"/>
      <c r="FYP324" s="147"/>
      <c r="FYQ324" s="147"/>
      <c r="FYR324" s="138"/>
      <c r="FYS324" s="138"/>
      <c r="FYT324" s="147"/>
      <c r="FYU324" s="148"/>
      <c r="FYV324" s="81"/>
      <c r="FYW324" s="140"/>
      <c r="FYX324" s="157"/>
      <c r="FYY324" s="157"/>
      <c r="FYZ324" s="100"/>
      <c r="FZA324" s="79"/>
      <c r="FZB324" s="153"/>
      <c r="FZC324" s="137"/>
      <c r="FZD324" s="158"/>
      <c r="FZE324" s="363"/>
      <c r="FZF324" s="139"/>
      <c r="FZG324" s="139"/>
      <c r="FZH324" s="98"/>
      <c r="FZI324" s="79"/>
      <c r="FZJ324" s="139"/>
      <c r="FZK324" s="139"/>
      <c r="FZL324" s="138"/>
      <c r="FZM324" s="147"/>
      <c r="FZN324" s="147"/>
      <c r="FZO324" s="147"/>
      <c r="FZP324" s="138"/>
      <c r="FZQ324" s="138"/>
      <c r="FZR324" s="147"/>
      <c r="FZS324" s="148"/>
      <c r="FZT324" s="81"/>
      <c r="FZU324" s="140"/>
      <c r="FZV324" s="157"/>
      <c r="FZW324" s="157"/>
      <c r="FZX324" s="100"/>
      <c r="FZY324" s="79"/>
      <c r="FZZ324" s="153"/>
      <c r="GAA324" s="137"/>
      <c r="GAB324" s="158"/>
      <c r="GAC324" s="363"/>
      <c r="GAD324" s="139"/>
      <c r="GAE324" s="139"/>
      <c r="GAF324" s="98"/>
      <c r="GAG324" s="79"/>
      <c r="GAH324" s="139"/>
      <c r="GAI324" s="139"/>
      <c r="GAJ324" s="138"/>
      <c r="GAK324" s="147"/>
      <c r="GAL324" s="147"/>
      <c r="GAM324" s="147"/>
      <c r="GAN324" s="138"/>
      <c r="GAO324" s="138"/>
      <c r="GAP324" s="147"/>
      <c r="GAQ324" s="148"/>
      <c r="GAR324" s="81"/>
      <c r="GAS324" s="140"/>
      <c r="GAT324" s="157"/>
      <c r="GAU324" s="157"/>
      <c r="GAV324" s="100"/>
      <c r="GAW324" s="79"/>
      <c r="GAX324" s="153"/>
      <c r="GAY324" s="137"/>
      <c r="GAZ324" s="158"/>
      <c r="GBA324" s="363"/>
      <c r="GBB324" s="139"/>
      <c r="GBC324" s="139"/>
      <c r="GBD324" s="98"/>
      <c r="GBE324" s="79"/>
      <c r="GBF324" s="139"/>
      <c r="GBG324" s="139"/>
      <c r="GBH324" s="138"/>
      <c r="GBI324" s="147"/>
      <c r="GBJ324" s="147"/>
      <c r="GBK324" s="147"/>
      <c r="GBL324" s="138"/>
      <c r="GBM324" s="138"/>
      <c r="GBN324" s="147"/>
      <c r="GBO324" s="148"/>
      <c r="GBP324" s="81"/>
      <c r="GBQ324" s="140"/>
      <c r="GBR324" s="157"/>
      <c r="GBS324" s="157"/>
      <c r="GBT324" s="100"/>
      <c r="GBU324" s="79"/>
      <c r="GBV324" s="153"/>
      <c r="GBW324" s="137"/>
      <c r="GBX324" s="158"/>
      <c r="GBY324" s="363"/>
      <c r="GBZ324" s="139"/>
      <c r="GCA324" s="139"/>
      <c r="GCB324" s="98"/>
      <c r="GCC324" s="79"/>
      <c r="GCD324" s="139"/>
      <c r="GCE324" s="139"/>
      <c r="GCF324" s="138"/>
      <c r="GCG324" s="147"/>
      <c r="GCH324" s="147"/>
      <c r="GCI324" s="147"/>
      <c r="GCJ324" s="138"/>
      <c r="GCK324" s="138"/>
      <c r="GCL324" s="147"/>
      <c r="GCM324" s="148"/>
      <c r="GCN324" s="81"/>
      <c r="GCO324" s="140"/>
      <c r="GCP324" s="157"/>
      <c r="GCQ324" s="157"/>
      <c r="GCR324" s="100"/>
      <c r="GCS324" s="79"/>
      <c r="GCT324" s="153"/>
      <c r="GCU324" s="137"/>
      <c r="GCV324" s="158"/>
      <c r="GCW324" s="363"/>
      <c r="GCX324" s="139"/>
      <c r="GCY324" s="139"/>
      <c r="GCZ324" s="98"/>
      <c r="GDA324" s="79"/>
      <c r="GDB324" s="139"/>
      <c r="GDC324" s="139"/>
      <c r="GDD324" s="138"/>
      <c r="GDE324" s="147"/>
      <c r="GDF324" s="147"/>
      <c r="GDG324" s="147"/>
      <c r="GDH324" s="138"/>
      <c r="GDI324" s="138"/>
      <c r="GDJ324" s="147"/>
      <c r="GDK324" s="148"/>
      <c r="GDL324" s="81"/>
      <c r="GDM324" s="140"/>
      <c r="GDN324" s="157"/>
      <c r="GDO324" s="157"/>
      <c r="GDP324" s="100"/>
      <c r="GDQ324" s="79"/>
      <c r="GDR324" s="153"/>
      <c r="GDS324" s="137"/>
      <c r="GDT324" s="158"/>
      <c r="GDU324" s="363"/>
      <c r="GDV324" s="139"/>
      <c r="GDW324" s="139"/>
      <c r="GDX324" s="98"/>
      <c r="GDY324" s="79"/>
      <c r="GDZ324" s="139"/>
      <c r="GEA324" s="139"/>
      <c r="GEB324" s="138"/>
      <c r="GEC324" s="147"/>
      <c r="GED324" s="147"/>
      <c r="GEE324" s="147"/>
      <c r="GEF324" s="138"/>
      <c r="GEG324" s="138"/>
      <c r="GEH324" s="147"/>
      <c r="GEI324" s="148"/>
      <c r="GEJ324" s="81"/>
      <c r="GEK324" s="140"/>
      <c r="GEL324" s="157"/>
      <c r="GEM324" s="157"/>
      <c r="GEN324" s="100"/>
      <c r="GEO324" s="79"/>
      <c r="GEP324" s="153"/>
      <c r="GEQ324" s="137"/>
      <c r="GER324" s="158"/>
      <c r="GES324" s="363"/>
      <c r="GET324" s="139"/>
      <c r="GEU324" s="139"/>
      <c r="GEV324" s="98"/>
      <c r="GEW324" s="79"/>
      <c r="GEX324" s="139"/>
      <c r="GEY324" s="139"/>
      <c r="GEZ324" s="138"/>
      <c r="GFA324" s="147"/>
      <c r="GFB324" s="147"/>
      <c r="GFC324" s="147"/>
      <c r="GFD324" s="138"/>
      <c r="GFE324" s="138"/>
      <c r="GFF324" s="147"/>
      <c r="GFG324" s="148"/>
      <c r="GFH324" s="81"/>
      <c r="GFI324" s="140"/>
      <c r="GFJ324" s="157"/>
      <c r="GFK324" s="157"/>
      <c r="GFL324" s="100"/>
      <c r="GFM324" s="79"/>
      <c r="GFN324" s="153"/>
      <c r="GFO324" s="137"/>
      <c r="GFP324" s="158"/>
      <c r="GFQ324" s="363"/>
      <c r="GFR324" s="139"/>
      <c r="GFS324" s="139"/>
      <c r="GFT324" s="98"/>
      <c r="GFU324" s="79"/>
      <c r="GFV324" s="139"/>
      <c r="GFW324" s="139"/>
      <c r="GFX324" s="138"/>
      <c r="GFY324" s="147"/>
      <c r="GFZ324" s="147"/>
      <c r="GGA324" s="147"/>
      <c r="GGB324" s="138"/>
      <c r="GGC324" s="138"/>
      <c r="GGD324" s="147"/>
      <c r="GGE324" s="148"/>
      <c r="GGF324" s="81"/>
      <c r="GGG324" s="140"/>
      <c r="GGH324" s="157"/>
      <c r="GGI324" s="157"/>
      <c r="GGJ324" s="100"/>
      <c r="GGK324" s="79"/>
      <c r="GGL324" s="153"/>
      <c r="GGM324" s="137"/>
      <c r="GGN324" s="158"/>
      <c r="GGO324" s="363"/>
      <c r="GGP324" s="139"/>
      <c r="GGQ324" s="139"/>
      <c r="GGR324" s="98"/>
      <c r="GGS324" s="79"/>
      <c r="GGT324" s="139"/>
      <c r="GGU324" s="139"/>
      <c r="GGV324" s="138"/>
      <c r="GGW324" s="147"/>
      <c r="GGX324" s="147"/>
      <c r="GGY324" s="147"/>
      <c r="GGZ324" s="138"/>
      <c r="GHA324" s="138"/>
      <c r="GHB324" s="147"/>
      <c r="GHC324" s="148"/>
      <c r="GHD324" s="81"/>
      <c r="GHE324" s="140"/>
      <c r="GHF324" s="157"/>
      <c r="GHG324" s="157"/>
      <c r="GHH324" s="100"/>
      <c r="GHI324" s="79"/>
      <c r="GHJ324" s="153"/>
      <c r="GHK324" s="137"/>
      <c r="GHL324" s="158"/>
      <c r="GHM324" s="363"/>
      <c r="GHN324" s="139"/>
      <c r="GHO324" s="139"/>
      <c r="GHP324" s="98"/>
      <c r="GHQ324" s="79"/>
      <c r="GHR324" s="139"/>
      <c r="GHS324" s="139"/>
      <c r="GHT324" s="138"/>
      <c r="GHU324" s="147"/>
      <c r="GHV324" s="147"/>
      <c r="GHW324" s="147"/>
      <c r="GHX324" s="138"/>
      <c r="GHY324" s="138"/>
      <c r="GHZ324" s="147"/>
      <c r="GIA324" s="148"/>
      <c r="GIB324" s="81"/>
      <c r="GIC324" s="140"/>
      <c r="GID324" s="157"/>
      <c r="GIE324" s="157"/>
      <c r="GIF324" s="100"/>
      <c r="GIG324" s="79"/>
      <c r="GIH324" s="153"/>
      <c r="GII324" s="137"/>
      <c r="GIJ324" s="158"/>
      <c r="GIK324" s="363"/>
      <c r="GIL324" s="139"/>
      <c r="GIM324" s="139"/>
      <c r="GIN324" s="98"/>
      <c r="GIO324" s="79"/>
      <c r="GIP324" s="139"/>
      <c r="GIQ324" s="139"/>
      <c r="GIR324" s="138"/>
      <c r="GIS324" s="147"/>
      <c r="GIT324" s="147"/>
      <c r="GIU324" s="147"/>
      <c r="GIV324" s="138"/>
      <c r="GIW324" s="138"/>
      <c r="GIX324" s="147"/>
      <c r="GIY324" s="148"/>
      <c r="GIZ324" s="81"/>
      <c r="GJA324" s="140"/>
      <c r="GJB324" s="157"/>
      <c r="GJC324" s="157"/>
      <c r="GJD324" s="100"/>
      <c r="GJE324" s="79"/>
      <c r="GJF324" s="153"/>
      <c r="GJG324" s="137"/>
      <c r="GJH324" s="158"/>
      <c r="GJI324" s="363"/>
      <c r="GJJ324" s="139"/>
      <c r="GJK324" s="139"/>
      <c r="GJL324" s="98"/>
      <c r="GJM324" s="79"/>
      <c r="GJN324" s="139"/>
      <c r="GJO324" s="139"/>
      <c r="GJP324" s="138"/>
      <c r="GJQ324" s="147"/>
      <c r="GJR324" s="147"/>
      <c r="GJS324" s="147"/>
      <c r="GJT324" s="138"/>
      <c r="GJU324" s="138"/>
      <c r="GJV324" s="147"/>
      <c r="GJW324" s="148"/>
      <c r="GJX324" s="81"/>
      <c r="GJY324" s="140"/>
      <c r="GJZ324" s="157"/>
      <c r="GKA324" s="157"/>
      <c r="GKB324" s="100"/>
      <c r="GKC324" s="79"/>
      <c r="GKD324" s="153"/>
      <c r="GKE324" s="137"/>
      <c r="GKF324" s="158"/>
      <c r="GKG324" s="363"/>
      <c r="GKH324" s="139"/>
      <c r="GKI324" s="139"/>
      <c r="GKJ324" s="98"/>
      <c r="GKK324" s="79"/>
      <c r="GKL324" s="139"/>
      <c r="GKM324" s="139"/>
      <c r="GKN324" s="138"/>
      <c r="GKO324" s="147"/>
      <c r="GKP324" s="147"/>
      <c r="GKQ324" s="147"/>
      <c r="GKR324" s="138"/>
      <c r="GKS324" s="138"/>
      <c r="GKT324" s="147"/>
      <c r="GKU324" s="148"/>
      <c r="GKV324" s="81"/>
      <c r="GKW324" s="140"/>
      <c r="GKX324" s="157"/>
      <c r="GKY324" s="157"/>
      <c r="GKZ324" s="100"/>
      <c r="GLA324" s="79"/>
      <c r="GLB324" s="153"/>
      <c r="GLC324" s="137"/>
      <c r="GLD324" s="158"/>
      <c r="GLE324" s="363"/>
      <c r="GLF324" s="139"/>
      <c r="GLG324" s="139"/>
      <c r="GLH324" s="98"/>
      <c r="GLI324" s="79"/>
      <c r="GLJ324" s="139"/>
      <c r="GLK324" s="139"/>
      <c r="GLL324" s="138"/>
      <c r="GLM324" s="147"/>
      <c r="GLN324" s="147"/>
      <c r="GLO324" s="147"/>
      <c r="GLP324" s="138"/>
      <c r="GLQ324" s="138"/>
      <c r="GLR324" s="147"/>
      <c r="GLS324" s="148"/>
      <c r="GLT324" s="81"/>
      <c r="GLU324" s="140"/>
      <c r="GLV324" s="157"/>
      <c r="GLW324" s="157"/>
      <c r="GLX324" s="100"/>
      <c r="GLY324" s="79"/>
      <c r="GLZ324" s="153"/>
      <c r="GMA324" s="137"/>
      <c r="GMB324" s="158"/>
      <c r="GMC324" s="363"/>
      <c r="GMD324" s="139"/>
      <c r="GME324" s="139"/>
      <c r="GMF324" s="98"/>
      <c r="GMG324" s="79"/>
      <c r="GMH324" s="139"/>
      <c r="GMI324" s="139"/>
      <c r="GMJ324" s="138"/>
      <c r="GMK324" s="147"/>
      <c r="GML324" s="147"/>
      <c r="GMM324" s="147"/>
      <c r="GMN324" s="138"/>
      <c r="GMO324" s="138"/>
      <c r="GMP324" s="147"/>
      <c r="GMQ324" s="148"/>
      <c r="GMR324" s="81"/>
      <c r="GMS324" s="140"/>
      <c r="GMT324" s="157"/>
      <c r="GMU324" s="157"/>
      <c r="GMV324" s="100"/>
      <c r="GMW324" s="79"/>
      <c r="GMX324" s="153"/>
      <c r="GMY324" s="137"/>
      <c r="GMZ324" s="158"/>
      <c r="GNA324" s="363"/>
      <c r="GNB324" s="139"/>
      <c r="GNC324" s="139"/>
      <c r="GND324" s="98"/>
      <c r="GNE324" s="79"/>
      <c r="GNF324" s="139"/>
      <c r="GNG324" s="139"/>
      <c r="GNH324" s="138"/>
      <c r="GNI324" s="147"/>
      <c r="GNJ324" s="147"/>
      <c r="GNK324" s="147"/>
      <c r="GNL324" s="138"/>
      <c r="GNM324" s="138"/>
      <c r="GNN324" s="147"/>
      <c r="GNO324" s="148"/>
      <c r="GNP324" s="81"/>
      <c r="GNQ324" s="140"/>
      <c r="GNR324" s="157"/>
      <c r="GNS324" s="157"/>
      <c r="GNT324" s="100"/>
      <c r="GNU324" s="79"/>
      <c r="GNV324" s="153"/>
      <c r="GNW324" s="137"/>
      <c r="GNX324" s="158"/>
      <c r="GNY324" s="363"/>
      <c r="GNZ324" s="139"/>
      <c r="GOA324" s="139"/>
      <c r="GOB324" s="98"/>
      <c r="GOC324" s="79"/>
      <c r="GOD324" s="139"/>
      <c r="GOE324" s="139"/>
      <c r="GOF324" s="138"/>
      <c r="GOG324" s="147"/>
      <c r="GOH324" s="147"/>
      <c r="GOI324" s="147"/>
      <c r="GOJ324" s="138"/>
      <c r="GOK324" s="138"/>
      <c r="GOL324" s="147"/>
      <c r="GOM324" s="148"/>
      <c r="GON324" s="81"/>
      <c r="GOO324" s="140"/>
      <c r="GOP324" s="157"/>
      <c r="GOQ324" s="157"/>
      <c r="GOR324" s="100"/>
      <c r="GOS324" s="79"/>
      <c r="GOT324" s="153"/>
      <c r="GOU324" s="137"/>
      <c r="GOV324" s="158"/>
      <c r="GOW324" s="363"/>
      <c r="GOX324" s="139"/>
      <c r="GOY324" s="139"/>
      <c r="GOZ324" s="98"/>
      <c r="GPA324" s="79"/>
      <c r="GPB324" s="139"/>
      <c r="GPC324" s="139"/>
      <c r="GPD324" s="138"/>
      <c r="GPE324" s="147"/>
      <c r="GPF324" s="147"/>
      <c r="GPG324" s="147"/>
      <c r="GPH324" s="138"/>
      <c r="GPI324" s="138"/>
      <c r="GPJ324" s="147"/>
      <c r="GPK324" s="148"/>
      <c r="GPL324" s="81"/>
      <c r="GPM324" s="140"/>
      <c r="GPN324" s="157"/>
      <c r="GPO324" s="157"/>
      <c r="GPP324" s="100"/>
      <c r="GPQ324" s="79"/>
      <c r="GPR324" s="153"/>
      <c r="GPS324" s="137"/>
      <c r="GPT324" s="158"/>
      <c r="GPU324" s="363"/>
      <c r="GPV324" s="139"/>
      <c r="GPW324" s="139"/>
      <c r="GPX324" s="98"/>
      <c r="GPY324" s="79"/>
      <c r="GPZ324" s="139"/>
      <c r="GQA324" s="139"/>
      <c r="GQB324" s="138"/>
      <c r="GQC324" s="147"/>
      <c r="GQD324" s="147"/>
      <c r="GQE324" s="147"/>
      <c r="GQF324" s="138"/>
      <c r="GQG324" s="138"/>
      <c r="GQH324" s="147"/>
      <c r="GQI324" s="148"/>
      <c r="GQJ324" s="81"/>
      <c r="GQK324" s="140"/>
      <c r="GQL324" s="157"/>
      <c r="GQM324" s="157"/>
      <c r="GQN324" s="100"/>
      <c r="GQO324" s="79"/>
      <c r="GQP324" s="153"/>
      <c r="GQQ324" s="137"/>
      <c r="GQR324" s="158"/>
      <c r="GQS324" s="363"/>
      <c r="GQT324" s="139"/>
      <c r="GQU324" s="139"/>
      <c r="GQV324" s="98"/>
      <c r="GQW324" s="79"/>
      <c r="GQX324" s="139"/>
      <c r="GQY324" s="139"/>
      <c r="GQZ324" s="138"/>
      <c r="GRA324" s="147"/>
      <c r="GRB324" s="147"/>
      <c r="GRC324" s="147"/>
      <c r="GRD324" s="138"/>
      <c r="GRE324" s="138"/>
      <c r="GRF324" s="147"/>
      <c r="GRG324" s="148"/>
      <c r="GRH324" s="81"/>
      <c r="GRI324" s="140"/>
      <c r="GRJ324" s="157"/>
      <c r="GRK324" s="157"/>
      <c r="GRL324" s="100"/>
      <c r="GRM324" s="79"/>
      <c r="GRN324" s="153"/>
      <c r="GRO324" s="137"/>
      <c r="GRP324" s="158"/>
      <c r="GRQ324" s="363"/>
      <c r="GRR324" s="139"/>
      <c r="GRS324" s="139"/>
      <c r="GRT324" s="98"/>
      <c r="GRU324" s="79"/>
      <c r="GRV324" s="139"/>
      <c r="GRW324" s="139"/>
      <c r="GRX324" s="138"/>
      <c r="GRY324" s="147"/>
      <c r="GRZ324" s="147"/>
      <c r="GSA324" s="147"/>
      <c r="GSB324" s="138"/>
      <c r="GSC324" s="138"/>
      <c r="GSD324" s="147"/>
      <c r="GSE324" s="148"/>
      <c r="GSF324" s="81"/>
      <c r="GSG324" s="140"/>
      <c r="GSH324" s="157"/>
      <c r="GSI324" s="157"/>
      <c r="GSJ324" s="100"/>
      <c r="GSK324" s="79"/>
      <c r="GSL324" s="153"/>
      <c r="GSM324" s="137"/>
      <c r="GSN324" s="158"/>
      <c r="GSO324" s="363"/>
      <c r="GSP324" s="139"/>
      <c r="GSQ324" s="139"/>
      <c r="GSR324" s="98"/>
      <c r="GSS324" s="79"/>
      <c r="GST324" s="139"/>
      <c r="GSU324" s="139"/>
      <c r="GSV324" s="138"/>
      <c r="GSW324" s="147"/>
      <c r="GSX324" s="147"/>
      <c r="GSY324" s="147"/>
      <c r="GSZ324" s="138"/>
      <c r="GTA324" s="138"/>
      <c r="GTB324" s="147"/>
      <c r="GTC324" s="148"/>
      <c r="GTD324" s="81"/>
      <c r="GTE324" s="140"/>
      <c r="GTF324" s="157"/>
      <c r="GTG324" s="157"/>
      <c r="GTH324" s="100"/>
      <c r="GTI324" s="79"/>
      <c r="GTJ324" s="153"/>
      <c r="GTK324" s="137"/>
      <c r="GTL324" s="158"/>
      <c r="GTM324" s="363"/>
      <c r="GTN324" s="139"/>
      <c r="GTO324" s="139"/>
      <c r="GTP324" s="98"/>
      <c r="GTQ324" s="79"/>
      <c r="GTR324" s="139"/>
      <c r="GTS324" s="139"/>
      <c r="GTT324" s="138"/>
      <c r="GTU324" s="147"/>
      <c r="GTV324" s="147"/>
      <c r="GTW324" s="147"/>
      <c r="GTX324" s="138"/>
      <c r="GTY324" s="138"/>
      <c r="GTZ324" s="147"/>
      <c r="GUA324" s="148"/>
      <c r="GUB324" s="81"/>
      <c r="GUC324" s="140"/>
      <c r="GUD324" s="157"/>
      <c r="GUE324" s="157"/>
      <c r="GUF324" s="100"/>
      <c r="GUG324" s="79"/>
      <c r="GUH324" s="153"/>
      <c r="GUI324" s="137"/>
      <c r="GUJ324" s="158"/>
      <c r="GUK324" s="363"/>
      <c r="GUL324" s="139"/>
      <c r="GUM324" s="139"/>
      <c r="GUN324" s="98"/>
      <c r="GUO324" s="79"/>
      <c r="GUP324" s="139"/>
      <c r="GUQ324" s="139"/>
      <c r="GUR324" s="138"/>
      <c r="GUS324" s="147"/>
      <c r="GUT324" s="147"/>
      <c r="GUU324" s="147"/>
      <c r="GUV324" s="138"/>
      <c r="GUW324" s="138"/>
      <c r="GUX324" s="147"/>
      <c r="GUY324" s="148"/>
      <c r="GUZ324" s="81"/>
      <c r="GVA324" s="140"/>
      <c r="GVB324" s="157"/>
      <c r="GVC324" s="157"/>
      <c r="GVD324" s="100"/>
      <c r="GVE324" s="79"/>
      <c r="GVF324" s="153"/>
      <c r="GVG324" s="137"/>
      <c r="GVH324" s="158"/>
      <c r="GVI324" s="363"/>
      <c r="GVJ324" s="139"/>
      <c r="GVK324" s="139"/>
      <c r="GVL324" s="98"/>
      <c r="GVM324" s="79"/>
      <c r="GVN324" s="139"/>
      <c r="GVO324" s="139"/>
      <c r="GVP324" s="138"/>
      <c r="GVQ324" s="147"/>
      <c r="GVR324" s="147"/>
      <c r="GVS324" s="147"/>
      <c r="GVT324" s="138"/>
      <c r="GVU324" s="138"/>
      <c r="GVV324" s="147"/>
      <c r="GVW324" s="148"/>
      <c r="GVX324" s="81"/>
      <c r="GVY324" s="140"/>
      <c r="GVZ324" s="157"/>
      <c r="GWA324" s="157"/>
      <c r="GWB324" s="100"/>
      <c r="GWC324" s="79"/>
      <c r="GWD324" s="153"/>
      <c r="GWE324" s="137"/>
      <c r="GWF324" s="158"/>
      <c r="GWG324" s="363"/>
      <c r="GWH324" s="139"/>
      <c r="GWI324" s="139"/>
      <c r="GWJ324" s="98"/>
      <c r="GWK324" s="79"/>
      <c r="GWL324" s="139"/>
      <c r="GWM324" s="139"/>
      <c r="GWN324" s="138"/>
      <c r="GWO324" s="147"/>
      <c r="GWP324" s="147"/>
      <c r="GWQ324" s="147"/>
      <c r="GWR324" s="138"/>
      <c r="GWS324" s="138"/>
      <c r="GWT324" s="147"/>
      <c r="GWU324" s="148"/>
      <c r="GWV324" s="81"/>
      <c r="GWW324" s="140"/>
      <c r="GWX324" s="157"/>
      <c r="GWY324" s="157"/>
      <c r="GWZ324" s="100"/>
      <c r="GXA324" s="79"/>
      <c r="GXB324" s="153"/>
      <c r="GXC324" s="137"/>
      <c r="GXD324" s="158"/>
      <c r="GXE324" s="363"/>
      <c r="GXF324" s="139"/>
      <c r="GXG324" s="139"/>
      <c r="GXH324" s="98"/>
      <c r="GXI324" s="79"/>
      <c r="GXJ324" s="139"/>
      <c r="GXK324" s="139"/>
      <c r="GXL324" s="138"/>
      <c r="GXM324" s="147"/>
      <c r="GXN324" s="147"/>
      <c r="GXO324" s="147"/>
      <c r="GXP324" s="138"/>
      <c r="GXQ324" s="138"/>
      <c r="GXR324" s="147"/>
      <c r="GXS324" s="148"/>
      <c r="GXT324" s="81"/>
      <c r="GXU324" s="140"/>
      <c r="GXV324" s="157"/>
      <c r="GXW324" s="157"/>
      <c r="GXX324" s="100"/>
      <c r="GXY324" s="79"/>
      <c r="GXZ324" s="153"/>
      <c r="GYA324" s="137"/>
      <c r="GYB324" s="158"/>
      <c r="GYC324" s="363"/>
      <c r="GYD324" s="139"/>
      <c r="GYE324" s="139"/>
      <c r="GYF324" s="98"/>
      <c r="GYG324" s="79"/>
      <c r="GYH324" s="139"/>
      <c r="GYI324" s="139"/>
      <c r="GYJ324" s="138"/>
      <c r="GYK324" s="147"/>
      <c r="GYL324" s="147"/>
      <c r="GYM324" s="147"/>
      <c r="GYN324" s="138"/>
      <c r="GYO324" s="138"/>
      <c r="GYP324" s="147"/>
      <c r="GYQ324" s="148"/>
      <c r="GYR324" s="81"/>
      <c r="GYS324" s="140"/>
      <c r="GYT324" s="157"/>
      <c r="GYU324" s="157"/>
      <c r="GYV324" s="100"/>
      <c r="GYW324" s="79"/>
      <c r="GYX324" s="153"/>
      <c r="GYY324" s="137"/>
      <c r="GYZ324" s="158"/>
      <c r="GZA324" s="363"/>
      <c r="GZB324" s="139"/>
      <c r="GZC324" s="139"/>
      <c r="GZD324" s="98"/>
      <c r="GZE324" s="79"/>
      <c r="GZF324" s="139"/>
      <c r="GZG324" s="139"/>
      <c r="GZH324" s="138"/>
      <c r="GZI324" s="147"/>
      <c r="GZJ324" s="147"/>
      <c r="GZK324" s="147"/>
      <c r="GZL324" s="138"/>
      <c r="GZM324" s="138"/>
      <c r="GZN324" s="147"/>
      <c r="GZO324" s="148"/>
      <c r="GZP324" s="81"/>
      <c r="GZQ324" s="140"/>
      <c r="GZR324" s="157"/>
      <c r="GZS324" s="157"/>
      <c r="GZT324" s="100"/>
      <c r="GZU324" s="79"/>
      <c r="GZV324" s="153"/>
      <c r="GZW324" s="137"/>
      <c r="GZX324" s="158"/>
      <c r="GZY324" s="363"/>
      <c r="GZZ324" s="139"/>
      <c r="HAA324" s="139"/>
      <c r="HAB324" s="98"/>
      <c r="HAC324" s="79"/>
      <c r="HAD324" s="139"/>
      <c r="HAE324" s="139"/>
      <c r="HAF324" s="138"/>
      <c r="HAG324" s="147"/>
      <c r="HAH324" s="147"/>
      <c r="HAI324" s="147"/>
      <c r="HAJ324" s="138"/>
      <c r="HAK324" s="138"/>
      <c r="HAL324" s="147"/>
      <c r="HAM324" s="148"/>
      <c r="HAN324" s="81"/>
      <c r="HAO324" s="140"/>
      <c r="HAP324" s="157"/>
      <c r="HAQ324" s="157"/>
      <c r="HAR324" s="100"/>
      <c r="HAS324" s="79"/>
      <c r="HAT324" s="153"/>
      <c r="HAU324" s="137"/>
      <c r="HAV324" s="158"/>
      <c r="HAW324" s="363"/>
      <c r="HAX324" s="139"/>
      <c r="HAY324" s="139"/>
      <c r="HAZ324" s="98"/>
      <c r="HBA324" s="79"/>
      <c r="HBB324" s="139"/>
      <c r="HBC324" s="139"/>
      <c r="HBD324" s="138"/>
      <c r="HBE324" s="147"/>
      <c r="HBF324" s="147"/>
      <c r="HBG324" s="147"/>
      <c r="HBH324" s="138"/>
      <c r="HBI324" s="138"/>
      <c r="HBJ324" s="147"/>
      <c r="HBK324" s="148"/>
      <c r="HBL324" s="81"/>
      <c r="HBM324" s="140"/>
      <c r="HBN324" s="157"/>
      <c r="HBO324" s="157"/>
      <c r="HBP324" s="100"/>
      <c r="HBQ324" s="79"/>
      <c r="HBR324" s="153"/>
      <c r="HBS324" s="137"/>
      <c r="HBT324" s="158"/>
      <c r="HBU324" s="363"/>
      <c r="HBV324" s="139"/>
      <c r="HBW324" s="139"/>
      <c r="HBX324" s="98"/>
      <c r="HBY324" s="79"/>
      <c r="HBZ324" s="139"/>
      <c r="HCA324" s="139"/>
      <c r="HCB324" s="138"/>
      <c r="HCC324" s="147"/>
      <c r="HCD324" s="147"/>
      <c r="HCE324" s="147"/>
      <c r="HCF324" s="138"/>
      <c r="HCG324" s="138"/>
      <c r="HCH324" s="147"/>
      <c r="HCI324" s="148"/>
      <c r="HCJ324" s="81"/>
      <c r="HCK324" s="140"/>
      <c r="HCL324" s="157"/>
      <c r="HCM324" s="157"/>
      <c r="HCN324" s="100"/>
      <c r="HCO324" s="79"/>
      <c r="HCP324" s="153"/>
      <c r="HCQ324" s="137"/>
      <c r="HCR324" s="158"/>
      <c r="HCS324" s="363"/>
      <c r="HCT324" s="139"/>
      <c r="HCU324" s="139"/>
      <c r="HCV324" s="98"/>
      <c r="HCW324" s="79"/>
      <c r="HCX324" s="139"/>
      <c r="HCY324" s="139"/>
      <c r="HCZ324" s="138"/>
      <c r="HDA324" s="147"/>
      <c r="HDB324" s="147"/>
      <c r="HDC324" s="147"/>
      <c r="HDD324" s="138"/>
      <c r="HDE324" s="138"/>
      <c r="HDF324" s="147"/>
      <c r="HDG324" s="148"/>
      <c r="HDH324" s="81"/>
      <c r="HDI324" s="140"/>
      <c r="HDJ324" s="157"/>
      <c r="HDK324" s="157"/>
      <c r="HDL324" s="100"/>
      <c r="HDM324" s="79"/>
      <c r="HDN324" s="153"/>
      <c r="HDO324" s="137"/>
      <c r="HDP324" s="158"/>
      <c r="HDQ324" s="363"/>
      <c r="HDR324" s="139"/>
      <c r="HDS324" s="139"/>
      <c r="HDT324" s="98"/>
      <c r="HDU324" s="79"/>
      <c r="HDV324" s="139"/>
      <c r="HDW324" s="139"/>
      <c r="HDX324" s="138"/>
      <c r="HDY324" s="147"/>
      <c r="HDZ324" s="147"/>
      <c r="HEA324" s="147"/>
      <c r="HEB324" s="138"/>
      <c r="HEC324" s="138"/>
      <c r="HED324" s="147"/>
      <c r="HEE324" s="148"/>
      <c r="HEF324" s="81"/>
      <c r="HEG324" s="140"/>
      <c r="HEH324" s="157"/>
      <c r="HEI324" s="157"/>
      <c r="HEJ324" s="100"/>
      <c r="HEK324" s="79"/>
      <c r="HEL324" s="153"/>
      <c r="HEM324" s="137"/>
      <c r="HEN324" s="158"/>
      <c r="HEO324" s="363"/>
      <c r="HEP324" s="139"/>
      <c r="HEQ324" s="139"/>
      <c r="HER324" s="98"/>
      <c r="HES324" s="79"/>
      <c r="HET324" s="139"/>
      <c r="HEU324" s="139"/>
      <c r="HEV324" s="138"/>
      <c r="HEW324" s="147"/>
      <c r="HEX324" s="147"/>
      <c r="HEY324" s="147"/>
      <c r="HEZ324" s="138"/>
      <c r="HFA324" s="138"/>
      <c r="HFB324" s="147"/>
      <c r="HFC324" s="148"/>
      <c r="HFD324" s="81"/>
      <c r="HFE324" s="140"/>
      <c r="HFF324" s="157"/>
      <c r="HFG324" s="157"/>
      <c r="HFH324" s="100"/>
      <c r="HFI324" s="79"/>
      <c r="HFJ324" s="153"/>
      <c r="HFK324" s="137"/>
      <c r="HFL324" s="158"/>
      <c r="HFM324" s="363"/>
      <c r="HFN324" s="139"/>
      <c r="HFO324" s="139"/>
      <c r="HFP324" s="98"/>
      <c r="HFQ324" s="79"/>
      <c r="HFR324" s="139"/>
      <c r="HFS324" s="139"/>
      <c r="HFT324" s="138"/>
      <c r="HFU324" s="147"/>
      <c r="HFV324" s="147"/>
      <c r="HFW324" s="147"/>
      <c r="HFX324" s="138"/>
      <c r="HFY324" s="138"/>
      <c r="HFZ324" s="147"/>
      <c r="HGA324" s="148"/>
      <c r="HGB324" s="81"/>
      <c r="HGC324" s="140"/>
      <c r="HGD324" s="157"/>
      <c r="HGE324" s="157"/>
      <c r="HGF324" s="100"/>
      <c r="HGG324" s="79"/>
      <c r="HGH324" s="153"/>
      <c r="HGI324" s="137"/>
      <c r="HGJ324" s="158"/>
      <c r="HGK324" s="363"/>
      <c r="HGL324" s="139"/>
      <c r="HGM324" s="139"/>
      <c r="HGN324" s="98"/>
      <c r="HGO324" s="79"/>
      <c r="HGP324" s="139"/>
      <c r="HGQ324" s="139"/>
      <c r="HGR324" s="138"/>
      <c r="HGS324" s="147"/>
      <c r="HGT324" s="147"/>
      <c r="HGU324" s="147"/>
      <c r="HGV324" s="138"/>
      <c r="HGW324" s="138"/>
      <c r="HGX324" s="147"/>
      <c r="HGY324" s="148"/>
      <c r="HGZ324" s="81"/>
      <c r="HHA324" s="140"/>
      <c r="HHB324" s="157"/>
      <c r="HHC324" s="157"/>
      <c r="HHD324" s="100"/>
      <c r="HHE324" s="79"/>
      <c r="HHF324" s="153"/>
      <c r="HHG324" s="137"/>
      <c r="HHH324" s="158"/>
      <c r="HHI324" s="363"/>
      <c r="HHJ324" s="139"/>
      <c r="HHK324" s="139"/>
      <c r="HHL324" s="98"/>
      <c r="HHM324" s="79"/>
      <c r="HHN324" s="139"/>
      <c r="HHO324" s="139"/>
      <c r="HHP324" s="138"/>
      <c r="HHQ324" s="147"/>
      <c r="HHR324" s="147"/>
      <c r="HHS324" s="147"/>
      <c r="HHT324" s="138"/>
      <c r="HHU324" s="138"/>
      <c r="HHV324" s="147"/>
      <c r="HHW324" s="148"/>
      <c r="HHX324" s="81"/>
      <c r="HHY324" s="140"/>
      <c r="HHZ324" s="157"/>
      <c r="HIA324" s="157"/>
      <c r="HIB324" s="100"/>
      <c r="HIC324" s="79"/>
      <c r="HID324" s="153"/>
      <c r="HIE324" s="137"/>
      <c r="HIF324" s="158"/>
      <c r="HIG324" s="363"/>
      <c r="HIH324" s="139"/>
      <c r="HII324" s="139"/>
      <c r="HIJ324" s="98"/>
      <c r="HIK324" s="79"/>
      <c r="HIL324" s="139"/>
      <c r="HIM324" s="139"/>
      <c r="HIN324" s="138"/>
      <c r="HIO324" s="147"/>
      <c r="HIP324" s="147"/>
      <c r="HIQ324" s="147"/>
      <c r="HIR324" s="138"/>
      <c r="HIS324" s="138"/>
      <c r="HIT324" s="147"/>
      <c r="HIU324" s="148"/>
      <c r="HIV324" s="81"/>
      <c r="HIW324" s="140"/>
      <c r="HIX324" s="157"/>
      <c r="HIY324" s="157"/>
      <c r="HIZ324" s="100"/>
      <c r="HJA324" s="79"/>
      <c r="HJB324" s="153"/>
      <c r="HJC324" s="137"/>
      <c r="HJD324" s="158"/>
      <c r="HJE324" s="363"/>
      <c r="HJF324" s="139"/>
      <c r="HJG324" s="139"/>
      <c r="HJH324" s="98"/>
      <c r="HJI324" s="79"/>
      <c r="HJJ324" s="139"/>
      <c r="HJK324" s="139"/>
      <c r="HJL324" s="138"/>
      <c r="HJM324" s="147"/>
      <c r="HJN324" s="147"/>
      <c r="HJO324" s="147"/>
      <c r="HJP324" s="138"/>
      <c r="HJQ324" s="138"/>
      <c r="HJR324" s="147"/>
      <c r="HJS324" s="148"/>
      <c r="HJT324" s="81"/>
      <c r="HJU324" s="140"/>
      <c r="HJV324" s="157"/>
      <c r="HJW324" s="157"/>
      <c r="HJX324" s="100"/>
      <c r="HJY324" s="79"/>
      <c r="HJZ324" s="153"/>
      <c r="HKA324" s="137"/>
      <c r="HKB324" s="158"/>
      <c r="HKC324" s="363"/>
      <c r="HKD324" s="139"/>
      <c r="HKE324" s="139"/>
      <c r="HKF324" s="98"/>
      <c r="HKG324" s="79"/>
      <c r="HKH324" s="139"/>
      <c r="HKI324" s="139"/>
      <c r="HKJ324" s="138"/>
      <c r="HKK324" s="147"/>
      <c r="HKL324" s="147"/>
      <c r="HKM324" s="147"/>
      <c r="HKN324" s="138"/>
      <c r="HKO324" s="138"/>
      <c r="HKP324" s="147"/>
      <c r="HKQ324" s="148"/>
      <c r="HKR324" s="81"/>
      <c r="HKS324" s="140"/>
      <c r="HKT324" s="157"/>
      <c r="HKU324" s="157"/>
      <c r="HKV324" s="100"/>
      <c r="HKW324" s="79"/>
      <c r="HKX324" s="153"/>
      <c r="HKY324" s="137"/>
      <c r="HKZ324" s="158"/>
      <c r="HLA324" s="363"/>
      <c r="HLB324" s="139"/>
      <c r="HLC324" s="139"/>
      <c r="HLD324" s="98"/>
      <c r="HLE324" s="79"/>
      <c r="HLF324" s="139"/>
      <c r="HLG324" s="139"/>
      <c r="HLH324" s="138"/>
      <c r="HLI324" s="147"/>
      <c r="HLJ324" s="147"/>
      <c r="HLK324" s="147"/>
      <c r="HLL324" s="138"/>
      <c r="HLM324" s="138"/>
      <c r="HLN324" s="147"/>
      <c r="HLO324" s="148"/>
      <c r="HLP324" s="81"/>
      <c r="HLQ324" s="140"/>
      <c r="HLR324" s="157"/>
      <c r="HLS324" s="157"/>
      <c r="HLT324" s="100"/>
      <c r="HLU324" s="79"/>
      <c r="HLV324" s="153"/>
      <c r="HLW324" s="137"/>
      <c r="HLX324" s="158"/>
      <c r="HLY324" s="363"/>
      <c r="HLZ324" s="139"/>
      <c r="HMA324" s="139"/>
      <c r="HMB324" s="98"/>
      <c r="HMC324" s="79"/>
      <c r="HMD324" s="139"/>
      <c r="HME324" s="139"/>
      <c r="HMF324" s="138"/>
      <c r="HMG324" s="147"/>
      <c r="HMH324" s="147"/>
      <c r="HMI324" s="147"/>
      <c r="HMJ324" s="138"/>
      <c r="HMK324" s="138"/>
      <c r="HML324" s="147"/>
      <c r="HMM324" s="148"/>
      <c r="HMN324" s="81"/>
      <c r="HMO324" s="140"/>
      <c r="HMP324" s="157"/>
      <c r="HMQ324" s="157"/>
      <c r="HMR324" s="100"/>
      <c r="HMS324" s="79"/>
      <c r="HMT324" s="153"/>
      <c r="HMU324" s="137"/>
      <c r="HMV324" s="158"/>
      <c r="HMW324" s="363"/>
      <c r="HMX324" s="139"/>
      <c r="HMY324" s="139"/>
      <c r="HMZ324" s="98"/>
      <c r="HNA324" s="79"/>
      <c r="HNB324" s="139"/>
      <c r="HNC324" s="139"/>
      <c r="HND324" s="138"/>
      <c r="HNE324" s="147"/>
      <c r="HNF324" s="147"/>
      <c r="HNG324" s="147"/>
      <c r="HNH324" s="138"/>
      <c r="HNI324" s="138"/>
      <c r="HNJ324" s="147"/>
      <c r="HNK324" s="148"/>
      <c r="HNL324" s="81"/>
      <c r="HNM324" s="140"/>
      <c r="HNN324" s="157"/>
      <c r="HNO324" s="157"/>
      <c r="HNP324" s="100"/>
      <c r="HNQ324" s="79"/>
      <c r="HNR324" s="153"/>
      <c r="HNS324" s="137"/>
      <c r="HNT324" s="158"/>
      <c r="HNU324" s="363"/>
      <c r="HNV324" s="139"/>
      <c r="HNW324" s="139"/>
      <c r="HNX324" s="98"/>
      <c r="HNY324" s="79"/>
      <c r="HNZ324" s="139"/>
      <c r="HOA324" s="139"/>
      <c r="HOB324" s="138"/>
      <c r="HOC324" s="147"/>
      <c r="HOD324" s="147"/>
      <c r="HOE324" s="147"/>
      <c r="HOF324" s="138"/>
      <c r="HOG324" s="138"/>
      <c r="HOH324" s="147"/>
      <c r="HOI324" s="148"/>
      <c r="HOJ324" s="81"/>
      <c r="HOK324" s="140"/>
      <c r="HOL324" s="157"/>
      <c r="HOM324" s="157"/>
      <c r="HON324" s="100"/>
      <c r="HOO324" s="79"/>
      <c r="HOP324" s="153"/>
      <c r="HOQ324" s="137"/>
      <c r="HOR324" s="158"/>
      <c r="HOS324" s="363"/>
      <c r="HOT324" s="139"/>
      <c r="HOU324" s="139"/>
      <c r="HOV324" s="98"/>
      <c r="HOW324" s="79"/>
      <c r="HOX324" s="139"/>
      <c r="HOY324" s="139"/>
      <c r="HOZ324" s="138"/>
      <c r="HPA324" s="147"/>
      <c r="HPB324" s="147"/>
      <c r="HPC324" s="147"/>
      <c r="HPD324" s="138"/>
      <c r="HPE324" s="138"/>
      <c r="HPF324" s="147"/>
      <c r="HPG324" s="148"/>
      <c r="HPH324" s="81"/>
      <c r="HPI324" s="140"/>
      <c r="HPJ324" s="157"/>
      <c r="HPK324" s="157"/>
      <c r="HPL324" s="100"/>
      <c r="HPM324" s="79"/>
      <c r="HPN324" s="153"/>
      <c r="HPO324" s="137"/>
      <c r="HPP324" s="158"/>
      <c r="HPQ324" s="363"/>
      <c r="HPR324" s="139"/>
      <c r="HPS324" s="139"/>
      <c r="HPT324" s="98"/>
      <c r="HPU324" s="79"/>
      <c r="HPV324" s="139"/>
      <c r="HPW324" s="139"/>
      <c r="HPX324" s="138"/>
      <c r="HPY324" s="147"/>
      <c r="HPZ324" s="147"/>
      <c r="HQA324" s="147"/>
      <c r="HQB324" s="138"/>
      <c r="HQC324" s="138"/>
      <c r="HQD324" s="147"/>
      <c r="HQE324" s="148"/>
      <c r="HQF324" s="81"/>
      <c r="HQG324" s="140"/>
      <c r="HQH324" s="157"/>
      <c r="HQI324" s="157"/>
      <c r="HQJ324" s="100"/>
      <c r="HQK324" s="79"/>
      <c r="HQL324" s="153"/>
      <c r="HQM324" s="137"/>
      <c r="HQN324" s="158"/>
      <c r="HQO324" s="363"/>
      <c r="HQP324" s="139"/>
      <c r="HQQ324" s="139"/>
      <c r="HQR324" s="98"/>
      <c r="HQS324" s="79"/>
      <c r="HQT324" s="139"/>
      <c r="HQU324" s="139"/>
      <c r="HQV324" s="138"/>
      <c r="HQW324" s="147"/>
      <c r="HQX324" s="147"/>
      <c r="HQY324" s="147"/>
      <c r="HQZ324" s="138"/>
      <c r="HRA324" s="138"/>
      <c r="HRB324" s="147"/>
      <c r="HRC324" s="148"/>
      <c r="HRD324" s="81"/>
      <c r="HRE324" s="140"/>
      <c r="HRF324" s="157"/>
      <c r="HRG324" s="157"/>
      <c r="HRH324" s="100"/>
      <c r="HRI324" s="79"/>
      <c r="HRJ324" s="153"/>
      <c r="HRK324" s="137"/>
      <c r="HRL324" s="158"/>
      <c r="HRM324" s="363"/>
      <c r="HRN324" s="139"/>
      <c r="HRO324" s="139"/>
      <c r="HRP324" s="98"/>
      <c r="HRQ324" s="79"/>
      <c r="HRR324" s="139"/>
      <c r="HRS324" s="139"/>
      <c r="HRT324" s="138"/>
      <c r="HRU324" s="147"/>
      <c r="HRV324" s="147"/>
      <c r="HRW324" s="147"/>
      <c r="HRX324" s="138"/>
      <c r="HRY324" s="138"/>
      <c r="HRZ324" s="147"/>
      <c r="HSA324" s="148"/>
      <c r="HSB324" s="81"/>
      <c r="HSC324" s="140"/>
      <c r="HSD324" s="157"/>
      <c r="HSE324" s="157"/>
      <c r="HSF324" s="100"/>
      <c r="HSG324" s="79"/>
      <c r="HSH324" s="153"/>
      <c r="HSI324" s="137"/>
      <c r="HSJ324" s="158"/>
      <c r="HSK324" s="363"/>
      <c r="HSL324" s="139"/>
      <c r="HSM324" s="139"/>
      <c r="HSN324" s="98"/>
      <c r="HSO324" s="79"/>
      <c r="HSP324" s="139"/>
      <c r="HSQ324" s="139"/>
      <c r="HSR324" s="138"/>
      <c r="HSS324" s="147"/>
      <c r="HST324" s="147"/>
      <c r="HSU324" s="147"/>
      <c r="HSV324" s="138"/>
      <c r="HSW324" s="138"/>
      <c r="HSX324" s="147"/>
      <c r="HSY324" s="148"/>
      <c r="HSZ324" s="81"/>
      <c r="HTA324" s="140"/>
      <c r="HTB324" s="157"/>
      <c r="HTC324" s="157"/>
      <c r="HTD324" s="100"/>
      <c r="HTE324" s="79"/>
      <c r="HTF324" s="153"/>
      <c r="HTG324" s="137"/>
      <c r="HTH324" s="158"/>
      <c r="HTI324" s="363"/>
      <c r="HTJ324" s="139"/>
      <c r="HTK324" s="139"/>
      <c r="HTL324" s="98"/>
      <c r="HTM324" s="79"/>
      <c r="HTN324" s="139"/>
      <c r="HTO324" s="139"/>
      <c r="HTP324" s="138"/>
      <c r="HTQ324" s="147"/>
      <c r="HTR324" s="147"/>
      <c r="HTS324" s="147"/>
      <c r="HTT324" s="138"/>
      <c r="HTU324" s="138"/>
      <c r="HTV324" s="147"/>
      <c r="HTW324" s="148"/>
      <c r="HTX324" s="81"/>
      <c r="HTY324" s="140"/>
      <c r="HTZ324" s="157"/>
      <c r="HUA324" s="157"/>
      <c r="HUB324" s="100"/>
      <c r="HUC324" s="79"/>
      <c r="HUD324" s="153"/>
      <c r="HUE324" s="137"/>
      <c r="HUF324" s="158"/>
      <c r="HUG324" s="363"/>
      <c r="HUH324" s="139"/>
      <c r="HUI324" s="139"/>
      <c r="HUJ324" s="98"/>
      <c r="HUK324" s="79"/>
      <c r="HUL324" s="139"/>
      <c r="HUM324" s="139"/>
      <c r="HUN324" s="138"/>
      <c r="HUO324" s="147"/>
      <c r="HUP324" s="147"/>
      <c r="HUQ324" s="147"/>
      <c r="HUR324" s="138"/>
      <c r="HUS324" s="138"/>
      <c r="HUT324" s="147"/>
      <c r="HUU324" s="148"/>
      <c r="HUV324" s="81"/>
      <c r="HUW324" s="140"/>
      <c r="HUX324" s="157"/>
      <c r="HUY324" s="157"/>
      <c r="HUZ324" s="100"/>
      <c r="HVA324" s="79"/>
      <c r="HVB324" s="153"/>
      <c r="HVC324" s="137"/>
      <c r="HVD324" s="158"/>
      <c r="HVE324" s="363"/>
      <c r="HVF324" s="139"/>
      <c r="HVG324" s="139"/>
      <c r="HVH324" s="98"/>
      <c r="HVI324" s="79"/>
      <c r="HVJ324" s="139"/>
      <c r="HVK324" s="139"/>
      <c r="HVL324" s="138"/>
      <c r="HVM324" s="147"/>
      <c r="HVN324" s="147"/>
      <c r="HVO324" s="147"/>
      <c r="HVP324" s="138"/>
      <c r="HVQ324" s="138"/>
      <c r="HVR324" s="147"/>
      <c r="HVS324" s="148"/>
      <c r="HVT324" s="81"/>
      <c r="HVU324" s="140"/>
      <c r="HVV324" s="157"/>
      <c r="HVW324" s="157"/>
      <c r="HVX324" s="100"/>
      <c r="HVY324" s="79"/>
      <c r="HVZ324" s="153"/>
      <c r="HWA324" s="137"/>
      <c r="HWB324" s="158"/>
      <c r="HWC324" s="363"/>
      <c r="HWD324" s="139"/>
      <c r="HWE324" s="139"/>
      <c r="HWF324" s="98"/>
      <c r="HWG324" s="79"/>
      <c r="HWH324" s="139"/>
      <c r="HWI324" s="139"/>
      <c r="HWJ324" s="138"/>
      <c r="HWK324" s="147"/>
      <c r="HWL324" s="147"/>
      <c r="HWM324" s="147"/>
      <c r="HWN324" s="138"/>
      <c r="HWO324" s="138"/>
      <c r="HWP324" s="147"/>
      <c r="HWQ324" s="148"/>
      <c r="HWR324" s="81"/>
      <c r="HWS324" s="140"/>
      <c r="HWT324" s="157"/>
      <c r="HWU324" s="157"/>
      <c r="HWV324" s="100"/>
      <c r="HWW324" s="79"/>
      <c r="HWX324" s="153"/>
      <c r="HWY324" s="137"/>
      <c r="HWZ324" s="158"/>
      <c r="HXA324" s="363"/>
      <c r="HXB324" s="139"/>
      <c r="HXC324" s="139"/>
      <c r="HXD324" s="98"/>
      <c r="HXE324" s="79"/>
      <c r="HXF324" s="139"/>
      <c r="HXG324" s="139"/>
      <c r="HXH324" s="138"/>
      <c r="HXI324" s="147"/>
      <c r="HXJ324" s="147"/>
      <c r="HXK324" s="147"/>
      <c r="HXL324" s="138"/>
      <c r="HXM324" s="138"/>
      <c r="HXN324" s="147"/>
      <c r="HXO324" s="148"/>
      <c r="HXP324" s="81"/>
      <c r="HXQ324" s="140"/>
      <c r="HXR324" s="157"/>
      <c r="HXS324" s="157"/>
      <c r="HXT324" s="100"/>
      <c r="HXU324" s="79"/>
      <c r="HXV324" s="153"/>
      <c r="HXW324" s="137"/>
      <c r="HXX324" s="158"/>
      <c r="HXY324" s="363"/>
      <c r="HXZ324" s="139"/>
      <c r="HYA324" s="139"/>
      <c r="HYB324" s="98"/>
      <c r="HYC324" s="79"/>
      <c r="HYD324" s="139"/>
      <c r="HYE324" s="139"/>
      <c r="HYF324" s="138"/>
      <c r="HYG324" s="147"/>
      <c r="HYH324" s="147"/>
      <c r="HYI324" s="147"/>
      <c r="HYJ324" s="138"/>
      <c r="HYK324" s="138"/>
      <c r="HYL324" s="147"/>
      <c r="HYM324" s="148"/>
      <c r="HYN324" s="81"/>
      <c r="HYO324" s="140"/>
      <c r="HYP324" s="157"/>
      <c r="HYQ324" s="157"/>
      <c r="HYR324" s="100"/>
      <c r="HYS324" s="79"/>
      <c r="HYT324" s="153"/>
      <c r="HYU324" s="137"/>
      <c r="HYV324" s="158"/>
      <c r="HYW324" s="363"/>
      <c r="HYX324" s="139"/>
      <c r="HYY324" s="139"/>
      <c r="HYZ324" s="98"/>
      <c r="HZA324" s="79"/>
      <c r="HZB324" s="139"/>
      <c r="HZC324" s="139"/>
      <c r="HZD324" s="138"/>
      <c r="HZE324" s="147"/>
      <c r="HZF324" s="147"/>
      <c r="HZG324" s="147"/>
      <c r="HZH324" s="138"/>
      <c r="HZI324" s="138"/>
      <c r="HZJ324" s="147"/>
      <c r="HZK324" s="148"/>
      <c r="HZL324" s="81"/>
      <c r="HZM324" s="140"/>
      <c r="HZN324" s="157"/>
      <c r="HZO324" s="157"/>
      <c r="HZP324" s="100"/>
      <c r="HZQ324" s="79"/>
      <c r="HZR324" s="153"/>
      <c r="HZS324" s="137"/>
      <c r="HZT324" s="158"/>
      <c r="HZU324" s="363"/>
      <c r="HZV324" s="139"/>
      <c r="HZW324" s="139"/>
      <c r="HZX324" s="98"/>
      <c r="HZY324" s="79"/>
      <c r="HZZ324" s="139"/>
      <c r="IAA324" s="139"/>
      <c r="IAB324" s="138"/>
      <c r="IAC324" s="147"/>
      <c r="IAD324" s="147"/>
      <c r="IAE324" s="147"/>
      <c r="IAF324" s="138"/>
      <c r="IAG324" s="138"/>
      <c r="IAH324" s="147"/>
      <c r="IAI324" s="148"/>
      <c r="IAJ324" s="81"/>
      <c r="IAK324" s="140"/>
      <c r="IAL324" s="157"/>
      <c r="IAM324" s="157"/>
      <c r="IAN324" s="100"/>
      <c r="IAO324" s="79"/>
      <c r="IAP324" s="153"/>
      <c r="IAQ324" s="137"/>
      <c r="IAR324" s="158"/>
      <c r="IAS324" s="363"/>
      <c r="IAT324" s="139"/>
      <c r="IAU324" s="139"/>
      <c r="IAV324" s="98"/>
      <c r="IAW324" s="79"/>
      <c r="IAX324" s="139"/>
      <c r="IAY324" s="139"/>
      <c r="IAZ324" s="138"/>
      <c r="IBA324" s="147"/>
      <c r="IBB324" s="147"/>
      <c r="IBC324" s="147"/>
      <c r="IBD324" s="138"/>
      <c r="IBE324" s="138"/>
      <c r="IBF324" s="147"/>
      <c r="IBG324" s="148"/>
      <c r="IBH324" s="81"/>
      <c r="IBI324" s="140"/>
      <c r="IBJ324" s="157"/>
      <c r="IBK324" s="157"/>
      <c r="IBL324" s="100"/>
      <c r="IBM324" s="79"/>
      <c r="IBN324" s="153"/>
      <c r="IBO324" s="137"/>
      <c r="IBP324" s="158"/>
      <c r="IBQ324" s="363"/>
      <c r="IBR324" s="139"/>
      <c r="IBS324" s="139"/>
      <c r="IBT324" s="98"/>
      <c r="IBU324" s="79"/>
      <c r="IBV324" s="139"/>
      <c r="IBW324" s="139"/>
      <c r="IBX324" s="138"/>
      <c r="IBY324" s="147"/>
      <c r="IBZ324" s="147"/>
      <c r="ICA324" s="147"/>
      <c r="ICB324" s="138"/>
      <c r="ICC324" s="138"/>
      <c r="ICD324" s="147"/>
      <c r="ICE324" s="148"/>
      <c r="ICF324" s="81"/>
      <c r="ICG324" s="140"/>
      <c r="ICH324" s="157"/>
      <c r="ICI324" s="157"/>
      <c r="ICJ324" s="100"/>
      <c r="ICK324" s="79"/>
      <c r="ICL324" s="153"/>
      <c r="ICM324" s="137"/>
      <c r="ICN324" s="158"/>
      <c r="ICO324" s="363"/>
      <c r="ICP324" s="139"/>
      <c r="ICQ324" s="139"/>
      <c r="ICR324" s="98"/>
      <c r="ICS324" s="79"/>
      <c r="ICT324" s="139"/>
      <c r="ICU324" s="139"/>
      <c r="ICV324" s="138"/>
      <c r="ICW324" s="147"/>
      <c r="ICX324" s="147"/>
      <c r="ICY324" s="147"/>
      <c r="ICZ324" s="138"/>
      <c r="IDA324" s="138"/>
      <c r="IDB324" s="147"/>
      <c r="IDC324" s="148"/>
      <c r="IDD324" s="81"/>
      <c r="IDE324" s="140"/>
      <c r="IDF324" s="157"/>
      <c r="IDG324" s="157"/>
      <c r="IDH324" s="100"/>
      <c r="IDI324" s="79"/>
      <c r="IDJ324" s="153"/>
      <c r="IDK324" s="137"/>
      <c r="IDL324" s="158"/>
      <c r="IDM324" s="363"/>
      <c r="IDN324" s="139"/>
      <c r="IDO324" s="139"/>
      <c r="IDP324" s="98"/>
      <c r="IDQ324" s="79"/>
      <c r="IDR324" s="139"/>
      <c r="IDS324" s="139"/>
      <c r="IDT324" s="138"/>
      <c r="IDU324" s="147"/>
      <c r="IDV324" s="147"/>
      <c r="IDW324" s="147"/>
      <c r="IDX324" s="138"/>
      <c r="IDY324" s="138"/>
      <c r="IDZ324" s="147"/>
      <c r="IEA324" s="148"/>
      <c r="IEB324" s="81"/>
      <c r="IEC324" s="140"/>
      <c r="IED324" s="157"/>
      <c r="IEE324" s="157"/>
      <c r="IEF324" s="100"/>
      <c r="IEG324" s="79"/>
      <c r="IEH324" s="153"/>
      <c r="IEI324" s="137"/>
      <c r="IEJ324" s="158"/>
      <c r="IEK324" s="363"/>
      <c r="IEL324" s="139"/>
      <c r="IEM324" s="139"/>
      <c r="IEN324" s="98"/>
      <c r="IEO324" s="79"/>
      <c r="IEP324" s="139"/>
      <c r="IEQ324" s="139"/>
      <c r="IER324" s="138"/>
      <c r="IES324" s="147"/>
      <c r="IET324" s="147"/>
      <c r="IEU324" s="147"/>
      <c r="IEV324" s="138"/>
      <c r="IEW324" s="138"/>
      <c r="IEX324" s="147"/>
      <c r="IEY324" s="148"/>
      <c r="IEZ324" s="81"/>
      <c r="IFA324" s="140"/>
      <c r="IFB324" s="157"/>
      <c r="IFC324" s="157"/>
      <c r="IFD324" s="100"/>
      <c r="IFE324" s="79"/>
      <c r="IFF324" s="153"/>
      <c r="IFG324" s="137"/>
      <c r="IFH324" s="158"/>
      <c r="IFI324" s="363"/>
      <c r="IFJ324" s="139"/>
      <c r="IFK324" s="139"/>
      <c r="IFL324" s="98"/>
      <c r="IFM324" s="79"/>
      <c r="IFN324" s="139"/>
      <c r="IFO324" s="139"/>
      <c r="IFP324" s="138"/>
      <c r="IFQ324" s="147"/>
      <c r="IFR324" s="147"/>
      <c r="IFS324" s="147"/>
      <c r="IFT324" s="138"/>
      <c r="IFU324" s="138"/>
      <c r="IFV324" s="147"/>
      <c r="IFW324" s="148"/>
      <c r="IFX324" s="81"/>
      <c r="IFY324" s="140"/>
      <c r="IFZ324" s="157"/>
      <c r="IGA324" s="157"/>
      <c r="IGB324" s="100"/>
      <c r="IGC324" s="79"/>
      <c r="IGD324" s="153"/>
      <c r="IGE324" s="137"/>
      <c r="IGF324" s="158"/>
      <c r="IGG324" s="363"/>
      <c r="IGH324" s="139"/>
      <c r="IGI324" s="139"/>
      <c r="IGJ324" s="98"/>
      <c r="IGK324" s="79"/>
      <c r="IGL324" s="139"/>
      <c r="IGM324" s="139"/>
      <c r="IGN324" s="138"/>
      <c r="IGO324" s="147"/>
      <c r="IGP324" s="147"/>
      <c r="IGQ324" s="147"/>
      <c r="IGR324" s="138"/>
      <c r="IGS324" s="138"/>
      <c r="IGT324" s="147"/>
      <c r="IGU324" s="148"/>
      <c r="IGV324" s="81"/>
      <c r="IGW324" s="140"/>
      <c r="IGX324" s="157"/>
      <c r="IGY324" s="157"/>
      <c r="IGZ324" s="100"/>
      <c r="IHA324" s="79"/>
      <c r="IHB324" s="153"/>
      <c r="IHC324" s="137"/>
      <c r="IHD324" s="158"/>
      <c r="IHE324" s="363"/>
      <c r="IHF324" s="139"/>
      <c r="IHG324" s="139"/>
      <c r="IHH324" s="98"/>
      <c r="IHI324" s="79"/>
      <c r="IHJ324" s="139"/>
      <c r="IHK324" s="139"/>
      <c r="IHL324" s="138"/>
      <c r="IHM324" s="147"/>
      <c r="IHN324" s="147"/>
      <c r="IHO324" s="147"/>
      <c r="IHP324" s="138"/>
      <c r="IHQ324" s="138"/>
      <c r="IHR324" s="147"/>
      <c r="IHS324" s="148"/>
      <c r="IHT324" s="81"/>
      <c r="IHU324" s="140"/>
      <c r="IHV324" s="157"/>
      <c r="IHW324" s="157"/>
      <c r="IHX324" s="100"/>
      <c r="IHY324" s="79"/>
      <c r="IHZ324" s="153"/>
      <c r="IIA324" s="137"/>
      <c r="IIB324" s="158"/>
      <c r="IIC324" s="363"/>
      <c r="IID324" s="139"/>
      <c r="IIE324" s="139"/>
      <c r="IIF324" s="98"/>
      <c r="IIG324" s="79"/>
      <c r="IIH324" s="139"/>
      <c r="III324" s="139"/>
      <c r="IIJ324" s="138"/>
      <c r="IIK324" s="147"/>
      <c r="IIL324" s="147"/>
      <c r="IIM324" s="147"/>
      <c r="IIN324" s="138"/>
      <c r="IIO324" s="138"/>
      <c r="IIP324" s="147"/>
      <c r="IIQ324" s="148"/>
      <c r="IIR324" s="81"/>
      <c r="IIS324" s="140"/>
      <c r="IIT324" s="157"/>
      <c r="IIU324" s="157"/>
      <c r="IIV324" s="100"/>
      <c r="IIW324" s="79"/>
      <c r="IIX324" s="153"/>
      <c r="IIY324" s="137"/>
      <c r="IIZ324" s="158"/>
      <c r="IJA324" s="363"/>
      <c r="IJB324" s="139"/>
      <c r="IJC324" s="139"/>
      <c r="IJD324" s="98"/>
      <c r="IJE324" s="79"/>
      <c r="IJF324" s="139"/>
      <c r="IJG324" s="139"/>
      <c r="IJH324" s="138"/>
      <c r="IJI324" s="147"/>
      <c r="IJJ324" s="147"/>
      <c r="IJK324" s="147"/>
      <c r="IJL324" s="138"/>
      <c r="IJM324" s="138"/>
      <c r="IJN324" s="147"/>
      <c r="IJO324" s="148"/>
      <c r="IJP324" s="81"/>
      <c r="IJQ324" s="140"/>
      <c r="IJR324" s="157"/>
      <c r="IJS324" s="157"/>
      <c r="IJT324" s="100"/>
      <c r="IJU324" s="79"/>
      <c r="IJV324" s="153"/>
      <c r="IJW324" s="137"/>
      <c r="IJX324" s="158"/>
      <c r="IJY324" s="363"/>
      <c r="IJZ324" s="139"/>
      <c r="IKA324" s="139"/>
      <c r="IKB324" s="98"/>
      <c r="IKC324" s="79"/>
      <c r="IKD324" s="139"/>
      <c r="IKE324" s="139"/>
      <c r="IKF324" s="138"/>
      <c r="IKG324" s="147"/>
      <c r="IKH324" s="147"/>
      <c r="IKI324" s="147"/>
      <c r="IKJ324" s="138"/>
      <c r="IKK324" s="138"/>
      <c r="IKL324" s="147"/>
      <c r="IKM324" s="148"/>
      <c r="IKN324" s="81"/>
      <c r="IKO324" s="140"/>
      <c r="IKP324" s="157"/>
      <c r="IKQ324" s="157"/>
      <c r="IKR324" s="100"/>
      <c r="IKS324" s="79"/>
      <c r="IKT324" s="153"/>
      <c r="IKU324" s="137"/>
      <c r="IKV324" s="158"/>
      <c r="IKW324" s="363"/>
      <c r="IKX324" s="139"/>
      <c r="IKY324" s="139"/>
      <c r="IKZ324" s="98"/>
      <c r="ILA324" s="79"/>
      <c r="ILB324" s="139"/>
      <c r="ILC324" s="139"/>
      <c r="ILD324" s="138"/>
      <c r="ILE324" s="147"/>
      <c r="ILF324" s="147"/>
      <c r="ILG324" s="147"/>
      <c r="ILH324" s="138"/>
      <c r="ILI324" s="138"/>
      <c r="ILJ324" s="147"/>
      <c r="ILK324" s="148"/>
      <c r="ILL324" s="81"/>
      <c r="ILM324" s="140"/>
      <c r="ILN324" s="157"/>
      <c r="ILO324" s="157"/>
      <c r="ILP324" s="100"/>
      <c r="ILQ324" s="79"/>
      <c r="ILR324" s="153"/>
      <c r="ILS324" s="137"/>
      <c r="ILT324" s="158"/>
      <c r="ILU324" s="363"/>
      <c r="ILV324" s="139"/>
      <c r="ILW324" s="139"/>
      <c r="ILX324" s="98"/>
      <c r="ILY324" s="79"/>
      <c r="ILZ324" s="139"/>
      <c r="IMA324" s="139"/>
      <c r="IMB324" s="138"/>
      <c r="IMC324" s="147"/>
      <c r="IMD324" s="147"/>
      <c r="IME324" s="147"/>
      <c r="IMF324" s="138"/>
      <c r="IMG324" s="138"/>
      <c r="IMH324" s="147"/>
      <c r="IMI324" s="148"/>
      <c r="IMJ324" s="81"/>
      <c r="IMK324" s="140"/>
      <c r="IML324" s="157"/>
      <c r="IMM324" s="157"/>
      <c r="IMN324" s="100"/>
      <c r="IMO324" s="79"/>
      <c r="IMP324" s="153"/>
      <c r="IMQ324" s="137"/>
      <c r="IMR324" s="158"/>
      <c r="IMS324" s="363"/>
      <c r="IMT324" s="139"/>
      <c r="IMU324" s="139"/>
      <c r="IMV324" s="98"/>
      <c r="IMW324" s="79"/>
      <c r="IMX324" s="139"/>
      <c r="IMY324" s="139"/>
      <c r="IMZ324" s="138"/>
      <c r="INA324" s="147"/>
      <c r="INB324" s="147"/>
      <c r="INC324" s="147"/>
      <c r="IND324" s="138"/>
      <c r="INE324" s="138"/>
      <c r="INF324" s="147"/>
      <c r="ING324" s="148"/>
      <c r="INH324" s="81"/>
      <c r="INI324" s="140"/>
      <c r="INJ324" s="157"/>
      <c r="INK324" s="157"/>
      <c r="INL324" s="100"/>
      <c r="INM324" s="79"/>
      <c r="INN324" s="153"/>
      <c r="INO324" s="137"/>
      <c r="INP324" s="158"/>
      <c r="INQ324" s="363"/>
      <c r="INR324" s="139"/>
      <c r="INS324" s="139"/>
      <c r="INT324" s="98"/>
      <c r="INU324" s="79"/>
      <c r="INV324" s="139"/>
      <c r="INW324" s="139"/>
      <c r="INX324" s="138"/>
      <c r="INY324" s="147"/>
      <c r="INZ324" s="147"/>
      <c r="IOA324" s="147"/>
      <c r="IOB324" s="138"/>
      <c r="IOC324" s="138"/>
      <c r="IOD324" s="147"/>
      <c r="IOE324" s="148"/>
      <c r="IOF324" s="81"/>
      <c r="IOG324" s="140"/>
      <c r="IOH324" s="157"/>
      <c r="IOI324" s="157"/>
      <c r="IOJ324" s="100"/>
      <c r="IOK324" s="79"/>
      <c r="IOL324" s="153"/>
      <c r="IOM324" s="137"/>
      <c r="ION324" s="158"/>
      <c r="IOO324" s="363"/>
      <c r="IOP324" s="139"/>
      <c r="IOQ324" s="139"/>
      <c r="IOR324" s="98"/>
      <c r="IOS324" s="79"/>
      <c r="IOT324" s="139"/>
      <c r="IOU324" s="139"/>
      <c r="IOV324" s="138"/>
      <c r="IOW324" s="147"/>
      <c r="IOX324" s="147"/>
      <c r="IOY324" s="147"/>
      <c r="IOZ324" s="138"/>
      <c r="IPA324" s="138"/>
      <c r="IPB324" s="147"/>
      <c r="IPC324" s="148"/>
      <c r="IPD324" s="81"/>
      <c r="IPE324" s="140"/>
      <c r="IPF324" s="157"/>
      <c r="IPG324" s="157"/>
      <c r="IPH324" s="100"/>
      <c r="IPI324" s="79"/>
      <c r="IPJ324" s="153"/>
      <c r="IPK324" s="137"/>
      <c r="IPL324" s="158"/>
      <c r="IPM324" s="363"/>
      <c r="IPN324" s="139"/>
      <c r="IPO324" s="139"/>
      <c r="IPP324" s="98"/>
      <c r="IPQ324" s="79"/>
      <c r="IPR324" s="139"/>
      <c r="IPS324" s="139"/>
      <c r="IPT324" s="138"/>
      <c r="IPU324" s="147"/>
      <c r="IPV324" s="147"/>
      <c r="IPW324" s="147"/>
      <c r="IPX324" s="138"/>
      <c r="IPY324" s="138"/>
      <c r="IPZ324" s="147"/>
      <c r="IQA324" s="148"/>
      <c r="IQB324" s="81"/>
      <c r="IQC324" s="140"/>
      <c r="IQD324" s="157"/>
      <c r="IQE324" s="157"/>
      <c r="IQF324" s="100"/>
      <c r="IQG324" s="79"/>
      <c r="IQH324" s="153"/>
      <c r="IQI324" s="137"/>
      <c r="IQJ324" s="158"/>
      <c r="IQK324" s="363"/>
      <c r="IQL324" s="139"/>
      <c r="IQM324" s="139"/>
      <c r="IQN324" s="98"/>
      <c r="IQO324" s="79"/>
      <c r="IQP324" s="139"/>
      <c r="IQQ324" s="139"/>
      <c r="IQR324" s="138"/>
      <c r="IQS324" s="147"/>
      <c r="IQT324" s="147"/>
      <c r="IQU324" s="147"/>
      <c r="IQV324" s="138"/>
      <c r="IQW324" s="138"/>
      <c r="IQX324" s="147"/>
      <c r="IQY324" s="148"/>
      <c r="IQZ324" s="81"/>
      <c r="IRA324" s="140"/>
      <c r="IRB324" s="157"/>
      <c r="IRC324" s="157"/>
      <c r="IRD324" s="100"/>
      <c r="IRE324" s="79"/>
      <c r="IRF324" s="153"/>
      <c r="IRG324" s="137"/>
      <c r="IRH324" s="158"/>
      <c r="IRI324" s="363"/>
      <c r="IRJ324" s="139"/>
      <c r="IRK324" s="139"/>
      <c r="IRL324" s="98"/>
      <c r="IRM324" s="79"/>
      <c r="IRN324" s="139"/>
      <c r="IRO324" s="139"/>
      <c r="IRP324" s="138"/>
      <c r="IRQ324" s="147"/>
      <c r="IRR324" s="147"/>
      <c r="IRS324" s="147"/>
      <c r="IRT324" s="138"/>
      <c r="IRU324" s="138"/>
      <c r="IRV324" s="147"/>
      <c r="IRW324" s="148"/>
      <c r="IRX324" s="81"/>
      <c r="IRY324" s="140"/>
      <c r="IRZ324" s="157"/>
      <c r="ISA324" s="157"/>
      <c r="ISB324" s="100"/>
      <c r="ISC324" s="79"/>
      <c r="ISD324" s="153"/>
      <c r="ISE324" s="137"/>
      <c r="ISF324" s="158"/>
      <c r="ISG324" s="363"/>
      <c r="ISH324" s="139"/>
      <c r="ISI324" s="139"/>
      <c r="ISJ324" s="98"/>
      <c r="ISK324" s="79"/>
      <c r="ISL324" s="139"/>
      <c r="ISM324" s="139"/>
      <c r="ISN324" s="138"/>
      <c r="ISO324" s="147"/>
      <c r="ISP324" s="147"/>
      <c r="ISQ324" s="147"/>
      <c r="ISR324" s="138"/>
      <c r="ISS324" s="138"/>
      <c r="IST324" s="147"/>
      <c r="ISU324" s="148"/>
      <c r="ISV324" s="81"/>
      <c r="ISW324" s="140"/>
      <c r="ISX324" s="157"/>
      <c r="ISY324" s="157"/>
      <c r="ISZ324" s="100"/>
      <c r="ITA324" s="79"/>
      <c r="ITB324" s="153"/>
      <c r="ITC324" s="137"/>
      <c r="ITD324" s="158"/>
      <c r="ITE324" s="363"/>
      <c r="ITF324" s="139"/>
      <c r="ITG324" s="139"/>
      <c r="ITH324" s="98"/>
      <c r="ITI324" s="79"/>
      <c r="ITJ324" s="139"/>
      <c r="ITK324" s="139"/>
      <c r="ITL324" s="138"/>
      <c r="ITM324" s="147"/>
      <c r="ITN324" s="147"/>
      <c r="ITO324" s="147"/>
      <c r="ITP324" s="138"/>
      <c r="ITQ324" s="138"/>
      <c r="ITR324" s="147"/>
      <c r="ITS324" s="148"/>
      <c r="ITT324" s="81"/>
      <c r="ITU324" s="140"/>
      <c r="ITV324" s="157"/>
      <c r="ITW324" s="157"/>
      <c r="ITX324" s="100"/>
      <c r="ITY324" s="79"/>
      <c r="ITZ324" s="153"/>
      <c r="IUA324" s="137"/>
      <c r="IUB324" s="158"/>
      <c r="IUC324" s="363"/>
      <c r="IUD324" s="139"/>
      <c r="IUE324" s="139"/>
      <c r="IUF324" s="98"/>
      <c r="IUG324" s="79"/>
      <c r="IUH324" s="139"/>
      <c r="IUI324" s="139"/>
      <c r="IUJ324" s="138"/>
      <c r="IUK324" s="147"/>
      <c r="IUL324" s="147"/>
      <c r="IUM324" s="147"/>
      <c r="IUN324" s="138"/>
      <c r="IUO324" s="138"/>
      <c r="IUP324" s="147"/>
      <c r="IUQ324" s="148"/>
      <c r="IUR324" s="81"/>
      <c r="IUS324" s="140"/>
      <c r="IUT324" s="157"/>
      <c r="IUU324" s="157"/>
      <c r="IUV324" s="100"/>
      <c r="IUW324" s="79"/>
      <c r="IUX324" s="153"/>
      <c r="IUY324" s="137"/>
      <c r="IUZ324" s="158"/>
      <c r="IVA324" s="363"/>
      <c r="IVB324" s="139"/>
      <c r="IVC324" s="139"/>
      <c r="IVD324" s="98"/>
      <c r="IVE324" s="79"/>
      <c r="IVF324" s="139"/>
      <c r="IVG324" s="139"/>
      <c r="IVH324" s="138"/>
      <c r="IVI324" s="147"/>
      <c r="IVJ324" s="147"/>
      <c r="IVK324" s="147"/>
      <c r="IVL324" s="138"/>
      <c r="IVM324" s="138"/>
      <c r="IVN324" s="147"/>
      <c r="IVO324" s="148"/>
      <c r="IVP324" s="81"/>
      <c r="IVQ324" s="140"/>
      <c r="IVR324" s="157"/>
      <c r="IVS324" s="157"/>
      <c r="IVT324" s="100"/>
      <c r="IVU324" s="79"/>
      <c r="IVV324" s="153"/>
      <c r="IVW324" s="137"/>
      <c r="IVX324" s="158"/>
      <c r="IVY324" s="363"/>
      <c r="IVZ324" s="139"/>
      <c r="IWA324" s="139"/>
      <c r="IWB324" s="98"/>
      <c r="IWC324" s="79"/>
      <c r="IWD324" s="139"/>
      <c r="IWE324" s="139"/>
      <c r="IWF324" s="138"/>
      <c r="IWG324" s="147"/>
      <c r="IWH324" s="147"/>
      <c r="IWI324" s="147"/>
      <c r="IWJ324" s="138"/>
      <c r="IWK324" s="138"/>
      <c r="IWL324" s="147"/>
      <c r="IWM324" s="148"/>
      <c r="IWN324" s="81"/>
      <c r="IWO324" s="140"/>
      <c r="IWP324" s="157"/>
      <c r="IWQ324" s="157"/>
      <c r="IWR324" s="100"/>
      <c r="IWS324" s="79"/>
      <c r="IWT324" s="153"/>
      <c r="IWU324" s="137"/>
      <c r="IWV324" s="158"/>
      <c r="IWW324" s="363"/>
      <c r="IWX324" s="139"/>
      <c r="IWY324" s="139"/>
      <c r="IWZ324" s="98"/>
      <c r="IXA324" s="79"/>
      <c r="IXB324" s="139"/>
      <c r="IXC324" s="139"/>
      <c r="IXD324" s="138"/>
      <c r="IXE324" s="147"/>
      <c r="IXF324" s="147"/>
      <c r="IXG324" s="147"/>
      <c r="IXH324" s="138"/>
      <c r="IXI324" s="138"/>
      <c r="IXJ324" s="147"/>
      <c r="IXK324" s="148"/>
      <c r="IXL324" s="81"/>
      <c r="IXM324" s="140"/>
      <c r="IXN324" s="157"/>
      <c r="IXO324" s="157"/>
      <c r="IXP324" s="100"/>
      <c r="IXQ324" s="79"/>
      <c r="IXR324" s="153"/>
      <c r="IXS324" s="137"/>
      <c r="IXT324" s="158"/>
      <c r="IXU324" s="363"/>
      <c r="IXV324" s="139"/>
      <c r="IXW324" s="139"/>
      <c r="IXX324" s="98"/>
      <c r="IXY324" s="79"/>
      <c r="IXZ324" s="139"/>
      <c r="IYA324" s="139"/>
      <c r="IYB324" s="138"/>
      <c r="IYC324" s="147"/>
      <c r="IYD324" s="147"/>
      <c r="IYE324" s="147"/>
      <c r="IYF324" s="138"/>
      <c r="IYG324" s="138"/>
      <c r="IYH324" s="147"/>
      <c r="IYI324" s="148"/>
      <c r="IYJ324" s="81"/>
      <c r="IYK324" s="140"/>
      <c r="IYL324" s="157"/>
      <c r="IYM324" s="157"/>
      <c r="IYN324" s="100"/>
      <c r="IYO324" s="79"/>
      <c r="IYP324" s="153"/>
      <c r="IYQ324" s="137"/>
      <c r="IYR324" s="158"/>
      <c r="IYS324" s="363"/>
      <c r="IYT324" s="139"/>
      <c r="IYU324" s="139"/>
      <c r="IYV324" s="98"/>
      <c r="IYW324" s="79"/>
      <c r="IYX324" s="139"/>
      <c r="IYY324" s="139"/>
      <c r="IYZ324" s="138"/>
      <c r="IZA324" s="147"/>
      <c r="IZB324" s="147"/>
      <c r="IZC324" s="147"/>
      <c r="IZD324" s="138"/>
      <c r="IZE324" s="138"/>
      <c r="IZF324" s="147"/>
      <c r="IZG324" s="148"/>
      <c r="IZH324" s="81"/>
      <c r="IZI324" s="140"/>
      <c r="IZJ324" s="157"/>
      <c r="IZK324" s="157"/>
      <c r="IZL324" s="100"/>
      <c r="IZM324" s="79"/>
      <c r="IZN324" s="153"/>
      <c r="IZO324" s="137"/>
      <c r="IZP324" s="158"/>
      <c r="IZQ324" s="363"/>
      <c r="IZR324" s="139"/>
      <c r="IZS324" s="139"/>
      <c r="IZT324" s="98"/>
      <c r="IZU324" s="79"/>
      <c r="IZV324" s="139"/>
      <c r="IZW324" s="139"/>
      <c r="IZX324" s="138"/>
      <c r="IZY324" s="147"/>
      <c r="IZZ324" s="147"/>
      <c r="JAA324" s="147"/>
      <c r="JAB324" s="138"/>
      <c r="JAC324" s="138"/>
      <c r="JAD324" s="147"/>
      <c r="JAE324" s="148"/>
      <c r="JAF324" s="81"/>
      <c r="JAG324" s="140"/>
      <c r="JAH324" s="157"/>
      <c r="JAI324" s="157"/>
      <c r="JAJ324" s="100"/>
      <c r="JAK324" s="79"/>
      <c r="JAL324" s="153"/>
      <c r="JAM324" s="137"/>
      <c r="JAN324" s="158"/>
      <c r="JAO324" s="363"/>
      <c r="JAP324" s="139"/>
      <c r="JAQ324" s="139"/>
      <c r="JAR324" s="98"/>
      <c r="JAS324" s="79"/>
      <c r="JAT324" s="139"/>
      <c r="JAU324" s="139"/>
      <c r="JAV324" s="138"/>
      <c r="JAW324" s="147"/>
      <c r="JAX324" s="147"/>
      <c r="JAY324" s="147"/>
      <c r="JAZ324" s="138"/>
      <c r="JBA324" s="138"/>
      <c r="JBB324" s="147"/>
      <c r="JBC324" s="148"/>
      <c r="JBD324" s="81"/>
      <c r="JBE324" s="140"/>
      <c r="JBF324" s="157"/>
      <c r="JBG324" s="157"/>
      <c r="JBH324" s="100"/>
      <c r="JBI324" s="79"/>
      <c r="JBJ324" s="153"/>
      <c r="JBK324" s="137"/>
      <c r="JBL324" s="158"/>
      <c r="JBM324" s="363"/>
      <c r="JBN324" s="139"/>
      <c r="JBO324" s="139"/>
      <c r="JBP324" s="98"/>
      <c r="JBQ324" s="79"/>
      <c r="JBR324" s="139"/>
      <c r="JBS324" s="139"/>
      <c r="JBT324" s="138"/>
      <c r="JBU324" s="147"/>
      <c r="JBV324" s="147"/>
      <c r="JBW324" s="147"/>
      <c r="JBX324" s="138"/>
      <c r="JBY324" s="138"/>
      <c r="JBZ324" s="147"/>
      <c r="JCA324" s="148"/>
      <c r="JCB324" s="81"/>
      <c r="JCC324" s="140"/>
      <c r="JCD324" s="157"/>
      <c r="JCE324" s="157"/>
      <c r="JCF324" s="100"/>
      <c r="JCG324" s="79"/>
      <c r="JCH324" s="153"/>
      <c r="JCI324" s="137"/>
      <c r="JCJ324" s="158"/>
      <c r="JCK324" s="363"/>
      <c r="JCL324" s="139"/>
      <c r="JCM324" s="139"/>
      <c r="JCN324" s="98"/>
      <c r="JCO324" s="79"/>
      <c r="JCP324" s="139"/>
      <c r="JCQ324" s="139"/>
      <c r="JCR324" s="138"/>
      <c r="JCS324" s="147"/>
      <c r="JCT324" s="147"/>
      <c r="JCU324" s="147"/>
      <c r="JCV324" s="138"/>
      <c r="JCW324" s="138"/>
      <c r="JCX324" s="147"/>
      <c r="JCY324" s="148"/>
      <c r="JCZ324" s="81"/>
      <c r="JDA324" s="140"/>
      <c r="JDB324" s="157"/>
      <c r="JDC324" s="157"/>
      <c r="JDD324" s="100"/>
      <c r="JDE324" s="79"/>
      <c r="JDF324" s="153"/>
      <c r="JDG324" s="137"/>
      <c r="JDH324" s="158"/>
      <c r="JDI324" s="363"/>
      <c r="JDJ324" s="139"/>
      <c r="JDK324" s="139"/>
      <c r="JDL324" s="98"/>
      <c r="JDM324" s="79"/>
      <c r="JDN324" s="139"/>
      <c r="JDO324" s="139"/>
      <c r="JDP324" s="138"/>
      <c r="JDQ324" s="147"/>
      <c r="JDR324" s="147"/>
      <c r="JDS324" s="147"/>
      <c r="JDT324" s="138"/>
      <c r="JDU324" s="138"/>
      <c r="JDV324" s="147"/>
      <c r="JDW324" s="148"/>
      <c r="JDX324" s="81"/>
      <c r="JDY324" s="140"/>
      <c r="JDZ324" s="157"/>
      <c r="JEA324" s="157"/>
      <c r="JEB324" s="100"/>
      <c r="JEC324" s="79"/>
      <c r="JED324" s="153"/>
      <c r="JEE324" s="137"/>
      <c r="JEF324" s="158"/>
      <c r="JEG324" s="363"/>
      <c r="JEH324" s="139"/>
      <c r="JEI324" s="139"/>
      <c r="JEJ324" s="98"/>
      <c r="JEK324" s="79"/>
      <c r="JEL324" s="139"/>
      <c r="JEM324" s="139"/>
      <c r="JEN324" s="138"/>
      <c r="JEO324" s="147"/>
      <c r="JEP324" s="147"/>
      <c r="JEQ324" s="147"/>
      <c r="JER324" s="138"/>
      <c r="JES324" s="138"/>
      <c r="JET324" s="147"/>
      <c r="JEU324" s="148"/>
      <c r="JEV324" s="81"/>
      <c r="JEW324" s="140"/>
      <c r="JEX324" s="157"/>
      <c r="JEY324" s="157"/>
      <c r="JEZ324" s="100"/>
      <c r="JFA324" s="79"/>
      <c r="JFB324" s="153"/>
      <c r="JFC324" s="137"/>
      <c r="JFD324" s="158"/>
      <c r="JFE324" s="363"/>
      <c r="JFF324" s="139"/>
      <c r="JFG324" s="139"/>
      <c r="JFH324" s="98"/>
      <c r="JFI324" s="79"/>
      <c r="JFJ324" s="139"/>
      <c r="JFK324" s="139"/>
      <c r="JFL324" s="138"/>
      <c r="JFM324" s="147"/>
      <c r="JFN324" s="147"/>
      <c r="JFO324" s="147"/>
      <c r="JFP324" s="138"/>
      <c r="JFQ324" s="138"/>
      <c r="JFR324" s="147"/>
      <c r="JFS324" s="148"/>
      <c r="JFT324" s="81"/>
      <c r="JFU324" s="140"/>
      <c r="JFV324" s="157"/>
      <c r="JFW324" s="157"/>
      <c r="JFX324" s="100"/>
      <c r="JFY324" s="79"/>
      <c r="JFZ324" s="153"/>
      <c r="JGA324" s="137"/>
      <c r="JGB324" s="158"/>
      <c r="JGC324" s="363"/>
      <c r="JGD324" s="139"/>
      <c r="JGE324" s="139"/>
      <c r="JGF324" s="98"/>
      <c r="JGG324" s="79"/>
      <c r="JGH324" s="139"/>
      <c r="JGI324" s="139"/>
      <c r="JGJ324" s="138"/>
      <c r="JGK324" s="147"/>
      <c r="JGL324" s="147"/>
      <c r="JGM324" s="147"/>
      <c r="JGN324" s="138"/>
      <c r="JGO324" s="138"/>
      <c r="JGP324" s="147"/>
      <c r="JGQ324" s="148"/>
      <c r="JGR324" s="81"/>
      <c r="JGS324" s="140"/>
      <c r="JGT324" s="157"/>
      <c r="JGU324" s="157"/>
      <c r="JGV324" s="100"/>
      <c r="JGW324" s="79"/>
      <c r="JGX324" s="153"/>
      <c r="JGY324" s="137"/>
      <c r="JGZ324" s="158"/>
      <c r="JHA324" s="363"/>
      <c r="JHB324" s="139"/>
      <c r="JHC324" s="139"/>
      <c r="JHD324" s="98"/>
      <c r="JHE324" s="79"/>
      <c r="JHF324" s="139"/>
      <c r="JHG324" s="139"/>
      <c r="JHH324" s="138"/>
      <c r="JHI324" s="147"/>
      <c r="JHJ324" s="147"/>
      <c r="JHK324" s="147"/>
      <c r="JHL324" s="138"/>
      <c r="JHM324" s="138"/>
      <c r="JHN324" s="147"/>
      <c r="JHO324" s="148"/>
      <c r="JHP324" s="81"/>
      <c r="JHQ324" s="140"/>
      <c r="JHR324" s="157"/>
      <c r="JHS324" s="157"/>
      <c r="JHT324" s="100"/>
      <c r="JHU324" s="79"/>
      <c r="JHV324" s="153"/>
      <c r="JHW324" s="137"/>
      <c r="JHX324" s="158"/>
      <c r="JHY324" s="363"/>
      <c r="JHZ324" s="139"/>
      <c r="JIA324" s="139"/>
      <c r="JIB324" s="98"/>
      <c r="JIC324" s="79"/>
      <c r="JID324" s="139"/>
      <c r="JIE324" s="139"/>
      <c r="JIF324" s="138"/>
      <c r="JIG324" s="147"/>
      <c r="JIH324" s="147"/>
      <c r="JII324" s="147"/>
      <c r="JIJ324" s="138"/>
      <c r="JIK324" s="138"/>
      <c r="JIL324" s="147"/>
      <c r="JIM324" s="148"/>
      <c r="JIN324" s="81"/>
      <c r="JIO324" s="140"/>
      <c r="JIP324" s="157"/>
      <c r="JIQ324" s="157"/>
      <c r="JIR324" s="100"/>
      <c r="JIS324" s="79"/>
      <c r="JIT324" s="153"/>
      <c r="JIU324" s="137"/>
      <c r="JIV324" s="158"/>
      <c r="JIW324" s="363"/>
      <c r="JIX324" s="139"/>
      <c r="JIY324" s="139"/>
      <c r="JIZ324" s="98"/>
      <c r="JJA324" s="79"/>
      <c r="JJB324" s="139"/>
      <c r="JJC324" s="139"/>
      <c r="JJD324" s="138"/>
      <c r="JJE324" s="147"/>
      <c r="JJF324" s="147"/>
      <c r="JJG324" s="147"/>
      <c r="JJH324" s="138"/>
      <c r="JJI324" s="138"/>
      <c r="JJJ324" s="147"/>
      <c r="JJK324" s="148"/>
      <c r="JJL324" s="81"/>
      <c r="JJM324" s="140"/>
      <c r="JJN324" s="157"/>
      <c r="JJO324" s="157"/>
      <c r="JJP324" s="100"/>
      <c r="JJQ324" s="79"/>
      <c r="JJR324" s="153"/>
      <c r="JJS324" s="137"/>
      <c r="JJT324" s="158"/>
      <c r="JJU324" s="363"/>
      <c r="JJV324" s="139"/>
      <c r="JJW324" s="139"/>
      <c r="JJX324" s="98"/>
      <c r="JJY324" s="79"/>
      <c r="JJZ324" s="139"/>
      <c r="JKA324" s="139"/>
      <c r="JKB324" s="138"/>
      <c r="JKC324" s="147"/>
      <c r="JKD324" s="147"/>
      <c r="JKE324" s="147"/>
      <c r="JKF324" s="138"/>
      <c r="JKG324" s="138"/>
      <c r="JKH324" s="147"/>
      <c r="JKI324" s="148"/>
      <c r="JKJ324" s="81"/>
      <c r="JKK324" s="140"/>
      <c r="JKL324" s="157"/>
      <c r="JKM324" s="157"/>
      <c r="JKN324" s="100"/>
      <c r="JKO324" s="79"/>
      <c r="JKP324" s="153"/>
      <c r="JKQ324" s="137"/>
      <c r="JKR324" s="158"/>
      <c r="JKS324" s="363"/>
      <c r="JKT324" s="139"/>
      <c r="JKU324" s="139"/>
      <c r="JKV324" s="98"/>
      <c r="JKW324" s="79"/>
      <c r="JKX324" s="139"/>
      <c r="JKY324" s="139"/>
      <c r="JKZ324" s="138"/>
      <c r="JLA324" s="147"/>
      <c r="JLB324" s="147"/>
      <c r="JLC324" s="147"/>
      <c r="JLD324" s="138"/>
      <c r="JLE324" s="138"/>
      <c r="JLF324" s="147"/>
      <c r="JLG324" s="148"/>
      <c r="JLH324" s="81"/>
      <c r="JLI324" s="140"/>
      <c r="JLJ324" s="157"/>
      <c r="JLK324" s="157"/>
      <c r="JLL324" s="100"/>
      <c r="JLM324" s="79"/>
      <c r="JLN324" s="153"/>
      <c r="JLO324" s="137"/>
      <c r="JLP324" s="158"/>
      <c r="JLQ324" s="363"/>
      <c r="JLR324" s="139"/>
      <c r="JLS324" s="139"/>
      <c r="JLT324" s="98"/>
      <c r="JLU324" s="79"/>
      <c r="JLV324" s="139"/>
      <c r="JLW324" s="139"/>
      <c r="JLX324" s="138"/>
      <c r="JLY324" s="147"/>
      <c r="JLZ324" s="147"/>
      <c r="JMA324" s="147"/>
      <c r="JMB324" s="138"/>
      <c r="JMC324" s="138"/>
      <c r="JMD324" s="147"/>
      <c r="JME324" s="148"/>
      <c r="JMF324" s="81"/>
      <c r="JMG324" s="140"/>
      <c r="JMH324" s="157"/>
      <c r="JMI324" s="157"/>
      <c r="JMJ324" s="100"/>
      <c r="JMK324" s="79"/>
      <c r="JML324" s="153"/>
      <c r="JMM324" s="137"/>
      <c r="JMN324" s="158"/>
      <c r="JMO324" s="363"/>
      <c r="JMP324" s="139"/>
      <c r="JMQ324" s="139"/>
      <c r="JMR324" s="98"/>
      <c r="JMS324" s="79"/>
      <c r="JMT324" s="139"/>
      <c r="JMU324" s="139"/>
      <c r="JMV324" s="138"/>
      <c r="JMW324" s="147"/>
      <c r="JMX324" s="147"/>
      <c r="JMY324" s="147"/>
      <c r="JMZ324" s="138"/>
      <c r="JNA324" s="138"/>
      <c r="JNB324" s="147"/>
      <c r="JNC324" s="148"/>
      <c r="JND324" s="81"/>
      <c r="JNE324" s="140"/>
      <c r="JNF324" s="157"/>
      <c r="JNG324" s="157"/>
      <c r="JNH324" s="100"/>
      <c r="JNI324" s="79"/>
      <c r="JNJ324" s="153"/>
      <c r="JNK324" s="137"/>
      <c r="JNL324" s="158"/>
      <c r="JNM324" s="363"/>
      <c r="JNN324" s="139"/>
      <c r="JNO324" s="139"/>
      <c r="JNP324" s="98"/>
      <c r="JNQ324" s="79"/>
      <c r="JNR324" s="139"/>
      <c r="JNS324" s="139"/>
      <c r="JNT324" s="138"/>
      <c r="JNU324" s="147"/>
      <c r="JNV324" s="147"/>
      <c r="JNW324" s="147"/>
      <c r="JNX324" s="138"/>
      <c r="JNY324" s="138"/>
      <c r="JNZ324" s="147"/>
      <c r="JOA324" s="148"/>
      <c r="JOB324" s="81"/>
      <c r="JOC324" s="140"/>
      <c r="JOD324" s="157"/>
      <c r="JOE324" s="157"/>
      <c r="JOF324" s="100"/>
      <c r="JOG324" s="79"/>
      <c r="JOH324" s="153"/>
      <c r="JOI324" s="137"/>
      <c r="JOJ324" s="158"/>
      <c r="JOK324" s="363"/>
      <c r="JOL324" s="139"/>
      <c r="JOM324" s="139"/>
      <c r="JON324" s="98"/>
      <c r="JOO324" s="79"/>
      <c r="JOP324" s="139"/>
      <c r="JOQ324" s="139"/>
      <c r="JOR324" s="138"/>
      <c r="JOS324" s="147"/>
      <c r="JOT324" s="147"/>
      <c r="JOU324" s="147"/>
      <c r="JOV324" s="138"/>
      <c r="JOW324" s="138"/>
      <c r="JOX324" s="147"/>
      <c r="JOY324" s="148"/>
      <c r="JOZ324" s="81"/>
      <c r="JPA324" s="140"/>
      <c r="JPB324" s="157"/>
      <c r="JPC324" s="157"/>
      <c r="JPD324" s="100"/>
      <c r="JPE324" s="79"/>
      <c r="JPF324" s="153"/>
      <c r="JPG324" s="137"/>
      <c r="JPH324" s="158"/>
      <c r="JPI324" s="363"/>
      <c r="JPJ324" s="139"/>
      <c r="JPK324" s="139"/>
      <c r="JPL324" s="98"/>
      <c r="JPM324" s="79"/>
      <c r="JPN324" s="139"/>
      <c r="JPO324" s="139"/>
      <c r="JPP324" s="138"/>
      <c r="JPQ324" s="147"/>
      <c r="JPR324" s="147"/>
      <c r="JPS324" s="147"/>
      <c r="JPT324" s="138"/>
      <c r="JPU324" s="138"/>
      <c r="JPV324" s="147"/>
      <c r="JPW324" s="148"/>
      <c r="JPX324" s="81"/>
      <c r="JPY324" s="140"/>
      <c r="JPZ324" s="157"/>
      <c r="JQA324" s="157"/>
      <c r="JQB324" s="100"/>
      <c r="JQC324" s="79"/>
      <c r="JQD324" s="153"/>
      <c r="JQE324" s="137"/>
      <c r="JQF324" s="158"/>
      <c r="JQG324" s="363"/>
      <c r="JQH324" s="139"/>
      <c r="JQI324" s="139"/>
      <c r="JQJ324" s="98"/>
      <c r="JQK324" s="79"/>
      <c r="JQL324" s="139"/>
      <c r="JQM324" s="139"/>
      <c r="JQN324" s="138"/>
      <c r="JQO324" s="147"/>
      <c r="JQP324" s="147"/>
      <c r="JQQ324" s="147"/>
      <c r="JQR324" s="138"/>
      <c r="JQS324" s="138"/>
      <c r="JQT324" s="147"/>
      <c r="JQU324" s="148"/>
      <c r="JQV324" s="81"/>
      <c r="JQW324" s="140"/>
      <c r="JQX324" s="157"/>
      <c r="JQY324" s="157"/>
      <c r="JQZ324" s="100"/>
      <c r="JRA324" s="79"/>
      <c r="JRB324" s="153"/>
      <c r="JRC324" s="137"/>
      <c r="JRD324" s="158"/>
      <c r="JRE324" s="363"/>
      <c r="JRF324" s="139"/>
      <c r="JRG324" s="139"/>
      <c r="JRH324" s="98"/>
      <c r="JRI324" s="79"/>
      <c r="JRJ324" s="139"/>
      <c r="JRK324" s="139"/>
      <c r="JRL324" s="138"/>
      <c r="JRM324" s="147"/>
      <c r="JRN324" s="147"/>
      <c r="JRO324" s="147"/>
      <c r="JRP324" s="138"/>
      <c r="JRQ324" s="138"/>
      <c r="JRR324" s="147"/>
      <c r="JRS324" s="148"/>
      <c r="JRT324" s="81"/>
      <c r="JRU324" s="140"/>
      <c r="JRV324" s="157"/>
      <c r="JRW324" s="157"/>
      <c r="JRX324" s="100"/>
      <c r="JRY324" s="79"/>
      <c r="JRZ324" s="153"/>
      <c r="JSA324" s="137"/>
      <c r="JSB324" s="158"/>
      <c r="JSC324" s="363"/>
      <c r="JSD324" s="139"/>
      <c r="JSE324" s="139"/>
      <c r="JSF324" s="98"/>
      <c r="JSG324" s="79"/>
      <c r="JSH324" s="139"/>
      <c r="JSI324" s="139"/>
      <c r="JSJ324" s="138"/>
      <c r="JSK324" s="147"/>
      <c r="JSL324" s="147"/>
      <c r="JSM324" s="147"/>
      <c r="JSN324" s="138"/>
      <c r="JSO324" s="138"/>
      <c r="JSP324" s="147"/>
      <c r="JSQ324" s="148"/>
      <c r="JSR324" s="81"/>
      <c r="JSS324" s="140"/>
      <c r="JST324" s="157"/>
      <c r="JSU324" s="157"/>
      <c r="JSV324" s="100"/>
      <c r="JSW324" s="79"/>
      <c r="JSX324" s="153"/>
      <c r="JSY324" s="137"/>
      <c r="JSZ324" s="158"/>
      <c r="JTA324" s="363"/>
      <c r="JTB324" s="139"/>
      <c r="JTC324" s="139"/>
      <c r="JTD324" s="98"/>
      <c r="JTE324" s="79"/>
      <c r="JTF324" s="139"/>
      <c r="JTG324" s="139"/>
      <c r="JTH324" s="138"/>
      <c r="JTI324" s="147"/>
      <c r="JTJ324" s="147"/>
      <c r="JTK324" s="147"/>
      <c r="JTL324" s="138"/>
      <c r="JTM324" s="138"/>
      <c r="JTN324" s="147"/>
      <c r="JTO324" s="148"/>
      <c r="JTP324" s="81"/>
      <c r="JTQ324" s="140"/>
      <c r="JTR324" s="157"/>
      <c r="JTS324" s="157"/>
      <c r="JTT324" s="100"/>
      <c r="JTU324" s="79"/>
      <c r="JTV324" s="153"/>
      <c r="JTW324" s="137"/>
      <c r="JTX324" s="158"/>
      <c r="JTY324" s="363"/>
      <c r="JTZ324" s="139"/>
      <c r="JUA324" s="139"/>
      <c r="JUB324" s="98"/>
      <c r="JUC324" s="79"/>
      <c r="JUD324" s="139"/>
      <c r="JUE324" s="139"/>
      <c r="JUF324" s="138"/>
      <c r="JUG324" s="147"/>
      <c r="JUH324" s="147"/>
      <c r="JUI324" s="147"/>
      <c r="JUJ324" s="138"/>
      <c r="JUK324" s="138"/>
      <c r="JUL324" s="147"/>
      <c r="JUM324" s="148"/>
      <c r="JUN324" s="81"/>
      <c r="JUO324" s="140"/>
      <c r="JUP324" s="157"/>
      <c r="JUQ324" s="157"/>
      <c r="JUR324" s="100"/>
      <c r="JUS324" s="79"/>
      <c r="JUT324" s="153"/>
      <c r="JUU324" s="137"/>
      <c r="JUV324" s="158"/>
      <c r="JUW324" s="363"/>
      <c r="JUX324" s="139"/>
      <c r="JUY324" s="139"/>
      <c r="JUZ324" s="98"/>
      <c r="JVA324" s="79"/>
      <c r="JVB324" s="139"/>
      <c r="JVC324" s="139"/>
      <c r="JVD324" s="138"/>
      <c r="JVE324" s="147"/>
      <c r="JVF324" s="147"/>
      <c r="JVG324" s="147"/>
      <c r="JVH324" s="138"/>
      <c r="JVI324" s="138"/>
      <c r="JVJ324" s="147"/>
      <c r="JVK324" s="148"/>
      <c r="JVL324" s="81"/>
      <c r="JVM324" s="140"/>
      <c r="JVN324" s="157"/>
      <c r="JVO324" s="157"/>
      <c r="JVP324" s="100"/>
      <c r="JVQ324" s="79"/>
      <c r="JVR324" s="153"/>
      <c r="JVS324" s="137"/>
      <c r="JVT324" s="158"/>
      <c r="JVU324" s="363"/>
      <c r="JVV324" s="139"/>
      <c r="JVW324" s="139"/>
      <c r="JVX324" s="98"/>
      <c r="JVY324" s="79"/>
      <c r="JVZ324" s="139"/>
      <c r="JWA324" s="139"/>
      <c r="JWB324" s="138"/>
      <c r="JWC324" s="147"/>
      <c r="JWD324" s="147"/>
      <c r="JWE324" s="147"/>
      <c r="JWF324" s="138"/>
      <c r="JWG324" s="138"/>
      <c r="JWH324" s="147"/>
      <c r="JWI324" s="148"/>
      <c r="JWJ324" s="81"/>
      <c r="JWK324" s="140"/>
      <c r="JWL324" s="157"/>
      <c r="JWM324" s="157"/>
      <c r="JWN324" s="100"/>
      <c r="JWO324" s="79"/>
      <c r="JWP324" s="153"/>
      <c r="JWQ324" s="137"/>
      <c r="JWR324" s="158"/>
      <c r="JWS324" s="363"/>
      <c r="JWT324" s="139"/>
      <c r="JWU324" s="139"/>
      <c r="JWV324" s="98"/>
      <c r="JWW324" s="79"/>
      <c r="JWX324" s="139"/>
      <c r="JWY324" s="139"/>
      <c r="JWZ324" s="138"/>
      <c r="JXA324" s="147"/>
      <c r="JXB324" s="147"/>
      <c r="JXC324" s="147"/>
      <c r="JXD324" s="138"/>
      <c r="JXE324" s="138"/>
      <c r="JXF324" s="147"/>
      <c r="JXG324" s="148"/>
      <c r="JXH324" s="81"/>
      <c r="JXI324" s="140"/>
      <c r="JXJ324" s="157"/>
      <c r="JXK324" s="157"/>
      <c r="JXL324" s="100"/>
      <c r="JXM324" s="79"/>
      <c r="JXN324" s="153"/>
      <c r="JXO324" s="137"/>
      <c r="JXP324" s="158"/>
      <c r="JXQ324" s="363"/>
      <c r="JXR324" s="139"/>
      <c r="JXS324" s="139"/>
      <c r="JXT324" s="98"/>
      <c r="JXU324" s="79"/>
      <c r="JXV324" s="139"/>
      <c r="JXW324" s="139"/>
      <c r="JXX324" s="138"/>
      <c r="JXY324" s="147"/>
      <c r="JXZ324" s="147"/>
      <c r="JYA324" s="147"/>
      <c r="JYB324" s="138"/>
      <c r="JYC324" s="138"/>
      <c r="JYD324" s="147"/>
      <c r="JYE324" s="148"/>
      <c r="JYF324" s="81"/>
      <c r="JYG324" s="140"/>
      <c r="JYH324" s="157"/>
      <c r="JYI324" s="157"/>
      <c r="JYJ324" s="100"/>
      <c r="JYK324" s="79"/>
      <c r="JYL324" s="153"/>
      <c r="JYM324" s="137"/>
      <c r="JYN324" s="158"/>
      <c r="JYO324" s="363"/>
      <c r="JYP324" s="139"/>
      <c r="JYQ324" s="139"/>
      <c r="JYR324" s="98"/>
      <c r="JYS324" s="79"/>
      <c r="JYT324" s="139"/>
      <c r="JYU324" s="139"/>
      <c r="JYV324" s="138"/>
      <c r="JYW324" s="147"/>
      <c r="JYX324" s="147"/>
      <c r="JYY324" s="147"/>
      <c r="JYZ324" s="138"/>
      <c r="JZA324" s="138"/>
      <c r="JZB324" s="147"/>
      <c r="JZC324" s="148"/>
      <c r="JZD324" s="81"/>
      <c r="JZE324" s="140"/>
      <c r="JZF324" s="157"/>
      <c r="JZG324" s="157"/>
      <c r="JZH324" s="100"/>
      <c r="JZI324" s="79"/>
      <c r="JZJ324" s="153"/>
      <c r="JZK324" s="137"/>
      <c r="JZL324" s="158"/>
      <c r="JZM324" s="363"/>
      <c r="JZN324" s="139"/>
      <c r="JZO324" s="139"/>
      <c r="JZP324" s="98"/>
      <c r="JZQ324" s="79"/>
      <c r="JZR324" s="139"/>
      <c r="JZS324" s="139"/>
      <c r="JZT324" s="138"/>
      <c r="JZU324" s="147"/>
      <c r="JZV324" s="147"/>
      <c r="JZW324" s="147"/>
      <c r="JZX324" s="138"/>
      <c r="JZY324" s="138"/>
      <c r="JZZ324" s="147"/>
      <c r="KAA324" s="148"/>
      <c r="KAB324" s="81"/>
      <c r="KAC324" s="140"/>
      <c r="KAD324" s="157"/>
      <c r="KAE324" s="157"/>
      <c r="KAF324" s="100"/>
      <c r="KAG324" s="79"/>
      <c r="KAH324" s="153"/>
      <c r="KAI324" s="137"/>
      <c r="KAJ324" s="158"/>
      <c r="KAK324" s="363"/>
      <c r="KAL324" s="139"/>
      <c r="KAM324" s="139"/>
      <c r="KAN324" s="98"/>
      <c r="KAO324" s="79"/>
      <c r="KAP324" s="139"/>
      <c r="KAQ324" s="139"/>
      <c r="KAR324" s="138"/>
      <c r="KAS324" s="147"/>
      <c r="KAT324" s="147"/>
      <c r="KAU324" s="147"/>
      <c r="KAV324" s="138"/>
      <c r="KAW324" s="138"/>
      <c r="KAX324" s="147"/>
      <c r="KAY324" s="148"/>
      <c r="KAZ324" s="81"/>
      <c r="KBA324" s="140"/>
      <c r="KBB324" s="157"/>
      <c r="KBC324" s="157"/>
      <c r="KBD324" s="100"/>
      <c r="KBE324" s="79"/>
      <c r="KBF324" s="153"/>
      <c r="KBG324" s="137"/>
      <c r="KBH324" s="158"/>
      <c r="KBI324" s="363"/>
      <c r="KBJ324" s="139"/>
      <c r="KBK324" s="139"/>
      <c r="KBL324" s="98"/>
      <c r="KBM324" s="79"/>
      <c r="KBN324" s="139"/>
      <c r="KBO324" s="139"/>
      <c r="KBP324" s="138"/>
      <c r="KBQ324" s="147"/>
      <c r="KBR324" s="147"/>
      <c r="KBS324" s="147"/>
      <c r="KBT324" s="138"/>
      <c r="KBU324" s="138"/>
      <c r="KBV324" s="147"/>
      <c r="KBW324" s="148"/>
      <c r="KBX324" s="81"/>
      <c r="KBY324" s="140"/>
      <c r="KBZ324" s="157"/>
      <c r="KCA324" s="157"/>
      <c r="KCB324" s="100"/>
      <c r="KCC324" s="79"/>
      <c r="KCD324" s="153"/>
      <c r="KCE324" s="137"/>
      <c r="KCF324" s="158"/>
      <c r="KCG324" s="363"/>
      <c r="KCH324" s="139"/>
      <c r="KCI324" s="139"/>
      <c r="KCJ324" s="98"/>
      <c r="KCK324" s="79"/>
      <c r="KCL324" s="139"/>
      <c r="KCM324" s="139"/>
      <c r="KCN324" s="138"/>
      <c r="KCO324" s="147"/>
      <c r="KCP324" s="147"/>
      <c r="KCQ324" s="147"/>
      <c r="KCR324" s="138"/>
      <c r="KCS324" s="138"/>
      <c r="KCT324" s="147"/>
      <c r="KCU324" s="148"/>
      <c r="KCV324" s="81"/>
      <c r="KCW324" s="140"/>
      <c r="KCX324" s="157"/>
      <c r="KCY324" s="157"/>
      <c r="KCZ324" s="100"/>
      <c r="KDA324" s="79"/>
      <c r="KDB324" s="153"/>
      <c r="KDC324" s="137"/>
      <c r="KDD324" s="158"/>
      <c r="KDE324" s="363"/>
      <c r="KDF324" s="139"/>
      <c r="KDG324" s="139"/>
      <c r="KDH324" s="98"/>
      <c r="KDI324" s="79"/>
      <c r="KDJ324" s="139"/>
      <c r="KDK324" s="139"/>
      <c r="KDL324" s="138"/>
      <c r="KDM324" s="147"/>
      <c r="KDN324" s="147"/>
      <c r="KDO324" s="147"/>
      <c r="KDP324" s="138"/>
      <c r="KDQ324" s="138"/>
      <c r="KDR324" s="147"/>
      <c r="KDS324" s="148"/>
      <c r="KDT324" s="81"/>
      <c r="KDU324" s="140"/>
      <c r="KDV324" s="157"/>
      <c r="KDW324" s="157"/>
      <c r="KDX324" s="100"/>
      <c r="KDY324" s="79"/>
      <c r="KDZ324" s="153"/>
      <c r="KEA324" s="137"/>
      <c r="KEB324" s="158"/>
      <c r="KEC324" s="363"/>
      <c r="KED324" s="139"/>
      <c r="KEE324" s="139"/>
      <c r="KEF324" s="98"/>
      <c r="KEG324" s="79"/>
      <c r="KEH324" s="139"/>
      <c r="KEI324" s="139"/>
      <c r="KEJ324" s="138"/>
      <c r="KEK324" s="147"/>
      <c r="KEL324" s="147"/>
      <c r="KEM324" s="147"/>
      <c r="KEN324" s="138"/>
      <c r="KEO324" s="138"/>
      <c r="KEP324" s="147"/>
      <c r="KEQ324" s="148"/>
      <c r="KER324" s="81"/>
      <c r="KES324" s="140"/>
      <c r="KET324" s="157"/>
      <c r="KEU324" s="157"/>
      <c r="KEV324" s="100"/>
      <c r="KEW324" s="79"/>
      <c r="KEX324" s="153"/>
      <c r="KEY324" s="137"/>
      <c r="KEZ324" s="158"/>
      <c r="KFA324" s="363"/>
      <c r="KFB324" s="139"/>
      <c r="KFC324" s="139"/>
      <c r="KFD324" s="98"/>
      <c r="KFE324" s="79"/>
      <c r="KFF324" s="139"/>
      <c r="KFG324" s="139"/>
      <c r="KFH324" s="138"/>
      <c r="KFI324" s="147"/>
      <c r="KFJ324" s="147"/>
      <c r="KFK324" s="147"/>
      <c r="KFL324" s="138"/>
      <c r="KFM324" s="138"/>
      <c r="KFN324" s="147"/>
      <c r="KFO324" s="148"/>
      <c r="KFP324" s="81"/>
      <c r="KFQ324" s="140"/>
      <c r="KFR324" s="157"/>
      <c r="KFS324" s="157"/>
      <c r="KFT324" s="100"/>
      <c r="KFU324" s="79"/>
      <c r="KFV324" s="153"/>
      <c r="KFW324" s="137"/>
      <c r="KFX324" s="158"/>
      <c r="KFY324" s="363"/>
      <c r="KFZ324" s="139"/>
      <c r="KGA324" s="139"/>
      <c r="KGB324" s="98"/>
      <c r="KGC324" s="79"/>
      <c r="KGD324" s="139"/>
      <c r="KGE324" s="139"/>
      <c r="KGF324" s="138"/>
      <c r="KGG324" s="147"/>
      <c r="KGH324" s="147"/>
      <c r="KGI324" s="147"/>
      <c r="KGJ324" s="138"/>
      <c r="KGK324" s="138"/>
      <c r="KGL324" s="147"/>
      <c r="KGM324" s="148"/>
      <c r="KGN324" s="81"/>
      <c r="KGO324" s="140"/>
      <c r="KGP324" s="157"/>
      <c r="KGQ324" s="157"/>
      <c r="KGR324" s="100"/>
      <c r="KGS324" s="79"/>
      <c r="KGT324" s="153"/>
      <c r="KGU324" s="137"/>
      <c r="KGV324" s="158"/>
      <c r="KGW324" s="363"/>
      <c r="KGX324" s="139"/>
      <c r="KGY324" s="139"/>
      <c r="KGZ324" s="98"/>
      <c r="KHA324" s="79"/>
      <c r="KHB324" s="139"/>
      <c r="KHC324" s="139"/>
      <c r="KHD324" s="138"/>
      <c r="KHE324" s="147"/>
      <c r="KHF324" s="147"/>
      <c r="KHG324" s="147"/>
      <c r="KHH324" s="138"/>
      <c r="KHI324" s="138"/>
      <c r="KHJ324" s="147"/>
      <c r="KHK324" s="148"/>
      <c r="KHL324" s="81"/>
      <c r="KHM324" s="140"/>
      <c r="KHN324" s="157"/>
      <c r="KHO324" s="157"/>
      <c r="KHP324" s="100"/>
      <c r="KHQ324" s="79"/>
      <c r="KHR324" s="153"/>
      <c r="KHS324" s="137"/>
      <c r="KHT324" s="158"/>
      <c r="KHU324" s="363"/>
      <c r="KHV324" s="139"/>
      <c r="KHW324" s="139"/>
      <c r="KHX324" s="98"/>
      <c r="KHY324" s="79"/>
      <c r="KHZ324" s="139"/>
      <c r="KIA324" s="139"/>
      <c r="KIB324" s="138"/>
      <c r="KIC324" s="147"/>
      <c r="KID324" s="147"/>
      <c r="KIE324" s="147"/>
      <c r="KIF324" s="138"/>
      <c r="KIG324" s="138"/>
      <c r="KIH324" s="147"/>
      <c r="KII324" s="148"/>
      <c r="KIJ324" s="81"/>
      <c r="KIK324" s="140"/>
      <c r="KIL324" s="157"/>
      <c r="KIM324" s="157"/>
      <c r="KIN324" s="100"/>
      <c r="KIO324" s="79"/>
      <c r="KIP324" s="153"/>
      <c r="KIQ324" s="137"/>
      <c r="KIR324" s="158"/>
      <c r="KIS324" s="363"/>
      <c r="KIT324" s="139"/>
      <c r="KIU324" s="139"/>
      <c r="KIV324" s="98"/>
      <c r="KIW324" s="79"/>
      <c r="KIX324" s="139"/>
      <c r="KIY324" s="139"/>
      <c r="KIZ324" s="138"/>
      <c r="KJA324" s="147"/>
      <c r="KJB324" s="147"/>
      <c r="KJC324" s="147"/>
      <c r="KJD324" s="138"/>
      <c r="KJE324" s="138"/>
      <c r="KJF324" s="147"/>
      <c r="KJG324" s="148"/>
      <c r="KJH324" s="81"/>
      <c r="KJI324" s="140"/>
      <c r="KJJ324" s="157"/>
      <c r="KJK324" s="157"/>
      <c r="KJL324" s="100"/>
      <c r="KJM324" s="79"/>
      <c r="KJN324" s="153"/>
      <c r="KJO324" s="137"/>
      <c r="KJP324" s="158"/>
      <c r="KJQ324" s="363"/>
      <c r="KJR324" s="139"/>
      <c r="KJS324" s="139"/>
      <c r="KJT324" s="98"/>
      <c r="KJU324" s="79"/>
      <c r="KJV324" s="139"/>
      <c r="KJW324" s="139"/>
      <c r="KJX324" s="138"/>
      <c r="KJY324" s="147"/>
      <c r="KJZ324" s="147"/>
      <c r="KKA324" s="147"/>
      <c r="KKB324" s="138"/>
      <c r="KKC324" s="138"/>
      <c r="KKD324" s="147"/>
      <c r="KKE324" s="148"/>
      <c r="KKF324" s="81"/>
      <c r="KKG324" s="140"/>
      <c r="KKH324" s="157"/>
      <c r="KKI324" s="157"/>
      <c r="KKJ324" s="100"/>
      <c r="KKK324" s="79"/>
      <c r="KKL324" s="153"/>
      <c r="KKM324" s="137"/>
      <c r="KKN324" s="158"/>
      <c r="KKO324" s="363"/>
      <c r="KKP324" s="139"/>
      <c r="KKQ324" s="139"/>
      <c r="KKR324" s="98"/>
      <c r="KKS324" s="79"/>
      <c r="KKT324" s="139"/>
      <c r="KKU324" s="139"/>
      <c r="KKV324" s="138"/>
      <c r="KKW324" s="147"/>
      <c r="KKX324" s="147"/>
      <c r="KKY324" s="147"/>
      <c r="KKZ324" s="138"/>
      <c r="KLA324" s="138"/>
      <c r="KLB324" s="147"/>
      <c r="KLC324" s="148"/>
      <c r="KLD324" s="81"/>
      <c r="KLE324" s="140"/>
      <c r="KLF324" s="157"/>
      <c r="KLG324" s="157"/>
      <c r="KLH324" s="100"/>
      <c r="KLI324" s="79"/>
      <c r="KLJ324" s="153"/>
      <c r="KLK324" s="137"/>
      <c r="KLL324" s="158"/>
      <c r="KLM324" s="363"/>
      <c r="KLN324" s="139"/>
      <c r="KLO324" s="139"/>
      <c r="KLP324" s="98"/>
      <c r="KLQ324" s="79"/>
      <c r="KLR324" s="139"/>
      <c r="KLS324" s="139"/>
      <c r="KLT324" s="138"/>
      <c r="KLU324" s="147"/>
      <c r="KLV324" s="147"/>
      <c r="KLW324" s="147"/>
      <c r="KLX324" s="138"/>
      <c r="KLY324" s="138"/>
      <c r="KLZ324" s="147"/>
      <c r="KMA324" s="148"/>
      <c r="KMB324" s="81"/>
      <c r="KMC324" s="140"/>
      <c r="KMD324" s="157"/>
      <c r="KME324" s="157"/>
      <c r="KMF324" s="100"/>
      <c r="KMG324" s="79"/>
      <c r="KMH324" s="153"/>
      <c r="KMI324" s="137"/>
      <c r="KMJ324" s="158"/>
      <c r="KMK324" s="363"/>
      <c r="KML324" s="139"/>
      <c r="KMM324" s="139"/>
      <c r="KMN324" s="98"/>
      <c r="KMO324" s="79"/>
      <c r="KMP324" s="139"/>
      <c r="KMQ324" s="139"/>
      <c r="KMR324" s="138"/>
      <c r="KMS324" s="147"/>
      <c r="KMT324" s="147"/>
      <c r="KMU324" s="147"/>
      <c r="KMV324" s="138"/>
      <c r="KMW324" s="138"/>
      <c r="KMX324" s="147"/>
      <c r="KMY324" s="148"/>
      <c r="KMZ324" s="81"/>
      <c r="KNA324" s="140"/>
      <c r="KNB324" s="157"/>
      <c r="KNC324" s="157"/>
      <c r="KND324" s="100"/>
      <c r="KNE324" s="79"/>
      <c r="KNF324" s="153"/>
      <c r="KNG324" s="137"/>
      <c r="KNH324" s="158"/>
      <c r="KNI324" s="363"/>
      <c r="KNJ324" s="139"/>
      <c r="KNK324" s="139"/>
      <c r="KNL324" s="98"/>
      <c r="KNM324" s="79"/>
      <c r="KNN324" s="139"/>
      <c r="KNO324" s="139"/>
      <c r="KNP324" s="138"/>
      <c r="KNQ324" s="147"/>
      <c r="KNR324" s="147"/>
      <c r="KNS324" s="147"/>
      <c r="KNT324" s="138"/>
      <c r="KNU324" s="138"/>
      <c r="KNV324" s="147"/>
      <c r="KNW324" s="148"/>
      <c r="KNX324" s="81"/>
      <c r="KNY324" s="140"/>
      <c r="KNZ324" s="157"/>
      <c r="KOA324" s="157"/>
      <c r="KOB324" s="100"/>
      <c r="KOC324" s="79"/>
      <c r="KOD324" s="153"/>
      <c r="KOE324" s="137"/>
      <c r="KOF324" s="158"/>
      <c r="KOG324" s="363"/>
      <c r="KOH324" s="139"/>
      <c r="KOI324" s="139"/>
      <c r="KOJ324" s="98"/>
      <c r="KOK324" s="79"/>
      <c r="KOL324" s="139"/>
      <c r="KOM324" s="139"/>
      <c r="KON324" s="138"/>
      <c r="KOO324" s="147"/>
      <c r="KOP324" s="147"/>
      <c r="KOQ324" s="147"/>
      <c r="KOR324" s="138"/>
      <c r="KOS324" s="138"/>
      <c r="KOT324" s="147"/>
      <c r="KOU324" s="148"/>
      <c r="KOV324" s="81"/>
      <c r="KOW324" s="140"/>
      <c r="KOX324" s="157"/>
      <c r="KOY324" s="157"/>
      <c r="KOZ324" s="100"/>
      <c r="KPA324" s="79"/>
      <c r="KPB324" s="153"/>
      <c r="KPC324" s="137"/>
      <c r="KPD324" s="158"/>
      <c r="KPE324" s="363"/>
      <c r="KPF324" s="139"/>
      <c r="KPG324" s="139"/>
      <c r="KPH324" s="98"/>
      <c r="KPI324" s="79"/>
      <c r="KPJ324" s="139"/>
      <c r="KPK324" s="139"/>
      <c r="KPL324" s="138"/>
      <c r="KPM324" s="147"/>
      <c r="KPN324" s="147"/>
      <c r="KPO324" s="147"/>
      <c r="KPP324" s="138"/>
      <c r="KPQ324" s="138"/>
      <c r="KPR324" s="147"/>
      <c r="KPS324" s="148"/>
      <c r="KPT324" s="81"/>
      <c r="KPU324" s="140"/>
      <c r="KPV324" s="157"/>
      <c r="KPW324" s="157"/>
      <c r="KPX324" s="100"/>
      <c r="KPY324" s="79"/>
      <c r="KPZ324" s="153"/>
      <c r="KQA324" s="137"/>
      <c r="KQB324" s="158"/>
      <c r="KQC324" s="363"/>
      <c r="KQD324" s="139"/>
      <c r="KQE324" s="139"/>
      <c r="KQF324" s="98"/>
      <c r="KQG324" s="79"/>
      <c r="KQH324" s="139"/>
      <c r="KQI324" s="139"/>
      <c r="KQJ324" s="138"/>
      <c r="KQK324" s="147"/>
      <c r="KQL324" s="147"/>
      <c r="KQM324" s="147"/>
      <c r="KQN324" s="138"/>
      <c r="KQO324" s="138"/>
      <c r="KQP324" s="147"/>
      <c r="KQQ324" s="148"/>
      <c r="KQR324" s="81"/>
      <c r="KQS324" s="140"/>
      <c r="KQT324" s="157"/>
      <c r="KQU324" s="157"/>
      <c r="KQV324" s="100"/>
      <c r="KQW324" s="79"/>
      <c r="KQX324" s="153"/>
      <c r="KQY324" s="137"/>
      <c r="KQZ324" s="158"/>
      <c r="KRA324" s="363"/>
      <c r="KRB324" s="139"/>
      <c r="KRC324" s="139"/>
      <c r="KRD324" s="98"/>
      <c r="KRE324" s="79"/>
      <c r="KRF324" s="139"/>
      <c r="KRG324" s="139"/>
      <c r="KRH324" s="138"/>
      <c r="KRI324" s="147"/>
      <c r="KRJ324" s="147"/>
      <c r="KRK324" s="147"/>
      <c r="KRL324" s="138"/>
      <c r="KRM324" s="138"/>
      <c r="KRN324" s="147"/>
      <c r="KRO324" s="148"/>
      <c r="KRP324" s="81"/>
      <c r="KRQ324" s="140"/>
      <c r="KRR324" s="157"/>
      <c r="KRS324" s="157"/>
      <c r="KRT324" s="100"/>
      <c r="KRU324" s="79"/>
      <c r="KRV324" s="153"/>
      <c r="KRW324" s="137"/>
      <c r="KRX324" s="158"/>
      <c r="KRY324" s="363"/>
      <c r="KRZ324" s="139"/>
      <c r="KSA324" s="139"/>
      <c r="KSB324" s="98"/>
      <c r="KSC324" s="79"/>
      <c r="KSD324" s="139"/>
      <c r="KSE324" s="139"/>
      <c r="KSF324" s="138"/>
      <c r="KSG324" s="147"/>
      <c r="KSH324" s="147"/>
      <c r="KSI324" s="147"/>
      <c r="KSJ324" s="138"/>
      <c r="KSK324" s="138"/>
      <c r="KSL324" s="147"/>
      <c r="KSM324" s="148"/>
      <c r="KSN324" s="81"/>
      <c r="KSO324" s="140"/>
      <c r="KSP324" s="157"/>
      <c r="KSQ324" s="157"/>
      <c r="KSR324" s="100"/>
      <c r="KSS324" s="79"/>
      <c r="KST324" s="153"/>
      <c r="KSU324" s="137"/>
      <c r="KSV324" s="158"/>
      <c r="KSW324" s="363"/>
      <c r="KSX324" s="139"/>
      <c r="KSY324" s="139"/>
      <c r="KSZ324" s="98"/>
      <c r="KTA324" s="79"/>
      <c r="KTB324" s="139"/>
      <c r="KTC324" s="139"/>
      <c r="KTD324" s="138"/>
      <c r="KTE324" s="147"/>
      <c r="KTF324" s="147"/>
      <c r="KTG324" s="147"/>
      <c r="KTH324" s="138"/>
      <c r="KTI324" s="138"/>
      <c r="KTJ324" s="147"/>
      <c r="KTK324" s="148"/>
      <c r="KTL324" s="81"/>
      <c r="KTM324" s="140"/>
      <c r="KTN324" s="157"/>
      <c r="KTO324" s="157"/>
      <c r="KTP324" s="100"/>
      <c r="KTQ324" s="79"/>
      <c r="KTR324" s="153"/>
      <c r="KTS324" s="137"/>
      <c r="KTT324" s="158"/>
      <c r="KTU324" s="363"/>
      <c r="KTV324" s="139"/>
      <c r="KTW324" s="139"/>
      <c r="KTX324" s="98"/>
      <c r="KTY324" s="79"/>
      <c r="KTZ324" s="139"/>
      <c r="KUA324" s="139"/>
      <c r="KUB324" s="138"/>
      <c r="KUC324" s="147"/>
      <c r="KUD324" s="147"/>
      <c r="KUE324" s="147"/>
      <c r="KUF324" s="138"/>
      <c r="KUG324" s="138"/>
      <c r="KUH324" s="147"/>
      <c r="KUI324" s="148"/>
      <c r="KUJ324" s="81"/>
      <c r="KUK324" s="140"/>
      <c r="KUL324" s="157"/>
      <c r="KUM324" s="157"/>
      <c r="KUN324" s="100"/>
      <c r="KUO324" s="79"/>
      <c r="KUP324" s="153"/>
      <c r="KUQ324" s="137"/>
      <c r="KUR324" s="158"/>
      <c r="KUS324" s="363"/>
      <c r="KUT324" s="139"/>
      <c r="KUU324" s="139"/>
      <c r="KUV324" s="98"/>
      <c r="KUW324" s="79"/>
      <c r="KUX324" s="139"/>
      <c r="KUY324" s="139"/>
      <c r="KUZ324" s="138"/>
      <c r="KVA324" s="147"/>
      <c r="KVB324" s="147"/>
      <c r="KVC324" s="147"/>
      <c r="KVD324" s="138"/>
      <c r="KVE324" s="138"/>
      <c r="KVF324" s="147"/>
      <c r="KVG324" s="148"/>
      <c r="KVH324" s="81"/>
      <c r="KVI324" s="140"/>
      <c r="KVJ324" s="157"/>
      <c r="KVK324" s="157"/>
      <c r="KVL324" s="100"/>
      <c r="KVM324" s="79"/>
      <c r="KVN324" s="153"/>
      <c r="KVO324" s="137"/>
      <c r="KVP324" s="158"/>
      <c r="KVQ324" s="363"/>
      <c r="KVR324" s="139"/>
      <c r="KVS324" s="139"/>
      <c r="KVT324" s="98"/>
      <c r="KVU324" s="79"/>
      <c r="KVV324" s="139"/>
      <c r="KVW324" s="139"/>
      <c r="KVX324" s="138"/>
      <c r="KVY324" s="147"/>
      <c r="KVZ324" s="147"/>
      <c r="KWA324" s="147"/>
      <c r="KWB324" s="138"/>
      <c r="KWC324" s="138"/>
      <c r="KWD324" s="147"/>
      <c r="KWE324" s="148"/>
      <c r="KWF324" s="81"/>
      <c r="KWG324" s="140"/>
      <c r="KWH324" s="157"/>
      <c r="KWI324" s="157"/>
      <c r="KWJ324" s="100"/>
      <c r="KWK324" s="79"/>
      <c r="KWL324" s="153"/>
      <c r="KWM324" s="137"/>
      <c r="KWN324" s="158"/>
      <c r="KWO324" s="363"/>
      <c r="KWP324" s="139"/>
      <c r="KWQ324" s="139"/>
      <c r="KWR324" s="98"/>
      <c r="KWS324" s="79"/>
      <c r="KWT324" s="139"/>
      <c r="KWU324" s="139"/>
      <c r="KWV324" s="138"/>
      <c r="KWW324" s="147"/>
      <c r="KWX324" s="147"/>
      <c r="KWY324" s="147"/>
      <c r="KWZ324" s="138"/>
      <c r="KXA324" s="138"/>
      <c r="KXB324" s="147"/>
      <c r="KXC324" s="148"/>
      <c r="KXD324" s="81"/>
      <c r="KXE324" s="140"/>
      <c r="KXF324" s="157"/>
      <c r="KXG324" s="157"/>
      <c r="KXH324" s="100"/>
      <c r="KXI324" s="79"/>
      <c r="KXJ324" s="153"/>
      <c r="KXK324" s="137"/>
      <c r="KXL324" s="158"/>
      <c r="KXM324" s="363"/>
      <c r="KXN324" s="139"/>
      <c r="KXO324" s="139"/>
      <c r="KXP324" s="98"/>
      <c r="KXQ324" s="79"/>
      <c r="KXR324" s="139"/>
      <c r="KXS324" s="139"/>
      <c r="KXT324" s="138"/>
      <c r="KXU324" s="147"/>
      <c r="KXV324" s="147"/>
      <c r="KXW324" s="147"/>
      <c r="KXX324" s="138"/>
      <c r="KXY324" s="138"/>
      <c r="KXZ324" s="147"/>
      <c r="KYA324" s="148"/>
      <c r="KYB324" s="81"/>
      <c r="KYC324" s="140"/>
      <c r="KYD324" s="157"/>
      <c r="KYE324" s="157"/>
      <c r="KYF324" s="100"/>
      <c r="KYG324" s="79"/>
      <c r="KYH324" s="153"/>
      <c r="KYI324" s="137"/>
      <c r="KYJ324" s="158"/>
      <c r="KYK324" s="363"/>
      <c r="KYL324" s="139"/>
      <c r="KYM324" s="139"/>
      <c r="KYN324" s="98"/>
      <c r="KYO324" s="79"/>
      <c r="KYP324" s="139"/>
      <c r="KYQ324" s="139"/>
      <c r="KYR324" s="138"/>
      <c r="KYS324" s="147"/>
      <c r="KYT324" s="147"/>
      <c r="KYU324" s="147"/>
      <c r="KYV324" s="138"/>
      <c r="KYW324" s="138"/>
      <c r="KYX324" s="147"/>
      <c r="KYY324" s="148"/>
      <c r="KYZ324" s="81"/>
      <c r="KZA324" s="140"/>
      <c r="KZB324" s="157"/>
      <c r="KZC324" s="157"/>
      <c r="KZD324" s="100"/>
      <c r="KZE324" s="79"/>
      <c r="KZF324" s="153"/>
      <c r="KZG324" s="137"/>
      <c r="KZH324" s="158"/>
      <c r="KZI324" s="363"/>
      <c r="KZJ324" s="139"/>
      <c r="KZK324" s="139"/>
      <c r="KZL324" s="98"/>
      <c r="KZM324" s="79"/>
      <c r="KZN324" s="139"/>
      <c r="KZO324" s="139"/>
      <c r="KZP324" s="138"/>
      <c r="KZQ324" s="147"/>
      <c r="KZR324" s="147"/>
      <c r="KZS324" s="147"/>
      <c r="KZT324" s="138"/>
      <c r="KZU324" s="138"/>
      <c r="KZV324" s="147"/>
      <c r="KZW324" s="148"/>
      <c r="KZX324" s="81"/>
      <c r="KZY324" s="140"/>
      <c r="KZZ324" s="157"/>
      <c r="LAA324" s="157"/>
      <c r="LAB324" s="100"/>
      <c r="LAC324" s="79"/>
      <c r="LAD324" s="153"/>
      <c r="LAE324" s="137"/>
      <c r="LAF324" s="158"/>
      <c r="LAG324" s="363"/>
      <c r="LAH324" s="139"/>
      <c r="LAI324" s="139"/>
      <c r="LAJ324" s="98"/>
      <c r="LAK324" s="79"/>
      <c r="LAL324" s="139"/>
      <c r="LAM324" s="139"/>
      <c r="LAN324" s="138"/>
      <c r="LAO324" s="147"/>
      <c r="LAP324" s="147"/>
      <c r="LAQ324" s="147"/>
      <c r="LAR324" s="138"/>
      <c r="LAS324" s="138"/>
      <c r="LAT324" s="147"/>
      <c r="LAU324" s="148"/>
      <c r="LAV324" s="81"/>
      <c r="LAW324" s="140"/>
      <c r="LAX324" s="157"/>
      <c r="LAY324" s="157"/>
      <c r="LAZ324" s="100"/>
      <c r="LBA324" s="79"/>
      <c r="LBB324" s="153"/>
      <c r="LBC324" s="137"/>
      <c r="LBD324" s="158"/>
      <c r="LBE324" s="363"/>
      <c r="LBF324" s="139"/>
      <c r="LBG324" s="139"/>
      <c r="LBH324" s="98"/>
      <c r="LBI324" s="79"/>
      <c r="LBJ324" s="139"/>
      <c r="LBK324" s="139"/>
      <c r="LBL324" s="138"/>
      <c r="LBM324" s="147"/>
      <c r="LBN324" s="147"/>
      <c r="LBO324" s="147"/>
      <c r="LBP324" s="138"/>
      <c r="LBQ324" s="138"/>
      <c r="LBR324" s="147"/>
      <c r="LBS324" s="148"/>
      <c r="LBT324" s="81"/>
      <c r="LBU324" s="140"/>
      <c r="LBV324" s="157"/>
      <c r="LBW324" s="157"/>
      <c r="LBX324" s="100"/>
      <c r="LBY324" s="79"/>
      <c r="LBZ324" s="153"/>
      <c r="LCA324" s="137"/>
      <c r="LCB324" s="158"/>
      <c r="LCC324" s="363"/>
      <c r="LCD324" s="139"/>
      <c r="LCE324" s="139"/>
      <c r="LCF324" s="98"/>
      <c r="LCG324" s="79"/>
      <c r="LCH324" s="139"/>
      <c r="LCI324" s="139"/>
      <c r="LCJ324" s="138"/>
      <c r="LCK324" s="147"/>
      <c r="LCL324" s="147"/>
      <c r="LCM324" s="147"/>
      <c r="LCN324" s="138"/>
      <c r="LCO324" s="138"/>
      <c r="LCP324" s="147"/>
      <c r="LCQ324" s="148"/>
      <c r="LCR324" s="81"/>
      <c r="LCS324" s="140"/>
      <c r="LCT324" s="157"/>
      <c r="LCU324" s="157"/>
      <c r="LCV324" s="100"/>
      <c r="LCW324" s="79"/>
      <c r="LCX324" s="153"/>
      <c r="LCY324" s="137"/>
      <c r="LCZ324" s="158"/>
      <c r="LDA324" s="363"/>
      <c r="LDB324" s="139"/>
      <c r="LDC324" s="139"/>
      <c r="LDD324" s="98"/>
      <c r="LDE324" s="79"/>
      <c r="LDF324" s="139"/>
      <c r="LDG324" s="139"/>
      <c r="LDH324" s="138"/>
      <c r="LDI324" s="147"/>
      <c r="LDJ324" s="147"/>
      <c r="LDK324" s="147"/>
      <c r="LDL324" s="138"/>
      <c r="LDM324" s="138"/>
      <c r="LDN324" s="147"/>
      <c r="LDO324" s="148"/>
      <c r="LDP324" s="81"/>
      <c r="LDQ324" s="140"/>
      <c r="LDR324" s="157"/>
      <c r="LDS324" s="157"/>
      <c r="LDT324" s="100"/>
      <c r="LDU324" s="79"/>
      <c r="LDV324" s="153"/>
      <c r="LDW324" s="137"/>
      <c r="LDX324" s="158"/>
      <c r="LDY324" s="363"/>
      <c r="LDZ324" s="139"/>
      <c r="LEA324" s="139"/>
      <c r="LEB324" s="98"/>
      <c r="LEC324" s="79"/>
      <c r="LED324" s="139"/>
      <c r="LEE324" s="139"/>
      <c r="LEF324" s="138"/>
      <c r="LEG324" s="147"/>
      <c r="LEH324" s="147"/>
      <c r="LEI324" s="147"/>
      <c r="LEJ324" s="138"/>
      <c r="LEK324" s="138"/>
      <c r="LEL324" s="147"/>
      <c r="LEM324" s="148"/>
      <c r="LEN324" s="81"/>
      <c r="LEO324" s="140"/>
      <c r="LEP324" s="157"/>
      <c r="LEQ324" s="157"/>
      <c r="LER324" s="100"/>
      <c r="LES324" s="79"/>
      <c r="LET324" s="153"/>
      <c r="LEU324" s="137"/>
      <c r="LEV324" s="158"/>
      <c r="LEW324" s="363"/>
      <c r="LEX324" s="139"/>
      <c r="LEY324" s="139"/>
      <c r="LEZ324" s="98"/>
      <c r="LFA324" s="79"/>
      <c r="LFB324" s="139"/>
      <c r="LFC324" s="139"/>
      <c r="LFD324" s="138"/>
      <c r="LFE324" s="147"/>
      <c r="LFF324" s="147"/>
      <c r="LFG324" s="147"/>
      <c r="LFH324" s="138"/>
      <c r="LFI324" s="138"/>
      <c r="LFJ324" s="147"/>
      <c r="LFK324" s="148"/>
      <c r="LFL324" s="81"/>
      <c r="LFM324" s="140"/>
      <c r="LFN324" s="157"/>
      <c r="LFO324" s="157"/>
      <c r="LFP324" s="100"/>
      <c r="LFQ324" s="79"/>
      <c r="LFR324" s="153"/>
      <c r="LFS324" s="137"/>
      <c r="LFT324" s="158"/>
      <c r="LFU324" s="363"/>
      <c r="LFV324" s="139"/>
      <c r="LFW324" s="139"/>
      <c r="LFX324" s="98"/>
      <c r="LFY324" s="79"/>
      <c r="LFZ324" s="139"/>
      <c r="LGA324" s="139"/>
      <c r="LGB324" s="138"/>
      <c r="LGC324" s="147"/>
      <c r="LGD324" s="147"/>
      <c r="LGE324" s="147"/>
      <c r="LGF324" s="138"/>
      <c r="LGG324" s="138"/>
      <c r="LGH324" s="147"/>
      <c r="LGI324" s="148"/>
      <c r="LGJ324" s="81"/>
      <c r="LGK324" s="140"/>
      <c r="LGL324" s="157"/>
      <c r="LGM324" s="157"/>
      <c r="LGN324" s="100"/>
      <c r="LGO324" s="79"/>
      <c r="LGP324" s="153"/>
      <c r="LGQ324" s="137"/>
      <c r="LGR324" s="158"/>
      <c r="LGS324" s="363"/>
      <c r="LGT324" s="139"/>
      <c r="LGU324" s="139"/>
      <c r="LGV324" s="98"/>
      <c r="LGW324" s="79"/>
      <c r="LGX324" s="139"/>
      <c r="LGY324" s="139"/>
      <c r="LGZ324" s="138"/>
      <c r="LHA324" s="147"/>
      <c r="LHB324" s="147"/>
      <c r="LHC324" s="147"/>
      <c r="LHD324" s="138"/>
      <c r="LHE324" s="138"/>
      <c r="LHF324" s="147"/>
      <c r="LHG324" s="148"/>
      <c r="LHH324" s="81"/>
      <c r="LHI324" s="140"/>
      <c r="LHJ324" s="157"/>
      <c r="LHK324" s="157"/>
      <c r="LHL324" s="100"/>
      <c r="LHM324" s="79"/>
      <c r="LHN324" s="153"/>
      <c r="LHO324" s="137"/>
      <c r="LHP324" s="158"/>
      <c r="LHQ324" s="363"/>
      <c r="LHR324" s="139"/>
      <c r="LHS324" s="139"/>
      <c r="LHT324" s="98"/>
      <c r="LHU324" s="79"/>
      <c r="LHV324" s="139"/>
      <c r="LHW324" s="139"/>
      <c r="LHX324" s="138"/>
      <c r="LHY324" s="147"/>
      <c r="LHZ324" s="147"/>
      <c r="LIA324" s="147"/>
      <c r="LIB324" s="138"/>
      <c r="LIC324" s="138"/>
      <c r="LID324" s="147"/>
      <c r="LIE324" s="148"/>
      <c r="LIF324" s="81"/>
      <c r="LIG324" s="140"/>
      <c r="LIH324" s="157"/>
      <c r="LII324" s="157"/>
      <c r="LIJ324" s="100"/>
      <c r="LIK324" s="79"/>
      <c r="LIL324" s="153"/>
      <c r="LIM324" s="137"/>
      <c r="LIN324" s="158"/>
      <c r="LIO324" s="363"/>
      <c r="LIP324" s="139"/>
      <c r="LIQ324" s="139"/>
      <c r="LIR324" s="98"/>
      <c r="LIS324" s="79"/>
      <c r="LIT324" s="139"/>
      <c r="LIU324" s="139"/>
      <c r="LIV324" s="138"/>
      <c r="LIW324" s="147"/>
      <c r="LIX324" s="147"/>
      <c r="LIY324" s="147"/>
      <c r="LIZ324" s="138"/>
      <c r="LJA324" s="138"/>
      <c r="LJB324" s="147"/>
      <c r="LJC324" s="148"/>
      <c r="LJD324" s="81"/>
      <c r="LJE324" s="140"/>
      <c r="LJF324" s="157"/>
      <c r="LJG324" s="157"/>
      <c r="LJH324" s="100"/>
      <c r="LJI324" s="79"/>
      <c r="LJJ324" s="153"/>
      <c r="LJK324" s="137"/>
      <c r="LJL324" s="158"/>
      <c r="LJM324" s="363"/>
      <c r="LJN324" s="139"/>
      <c r="LJO324" s="139"/>
      <c r="LJP324" s="98"/>
      <c r="LJQ324" s="79"/>
      <c r="LJR324" s="139"/>
      <c r="LJS324" s="139"/>
      <c r="LJT324" s="138"/>
      <c r="LJU324" s="147"/>
      <c r="LJV324" s="147"/>
      <c r="LJW324" s="147"/>
      <c r="LJX324" s="138"/>
      <c r="LJY324" s="138"/>
      <c r="LJZ324" s="147"/>
      <c r="LKA324" s="148"/>
      <c r="LKB324" s="81"/>
      <c r="LKC324" s="140"/>
      <c r="LKD324" s="157"/>
      <c r="LKE324" s="157"/>
      <c r="LKF324" s="100"/>
      <c r="LKG324" s="79"/>
      <c r="LKH324" s="153"/>
      <c r="LKI324" s="137"/>
      <c r="LKJ324" s="158"/>
      <c r="LKK324" s="363"/>
      <c r="LKL324" s="139"/>
      <c r="LKM324" s="139"/>
      <c r="LKN324" s="98"/>
      <c r="LKO324" s="79"/>
      <c r="LKP324" s="139"/>
      <c r="LKQ324" s="139"/>
      <c r="LKR324" s="138"/>
      <c r="LKS324" s="147"/>
      <c r="LKT324" s="147"/>
      <c r="LKU324" s="147"/>
      <c r="LKV324" s="138"/>
      <c r="LKW324" s="138"/>
      <c r="LKX324" s="147"/>
      <c r="LKY324" s="148"/>
      <c r="LKZ324" s="81"/>
      <c r="LLA324" s="140"/>
      <c r="LLB324" s="157"/>
      <c r="LLC324" s="157"/>
      <c r="LLD324" s="100"/>
      <c r="LLE324" s="79"/>
      <c r="LLF324" s="153"/>
      <c r="LLG324" s="137"/>
      <c r="LLH324" s="158"/>
      <c r="LLI324" s="363"/>
      <c r="LLJ324" s="139"/>
      <c r="LLK324" s="139"/>
      <c r="LLL324" s="98"/>
      <c r="LLM324" s="79"/>
      <c r="LLN324" s="139"/>
      <c r="LLO324" s="139"/>
      <c r="LLP324" s="138"/>
      <c r="LLQ324" s="147"/>
      <c r="LLR324" s="147"/>
      <c r="LLS324" s="147"/>
      <c r="LLT324" s="138"/>
      <c r="LLU324" s="138"/>
      <c r="LLV324" s="147"/>
      <c r="LLW324" s="148"/>
      <c r="LLX324" s="81"/>
      <c r="LLY324" s="140"/>
      <c r="LLZ324" s="157"/>
      <c r="LMA324" s="157"/>
      <c r="LMB324" s="100"/>
      <c r="LMC324" s="79"/>
      <c r="LMD324" s="153"/>
      <c r="LME324" s="137"/>
      <c r="LMF324" s="158"/>
      <c r="LMG324" s="363"/>
      <c r="LMH324" s="139"/>
      <c r="LMI324" s="139"/>
      <c r="LMJ324" s="98"/>
      <c r="LMK324" s="79"/>
      <c r="LML324" s="139"/>
      <c r="LMM324" s="139"/>
      <c r="LMN324" s="138"/>
      <c r="LMO324" s="147"/>
      <c r="LMP324" s="147"/>
      <c r="LMQ324" s="147"/>
      <c r="LMR324" s="138"/>
      <c r="LMS324" s="138"/>
      <c r="LMT324" s="147"/>
      <c r="LMU324" s="148"/>
      <c r="LMV324" s="81"/>
      <c r="LMW324" s="140"/>
      <c r="LMX324" s="157"/>
      <c r="LMY324" s="157"/>
      <c r="LMZ324" s="100"/>
      <c r="LNA324" s="79"/>
      <c r="LNB324" s="153"/>
      <c r="LNC324" s="137"/>
      <c r="LND324" s="158"/>
      <c r="LNE324" s="363"/>
      <c r="LNF324" s="139"/>
      <c r="LNG324" s="139"/>
      <c r="LNH324" s="98"/>
      <c r="LNI324" s="79"/>
      <c r="LNJ324" s="139"/>
      <c r="LNK324" s="139"/>
      <c r="LNL324" s="138"/>
      <c r="LNM324" s="147"/>
      <c r="LNN324" s="147"/>
      <c r="LNO324" s="147"/>
      <c r="LNP324" s="138"/>
      <c r="LNQ324" s="138"/>
      <c r="LNR324" s="147"/>
      <c r="LNS324" s="148"/>
      <c r="LNT324" s="81"/>
      <c r="LNU324" s="140"/>
      <c r="LNV324" s="157"/>
      <c r="LNW324" s="157"/>
      <c r="LNX324" s="100"/>
      <c r="LNY324" s="79"/>
      <c r="LNZ324" s="153"/>
      <c r="LOA324" s="137"/>
      <c r="LOB324" s="158"/>
      <c r="LOC324" s="363"/>
      <c r="LOD324" s="139"/>
      <c r="LOE324" s="139"/>
      <c r="LOF324" s="98"/>
      <c r="LOG324" s="79"/>
      <c r="LOH324" s="139"/>
      <c r="LOI324" s="139"/>
      <c r="LOJ324" s="138"/>
      <c r="LOK324" s="147"/>
      <c r="LOL324" s="147"/>
      <c r="LOM324" s="147"/>
      <c r="LON324" s="138"/>
      <c r="LOO324" s="138"/>
      <c r="LOP324" s="147"/>
      <c r="LOQ324" s="148"/>
      <c r="LOR324" s="81"/>
      <c r="LOS324" s="140"/>
      <c r="LOT324" s="157"/>
      <c r="LOU324" s="157"/>
      <c r="LOV324" s="100"/>
      <c r="LOW324" s="79"/>
      <c r="LOX324" s="153"/>
      <c r="LOY324" s="137"/>
      <c r="LOZ324" s="158"/>
      <c r="LPA324" s="363"/>
      <c r="LPB324" s="139"/>
      <c r="LPC324" s="139"/>
      <c r="LPD324" s="98"/>
      <c r="LPE324" s="79"/>
      <c r="LPF324" s="139"/>
      <c r="LPG324" s="139"/>
      <c r="LPH324" s="138"/>
      <c r="LPI324" s="147"/>
      <c r="LPJ324" s="147"/>
      <c r="LPK324" s="147"/>
      <c r="LPL324" s="138"/>
      <c r="LPM324" s="138"/>
      <c r="LPN324" s="147"/>
      <c r="LPO324" s="148"/>
      <c r="LPP324" s="81"/>
      <c r="LPQ324" s="140"/>
      <c r="LPR324" s="157"/>
      <c r="LPS324" s="157"/>
      <c r="LPT324" s="100"/>
      <c r="LPU324" s="79"/>
      <c r="LPV324" s="153"/>
      <c r="LPW324" s="137"/>
      <c r="LPX324" s="158"/>
      <c r="LPY324" s="363"/>
      <c r="LPZ324" s="139"/>
      <c r="LQA324" s="139"/>
      <c r="LQB324" s="98"/>
      <c r="LQC324" s="79"/>
      <c r="LQD324" s="139"/>
      <c r="LQE324" s="139"/>
      <c r="LQF324" s="138"/>
      <c r="LQG324" s="147"/>
      <c r="LQH324" s="147"/>
      <c r="LQI324" s="147"/>
      <c r="LQJ324" s="138"/>
      <c r="LQK324" s="138"/>
      <c r="LQL324" s="147"/>
      <c r="LQM324" s="148"/>
      <c r="LQN324" s="81"/>
      <c r="LQO324" s="140"/>
      <c r="LQP324" s="157"/>
      <c r="LQQ324" s="157"/>
      <c r="LQR324" s="100"/>
      <c r="LQS324" s="79"/>
      <c r="LQT324" s="153"/>
      <c r="LQU324" s="137"/>
      <c r="LQV324" s="158"/>
      <c r="LQW324" s="363"/>
      <c r="LQX324" s="139"/>
      <c r="LQY324" s="139"/>
      <c r="LQZ324" s="98"/>
      <c r="LRA324" s="79"/>
      <c r="LRB324" s="139"/>
      <c r="LRC324" s="139"/>
      <c r="LRD324" s="138"/>
      <c r="LRE324" s="147"/>
      <c r="LRF324" s="147"/>
      <c r="LRG324" s="147"/>
      <c r="LRH324" s="138"/>
      <c r="LRI324" s="138"/>
      <c r="LRJ324" s="147"/>
      <c r="LRK324" s="148"/>
      <c r="LRL324" s="81"/>
      <c r="LRM324" s="140"/>
      <c r="LRN324" s="157"/>
      <c r="LRO324" s="157"/>
      <c r="LRP324" s="100"/>
      <c r="LRQ324" s="79"/>
      <c r="LRR324" s="153"/>
      <c r="LRS324" s="137"/>
      <c r="LRT324" s="158"/>
      <c r="LRU324" s="363"/>
      <c r="LRV324" s="139"/>
      <c r="LRW324" s="139"/>
      <c r="LRX324" s="98"/>
      <c r="LRY324" s="79"/>
      <c r="LRZ324" s="139"/>
      <c r="LSA324" s="139"/>
      <c r="LSB324" s="138"/>
      <c r="LSC324" s="147"/>
      <c r="LSD324" s="147"/>
      <c r="LSE324" s="147"/>
      <c r="LSF324" s="138"/>
      <c r="LSG324" s="138"/>
      <c r="LSH324" s="147"/>
      <c r="LSI324" s="148"/>
      <c r="LSJ324" s="81"/>
      <c r="LSK324" s="140"/>
      <c r="LSL324" s="157"/>
      <c r="LSM324" s="157"/>
      <c r="LSN324" s="100"/>
      <c r="LSO324" s="79"/>
      <c r="LSP324" s="153"/>
      <c r="LSQ324" s="137"/>
      <c r="LSR324" s="158"/>
      <c r="LSS324" s="363"/>
      <c r="LST324" s="139"/>
      <c r="LSU324" s="139"/>
      <c r="LSV324" s="98"/>
      <c r="LSW324" s="79"/>
      <c r="LSX324" s="139"/>
      <c r="LSY324" s="139"/>
      <c r="LSZ324" s="138"/>
      <c r="LTA324" s="147"/>
      <c r="LTB324" s="147"/>
      <c r="LTC324" s="147"/>
      <c r="LTD324" s="138"/>
      <c r="LTE324" s="138"/>
      <c r="LTF324" s="147"/>
      <c r="LTG324" s="148"/>
      <c r="LTH324" s="81"/>
      <c r="LTI324" s="140"/>
      <c r="LTJ324" s="157"/>
      <c r="LTK324" s="157"/>
      <c r="LTL324" s="100"/>
      <c r="LTM324" s="79"/>
      <c r="LTN324" s="153"/>
      <c r="LTO324" s="137"/>
      <c r="LTP324" s="158"/>
      <c r="LTQ324" s="363"/>
      <c r="LTR324" s="139"/>
      <c r="LTS324" s="139"/>
      <c r="LTT324" s="98"/>
      <c r="LTU324" s="79"/>
      <c r="LTV324" s="139"/>
      <c r="LTW324" s="139"/>
      <c r="LTX324" s="138"/>
      <c r="LTY324" s="147"/>
      <c r="LTZ324" s="147"/>
      <c r="LUA324" s="147"/>
      <c r="LUB324" s="138"/>
      <c r="LUC324" s="138"/>
      <c r="LUD324" s="147"/>
      <c r="LUE324" s="148"/>
      <c r="LUF324" s="81"/>
      <c r="LUG324" s="140"/>
      <c r="LUH324" s="157"/>
      <c r="LUI324" s="157"/>
      <c r="LUJ324" s="100"/>
      <c r="LUK324" s="79"/>
      <c r="LUL324" s="153"/>
      <c r="LUM324" s="137"/>
      <c r="LUN324" s="158"/>
      <c r="LUO324" s="363"/>
      <c r="LUP324" s="139"/>
      <c r="LUQ324" s="139"/>
      <c r="LUR324" s="98"/>
      <c r="LUS324" s="79"/>
      <c r="LUT324" s="139"/>
      <c r="LUU324" s="139"/>
      <c r="LUV324" s="138"/>
      <c r="LUW324" s="147"/>
      <c r="LUX324" s="147"/>
      <c r="LUY324" s="147"/>
      <c r="LUZ324" s="138"/>
      <c r="LVA324" s="138"/>
      <c r="LVB324" s="147"/>
      <c r="LVC324" s="148"/>
      <c r="LVD324" s="81"/>
      <c r="LVE324" s="140"/>
      <c r="LVF324" s="157"/>
      <c r="LVG324" s="157"/>
      <c r="LVH324" s="100"/>
      <c r="LVI324" s="79"/>
      <c r="LVJ324" s="153"/>
      <c r="LVK324" s="137"/>
      <c r="LVL324" s="158"/>
      <c r="LVM324" s="363"/>
      <c r="LVN324" s="139"/>
      <c r="LVO324" s="139"/>
      <c r="LVP324" s="98"/>
      <c r="LVQ324" s="79"/>
      <c r="LVR324" s="139"/>
      <c r="LVS324" s="139"/>
      <c r="LVT324" s="138"/>
      <c r="LVU324" s="147"/>
      <c r="LVV324" s="147"/>
      <c r="LVW324" s="147"/>
      <c r="LVX324" s="138"/>
      <c r="LVY324" s="138"/>
      <c r="LVZ324" s="147"/>
      <c r="LWA324" s="148"/>
      <c r="LWB324" s="81"/>
      <c r="LWC324" s="140"/>
      <c r="LWD324" s="157"/>
      <c r="LWE324" s="157"/>
      <c r="LWF324" s="100"/>
      <c r="LWG324" s="79"/>
      <c r="LWH324" s="153"/>
      <c r="LWI324" s="137"/>
      <c r="LWJ324" s="158"/>
      <c r="LWK324" s="363"/>
      <c r="LWL324" s="139"/>
      <c r="LWM324" s="139"/>
      <c r="LWN324" s="98"/>
      <c r="LWO324" s="79"/>
      <c r="LWP324" s="139"/>
      <c r="LWQ324" s="139"/>
      <c r="LWR324" s="138"/>
      <c r="LWS324" s="147"/>
      <c r="LWT324" s="147"/>
      <c r="LWU324" s="147"/>
      <c r="LWV324" s="138"/>
      <c r="LWW324" s="138"/>
      <c r="LWX324" s="147"/>
      <c r="LWY324" s="148"/>
      <c r="LWZ324" s="81"/>
      <c r="LXA324" s="140"/>
      <c r="LXB324" s="157"/>
      <c r="LXC324" s="157"/>
      <c r="LXD324" s="100"/>
      <c r="LXE324" s="79"/>
      <c r="LXF324" s="153"/>
      <c r="LXG324" s="137"/>
      <c r="LXH324" s="158"/>
      <c r="LXI324" s="363"/>
      <c r="LXJ324" s="139"/>
      <c r="LXK324" s="139"/>
      <c r="LXL324" s="98"/>
      <c r="LXM324" s="79"/>
      <c r="LXN324" s="139"/>
      <c r="LXO324" s="139"/>
      <c r="LXP324" s="138"/>
      <c r="LXQ324" s="147"/>
      <c r="LXR324" s="147"/>
      <c r="LXS324" s="147"/>
      <c r="LXT324" s="138"/>
      <c r="LXU324" s="138"/>
      <c r="LXV324" s="147"/>
      <c r="LXW324" s="148"/>
      <c r="LXX324" s="81"/>
      <c r="LXY324" s="140"/>
      <c r="LXZ324" s="157"/>
      <c r="LYA324" s="157"/>
      <c r="LYB324" s="100"/>
      <c r="LYC324" s="79"/>
      <c r="LYD324" s="153"/>
      <c r="LYE324" s="137"/>
      <c r="LYF324" s="158"/>
      <c r="LYG324" s="363"/>
      <c r="LYH324" s="139"/>
      <c r="LYI324" s="139"/>
      <c r="LYJ324" s="98"/>
      <c r="LYK324" s="79"/>
      <c r="LYL324" s="139"/>
      <c r="LYM324" s="139"/>
      <c r="LYN324" s="138"/>
      <c r="LYO324" s="147"/>
      <c r="LYP324" s="147"/>
      <c r="LYQ324" s="147"/>
      <c r="LYR324" s="138"/>
      <c r="LYS324" s="138"/>
      <c r="LYT324" s="147"/>
      <c r="LYU324" s="148"/>
      <c r="LYV324" s="81"/>
      <c r="LYW324" s="140"/>
      <c r="LYX324" s="157"/>
      <c r="LYY324" s="157"/>
      <c r="LYZ324" s="100"/>
      <c r="LZA324" s="79"/>
      <c r="LZB324" s="153"/>
      <c r="LZC324" s="137"/>
      <c r="LZD324" s="158"/>
      <c r="LZE324" s="363"/>
      <c r="LZF324" s="139"/>
      <c r="LZG324" s="139"/>
      <c r="LZH324" s="98"/>
      <c r="LZI324" s="79"/>
      <c r="LZJ324" s="139"/>
      <c r="LZK324" s="139"/>
      <c r="LZL324" s="138"/>
      <c r="LZM324" s="147"/>
      <c r="LZN324" s="147"/>
      <c r="LZO324" s="147"/>
      <c r="LZP324" s="138"/>
      <c r="LZQ324" s="138"/>
      <c r="LZR324" s="147"/>
      <c r="LZS324" s="148"/>
      <c r="LZT324" s="81"/>
      <c r="LZU324" s="140"/>
      <c r="LZV324" s="157"/>
      <c r="LZW324" s="157"/>
      <c r="LZX324" s="100"/>
      <c r="LZY324" s="79"/>
      <c r="LZZ324" s="153"/>
      <c r="MAA324" s="137"/>
      <c r="MAB324" s="158"/>
      <c r="MAC324" s="363"/>
      <c r="MAD324" s="139"/>
      <c r="MAE324" s="139"/>
      <c r="MAF324" s="98"/>
      <c r="MAG324" s="79"/>
      <c r="MAH324" s="139"/>
      <c r="MAI324" s="139"/>
      <c r="MAJ324" s="138"/>
      <c r="MAK324" s="147"/>
      <c r="MAL324" s="147"/>
      <c r="MAM324" s="147"/>
      <c r="MAN324" s="138"/>
      <c r="MAO324" s="138"/>
      <c r="MAP324" s="147"/>
      <c r="MAQ324" s="148"/>
      <c r="MAR324" s="81"/>
      <c r="MAS324" s="140"/>
      <c r="MAT324" s="157"/>
      <c r="MAU324" s="157"/>
      <c r="MAV324" s="100"/>
      <c r="MAW324" s="79"/>
      <c r="MAX324" s="153"/>
      <c r="MAY324" s="137"/>
      <c r="MAZ324" s="158"/>
      <c r="MBA324" s="363"/>
      <c r="MBB324" s="139"/>
      <c r="MBC324" s="139"/>
      <c r="MBD324" s="98"/>
      <c r="MBE324" s="79"/>
      <c r="MBF324" s="139"/>
      <c r="MBG324" s="139"/>
      <c r="MBH324" s="138"/>
      <c r="MBI324" s="147"/>
      <c r="MBJ324" s="147"/>
      <c r="MBK324" s="147"/>
      <c r="MBL324" s="138"/>
      <c r="MBM324" s="138"/>
      <c r="MBN324" s="147"/>
      <c r="MBO324" s="148"/>
      <c r="MBP324" s="81"/>
      <c r="MBQ324" s="140"/>
      <c r="MBR324" s="157"/>
      <c r="MBS324" s="157"/>
      <c r="MBT324" s="100"/>
      <c r="MBU324" s="79"/>
      <c r="MBV324" s="153"/>
      <c r="MBW324" s="137"/>
      <c r="MBX324" s="158"/>
      <c r="MBY324" s="363"/>
      <c r="MBZ324" s="139"/>
      <c r="MCA324" s="139"/>
      <c r="MCB324" s="98"/>
      <c r="MCC324" s="79"/>
      <c r="MCD324" s="139"/>
      <c r="MCE324" s="139"/>
      <c r="MCF324" s="138"/>
      <c r="MCG324" s="147"/>
      <c r="MCH324" s="147"/>
      <c r="MCI324" s="147"/>
      <c r="MCJ324" s="138"/>
      <c r="MCK324" s="138"/>
      <c r="MCL324" s="147"/>
      <c r="MCM324" s="148"/>
      <c r="MCN324" s="81"/>
      <c r="MCO324" s="140"/>
      <c r="MCP324" s="157"/>
      <c r="MCQ324" s="157"/>
      <c r="MCR324" s="100"/>
      <c r="MCS324" s="79"/>
      <c r="MCT324" s="153"/>
      <c r="MCU324" s="137"/>
      <c r="MCV324" s="158"/>
      <c r="MCW324" s="363"/>
      <c r="MCX324" s="139"/>
      <c r="MCY324" s="139"/>
      <c r="MCZ324" s="98"/>
      <c r="MDA324" s="79"/>
      <c r="MDB324" s="139"/>
      <c r="MDC324" s="139"/>
      <c r="MDD324" s="138"/>
      <c r="MDE324" s="147"/>
      <c r="MDF324" s="147"/>
      <c r="MDG324" s="147"/>
      <c r="MDH324" s="138"/>
      <c r="MDI324" s="138"/>
      <c r="MDJ324" s="147"/>
      <c r="MDK324" s="148"/>
      <c r="MDL324" s="81"/>
      <c r="MDM324" s="140"/>
      <c r="MDN324" s="157"/>
      <c r="MDO324" s="157"/>
      <c r="MDP324" s="100"/>
      <c r="MDQ324" s="79"/>
      <c r="MDR324" s="153"/>
      <c r="MDS324" s="137"/>
      <c r="MDT324" s="158"/>
      <c r="MDU324" s="363"/>
      <c r="MDV324" s="139"/>
      <c r="MDW324" s="139"/>
      <c r="MDX324" s="98"/>
      <c r="MDY324" s="79"/>
      <c r="MDZ324" s="139"/>
      <c r="MEA324" s="139"/>
      <c r="MEB324" s="138"/>
      <c r="MEC324" s="147"/>
      <c r="MED324" s="147"/>
      <c r="MEE324" s="147"/>
      <c r="MEF324" s="138"/>
      <c r="MEG324" s="138"/>
      <c r="MEH324" s="147"/>
      <c r="MEI324" s="148"/>
      <c r="MEJ324" s="81"/>
      <c r="MEK324" s="140"/>
      <c r="MEL324" s="157"/>
      <c r="MEM324" s="157"/>
      <c r="MEN324" s="100"/>
      <c r="MEO324" s="79"/>
      <c r="MEP324" s="153"/>
      <c r="MEQ324" s="137"/>
      <c r="MER324" s="158"/>
      <c r="MES324" s="363"/>
      <c r="MET324" s="139"/>
      <c r="MEU324" s="139"/>
      <c r="MEV324" s="98"/>
      <c r="MEW324" s="79"/>
      <c r="MEX324" s="139"/>
      <c r="MEY324" s="139"/>
      <c r="MEZ324" s="138"/>
      <c r="MFA324" s="147"/>
      <c r="MFB324" s="147"/>
      <c r="MFC324" s="147"/>
      <c r="MFD324" s="138"/>
      <c r="MFE324" s="138"/>
      <c r="MFF324" s="147"/>
      <c r="MFG324" s="148"/>
      <c r="MFH324" s="81"/>
      <c r="MFI324" s="140"/>
      <c r="MFJ324" s="157"/>
      <c r="MFK324" s="157"/>
      <c r="MFL324" s="100"/>
      <c r="MFM324" s="79"/>
      <c r="MFN324" s="153"/>
      <c r="MFO324" s="137"/>
      <c r="MFP324" s="158"/>
      <c r="MFQ324" s="363"/>
      <c r="MFR324" s="139"/>
      <c r="MFS324" s="139"/>
      <c r="MFT324" s="98"/>
      <c r="MFU324" s="79"/>
      <c r="MFV324" s="139"/>
      <c r="MFW324" s="139"/>
      <c r="MFX324" s="138"/>
      <c r="MFY324" s="147"/>
      <c r="MFZ324" s="147"/>
      <c r="MGA324" s="147"/>
      <c r="MGB324" s="138"/>
      <c r="MGC324" s="138"/>
      <c r="MGD324" s="147"/>
      <c r="MGE324" s="148"/>
      <c r="MGF324" s="81"/>
      <c r="MGG324" s="140"/>
      <c r="MGH324" s="157"/>
      <c r="MGI324" s="157"/>
      <c r="MGJ324" s="100"/>
      <c r="MGK324" s="79"/>
      <c r="MGL324" s="153"/>
      <c r="MGM324" s="137"/>
      <c r="MGN324" s="158"/>
      <c r="MGO324" s="363"/>
      <c r="MGP324" s="139"/>
      <c r="MGQ324" s="139"/>
      <c r="MGR324" s="98"/>
      <c r="MGS324" s="79"/>
      <c r="MGT324" s="139"/>
      <c r="MGU324" s="139"/>
      <c r="MGV324" s="138"/>
      <c r="MGW324" s="147"/>
      <c r="MGX324" s="147"/>
      <c r="MGY324" s="147"/>
      <c r="MGZ324" s="138"/>
      <c r="MHA324" s="138"/>
      <c r="MHB324" s="147"/>
      <c r="MHC324" s="148"/>
      <c r="MHD324" s="81"/>
      <c r="MHE324" s="140"/>
      <c r="MHF324" s="157"/>
      <c r="MHG324" s="157"/>
      <c r="MHH324" s="100"/>
      <c r="MHI324" s="79"/>
      <c r="MHJ324" s="153"/>
      <c r="MHK324" s="137"/>
      <c r="MHL324" s="158"/>
      <c r="MHM324" s="363"/>
      <c r="MHN324" s="139"/>
      <c r="MHO324" s="139"/>
      <c r="MHP324" s="98"/>
      <c r="MHQ324" s="79"/>
      <c r="MHR324" s="139"/>
      <c r="MHS324" s="139"/>
      <c r="MHT324" s="138"/>
      <c r="MHU324" s="147"/>
      <c r="MHV324" s="147"/>
      <c r="MHW324" s="147"/>
      <c r="MHX324" s="138"/>
      <c r="MHY324" s="138"/>
      <c r="MHZ324" s="147"/>
      <c r="MIA324" s="148"/>
      <c r="MIB324" s="81"/>
      <c r="MIC324" s="140"/>
      <c r="MID324" s="157"/>
      <c r="MIE324" s="157"/>
      <c r="MIF324" s="100"/>
      <c r="MIG324" s="79"/>
      <c r="MIH324" s="153"/>
      <c r="MII324" s="137"/>
      <c r="MIJ324" s="158"/>
      <c r="MIK324" s="363"/>
      <c r="MIL324" s="139"/>
      <c r="MIM324" s="139"/>
      <c r="MIN324" s="98"/>
      <c r="MIO324" s="79"/>
      <c r="MIP324" s="139"/>
      <c r="MIQ324" s="139"/>
      <c r="MIR324" s="138"/>
      <c r="MIS324" s="147"/>
      <c r="MIT324" s="147"/>
      <c r="MIU324" s="147"/>
      <c r="MIV324" s="138"/>
      <c r="MIW324" s="138"/>
      <c r="MIX324" s="147"/>
      <c r="MIY324" s="148"/>
      <c r="MIZ324" s="81"/>
      <c r="MJA324" s="140"/>
      <c r="MJB324" s="157"/>
      <c r="MJC324" s="157"/>
      <c r="MJD324" s="100"/>
      <c r="MJE324" s="79"/>
      <c r="MJF324" s="153"/>
      <c r="MJG324" s="137"/>
      <c r="MJH324" s="158"/>
      <c r="MJI324" s="363"/>
      <c r="MJJ324" s="139"/>
      <c r="MJK324" s="139"/>
      <c r="MJL324" s="98"/>
      <c r="MJM324" s="79"/>
      <c r="MJN324" s="139"/>
      <c r="MJO324" s="139"/>
      <c r="MJP324" s="138"/>
      <c r="MJQ324" s="147"/>
      <c r="MJR324" s="147"/>
      <c r="MJS324" s="147"/>
      <c r="MJT324" s="138"/>
      <c r="MJU324" s="138"/>
      <c r="MJV324" s="147"/>
      <c r="MJW324" s="148"/>
      <c r="MJX324" s="81"/>
      <c r="MJY324" s="140"/>
      <c r="MJZ324" s="157"/>
      <c r="MKA324" s="157"/>
      <c r="MKB324" s="100"/>
      <c r="MKC324" s="79"/>
      <c r="MKD324" s="153"/>
      <c r="MKE324" s="137"/>
      <c r="MKF324" s="158"/>
      <c r="MKG324" s="363"/>
      <c r="MKH324" s="139"/>
      <c r="MKI324" s="139"/>
      <c r="MKJ324" s="98"/>
      <c r="MKK324" s="79"/>
      <c r="MKL324" s="139"/>
      <c r="MKM324" s="139"/>
      <c r="MKN324" s="138"/>
      <c r="MKO324" s="147"/>
      <c r="MKP324" s="147"/>
      <c r="MKQ324" s="147"/>
      <c r="MKR324" s="138"/>
      <c r="MKS324" s="138"/>
      <c r="MKT324" s="147"/>
      <c r="MKU324" s="148"/>
      <c r="MKV324" s="81"/>
      <c r="MKW324" s="140"/>
      <c r="MKX324" s="157"/>
      <c r="MKY324" s="157"/>
      <c r="MKZ324" s="100"/>
      <c r="MLA324" s="79"/>
      <c r="MLB324" s="153"/>
      <c r="MLC324" s="137"/>
      <c r="MLD324" s="158"/>
      <c r="MLE324" s="363"/>
      <c r="MLF324" s="139"/>
      <c r="MLG324" s="139"/>
      <c r="MLH324" s="98"/>
      <c r="MLI324" s="79"/>
      <c r="MLJ324" s="139"/>
      <c r="MLK324" s="139"/>
      <c r="MLL324" s="138"/>
      <c r="MLM324" s="147"/>
      <c r="MLN324" s="147"/>
      <c r="MLO324" s="147"/>
      <c r="MLP324" s="138"/>
      <c r="MLQ324" s="138"/>
      <c r="MLR324" s="147"/>
      <c r="MLS324" s="148"/>
      <c r="MLT324" s="81"/>
      <c r="MLU324" s="140"/>
      <c r="MLV324" s="157"/>
      <c r="MLW324" s="157"/>
      <c r="MLX324" s="100"/>
      <c r="MLY324" s="79"/>
      <c r="MLZ324" s="153"/>
      <c r="MMA324" s="137"/>
      <c r="MMB324" s="158"/>
      <c r="MMC324" s="363"/>
      <c r="MMD324" s="139"/>
      <c r="MME324" s="139"/>
      <c r="MMF324" s="98"/>
      <c r="MMG324" s="79"/>
      <c r="MMH324" s="139"/>
      <c r="MMI324" s="139"/>
      <c r="MMJ324" s="138"/>
      <c r="MMK324" s="147"/>
      <c r="MML324" s="147"/>
      <c r="MMM324" s="147"/>
      <c r="MMN324" s="138"/>
      <c r="MMO324" s="138"/>
      <c r="MMP324" s="147"/>
      <c r="MMQ324" s="148"/>
      <c r="MMR324" s="81"/>
      <c r="MMS324" s="140"/>
      <c r="MMT324" s="157"/>
      <c r="MMU324" s="157"/>
      <c r="MMV324" s="100"/>
      <c r="MMW324" s="79"/>
      <c r="MMX324" s="153"/>
      <c r="MMY324" s="137"/>
      <c r="MMZ324" s="158"/>
      <c r="MNA324" s="363"/>
      <c r="MNB324" s="139"/>
      <c r="MNC324" s="139"/>
      <c r="MND324" s="98"/>
      <c r="MNE324" s="79"/>
      <c r="MNF324" s="139"/>
      <c r="MNG324" s="139"/>
      <c r="MNH324" s="138"/>
      <c r="MNI324" s="147"/>
      <c r="MNJ324" s="147"/>
      <c r="MNK324" s="147"/>
      <c r="MNL324" s="138"/>
      <c r="MNM324" s="138"/>
      <c r="MNN324" s="147"/>
      <c r="MNO324" s="148"/>
      <c r="MNP324" s="81"/>
      <c r="MNQ324" s="140"/>
      <c r="MNR324" s="157"/>
      <c r="MNS324" s="157"/>
      <c r="MNT324" s="100"/>
      <c r="MNU324" s="79"/>
      <c r="MNV324" s="153"/>
      <c r="MNW324" s="137"/>
      <c r="MNX324" s="158"/>
      <c r="MNY324" s="363"/>
      <c r="MNZ324" s="139"/>
      <c r="MOA324" s="139"/>
      <c r="MOB324" s="98"/>
      <c r="MOC324" s="79"/>
      <c r="MOD324" s="139"/>
      <c r="MOE324" s="139"/>
      <c r="MOF324" s="138"/>
      <c r="MOG324" s="147"/>
      <c r="MOH324" s="147"/>
      <c r="MOI324" s="147"/>
      <c r="MOJ324" s="138"/>
      <c r="MOK324" s="138"/>
      <c r="MOL324" s="147"/>
      <c r="MOM324" s="148"/>
      <c r="MON324" s="81"/>
      <c r="MOO324" s="140"/>
      <c r="MOP324" s="157"/>
      <c r="MOQ324" s="157"/>
      <c r="MOR324" s="100"/>
      <c r="MOS324" s="79"/>
      <c r="MOT324" s="153"/>
      <c r="MOU324" s="137"/>
      <c r="MOV324" s="158"/>
      <c r="MOW324" s="363"/>
      <c r="MOX324" s="139"/>
      <c r="MOY324" s="139"/>
      <c r="MOZ324" s="98"/>
      <c r="MPA324" s="79"/>
      <c r="MPB324" s="139"/>
      <c r="MPC324" s="139"/>
      <c r="MPD324" s="138"/>
      <c r="MPE324" s="147"/>
      <c r="MPF324" s="147"/>
      <c r="MPG324" s="147"/>
      <c r="MPH324" s="138"/>
      <c r="MPI324" s="138"/>
      <c r="MPJ324" s="147"/>
      <c r="MPK324" s="148"/>
      <c r="MPL324" s="81"/>
      <c r="MPM324" s="140"/>
      <c r="MPN324" s="157"/>
      <c r="MPO324" s="157"/>
      <c r="MPP324" s="100"/>
      <c r="MPQ324" s="79"/>
      <c r="MPR324" s="153"/>
      <c r="MPS324" s="137"/>
      <c r="MPT324" s="158"/>
      <c r="MPU324" s="363"/>
      <c r="MPV324" s="139"/>
      <c r="MPW324" s="139"/>
      <c r="MPX324" s="98"/>
      <c r="MPY324" s="79"/>
      <c r="MPZ324" s="139"/>
      <c r="MQA324" s="139"/>
      <c r="MQB324" s="138"/>
      <c r="MQC324" s="147"/>
      <c r="MQD324" s="147"/>
      <c r="MQE324" s="147"/>
      <c r="MQF324" s="138"/>
      <c r="MQG324" s="138"/>
      <c r="MQH324" s="147"/>
      <c r="MQI324" s="148"/>
      <c r="MQJ324" s="81"/>
      <c r="MQK324" s="140"/>
      <c r="MQL324" s="157"/>
      <c r="MQM324" s="157"/>
      <c r="MQN324" s="100"/>
      <c r="MQO324" s="79"/>
      <c r="MQP324" s="153"/>
      <c r="MQQ324" s="137"/>
      <c r="MQR324" s="158"/>
      <c r="MQS324" s="363"/>
      <c r="MQT324" s="139"/>
      <c r="MQU324" s="139"/>
      <c r="MQV324" s="98"/>
      <c r="MQW324" s="79"/>
      <c r="MQX324" s="139"/>
      <c r="MQY324" s="139"/>
      <c r="MQZ324" s="138"/>
      <c r="MRA324" s="147"/>
      <c r="MRB324" s="147"/>
      <c r="MRC324" s="147"/>
      <c r="MRD324" s="138"/>
      <c r="MRE324" s="138"/>
      <c r="MRF324" s="147"/>
      <c r="MRG324" s="148"/>
      <c r="MRH324" s="81"/>
      <c r="MRI324" s="140"/>
      <c r="MRJ324" s="157"/>
      <c r="MRK324" s="157"/>
      <c r="MRL324" s="100"/>
      <c r="MRM324" s="79"/>
      <c r="MRN324" s="153"/>
      <c r="MRO324" s="137"/>
      <c r="MRP324" s="158"/>
      <c r="MRQ324" s="363"/>
      <c r="MRR324" s="139"/>
      <c r="MRS324" s="139"/>
      <c r="MRT324" s="98"/>
      <c r="MRU324" s="79"/>
      <c r="MRV324" s="139"/>
      <c r="MRW324" s="139"/>
      <c r="MRX324" s="138"/>
      <c r="MRY324" s="147"/>
      <c r="MRZ324" s="147"/>
      <c r="MSA324" s="147"/>
      <c r="MSB324" s="138"/>
      <c r="MSC324" s="138"/>
      <c r="MSD324" s="147"/>
      <c r="MSE324" s="148"/>
      <c r="MSF324" s="81"/>
      <c r="MSG324" s="140"/>
      <c r="MSH324" s="157"/>
      <c r="MSI324" s="157"/>
      <c r="MSJ324" s="100"/>
      <c r="MSK324" s="79"/>
      <c r="MSL324" s="153"/>
      <c r="MSM324" s="137"/>
      <c r="MSN324" s="158"/>
      <c r="MSO324" s="363"/>
      <c r="MSP324" s="139"/>
      <c r="MSQ324" s="139"/>
      <c r="MSR324" s="98"/>
      <c r="MSS324" s="79"/>
      <c r="MST324" s="139"/>
      <c r="MSU324" s="139"/>
      <c r="MSV324" s="138"/>
      <c r="MSW324" s="147"/>
      <c r="MSX324" s="147"/>
      <c r="MSY324" s="147"/>
      <c r="MSZ324" s="138"/>
      <c r="MTA324" s="138"/>
      <c r="MTB324" s="147"/>
      <c r="MTC324" s="148"/>
      <c r="MTD324" s="81"/>
      <c r="MTE324" s="140"/>
      <c r="MTF324" s="157"/>
      <c r="MTG324" s="157"/>
      <c r="MTH324" s="100"/>
      <c r="MTI324" s="79"/>
      <c r="MTJ324" s="153"/>
      <c r="MTK324" s="137"/>
      <c r="MTL324" s="158"/>
      <c r="MTM324" s="363"/>
      <c r="MTN324" s="139"/>
      <c r="MTO324" s="139"/>
      <c r="MTP324" s="98"/>
      <c r="MTQ324" s="79"/>
      <c r="MTR324" s="139"/>
      <c r="MTS324" s="139"/>
      <c r="MTT324" s="138"/>
      <c r="MTU324" s="147"/>
      <c r="MTV324" s="147"/>
      <c r="MTW324" s="147"/>
      <c r="MTX324" s="138"/>
      <c r="MTY324" s="138"/>
      <c r="MTZ324" s="147"/>
      <c r="MUA324" s="148"/>
      <c r="MUB324" s="81"/>
      <c r="MUC324" s="140"/>
      <c r="MUD324" s="157"/>
      <c r="MUE324" s="157"/>
      <c r="MUF324" s="100"/>
      <c r="MUG324" s="79"/>
      <c r="MUH324" s="153"/>
      <c r="MUI324" s="137"/>
      <c r="MUJ324" s="158"/>
      <c r="MUK324" s="363"/>
      <c r="MUL324" s="139"/>
      <c r="MUM324" s="139"/>
      <c r="MUN324" s="98"/>
      <c r="MUO324" s="79"/>
      <c r="MUP324" s="139"/>
      <c r="MUQ324" s="139"/>
      <c r="MUR324" s="138"/>
      <c r="MUS324" s="147"/>
      <c r="MUT324" s="147"/>
      <c r="MUU324" s="147"/>
      <c r="MUV324" s="138"/>
      <c r="MUW324" s="138"/>
      <c r="MUX324" s="147"/>
      <c r="MUY324" s="148"/>
      <c r="MUZ324" s="81"/>
      <c r="MVA324" s="140"/>
      <c r="MVB324" s="157"/>
      <c r="MVC324" s="157"/>
      <c r="MVD324" s="100"/>
      <c r="MVE324" s="79"/>
      <c r="MVF324" s="153"/>
      <c r="MVG324" s="137"/>
      <c r="MVH324" s="158"/>
      <c r="MVI324" s="363"/>
      <c r="MVJ324" s="139"/>
      <c r="MVK324" s="139"/>
      <c r="MVL324" s="98"/>
      <c r="MVM324" s="79"/>
      <c r="MVN324" s="139"/>
      <c r="MVO324" s="139"/>
      <c r="MVP324" s="138"/>
      <c r="MVQ324" s="147"/>
      <c r="MVR324" s="147"/>
      <c r="MVS324" s="147"/>
      <c r="MVT324" s="138"/>
      <c r="MVU324" s="138"/>
      <c r="MVV324" s="147"/>
      <c r="MVW324" s="148"/>
      <c r="MVX324" s="81"/>
      <c r="MVY324" s="140"/>
      <c r="MVZ324" s="157"/>
      <c r="MWA324" s="157"/>
      <c r="MWB324" s="100"/>
      <c r="MWC324" s="79"/>
      <c r="MWD324" s="153"/>
      <c r="MWE324" s="137"/>
      <c r="MWF324" s="158"/>
      <c r="MWG324" s="363"/>
      <c r="MWH324" s="139"/>
      <c r="MWI324" s="139"/>
      <c r="MWJ324" s="98"/>
      <c r="MWK324" s="79"/>
      <c r="MWL324" s="139"/>
      <c r="MWM324" s="139"/>
      <c r="MWN324" s="138"/>
      <c r="MWO324" s="147"/>
      <c r="MWP324" s="147"/>
      <c r="MWQ324" s="147"/>
      <c r="MWR324" s="138"/>
      <c r="MWS324" s="138"/>
      <c r="MWT324" s="147"/>
      <c r="MWU324" s="148"/>
      <c r="MWV324" s="81"/>
      <c r="MWW324" s="140"/>
      <c r="MWX324" s="157"/>
      <c r="MWY324" s="157"/>
      <c r="MWZ324" s="100"/>
      <c r="MXA324" s="79"/>
      <c r="MXB324" s="153"/>
      <c r="MXC324" s="137"/>
      <c r="MXD324" s="158"/>
      <c r="MXE324" s="363"/>
      <c r="MXF324" s="139"/>
      <c r="MXG324" s="139"/>
      <c r="MXH324" s="98"/>
      <c r="MXI324" s="79"/>
      <c r="MXJ324" s="139"/>
      <c r="MXK324" s="139"/>
      <c r="MXL324" s="138"/>
      <c r="MXM324" s="147"/>
      <c r="MXN324" s="147"/>
      <c r="MXO324" s="147"/>
      <c r="MXP324" s="138"/>
      <c r="MXQ324" s="138"/>
      <c r="MXR324" s="147"/>
      <c r="MXS324" s="148"/>
      <c r="MXT324" s="81"/>
      <c r="MXU324" s="140"/>
      <c r="MXV324" s="157"/>
      <c r="MXW324" s="157"/>
      <c r="MXX324" s="100"/>
      <c r="MXY324" s="79"/>
      <c r="MXZ324" s="153"/>
      <c r="MYA324" s="137"/>
      <c r="MYB324" s="158"/>
      <c r="MYC324" s="363"/>
      <c r="MYD324" s="139"/>
      <c r="MYE324" s="139"/>
      <c r="MYF324" s="98"/>
      <c r="MYG324" s="79"/>
      <c r="MYH324" s="139"/>
      <c r="MYI324" s="139"/>
      <c r="MYJ324" s="138"/>
      <c r="MYK324" s="147"/>
      <c r="MYL324" s="147"/>
      <c r="MYM324" s="147"/>
      <c r="MYN324" s="138"/>
      <c r="MYO324" s="138"/>
      <c r="MYP324" s="147"/>
      <c r="MYQ324" s="148"/>
      <c r="MYR324" s="81"/>
      <c r="MYS324" s="140"/>
      <c r="MYT324" s="157"/>
      <c r="MYU324" s="157"/>
      <c r="MYV324" s="100"/>
      <c r="MYW324" s="79"/>
      <c r="MYX324" s="153"/>
      <c r="MYY324" s="137"/>
      <c r="MYZ324" s="158"/>
      <c r="MZA324" s="363"/>
      <c r="MZB324" s="139"/>
      <c r="MZC324" s="139"/>
      <c r="MZD324" s="98"/>
      <c r="MZE324" s="79"/>
      <c r="MZF324" s="139"/>
      <c r="MZG324" s="139"/>
      <c r="MZH324" s="138"/>
      <c r="MZI324" s="147"/>
      <c r="MZJ324" s="147"/>
      <c r="MZK324" s="147"/>
      <c r="MZL324" s="138"/>
      <c r="MZM324" s="138"/>
      <c r="MZN324" s="147"/>
      <c r="MZO324" s="148"/>
      <c r="MZP324" s="81"/>
      <c r="MZQ324" s="140"/>
      <c r="MZR324" s="157"/>
      <c r="MZS324" s="157"/>
      <c r="MZT324" s="100"/>
      <c r="MZU324" s="79"/>
      <c r="MZV324" s="153"/>
      <c r="MZW324" s="137"/>
      <c r="MZX324" s="158"/>
      <c r="MZY324" s="363"/>
      <c r="MZZ324" s="139"/>
      <c r="NAA324" s="139"/>
      <c r="NAB324" s="98"/>
      <c r="NAC324" s="79"/>
      <c r="NAD324" s="139"/>
      <c r="NAE324" s="139"/>
      <c r="NAF324" s="138"/>
      <c r="NAG324" s="147"/>
      <c r="NAH324" s="147"/>
      <c r="NAI324" s="147"/>
      <c r="NAJ324" s="138"/>
      <c r="NAK324" s="138"/>
      <c r="NAL324" s="147"/>
      <c r="NAM324" s="148"/>
      <c r="NAN324" s="81"/>
      <c r="NAO324" s="140"/>
      <c r="NAP324" s="157"/>
      <c r="NAQ324" s="157"/>
      <c r="NAR324" s="100"/>
      <c r="NAS324" s="79"/>
      <c r="NAT324" s="153"/>
      <c r="NAU324" s="137"/>
      <c r="NAV324" s="158"/>
      <c r="NAW324" s="363"/>
      <c r="NAX324" s="139"/>
      <c r="NAY324" s="139"/>
      <c r="NAZ324" s="98"/>
      <c r="NBA324" s="79"/>
      <c r="NBB324" s="139"/>
      <c r="NBC324" s="139"/>
      <c r="NBD324" s="138"/>
      <c r="NBE324" s="147"/>
      <c r="NBF324" s="147"/>
      <c r="NBG324" s="147"/>
      <c r="NBH324" s="138"/>
      <c r="NBI324" s="138"/>
      <c r="NBJ324" s="147"/>
      <c r="NBK324" s="148"/>
      <c r="NBL324" s="81"/>
      <c r="NBM324" s="140"/>
      <c r="NBN324" s="157"/>
      <c r="NBO324" s="157"/>
      <c r="NBP324" s="100"/>
      <c r="NBQ324" s="79"/>
      <c r="NBR324" s="153"/>
      <c r="NBS324" s="137"/>
      <c r="NBT324" s="158"/>
      <c r="NBU324" s="363"/>
      <c r="NBV324" s="139"/>
      <c r="NBW324" s="139"/>
      <c r="NBX324" s="98"/>
      <c r="NBY324" s="79"/>
      <c r="NBZ324" s="139"/>
      <c r="NCA324" s="139"/>
      <c r="NCB324" s="138"/>
      <c r="NCC324" s="147"/>
      <c r="NCD324" s="147"/>
      <c r="NCE324" s="147"/>
      <c r="NCF324" s="138"/>
      <c r="NCG324" s="138"/>
      <c r="NCH324" s="147"/>
      <c r="NCI324" s="148"/>
      <c r="NCJ324" s="81"/>
      <c r="NCK324" s="140"/>
      <c r="NCL324" s="157"/>
      <c r="NCM324" s="157"/>
      <c r="NCN324" s="100"/>
      <c r="NCO324" s="79"/>
      <c r="NCP324" s="153"/>
      <c r="NCQ324" s="137"/>
      <c r="NCR324" s="158"/>
      <c r="NCS324" s="363"/>
      <c r="NCT324" s="139"/>
      <c r="NCU324" s="139"/>
      <c r="NCV324" s="98"/>
      <c r="NCW324" s="79"/>
      <c r="NCX324" s="139"/>
      <c r="NCY324" s="139"/>
      <c r="NCZ324" s="138"/>
      <c r="NDA324" s="147"/>
      <c r="NDB324" s="147"/>
      <c r="NDC324" s="147"/>
      <c r="NDD324" s="138"/>
      <c r="NDE324" s="138"/>
      <c r="NDF324" s="147"/>
      <c r="NDG324" s="148"/>
      <c r="NDH324" s="81"/>
      <c r="NDI324" s="140"/>
      <c r="NDJ324" s="157"/>
      <c r="NDK324" s="157"/>
      <c r="NDL324" s="100"/>
      <c r="NDM324" s="79"/>
      <c r="NDN324" s="153"/>
      <c r="NDO324" s="137"/>
      <c r="NDP324" s="158"/>
      <c r="NDQ324" s="363"/>
      <c r="NDR324" s="139"/>
      <c r="NDS324" s="139"/>
      <c r="NDT324" s="98"/>
      <c r="NDU324" s="79"/>
      <c r="NDV324" s="139"/>
      <c r="NDW324" s="139"/>
      <c r="NDX324" s="138"/>
      <c r="NDY324" s="147"/>
      <c r="NDZ324" s="147"/>
      <c r="NEA324" s="147"/>
      <c r="NEB324" s="138"/>
      <c r="NEC324" s="138"/>
      <c r="NED324" s="147"/>
      <c r="NEE324" s="148"/>
      <c r="NEF324" s="81"/>
      <c r="NEG324" s="140"/>
      <c r="NEH324" s="157"/>
      <c r="NEI324" s="157"/>
      <c r="NEJ324" s="100"/>
      <c r="NEK324" s="79"/>
      <c r="NEL324" s="153"/>
      <c r="NEM324" s="137"/>
      <c r="NEN324" s="158"/>
      <c r="NEO324" s="363"/>
      <c r="NEP324" s="139"/>
      <c r="NEQ324" s="139"/>
      <c r="NER324" s="98"/>
      <c r="NES324" s="79"/>
      <c r="NET324" s="139"/>
      <c r="NEU324" s="139"/>
      <c r="NEV324" s="138"/>
      <c r="NEW324" s="147"/>
      <c r="NEX324" s="147"/>
      <c r="NEY324" s="147"/>
      <c r="NEZ324" s="138"/>
      <c r="NFA324" s="138"/>
      <c r="NFB324" s="147"/>
      <c r="NFC324" s="148"/>
      <c r="NFD324" s="81"/>
      <c r="NFE324" s="140"/>
      <c r="NFF324" s="157"/>
      <c r="NFG324" s="157"/>
      <c r="NFH324" s="100"/>
      <c r="NFI324" s="79"/>
      <c r="NFJ324" s="153"/>
      <c r="NFK324" s="137"/>
      <c r="NFL324" s="158"/>
      <c r="NFM324" s="363"/>
      <c r="NFN324" s="139"/>
      <c r="NFO324" s="139"/>
      <c r="NFP324" s="98"/>
      <c r="NFQ324" s="79"/>
      <c r="NFR324" s="139"/>
      <c r="NFS324" s="139"/>
      <c r="NFT324" s="138"/>
      <c r="NFU324" s="147"/>
      <c r="NFV324" s="147"/>
      <c r="NFW324" s="147"/>
      <c r="NFX324" s="138"/>
      <c r="NFY324" s="138"/>
      <c r="NFZ324" s="147"/>
      <c r="NGA324" s="148"/>
      <c r="NGB324" s="81"/>
      <c r="NGC324" s="140"/>
      <c r="NGD324" s="157"/>
      <c r="NGE324" s="157"/>
      <c r="NGF324" s="100"/>
      <c r="NGG324" s="79"/>
      <c r="NGH324" s="153"/>
      <c r="NGI324" s="137"/>
      <c r="NGJ324" s="158"/>
      <c r="NGK324" s="363"/>
      <c r="NGL324" s="139"/>
      <c r="NGM324" s="139"/>
      <c r="NGN324" s="98"/>
      <c r="NGO324" s="79"/>
      <c r="NGP324" s="139"/>
      <c r="NGQ324" s="139"/>
      <c r="NGR324" s="138"/>
      <c r="NGS324" s="147"/>
      <c r="NGT324" s="147"/>
      <c r="NGU324" s="147"/>
      <c r="NGV324" s="138"/>
      <c r="NGW324" s="138"/>
      <c r="NGX324" s="147"/>
      <c r="NGY324" s="148"/>
      <c r="NGZ324" s="81"/>
      <c r="NHA324" s="140"/>
      <c r="NHB324" s="157"/>
      <c r="NHC324" s="157"/>
      <c r="NHD324" s="100"/>
      <c r="NHE324" s="79"/>
      <c r="NHF324" s="153"/>
      <c r="NHG324" s="137"/>
      <c r="NHH324" s="158"/>
      <c r="NHI324" s="363"/>
      <c r="NHJ324" s="139"/>
      <c r="NHK324" s="139"/>
      <c r="NHL324" s="98"/>
      <c r="NHM324" s="79"/>
      <c r="NHN324" s="139"/>
      <c r="NHO324" s="139"/>
      <c r="NHP324" s="138"/>
      <c r="NHQ324" s="147"/>
      <c r="NHR324" s="147"/>
      <c r="NHS324" s="147"/>
      <c r="NHT324" s="138"/>
      <c r="NHU324" s="138"/>
      <c r="NHV324" s="147"/>
      <c r="NHW324" s="148"/>
      <c r="NHX324" s="81"/>
      <c r="NHY324" s="140"/>
      <c r="NHZ324" s="157"/>
      <c r="NIA324" s="157"/>
      <c r="NIB324" s="100"/>
      <c r="NIC324" s="79"/>
      <c r="NID324" s="153"/>
      <c r="NIE324" s="137"/>
      <c r="NIF324" s="158"/>
      <c r="NIG324" s="363"/>
      <c r="NIH324" s="139"/>
      <c r="NII324" s="139"/>
      <c r="NIJ324" s="98"/>
      <c r="NIK324" s="79"/>
      <c r="NIL324" s="139"/>
      <c r="NIM324" s="139"/>
      <c r="NIN324" s="138"/>
      <c r="NIO324" s="147"/>
      <c r="NIP324" s="147"/>
      <c r="NIQ324" s="147"/>
      <c r="NIR324" s="138"/>
      <c r="NIS324" s="138"/>
      <c r="NIT324" s="147"/>
      <c r="NIU324" s="148"/>
      <c r="NIV324" s="81"/>
      <c r="NIW324" s="140"/>
      <c r="NIX324" s="157"/>
      <c r="NIY324" s="157"/>
      <c r="NIZ324" s="100"/>
      <c r="NJA324" s="79"/>
      <c r="NJB324" s="153"/>
      <c r="NJC324" s="137"/>
      <c r="NJD324" s="158"/>
      <c r="NJE324" s="363"/>
      <c r="NJF324" s="139"/>
      <c r="NJG324" s="139"/>
      <c r="NJH324" s="98"/>
      <c r="NJI324" s="79"/>
      <c r="NJJ324" s="139"/>
      <c r="NJK324" s="139"/>
      <c r="NJL324" s="138"/>
      <c r="NJM324" s="147"/>
      <c r="NJN324" s="147"/>
      <c r="NJO324" s="147"/>
      <c r="NJP324" s="138"/>
      <c r="NJQ324" s="138"/>
      <c r="NJR324" s="147"/>
      <c r="NJS324" s="148"/>
      <c r="NJT324" s="81"/>
      <c r="NJU324" s="140"/>
      <c r="NJV324" s="157"/>
      <c r="NJW324" s="157"/>
      <c r="NJX324" s="100"/>
      <c r="NJY324" s="79"/>
      <c r="NJZ324" s="153"/>
      <c r="NKA324" s="137"/>
      <c r="NKB324" s="158"/>
      <c r="NKC324" s="363"/>
      <c r="NKD324" s="139"/>
      <c r="NKE324" s="139"/>
      <c r="NKF324" s="98"/>
      <c r="NKG324" s="79"/>
      <c r="NKH324" s="139"/>
      <c r="NKI324" s="139"/>
      <c r="NKJ324" s="138"/>
      <c r="NKK324" s="147"/>
      <c r="NKL324" s="147"/>
      <c r="NKM324" s="147"/>
      <c r="NKN324" s="138"/>
      <c r="NKO324" s="138"/>
      <c r="NKP324" s="147"/>
      <c r="NKQ324" s="148"/>
      <c r="NKR324" s="81"/>
      <c r="NKS324" s="140"/>
      <c r="NKT324" s="157"/>
      <c r="NKU324" s="157"/>
      <c r="NKV324" s="100"/>
      <c r="NKW324" s="79"/>
      <c r="NKX324" s="153"/>
      <c r="NKY324" s="137"/>
      <c r="NKZ324" s="158"/>
      <c r="NLA324" s="363"/>
      <c r="NLB324" s="139"/>
      <c r="NLC324" s="139"/>
      <c r="NLD324" s="98"/>
      <c r="NLE324" s="79"/>
      <c r="NLF324" s="139"/>
      <c r="NLG324" s="139"/>
      <c r="NLH324" s="138"/>
      <c r="NLI324" s="147"/>
      <c r="NLJ324" s="147"/>
      <c r="NLK324" s="147"/>
      <c r="NLL324" s="138"/>
      <c r="NLM324" s="138"/>
      <c r="NLN324" s="147"/>
      <c r="NLO324" s="148"/>
      <c r="NLP324" s="81"/>
      <c r="NLQ324" s="140"/>
      <c r="NLR324" s="157"/>
      <c r="NLS324" s="157"/>
      <c r="NLT324" s="100"/>
      <c r="NLU324" s="79"/>
      <c r="NLV324" s="153"/>
      <c r="NLW324" s="137"/>
      <c r="NLX324" s="158"/>
      <c r="NLY324" s="363"/>
      <c r="NLZ324" s="139"/>
      <c r="NMA324" s="139"/>
      <c r="NMB324" s="98"/>
      <c r="NMC324" s="79"/>
      <c r="NMD324" s="139"/>
      <c r="NME324" s="139"/>
      <c r="NMF324" s="138"/>
      <c r="NMG324" s="147"/>
      <c r="NMH324" s="147"/>
      <c r="NMI324" s="147"/>
      <c r="NMJ324" s="138"/>
      <c r="NMK324" s="138"/>
      <c r="NML324" s="147"/>
      <c r="NMM324" s="148"/>
      <c r="NMN324" s="81"/>
      <c r="NMO324" s="140"/>
      <c r="NMP324" s="157"/>
      <c r="NMQ324" s="157"/>
      <c r="NMR324" s="100"/>
      <c r="NMS324" s="79"/>
      <c r="NMT324" s="153"/>
      <c r="NMU324" s="137"/>
      <c r="NMV324" s="158"/>
      <c r="NMW324" s="363"/>
      <c r="NMX324" s="139"/>
      <c r="NMY324" s="139"/>
      <c r="NMZ324" s="98"/>
      <c r="NNA324" s="79"/>
      <c r="NNB324" s="139"/>
      <c r="NNC324" s="139"/>
      <c r="NND324" s="138"/>
      <c r="NNE324" s="147"/>
      <c r="NNF324" s="147"/>
      <c r="NNG324" s="147"/>
      <c r="NNH324" s="138"/>
      <c r="NNI324" s="138"/>
      <c r="NNJ324" s="147"/>
      <c r="NNK324" s="148"/>
      <c r="NNL324" s="81"/>
      <c r="NNM324" s="140"/>
      <c r="NNN324" s="157"/>
      <c r="NNO324" s="157"/>
      <c r="NNP324" s="100"/>
      <c r="NNQ324" s="79"/>
      <c r="NNR324" s="153"/>
      <c r="NNS324" s="137"/>
      <c r="NNT324" s="158"/>
      <c r="NNU324" s="363"/>
      <c r="NNV324" s="139"/>
      <c r="NNW324" s="139"/>
      <c r="NNX324" s="98"/>
      <c r="NNY324" s="79"/>
      <c r="NNZ324" s="139"/>
      <c r="NOA324" s="139"/>
      <c r="NOB324" s="138"/>
      <c r="NOC324" s="147"/>
      <c r="NOD324" s="147"/>
      <c r="NOE324" s="147"/>
      <c r="NOF324" s="138"/>
      <c r="NOG324" s="138"/>
      <c r="NOH324" s="147"/>
      <c r="NOI324" s="148"/>
      <c r="NOJ324" s="81"/>
      <c r="NOK324" s="140"/>
      <c r="NOL324" s="157"/>
      <c r="NOM324" s="157"/>
      <c r="NON324" s="100"/>
      <c r="NOO324" s="79"/>
      <c r="NOP324" s="153"/>
      <c r="NOQ324" s="137"/>
      <c r="NOR324" s="158"/>
      <c r="NOS324" s="363"/>
      <c r="NOT324" s="139"/>
      <c r="NOU324" s="139"/>
      <c r="NOV324" s="98"/>
      <c r="NOW324" s="79"/>
      <c r="NOX324" s="139"/>
      <c r="NOY324" s="139"/>
      <c r="NOZ324" s="138"/>
      <c r="NPA324" s="147"/>
      <c r="NPB324" s="147"/>
      <c r="NPC324" s="147"/>
      <c r="NPD324" s="138"/>
      <c r="NPE324" s="138"/>
      <c r="NPF324" s="147"/>
      <c r="NPG324" s="148"/>
      <c r="NPH324" s="81"/>
      <c r="NPI324" s="140"/>
      <c r="NPJ324" s="157"/>
      <c r="NPK324" s="157"/>
      <c r="NPL324" s="100"/>
      <c r="NPM324" s="79"/>
      <c r="NPN324" s="153"/>
      <c r="NPO324" s="137"/>
      <c r="NPP324" s="158"/>
      <c r="NPQ324" s="363"/>
      <c r="NPR324" s="139"/>
      <c r="NPS324" s="139"/>
      <c r="NPT324" s="98"/>
      <c r="NPU324" s="79"/>
      <c r="NPV324" s="139"/>
      <c r="NPW324" s="139"/>
      <c r="NPX324" s="138"/>
      <c r="NPY324" s="147"/>
      <c r="NPZ324" s="147"/>
      <c r="NQA324" s="147"/>
      <c r="NQB324" s="138"/>
      <c r="NQC324" s="138"/>
      <c r="NQD324" s="147"/>
      <c r="NQE324" s="148"/>
      <c r="NQF324" s="81"/>
      <c r="NQG324" s="140"/>
      <c r="NQH324" s="157"/>
      <c r="NQI324" s="157"/>
      <c r="NQJ324" s="100"/>
      <c r="NQK324" s="79"/>
      <c r="NQL324" s="153"/>
      <c r="NQM324" s="137"/>
      <c r="NQN324" s="158"/>
      <c r="NQO324" s="363"/>
      <c r="NQP324" s="139"/>
      <c r="NQQ324" s="139"/>
      <c r="NQR324" s="98"/>
      <c r="NQS324" s="79"/>
      <c r="NQT324" s="139"/>
      <c r="NQU324" s="139"/>
      <c r="NQV324" s="138"/>
      <c r="NQW324" s="147"/>
      <c r="NQX324" s="147"/>
      <c r="NQY324" s="147"/>
      <c r="NQZ324" s="138"/>
      <c r="NRA324" s="138"/>
      <c r="NRB324" s="147"/>
      <c r="NRC324" s="148"/>
      <c r="NRD324" s="81"/>
      <c r="NRE324" s="140"/>
      <c r="NRF324" s="157"/>
      <c r="NRG324" s="157"/>
      <c r="NRH324" s="100"/>
      <c r="NRI324" s="79"/>
      <c r="NRJ324" s="153"/>
      <c r="NRK324" s="137"/>
      <c r="NRL324" s="158"/>
      <c r="NRM324" s="363"/>
      <c r="NRN324" s="139"/>
      <c r="NRO324" s="139"/>
      <c r="NRP324" s="98"/>
      <c r="NRQ324" s="79"/>
      <c r="NRR324" s="139"/>
      <c r="NRS324" s="139"/>
      <c r="NRT324" s="138"/>
      <c r="NRU324" s="147"/>
      <c r="NRV324" s="147"/>
      <c r="NRW324" s="147"/>
      <c r="NRX324" s="138"/>
      <c r="NRY324" s="138"/>
      <c r="NRZ324" s="147"/>
      <c r="NSA324" s="148"/>
      <c r="NSB324" s="81"/>
      <c r="NSC324" s="140"/>
      <c r="NSD324" s="157"/>
      <c r="NSE324" s="157"/>
      <c r="NSF324" s="100"/>
      <c r="NSG324" s="79"/>
      <c r="NSH324" s="153"/>
      <c r="NSI324" s="137"/>
      <c r="NSJ324" s="158"/>
      <c r="NSK324" s="363"/>
      <c r="NSL324" s="139"/>
      <c r="NSM324" s="139"/>
      <c r="NSN324" s="98"/>
      <c r="NSO324" s="79"/>
      <c r="NSP324" s="139"/>
      <c r="NSQ324" s="139"/>
      <c r="NSR324" s="138"/>
      <c r="NSS324" s="147"/>
      <c r="NST324" s="147"/>
      <c r="NSU324" s="147"/>
      <c r="NSV324" s="138"/>
      <c r="NSW324" s="138"/>
      <c r="NSX324" s="147"/>
      <c r="NSY324" s="148"/>
      <c r="NSZ324" s="81"/>
      <c r="NTA324" s="140"/>
      <c r="NTB324" s="157"/>
      <c r="NTC324" s="157"/>
      <c r="NTD324" s="100"/>
      <c r="NTE324" s="79"/>
      <c r="NTF324" s="153"/>
      <c r="NTG324" s="137"/>
      <c r="NTH324" s="158"/>
      <c r="NTI324" s="363"/>
      <c r="NTJ324" s="139"/>
      <c r="NTK324" s="139"/>
      <c r="NTL324" s="98"/>
      <c r="NTM324" s="79"/>
      <c r="NTN324" s="139"/>
      <c r="NTO324" s="139"/>
      <c r="NTP324" s="138"/>
      <c r="NTQ324" s="147"/>
      <c r="NTR324" s="147"/>
      <c r="NTS324" s="147"/>
      <c r="NTT324" s="138"/>
      <c r="NTU324" s="138"/>
      <c r="NTV324" s="147"/>
      <c r="NTW324" s="148"/>
      <c r="NTX324" s="81"/>
      <c r="NTY324" s="140"/>
      <c r="NTZ324" s="157"/>
      <c r="NUA324" s="157"/>
      <c r="NUB324" s="100"/>
      <c r="NUC324" s="79"/>
      <c r="NUD324" s="153"/>
      <c r="NUE324" s="137"/>
      <c r="NUF324" s="158"/>
      <c r="NUG324" s="363"/>
      <c r="NUH324" s="139"/>
      <c r="NUI324" s="139"/>
      <c r="NUJ324" s="98"/>
      <c r="NUK324" s="79"/>
      <c r="NUL324" s="139"/>
      <c r="NUM324" s="139"/>
      <c r="NUN324" s="138"/>
      <c r="NUO324" s="147"/>
      <c r="NUP324" s="147"/>
      <c r="NUQ324" s="147"/>
      <c r="NUR324" s="138"/>
      <c r="NUS324" s="138"/>
      <c r="NUT324" s="147"/>
      <c r="NUU324" s="148"/>
      <c r="NUV324" s="81"/>
      <c r="NUW324" s="140"/>
      <c r="NUX324" s="157"/>
      <c r="NUY324" s="157"/>
      <c r="NUZ324" s="100"/>
      <c r="NVA324" s="79"/>
      <c r="NVB324" s="153"/>
      <c r="NVC324" s="137"/>
      <c r="NVD324" s="158"/>
      <c r="NVE324" s="363"/>
      <c r="NVF324" s="139"/>
      <c r="NVG324" s="139"/>
      <c r="NVH324" s="98"/>
      <c r="NVI324" s="79"/>
      <c r="NVJ324" s="139"/>
      <c r="NVK324" s="139"/>
      <c r="NVL324" s="138"/>
      <c r="NVM324" s="147"/>
      <c r="NVN324" s="147"/>
      <c r="NVO324" s="147"/>
      <c r="NVP324" s="138"/>
      <c r="NVQ324" s="138"/>
      <c r="NVR324" s="147"/>
      <c r="NVS324" s="148"/>
      <c r="NVT324" s="81"/>
      <c r="NVU324" s="140"/>
      <c r="NVV324" s="157"/>
      <c r="NVW324" s="157"/>
      <c r="NVX324" s="100"/>
      <c r="NVY324" s="79"/>
      <c r="NVZ324" s="153"/>
      <c r="NWA324" s="137"/>
      <c r="NWB324" s="158"/>
      <c r="NWC324" s="363"/>
      <c r="NWD324" s="139"/>
      <c r="NWE324" s="139"/>
      <c r="NWF324" s="98"/>
      <c r="NWG324" s="79"/>
      <c r="NWH324" s="139"/>
      <c r="NWI324" s="139"/>
      <c r="NWJ324" s="138"/>
      <c r="NWK324" s="147"/>
      <c r="NWL324" s="147"/>
      <c r="NWM324" s="147"/>
      <c r="NWN324" s="138"/>
      <c r="NWO324" s="138"/>
      <c r="NWP324" s="147"/>
      <c r="NWQ324" s="148"/>
      <c r="NWR324" s="81"/>
      <c r="NWS324" s="140"/>
      <c r="NWT324" s="157"/>
      <c r="NWU324" s="157"/>
      <c r="NWV324" s="100"/>
      <c r="NWW324" s="79"/>
      <c r="NWX324" s="153"/>
      <c r="NWY324" s="137"/>
      <c r="NWZ324" s="158"/>
      <c r="NXA324" s="363"/>
      <c r="NXB324" s="139"/>
      <c r="NXC324" s="139"/>
      <c r="NXD324" s="98"/>
      <c r="NXE324" s="79"/>
      <c r="NXF324" s="139"/>
      <c r="NXG324" s="139"/>
      <c r="NXH324" s="138"/>
      <c r="NXI324" s="147"/>
      <c r="NXJ324" s="147"/>
      <c r="NXK324" s="147"/>
      <c r="NXL324" s="138"/>
      <c r="NXM324" s="138"/>
      <c r="NXN324" s="147"/>
      <c r="NXO324" s="148"/>
      <c r="NXP324" s="81"/>
      <c r="NXQ324" s="140"/>
      <c r="NXR324" s="157"/>
      <c r="NXS324" s="157"/>
      <c r="NXT324" s="100"/>
      <c r="NXU324" s="79"/>
      <c r="NXV324" s="153"/>
      <c r="NXW324" s="137"/>
      <c r="NXX324" s="158"/>
      <c r="NXY324" s="363"/>
      <c r="NXZ324" s="139"/>
      <c r="NYA324" s="139"/>
      <c r="NYB324" s="98"/>
      <c r="NYC324" s="79"/>
      <c r="NYD324" s="139"/>
      <c r="NYE324" s="139"/>
      <c r="NYF324" s="138"/>
      <c r="NYG324" s="147"/>
      <c r="NYH324" s="147"/>
      <c r="NYI324" s="147"/>
      <c r="NYJ324" s="138"/>
      <c r="NYK324" s="138"/>
      <c r="NYL324" s="147"/>
      <c r="NYM324" s="148"/>
      <c r="NYN324" s="81"/>
      <c r="NYO324" s="140"/>
      <c r="NYP324" s="157"/>
      <c r="NYQ324" s="157"/>
      <c r="NYR324" s="100"/>
      <c r="NYS324" s="79"/>
      <c r="NYT324" s="153"/>
      <c r="NYU324" s="137"/>
      <c r="NYV324" s="158"/>
      <c r="NYW324" s="363"/>
      <c r="NYX324" s="139"/>
      <c r="NYY324" s="139"/>
      <c r="NYZ324" s="98"/>
      <c r="NZA324" s="79"/>
      <c r="NZB324" s="139"/>
      <c r="NZC324" s="139"/>
      <c r="NZD324" s="138"/>
      <c r="NZE324" s="147"/>
      <c r="NZF324" s="147"/>
      <c r="NZG324" s="147"/>
      <c r="NZH324" s="138"/>
      <c r="NZI324" s="138"/>
      <c r="NZJ324" s="147"/>
      <c r="NZK324" s="148"/>
      <c r="NZL324" s="81"/>
      <c r="NZM324" s="140"/>
      <c r="NZN324" s="157"/>
      <c r="NZO324" s="157"/>
      <c r="NZP324" s="100"/>
      <c r="NZQ324" s="79"/>
      <c r="NZR324" s="153"/>
      <c r="NZS324" s="137"/>
      <c r="NZT324" s="158"/>
      <c r="NZU324" s="363"/>
      <c r="NZV324" s="139"/>
      <c r="NZW324" s="139"/>
      <c r="NZX324" s="98"/>
      <c r="NZY324" s="79"/>
      <c r="NZZ324" s="139"/>
      <c r="OAA324" s="139"/>
      <c r="OAB324" s="138"/>
      <c r="OAC324" s="147"/>
      <c r="OAD324" s="147"/>
      <c r="OAE324" s="147"/>
      <c r="OAF324" s="138"/>
      <c r="OAG324" s="138"/>
      <c r="OAH324" s="147"/>
      <c r="OAI324" s="148"/>
      <c r="OAJ324" s="81"/>
      <c r="OAK324" s="140"/>
      <c r="OAL324" s="157"/>
      <c r="OAM324" s="157"/>
      <c r="OAN324" s="100"/>
      <c r="OAO324" s="79"/>
      <c r="OAP324" s="153"/>
      <c r="OAQ324" s="137"/>
      <c r="OAR324" s="158"/>
      <c r="OAS324" s="363"/>
      <c r="OAT324" s="139"/>
      <c r="OAU324" s="139"/>
      <c r="OAV324" s="98"/>
      <c r="OAW324" s="79"/>
      <c r="OAX324" s="139"/>
      <c r="OAY324" s="139"/>
      <c r="OAZ324" s="138"/>
      <c r="OBA324" s="147"/>
      <c r="OBB324" s="147"/>
      <c r="OBC324" s="147"/>
      <c r="OBD324" s="138"/>
      <c r="OBE324" s="138"/>
      <c r="OBF324" s="147"/>
      <c r="OBG324" s="148"/>
      <c r="OBH324" s="81"/>
      <c r="OBI324" s="140"/>
      <c r="OBJ324" s="157"/>
      <c r="OBK324" s="157"/>
      <c r="OBL324" s="100"/>
      <c r="OBM324" s="79"/>
      <c r="OBN324" s="153"/>
      <c r="OBO324" s="137"/>
      <c r="OBP324" s="158"/>
      <c r="OBQ324" s="363"/>
      <c r="OBR324" s="139"/>
      <c r="OBS324" s="139"/>
      <c r="OBT324" s="98"/>
      <c r="OBU324" s="79"/>
      <c r="OBV324" s="139"/>
      <c r="OBW324" s="139"/>
      <c r="OBX324" s="138"/>
      <c r="OBY324" s="147"/>
      <c r="OBZ324" s="147"/>
      <c r="OCA324" s="147"/>
      <c r="OCB324" s="138"/>
      <c r="OCC324" s="138"/>
      <c r="OCD324" s="147"/>
      <c r="OCE324" s="148"/>
      <c r="OCF324" s="81"/>
      <c r="OCG324" s="140"/>
      <c r="OCH324" s="157"/>
      <c r="OCI324" s="157"/>
      <c r="OCJ324" s="100"/>
      <c r="OCK324" s="79"/>
      <c r="OCL324" s="153"/>
      <c r="OCM324" s="137"/>
      <c r="OCN324" s="158"/>
      <c r="OCO324" s="363"/>
      <c r="OCP324" s="139"/>
      <c r="OCQ324" s="139"/>
      <c r="OCR324" s="98"/>
      <c r="OCS324" s="79"/>
      <c r="OCT324" s="139"/>
      <c r="OCU324" s="139"/>
      <c r="OCV324" s="138"/>
      <c r="OCW324" s="147"/>
      <c r="OCX324" s="147"/>
      <c r="OCY324" s="147"/>
      <c r="OCZ324" s="138"/>
      <c r="ODA324" s="138"/>
      <c r="ODB324" s="147"/>
      <c r="ODC324" s="148"/>
      <c r="ODD324" s="81"/>
      <c r="ODE324" s="140"/>
      <c r="ODF324" s="157"/>
      <c r="ODG324" s="157"/>
      <c r="ODH324" s="100"/>
      <c r="ODI324" s="79"/>
      <c r="ODJ324" s="153"/>
      <c r="ODK324" s="137"/>
      <c r="ODL324" s="158"/>
      <c r="ODM324" s="363"/>
      <c r="ODN324" s="139"/>
      <c r="ODO324" s="139"/>
      <c r="ODP324" s="98"/>
      <c r="ODQ324" s="79"/>
      <c r="ODR324" s="139"/>
      <c r="ODS324" s="139"/>
      <c r="ODT324" s="138"/>
      <c r="ODU324" s="147"/>
      <c r="ODV324" s="147"/>
      <c r="ODW324" s="147"/>
      <c r="ODX324" s="138"/>
      <c r="ODY324" s="138"/>
      <c r="ODZ324" s="147"/>
      <c r="OEA324" s="148"/>
      <c r="OEB324" s="81"/>
      <c r="OEC324" s="140"/>
      <c r="OED324" s="157"/>
      <c r="OEE324" s="157"/>
      <c r="OEF324" s="100"/>
      <c r="OEG324" s="79"/>
      <c r="OEH324" s="153"/>
      <c r="OEI324" s="137"/>
      <c r="OEJ324" s="158"/>
      <c r="OEK324" s="363"/>
      <c r="OEL324" s="139"/>
      <c r="OEM324" s="139"/>
      <c r="OEN324" s="98"/>
      <c r="OEO324" s="79"/>
      <c r="OEP324" s="139"/>
      <c r="OEQ324" s="139"/>
      <c r="OER324" s="138"/>
      <c r="OES324" s="147"/>
      <c r="OET324" s="147"/>
      <c r="OEU324" s="147"/>
      <c r="OEV324" s="138"/>
      <c r="OEW324" s="138"/>
      <c r="OEX324" s="147"/>
      <c r="OEY324" s="148"/>
      <c r="OEZ324" s="81"/>
      <c r="OFA324" s="140"/>
      <c r="OFB324" s="157"/>
      <c r="OFC324" s="157"/>
      <c r="OFD324" s="100"/>
      <c r="OFE324" s="79"/>
      <c r="OFF324" s="153"/>
      <c r="OFG324" s="137"/>
      <c r="OFH324" s="158"/>
      <c r="OFI324" s="363"/>
      <c r="OFJ324" s="139"/>
      <c r="OFK324" s="139"/>
      <c r="OFL324" s="98"/>
      <c r="OFM324" s="79"/>
      <c r="OFN324" s="139"/>
      <c r="OFO324" s="139"/>
      <c r="OFP324" s="138"/>
      <c r="OFQ324" s="147"/>
      <c r="OFR324" s="147"/>
      <c r="OFS324" s="147"/>
      <c r="OFT324" s="138"/>
      <c r="OFU324" s="138"/>
      <c r="OFV324" s="147"/>
      <c r="OFW324" s="148"/>
      <c r="OFX324" s="81"/>
      <c r="OFY324" s="140"/>
      <c r="OFZ324" s="157"/>
      <c r="OGA324" s="157"/>
      <c r="OGB324" s="100"/>
      <c r="OGC324" s="79"/>
      <c r="OGD324" s="153"/>
      <c r="OGE324" s="137"/>
      <c r="OGF324" s="158"/>
      <c r="OGG324" s="363"/>
      <c r="OGH324" s="139"/>
      <c r="OGI324" s="139"/>
      <c r="OGJ324" s="98"/>
      <c r="OGK324" s="79"/>
      <c r="OGL324" s="139"/>
      <c r="OGM324" s="139"/>
      <c r="OGN324" s="138"/>
      <c r="OGO324" s="147"/>
      <c r="OGP324" s="147"/>
      <c r="OGQ324" s="147"/>
      <c r="OGR324" s="138"/>
      <c r="OGS324" s="138"/>
      <c r="OGT324" s="147"/>
      <c r="OGU324" s="148"/>
      <c r="OGV324" s="81"/>
      <c r="OGW324" s="140"/>
      <c r="OGX324" s="157"/>
      <c r="OGY324" s="157"/>
      <c r="OGZ324" s="100"/>
      <c r="OHA324" s="79"/>
      <c r="OHB324" s="153"/>
      <c r="OHC324" s="137"/>
      <c r="OHD324" s="158"/>
      <c r="OHE324" s="363"/>
      <c r="OHF324" s="139"/>
      <c r="OHG324" s="139"/>
      <c r="OHH324" s="98"/>
      <c r="OHI324" s="79"/>
      <c r="OHJ324" s="139"/>
      <c r="OHK324" s="139"/>
      <c r="OHL324" s="138"/>
      <c r="OHM324" s="147"/>
      <c r="OHN324" s="147"/>
      <c r="OHO324" s="147"/>
      <c r="OHP324" s="138"/>
      <c r="OHQ324" s="138"/>
      <c r="OHR324" s="147"/>
      <c r="OHS324" s="148"/>
      <c r="OHT324" s="81"/>
      <c r="OHU324" s="140"/>
      <c r="OHV324" s="157"/>
      <c r="OHW324" s="157"/>
      <c r="OHX324" s="100"/>
      <c r="OHY324" s="79"/>
      <c r="OHZ324" s="153"/>
      <c r="OIA324" s="137"/>
      <c r="OIB324" s="158"/>
      <c r="OIC324" s="363"/>
      <c r="OID324" s="139"/>
      <c r="OIE324" s="139"/>
      <c r="OIF324" s="98"/>
      <c r="OIG324" s="79"/>
      <c r="OIH324" s="139"/>
      <c r="OII324" s="139"/>
      <c r="OIJ324" s="138"/>
      <c r="OIK324" s="147"/>
      <c r="OIL324" s="147"/>
      <c r="OIM324" s="147"/>
      <c r="OIN324" s="138"/>
      <c r="OIO324" s="138"/>
      <c r="OIP324" s="147"/>
      <c r="OIQ324" s="148"/>
      <c r="OIR324" s="81"/>
      <c r="OIS324" s="140"/>
      <c r="OIT324" s="157"/>
      <c r="OIU324" s="157"/>
      <c r="OIV324" s="100"/>
      <c r="OIW324" s="79"/>
      <c r="OIX324" s="153"/>
      <c r="OIY324" s="137"/>
      <c r="OIZ324" s="158"/>
      <c r="OJA324" s="363"/>
      <c r="OJB324" s="139"/>
      <c r="OJC324" s="139"/>
      <c r="OJD324" s="98"/>
      <c r="OJE324" s="79"/>
      <c r="OJF324" s="139"/>
      <c r="OJG324" s="139"/>
      <c r="OJH324" s="138"/>
      <c r="OJI324" s="147"/>
      <c r="OJJ324" s="147"/>
      <c r="OJK324" s="147"/>
      <c r="OJL324" s="138"/>
      <c r="OJM324" s="138"/>
      <c r="OJN324" s="147"/>
      <c r="OJO324" s="148"/>
      <c r="OJP324" s="81"/>
      <c r="OJQ324" s="140"/>
      <c r="OJR324" s="157"/>
      <c r="OJS324" s="157"/>
      <c r="OJT324" s="100"/>
      <c r="OJU324" s="79"/>
      <c r="OJV324" s="153"/>
      <c r="OJW324" s="137"/>
      <c r="OJX324" s="158"/>
      <c r="OJY324" s="363"/>
      <c r="OJZ324" s="139"/>
      <c r="OKA324" s="139"/>
      <c r="OKB324" s="98"/>
      <c r="OKC324" s="79"/>
      <c r="OKD324" s="139"/>
      <c r="OKE324" s="139"/>
      <c r="OKF324" s="138"/>
      <c r="OKG324" s="147"/>
      <c r="OKH324" s="147"/>
      <c r="OKI324" s="147"/>
      <c r="OKJ324" s="138"/>
      <c r="OKK324" s="138"/>
      <c r="OKL324" s="147"/>
      <c r="OKM324" s="148"/>
      <c r="OKN324" s="81"/>
      <c r="OKO324" s="140"/>
      <c r="OKP324" s="157"/>
      <c r="OKQ324" s="157"/>
      <c r="OKR324" s="100"/>
      <c r="OKS324" s="79"/>
      <c r="OKT324" s="153"/>
      <c r="OKU324" s="137"/>
      <c r="OKV324" s="158"/>
      <c r="OKW324" s="363"/>
      <c r="OKX324" s="139"/>
      <c r="OKY324" s="139"/>
      <c r="OKZ324" s="98"/>
      <c r="OLA324" s="79"/>
      <c r="OLB324" s="139"/>
      <c r="OLC324" s="139"/>
      <c r="OLD324" s="138"/>
      <c r="OLE324" s="147"/>
      <c r="OLF324" s="147"/>
      <c r="OLG324" s="147"/>
      <c r="OLH324" s="138"/>
      <c r="OLI324" s="138"/>
      <c r="OLJ324" s="147"/>
      <c r="OLK324" s="148"/>
      <c r="OLL324" s="81"/>
      <c r="OLM324" s="140"/>
      <c r="OLN324" s="157"/>
      <c r="OLO324" s="157"/>
      <c r="OLP324" s="100"/>
      <c r="OLQ324" s="79"/>
      <c r="OLR324" s="153"/>
      <c r="OLS324" s="137"/>
      <c r="OLT324" s="158"/>
      <c r="OLU324" s="363"/>
      <c r="OLV324" s="139"/>
      <c r="OLW324" s="139"/>
      <c r="OLX324" s="98"/>
      <c r="OLY324" s="79"/>
      <c r="OLZ324" s="139"/>
      <c r="OMA324" s="139"/>
      <c r="OMB324" s="138"/>
      <c r="OMC324" s="147"/>
      <c r="OMD324" s="147"/>
      <c r="OME324" s="147"/>
      <c r="OMF324" s="138"/>
      <c r="OMG324" s="138"/>
      <c r="OMH324" s="147"/>
      <c r="OMI324" s="148"/>
      <c r="OMJ324" s="81"/>
      <c r="OMK324" s="140"/>
      <c r="OML324" s="157"/>
      <c r="OMM324" s="157"/>
      <c r="OMN324" s="100"/>
      <c r="OMO324" s="79"/>
      <c r="OMP324" s="153"/>
      <c r="OMQ324" s="137"/>
      <c r="OMR324" s="158"/>
      <c r="OMS324" s="363"/>
      <c r="OMT324" s="139"/>
      <c r="OMU324" s="139"/>
      <c r="OMV324" s="98"/>
      <c r="OMW324" s="79"/>
      <c r="OMX324" s="139"/>
      <c r="OMY324" s="139"/>
      <c r="OMZ324" s="138"/>
      <c r="ONA324" s="147"/>
      <c r="ONB324" s="147"/>
      <c r="ONC324" s="147"/>
      <c r="OND324" s="138"/>
      <c r="ONE324" s="138"/>
      <c r="ONF324" s="147"/>
      <c r="ONG324" s="148"/>
      <c r="ONH324" s="81"/>
      <c r="ONI324" s="140"/>
      <c r="ONJ324" s="157"/>
      <c r="ONK324" s="157"/>
      <c r="ONL324" s="100"/>
      <c r="ONM324" s="79"/>
      <c r="ONN324" s="153"/>
      <c r="ONO324" s="137"/>
      <c r="ONP324" s="158"/>
      <c r="ONQ324" s="363"/>
      <c r="ONR324" s="139"/>
      <c r="ONS324" s="139"/>
      <c r="ONT324" s="98"/>
      <c r="ONU324" s="79"/>
      <c r="ONV324" s="139"/>
      <c r="ONW324" s="139"/>
      <c r="ONX324" s="138"/>
      <c r="ONY324" s="147"/>
      <c r="ONZ324" s="147"/>
      <c r="OOA324" s="147"/>
      <c r="OOB324" s="138"/>
      <c r="OOC324" s="138"/>
      <c r="OOD324" s="147"/>
      <c r="OOE324" s="148"/>
      <c r="OOF324" s="81"/>
      <c r="OOG324" s="140"/>
      <c r="OOH324" s="157"/>
      <c r="OOI324" s="157"/>
      <c r="OOJ324" s="100"/>
      <c r="OOK324" s="79"/>
      <c r="OOL324" s="153"/>
      <c r="OOM324" s="137"/>
      <c r="OON324" s="158"/>
      <c r="OOO324" s="363"/>
      <c r="OOP324" s="139"/>
      <c r="OOQ324" s="139"/>
      <c r="OOR324" s="98"/>
      <c r="OOS324" s="79"/>
      <c r="OOT324" s="139"/>
      <c r="OOU324" s="139"/>
      <c r="OOV324" s="138"/>
      <c r="OOW324" s="147"/>
      <c r="OOX324" s="147"/>
      <c r="OOY324" s="147"/>
      <c r="OOZ324" s="138"/>
      <c r="OPA324" s="138"/>
      <c r="OPB324" s="147"/>
      <c r="OPC324" s="148"/>
      <c r="OPD324" s="81"/>
      <c r="OPE324" s="140"/>
      <c r="OPF324" s="157"/>
      <c r="OPG324" s="157"/>
      <c r="OPH324" s="100"/>
      <c r="OPI324" s="79"/>
      <c r="OPJ324" s="153"/>
      <c r="OPK324" s="137"/>
      <c r="OPL324" s="158"/>
      <c r="OPM324" s="363"/>
      <c r="OPN324" s="139"/>
      <c r="OPO324" s="139"/>
      <c r="OPP324" s="98"/>
      <c r="OPQ324" s="79"/>
      <c r="OPR324" s="139"/>
      <c r="OPS324" s="139"/>
      <c r="OPT324" s="138"/>
      <c r="OPU324" s="147"/>
      <c r="OPV324" s="147"/>
      <c r="OPW324" s="147"/>
      <c r="OPX324" s="138"/>
      <c r="OPY324" s="138"/>
      <c r="OPZ324" s="147"/>
      <c r="OQA324" s="148"/>
      <c r="OQB324" s="81"/>
      <c r="OQC324" s="140"/>
      <c r="OQD324" s="157"/>
      <c r="OQE324" s="157"/>
      <c r="OQF324" s="100"/>
      <c r="OQG324" s="79"/>
      <c r="OQH324" s="153"/>
      <c r="OQI324" s="137"/>
      <c r="OQJ324" s="158"/>
      <c r="OQK324" s="363"/>
      <c r="OQL324" s="139"/>
      <c r="OQM324" s="139"/>
      <c r="OQN324" s="98"/>
      <c r="OQO324" s="79"/>
      <c r="OQP324" s="139"/>
      <c r="OQQ324" s="139"/>
      <c r="OQR324" s="138"/>
      <c r="OQS324" s="147"/>
      <c r="OQT324" s="147"/>
      <c r="OQU324" s="147"/>
      <c r="OQV324" s="138"/>
      <c r="OQW324" s="138"/>
      <c r="OQX324" s="147"/>
      <c r="OQY324" s="148"/>
      <c r="OQZ324" s="81"/>
      <c r="ORA324" s="140"/>
      <c r="ORB324" s="157"/>
      <c r="ORC324" s="157"/>
      <c r="ORD324" s="100"/>
      <c r="ORE324" s="79"/>
      <c r="ORF324" s="153"/>
      <c r="ORG324" s="137"/>
      <c r="ORH324" s="158"/>
      <c r="ORI324" s="363"/>
      <c r="ORJ324" s="139"/>
      <c r="ORK324" s="139"/>
      <c r="ORL324" s="98"/>
      <c r="ORM324" s="79"/>
      <c r="ORN324" s="139"/>
      <c r="ORO324" s="139"/>
      <c r="ORP324" s="138"/>
      <c r="ORQ324" s="147"/>
      <c r="ORR324" s="147"/>
      <c r="ORS324" s="147"/>
      <c r="ORT324" s="138"/>
      <c r="ORU324" s="138"/>
      <c r="ORV324" s="147"/>
      <c r="ORW324" s="148"/>
      <c r="ORX324" s="81"/>
      <c r="ORY324" s="140"/>
      <c r="ORZ324" s="157"/>
      <c r="OSA324" s="157"/>
      <c r="OSB324" s="100"/>
      <c r="OSC324" s="79"/>
      <c r="OSD324" s="153"/>
      <c r="OSE324" s="137"/>
      <c r="OSF324" s="158"/>
      <c r="OSG324" s="363"/>
      <c r="OSH324" s="139"/>
      <c r="OSI324" s="139"/>
      <c r="OSJ324" s="98"/>
      <c r="OSK324" s="79"/>
      <c r="OSL324" s="139"/>
      <c r="OSM324" s="139"/>
      <c r="OSN324" s="138"/>
      <c r="OSO324" s="147"/>
      <c r="OSP324" s="147"/>
      <c r="OSQ324" s="147"/>
      <c r="OSR324" s="138"/>
      <c r="OSS324" s="138"/>
      <c r="OST324" s="147"/>
      <c r="OSU324" s="148"/>
      <c r="OSV324" s="81"/>
      <c r="OSW324" s="140"/>
      <c r="OSX324" s="157"/>
      <c r="OSY324" s="157"/>
      <c r="OSZ324" s="100"/>
      <c r="OTA324" s="79"/>
      <c r="OTB324" s="153"/>
      <c r="OTC324" s="137"/>
      <c r="OTD324" s="158"/>
      <c r="OTE324" s="363"/>
      <c r="OTF324" s="139"/>
      <c r="OTG324" s="139"/>
      <c r="OTH324" s="98"/>
      <c r="OTI324" s="79"/>
      <c r="OTJ324" s="139"/>
      <c r="OTK324" s="139"/>
      <c r="OTL324" s="138"/>
      <c r="OTM324" s="147"/>
      <c r="OTN324" s="147"/>
      <c r="OTO324" s="147"/>
      <c r="OTP324" s="138"/>
      <c r="OTQ324" s="138"/>
      <c r="OTR324" s="147"/>
      <c r="OTS324" s="148"/>
      <c r="OTT324" s="81"/>
      <c r="OTU324" s="140"/>
      <c r="OTV324" s="157"/>
      <c r="OTW324" s="157"/>
      <c r="OTX324" s="100"/>
      <c r="OTY324" s="79"/>
      <c r="OTZ324" s="153"/>
      <c r="OUA324" s="137"/>
      <c r="OUB324" s="158"/>
      <c r="OUC324" s="363"/>
      <c r="OUD324" s="139"/>
      <c r="OUE324" s="139"/>
      <c r="OUF324" s="98"/>
      <c r="OUG324" s="79"/>
      <c r="OUH324" s="139"/>
      <c r="OUI324" s="139"/>
      <c r="OUJ324" s="138"/>
      <c r="OUK324" s="147"/>
      <c r="OUL324" s="147"/>
      <c r="OUM324" s="147"/>
      <c r="OUN324" s="138"/>
      <c r="OUO324" s="138"/>
      <c r="OUP324" s="147"/>
      <c r="OUQ324" s="148"/>
      <c r="OUR324" s="81"/>
      <c r="OUS324" s="140"/>
      <c r="OUT324" s="157"/>
      <c r="OUU324" s="157"/>
      <c r="OUV324" s="100"/>
      <c r="OUW324" s="79"/>
      <c r="OUX324" s="153"/>
      <c r="OUY324" s="137"/>
      <c r="OUZ324" s="158"/>
      <c r="OVA324" s="363"/>
      <c r="OVB324" s="139"/>
      <c r="OVC324" s="139"/>
      <c r="OVD324" s="98"/>
      <c r="OVE324" s="79"/>
      <c r="OVF324" s="139"/>
      <c r="OVG324" s="139"/>
      <c r="OVH324" s="138"/>
      <c r="OVI324" s="147"/>
      <c r="OVJ324" s="147"/>
      <c r="OVK324" s="147"/>
      <c r="OVL324" s="138"/>
      <c r="OVM324" s="138"/>
      <c r="OVN324" s="147"/>
      <c r="OVO324" s="148"/>
      <c r="OVP324" s="81"/>
      <c r="OVQ324" s="140"/>
      <c r="OVR324" s="157"/>
      <c r="OVS324" s="157"/>
      <c r="OVT324" s="100"/>
      <c r="OVU324" s="79"/>
      <c r="OVV324" s="153"/>
      <c r="OVW324" s="137"/>
      <c r="OVX324" s="158"/>
      <c r="OVY324" s="363"/>
      <c r="OVZ324" s="139"/>
      <c r="OWA324" s="139"/>
      <c r="OWB324" s="98"/>
      <c r="OWC324" s="79"/>
      <c r="OWD324" s="139"/>
      <c r="OWE324" s="139"/>
      <c r="OWF324" s="138"/>
      <c r="OWG324" s="147"/>
      <c r="OWH324" s="147"/>
      <c r="OWI324" s="147"/>
      <c r="OWJ324" s="138"/>
      <c r="OWK324" s="138"/>
      <c r="OWL324" s="147"/>
      <c r="OWM324" s="148"/>
      <c r="OWN324" s="81"/>
      <c r="OWO324" s="140"/>
      <c r="OWP324" s="157"/>
      <c r="OWQ324" s="157"/>
      <c r="OWR324" s="100"/>
      <c r="OWS324" s="79"/>
      <c r="OWT324" s="153"/>
      <c r="OWU324" s="137"/>
      <c r="OWV324" s="158"/>
      <c r="OWW324" s="363"/>
      <c r="OWX324" s="139"/>
      <c r="OWY324" s="139"/>
      <c r="OWZ324" s="98"/>
      <c r="OXA324" s="79"/>
      <c r="OXB324" s="139"/>
      <c r="OXC324" s="139"/>
      <c r="OXD324" s="138"/>
      <c r="OXE324" s="147"/>
      <c r="OXF324" s="147"/>
      <c r="OXG324" s="147"/>
      <c r="OXH324" s="138"/>
      <c r="OXI324" s="138"/>
      <c r="OXJ324" s="147"/>
      <c r="OXK324" s="148"/>
      <c r="OXL324" s="81"/>
      <c r="OXM324" s="140"/>
      <c r="OXN324" s="157"/>
      <c r="OXO324" s="157"/>
      <c r="OXP324" s="100"/>
      <c r="OXQ324" s="79"/>
      <c r="OXR324" s="153"/>
      <c r="OXS324" s="137"/>
      <c r="OXT324" s="158"/>
      <c r="OXU324" s="363"/>
      <c r="OXV324" s="139"/>
      <c r="OXW324" s="139"/>
      <c r="OXX324" s="98"/>
      <c r="OXY324" s="79"/>
      <c r="OXZ324" s="139"/>
      <c r="OYA324" s="139"/>
      <c r="OYB324" s="138"/>
      <c r="OYC324" s="147"/>
      <c r="OYD324" s="147"/>
      <c r="OYE324" s="147"/>
      <c r="OYF324" s="138"/>
      <c r="OYG324" s="138"/>
      <c r="OYH324" s="147"/>
      <c r="OYI324" s="148"/>
      <c r="OYJ324" s="81"/>
      <c r="OYK324" s="140"/>
      <c r="OYL324" s="157"/>
      <c r="OYM324" s="157"/>
      <c r="OYN324" s="100"/>
      <c r="OYO324" s="79"/>
      <c r="OYP324" s="153"/>
      <c r="OYQ324" s="137"/>
      <c r="OYR324" s="158"/>
      <c r="OYS324" s="363"/>
      <c r="OYT324" s="139"/>
      <c r="OYU324" s="139"/>
      <c r="OYV324" s="98"/>
      <c r="OYW324" s="79"/>
      <c r="OYX324" s="139"/>
      <c r="OYY324" s="139"/>
      <c r="OYZ324" s="138"/>
      <c r="OZA324" s="147"/>
      <c r="OZB324" s="147"/>
      <c r="OZC324" s="147"/>
      <c r="OZD324" s="138"/>
      <c r="OZE324" s="138"/>
      <c r="OZF324" s="147"/>
      <c r="OZG324" s="148"/>
      <c r="OZH324" s="81"/>
      <c r="OZI324" s="140"/>
      <c r="OZJ324" s="157"/>
      <c r="OZK324" s="157"/>
      <c r="OZL324" s="100"/>
      <c r="OZM324" s="79"/>
      <c r="OZN324" s="153"/>
      <c r="OZO324" s="137"/>
      <c r="OZP324" s="158"/>
      <c r="OZQ324" s="363"/>
      <c r="OZR324" s="139"/>
      <c r="OZS324" s="139"/>
      <c r="OZT324" s="98"/>
      <c r="OZU324" s="79"/>
      <c r="OZV324" s="139"/>
      <c r="OZW324" s="139"/>
      <c r="OZX324" s="138"/>
      <c r="OZY324" s="147"/>
      <c r="OZZ324" s="147"/>
      <c r="PAA324" s="147"/>
      <c r="PAB324" s="138"/>
      <c r="PAC324" s="138"/>
      <c r="PAD324" s="147"/>
      <c r="PAE324" s="148"/>
      <c r="PAF324" s="81"/>
      <c r="PAG324" s="140"/>
      <c r="PAH324" s="157"/>
      <c r="PAI324" s="157"/>
      <c r="PAJ324" s="100"/>
      <c r="PAK324" s="79"/>
      <c r="PAL324" s="153"/>
      <c r="PAM324" s="137"/>
      <c r="PAN324" s="158"/>
      <c r="PAO324" s="363"/>
      <c r="PAP324" s="139"/>
      <c r="PAQ324" s="139"/>
      <c r="PAR324" s="98"/>
      <c r="PAS324" s="79"/>
      <c r="PAT324" s="139"/>
      <c r="PAU324" s="139"/>
      <c r="PAV324" s="138"/>
      <c r="PAW324" s="147"/>
      <c r="PAX324" s="147"/>
      <c r="PAY324" s="147"/>
      <c r="PAZ324" s="138"/>
      <c r="PBA324" s="138"/>
      <c r="PBB324" s="147"/>
      <c r="PBC324" s="148"/>
      <c r="PBD324" s="81"/>
      <c r="PBE324" s="140"/>
      <c r="PBF324" s="157"/>
      <c r="PBG324" s="157"/>
      <c r="PBH324" s="100"/>
      <c r="PBI324" s="79"/>
      <c r="PBJ324" s="153"/>
      <c r="PBK324" s="137"/>
      <c r="PBL324" s="158"/>
      <c r="PBM324" s="363"/>
      <c r="PBN324" s="139"/>
      <c r="PBO324" s="139"/>
      <c r="PBP324" s="98"/>
      <c r="PBQ324" s="79"/>
      <c r="PBR324" s="139"/>
      <c r="PBS324" s="139"/>
      <c r="PBT324" s="138"/>
      <c r="PBU324" s="147"/>
      <c r="PBV324" s="147"/>
      <c r="PBW324" s="147"/>
      <c r="PBX324" s="138"/>
      <c r="PBY324" s="138"/>
      <c r="PBZ324" s="147"/>
      <c r="PCA324" s="148"/>
      <c r="PCB324" s="81"/>
      <c r="PCC324" s="140"/>
      <c r="PCD324" s="157"/>
      <c r="PCE324" s="157"/>
      <c r="PCF324" s="100"/>
      <c r="PCG324" s="79"/>
      <c r="PCH324" s="153"/>
      <c r="PCI324" s="137"/>
      <c r="PCJ324" s="158"/>
      <c r="PCK324" s="363"/>
      <c r="PCL324" s="139"/>
      <c r="PCM324" s="139"/>
      <c r="PCN324" s="98"/>
      <c r="PCO324" s="79"/>
      <c r="PCP324" s="139"/>
      <c r="PCQ324" s="139"/>
      <c r="PCR324" s="138"/>
      <c r="PCS324" s="147"/>
      <c r="PCT324" s="147"/>
      <c r="PCU324" s="147"/>
      <c r="PCV324" s="138"/>
      <c r="PCW324" s="138"/>
      <c r="PCX324" s="147"/>
      <c r="PCY324" s="148"/>
      <c r="PCZ324" s="81"/>
      <c r="PDA324" s="140"/>
      <c r="PDB324" s="157"/>
      <c r="PDC324" s="157"/>
      <c r="PDD324" s="100"/>
      <c r="PDE324" s="79"/>
      <c r="PDF324" s="153"/>
      <c r="PDG324" s="137"/>
      <c r="PDH324" s="158"/>
      <c r="PDI324" s="363"/>
      <c r="PDJ324" s="139"/>
      <c r="PDK324" s="139"/>
      <c r="PDL324" s="98"/>
      <c r="PDM324" s="79"/>
      <c r="PDN324" s="139"/>
      <c r="PDO324" s="139"/>
      <c r="PDP324" s="138"/>
      <c r="PDQ324" s="147"/>
      <c r="PDR324" s="147"/>
      <c r="PDS324" s="147"/>
      <c r="PDT324" s="138"/>
      <c r="PDU324" s="138"/>
      <c r="PDV324" s="147"/>
      <c r="PDW324" s="148"/>
      <c r="PDX324" s="81"/>
      <c r="PDY324" s="140"/>
      <c r="PDZ324" s="157"/>
      <c r="PEA324" s="157"/>
      <c r="PEB324" s="100"/>
      <c r="PEC324" s="79"/>
      <c r="PED324" s="153"/>
      <c r="PEE324" s="137"/>
      <c r="PEF324" s="158"/>
      <c r="PEG324" s="363"/>
      <c r="PEH324" s="139"/>
      <c r="PEI324" s="139"/>
      <c r="PEJ324" s="98"/>
      <c r="PEK324" s="79"/>
      <c r="PEL324" s="139"/>
      <c r="PEM324" s="139"/>
      <c r="PEN324" s="138"/>
      <c r="PEO324" s="147"/>
      <c r="PEP324" s="147"/>
      <c r="PEQ324" s="147"/>
      <c r="PER324" s="138"/>
      <c r="PES324" s="138"/>
      <c r="PET324" s="147"/>
      <c r="PEU324" s="148"/>
      <c r="PEV324" s="81"/>
      <c r="PEW324" s="140"/>
      <c r="PEX324" s="157"/>
      <c r="PEY324" s="157"/>
      <c r="PEZ324" s="100"/>
      <c r="PFA324" s="79"/>
      <c r="PFB324" s="153"/>
      <c r="PFC324" s="137"/>
      <c r="PFD324" s="158"/>
      <c r="PFE324" s="363"/>
      <c r="PFF324" s="139"/>
      <c r="PFG324" s="139"/>
      <c r="PFH324" s="98"/>
      <c r="PFI324" s="79"/>
      <c r="PFJ324" s="139"/>
      <c r="PFK324" s="139"/>
      <c r="PFL324" s="138"/>
      <c r="PFM324" s="147"/>
      <c r="PFN324" s="147"/>
      <c r="PFO324" s="147"/>
      <c r="PFP324" s="138"/>
      <c r="PFQ324" s="138"/>
      <c r="PFR324" s="147"/>
      <c r="PFS324" s="148"/>
      <c r="PFT324" s="81"/>
      <c r="PFU324" s="140"/>
      <c r="PFV324" s="157"/>
      <c r="PFW324" s="157"/>
      <c r="PFX324" s="100"/>
      <c r="PFY324" s="79"/>
      <c r="PFZ324" s="153"/>
      <c r="PGA324" s="137"/>
      <c r="PGB324" s="158"/>
      <c r="PGC324" s="363"/>
      <c r="PGD324" s="139"/>
      <c r="PGE324" s="139"/>
      <c r="PGF324" s="98"/>
      <c r="PGG324" s="79"/>
      <c r="PGH324" s="139"/>
      <c r="PGI324" s="139"/>
      <c r="PGJ324" s="138"/>
      <c r="PGK324" s="147"/>
      <c r="PGL324" s="147"/>
      <c r="PGM324" s="147"/>
      <c r="PGN324" s="138"/>
      <c r="PGO324" s="138"/>
      <c r="PGP324" s="147"/>
      <c r="PGQ324" s="148"/>
      <c r="PGR324" s="81"/>
      <c r="PGS324" s="140"/>
      <c r="PGT324" s="157"/>
      <c r="PGU324" s="157"/>
      <c r="PGV324" s="100"/>
      <c r="PGW324" s="79"/>
      <c r="PGX324" s="153"/>
      <c r="PGY324" s="137"/>
      <c r="PGZ324" s="158"/>
      <c r="PHA324" s="363"/>
      <c r="PHB324" s="139"/>
      <c r="PHC324" s="139"/>
      <c r="PHD324" s="98"/>
      <c r="PHE324" s="79"/>
      <c r="PHF324" s="139"/>
      <c r="PHG324" s="139"/>
      <c r="PHH324" s="138"/>
      <c r="PHI324" s="147"/>
      <c r="PHJ324" s="147"/>
      <c r="PHK324" s="147"/>
      <c r="PHL324" s="138"/>
      <c r="PHM324" s="138"/>
      <c r="PHN324" s="147"/>
      <c r="PHO324" s="148"/>
      <c r="PHP324" s="81"/>
      <c r="PHQ324" s="140"/>
      <c r="PHR324" s="157"/>
      <c r="PHS324" s="157"/>
      <c r="PHT324" s="100"/>
      <c r="PHU324" s="79"/>
      <c r="PHV324" s="153"/>
      <c r="PHW324" s="137"/>
      <c r="PHX324" s="158"/>
      <c r="PHY324" s="363"/>
      <c r="PHZ324" s="139"/>
      <c r="PIA324" s="139"/>
      <c r="PIB324" s="98"/>
      <c r="PIC324" s="79"/>
      <c r="PID324" s="139"/>
      <c r="PIE324" s="139"/>
      <c r="PIF324" s="138"/>
      <c r="PIG324" s="147"/>
      <c r="PIH324" s="147"/>
      <c r="PII324" s="147"/>
      <c r="PIJ324" s="138"/>
      <c r="PIK324" s="138"/>
      <c r="PIL324" s="147"/>
      <c r="PIM324" s="148"/>
      <c r="PIN324" s="81"/>
      <c r="PIO324" s="140"/>
      <c r="PIP324" s="157"/>
      <c r="PIQ324" s="157"/>
      <c r="PIR324" s="100"/>
      <c r="PIS324" s="79"/>
      <c r="PIT324" s="153"/>
      <c r="PIU324" s="137"/>
      <c r="PIV324" s="158"/>
      <c r="PIW324" s="363"/>
      <c r="PIX324" s="139"/>
      <c r="PIY324" s="139"/>
      <c r="PIZ324" s="98"/>
      <c r="PJA324" s="79"/>
      <c r="PJB324" s="139"/>
      <c r="PJC324" s="139"/>
      <c r="PJD324" s="138"/>
      <c r="PJE324" s="147"/>
      <c r="PJF324" s="147"/>
      <c r="PJG324" s="147"/>
      <c r="PJH324" s="138"/>
      <c r="PJI324" s="138"/>
      <c r="PJJ324" s="147"/>
      <c r="PJK324" s="148"/>
      <c r="PJL324" s="81"/>
      <c r="PJM324" s="140"/>
      <c r="PJN324" s="157"/>
      <c r="PJO324" s="157"/>
      <c r="PJP324" s="100"/>
      <c r="PJQ324" s="79"/>
      <c r="PJR324" s="153"/>
      <c r="PJS324" s="137"/>
      <c r="PJT324" s="158"/>
      <c r="PJU324" s="363"/>
      <c r="PJV324" s="139"/>
      <c r="PJW324" s="139"/>
      <c r="PJX324" s="98"/>
      <c r="PJY324" s="79"/>
      <c r="PJZ324" s="139"/>
      <c r="PKA324" s="139"/>
      <c r="PKB324" s="138"/>
      <c r="PKC324" s="147"/>
      <c r="PKD324" s="147"/>
      <c r="PKE324" s="147"/>
      <c r="PKF324" s="138"/>
      <c r="PKG324" s="138"/>
      <c r="PKH324" s="147"/>
      <c r="PKI324" s="148"/>
      <c r="PKJ324" s="81"/>
      <c r="PKK324" s="140"/>
      <c r="PKL324" s="157"/>
      <c r="PKM324" s="157"/>
      <c r="PKN324" s="100"/>
      <c r="PKO324" s="79"/>
      <c r="PKP324" s="153"/>
      <c r="PKQ324" s="137"/>
      <c r="PKR324" s="158"/>
      <c r="PKS324" s="363"/>
      <c r="PKT324" s="139"/>
      <c r="PKU324" s="139"/>
      <c r="PKV324" s="98"/>
      <c r="PKW324" s="79"/>
      <c r="PKX324" s="139"/>
      <c r="PKY324" s="139"/>
      <c r="PKZ324" s="138"/>
      <c r="PLA324" s="147"/>
      <c r="PLB324" s="147"/>
      <c r="PLC324" s="147"/>
      <c r="PLD324" s="138"/>
      <c r="PLE324" s="138"/>
      <c r="PLF324" s="147"/>
      <c r="PLG324" s="148"/>
      <c r="PLH324" s="81"/>
      <c r="PLI324" s="140"/>
      <c r="PLJ324" s="157"/>
      <c r="PLK324" s="157"/>
      <c r="PLL324" s="100"/>
      <c r="PLM324" s="79"/>
      <c r="PLN324" s="153"/>
      <c r="PLO324" s="137"/>
      <c r="PLP324" s="158"/>
      <c r="PLQ324" s="363"/>
      <c r="PLR324" s="139"/>
      <c r="PLS324" s="139"/>
      <c r="PLT324" s="98"/>
      <c r="PLU324" s="79"/>
      <c r="PLV324" s="139"/>
      <c r="PLW324" s="139"/>
      <c r="PLX324" s="138"/>
      <c r="PLY324" s="147"/>
      <c r="PLZ324" s="147"/>
      <c r="PMA324" s="147"/>
      <c r="PMB324" s="138"/>
      <c r="PMC324" s="138"/>
      <c r="PMD324" s="147"/>
      <c r="PME324" s="148"/>
      <c r="PMF324" s="81"/>
      <c r="PMG324" s="140"/>
      <c r="PMH324" s="157"/>
      <c r="PMI324" s="157"/>
      <c r="PMJ324" s="100"/>
      <c r="PMK324" s="79"/>
      <c r="PML324" s="153"/>
      <c r="PMM324" s="137"/>
      <c r="PMN324" s="158"/>
      <c r="PMO324" s="363"/>
      <c r="PMP324" s="139"/>
      <c r="PMQ324" s="139"/>
      <c r="PMR324" s="98"/>
      <c r="PMS324" s="79"/>
      <c r="PMT324" s="139"/>
      <c r="PMU324" s="139"/>
      <c r="PMV324" s="138"/>
      <c r="PMW324" s="147"/>
      <c r="PMX324" s="147"/>
      <c r="PMY324" s="147"/>
      <c r="PMZ324" s="138"/>
      <c r="PNA324" s="138"/>
      <c r="PNB324" s="147"/>
      <c r="PNC324" s="148"/>
      <c r="PND324" s="81"/>
      <c r="PNE324" s="140"/>
      <c r="PNF324" s="157"/>
      <c r="PNG324" s="157"/>
      <c r="PNH324" s="100"/>
      <c r="PNI324" s="79"/>
      <c r="PNJ324" s="153"/>
      <c r="PNK324" s="137"/>
      <c r="PNL324" s="158"/>
      <c r="PNM324" s="363"/>
      <c r="PNN324" s="139"/>
      <c r="PNO324" s="139"/>
      <c r="PNP324" s="98"/>
      <c r="PNQ324" s="79"/>
      <c r="PNR324" s="139"/>
      <c r="PNS324" s="139"/>
      <c r="PNT324" s="138"/>
      <c r="PNU324" s="147"/>
      <c r="PNV324" s="147"/>
      <c r="PNW324" s="147"/>
      <c r="PNX324" s="138"/>
      <c r="PNY324" s="138"/>
      <c r="PNZ324" s="147"/>
      <c r="POA324" s="148"/>
      <c r="POB324" s="81"/>
      <c r="POC324" s="140"/>
      <c r="POD324" s="157"/>
      <c r="POE324" s="157"/>
      <c r="POF324" s="100"/>
      <c r="POG324" s="79"/>
      <c r="POH324" s="153"/>
      <c r="POI324" s="137"/>
      <c r="POJ324" s="158"/>
      <c r="POK324" s="363"/>
      <c r="POL324" s="139"/>
      <c r="POM324" s="139"/>
      <c r="PON324" s="98"/>
      <c r="POO324" s="79"/>
      <c r="POP324" s="139"/>
      <c r="POQ324" s="139"/>
      <c r="POR324" s="138"/>
      <c r="POS324" s="147"/>
      <c r="POT324" s="147"/>
      <c r="POU324" s="147"/>
      <c r="POV324" s="138"/>
      <c r="POW324" s="138"/>
      <c r="POX324" s="147"/>
      <c r="POY324" s="148"/>
      <c r="POZ324" s="81"/>
      <c r="PPA324" s="140"/>
      <c r="PPB324" s="157"/>
      <c r="PPC324" s="157"/>
      <c r="PPD324" s="100"/>
      <c r="PPE324" s="79"/>
      <c r="PPF324" s="153"/>
      <c r="PPG324" s="137"/>
      <c r="PPH324" s="158"/>
      <c r="PPI324" s="363"/>
      <c r="PPJ324" s="139"/>
      <c r="PPK324" s="139"/>
      <c r="PPL324" s="98"/>
      <c r="PPM324" s="79"/>
      <c r="PPN324" s="139"/>
      <c r="PPO324" s="139"/>
      <c r="PPP324" s="138"/>
      <c r="PPQ324" s="147"/>
      <c r="PPR324" s="147"/>
      <c r="PPS324" s="147"/>
      <c r="PPT324" s="138"/>
      <c r="PPU324" s="138"/>
      <c r="PPV324" s="147"/>
      <c r="PPW324" s="148"/>
      <c r="PPX324" s="81"/>
      <c r="PPY324" s="140"/>
      <c r="PPZ324" s="157"/>
      <c r="PQA324" s="157"/>
      <c r="PQB324" s="100"/>
      <c r="PQC324" s="79"/>
      <c r="PQD324" s="153"/>
      <c r="PQE324" s="137"/>
      <c r="PQF324" s="158"/>
      <c r="PQG324" s="363"/>
      <c r="PQH324" s="139"/>
      <c r="PQI324" s="139"/>
      <c r="PQJ324" s="98"/>
      <c r="PQK324" s="79"/>
      <c r="PQL324" s="139"/>
      <c r="PQM324" s="139"/>
      <c r="PQN324" s="138"/>
      <c r="PQO324" s="147"/>
      <c r="PQP324" s="147"/>
      <c r="PQQ324" s="147"/>
      <c r="PQR324" s="138"/>
      <c r="PQS324" s="138"/>
      <c r="PQT324" s="147"/>
      <c r="PQU324" s="148"/>
      <c r="PQV324" s="81"/>
      <c r="PQW324" s="140"/>
      <c r="PQX324" s="157"/>
      <c r="PQY324" s="157"/>
      <c r="PQZ324" s="100"/>
      <c r="PRA324" s="79"/>
      <c r="PRB324" s="153"/>
      <c r="PRC324" s="137"/>
      <c r="PRD324" s="158"/>
      <c r="PRE324" s="363"/>
      <c r="PRF324" s="139"/>
      <c r="PRG324" s="139"/>
      <c r="PRH324" s="98"/>
      <c r="PRI324" s="79"/>
      <c r="PRJ324" s="139"/>
      <c r="PRK324" s="139"/>
      <c r="PRL324" s="138"/>
      <c r="PRM324" s="147"/>
      <c r="PRN324" s="147"/>
      <c r="PRO324" s="147"/>
      <c r="PRP324" s="138"/>
      <c r="PRQ324" s="138"/>
      <c r="PRR324" s="147"/>
      <c r="PRS324" s="148"/>
      <c r="PRT324" s="81"/>
      <c r="PRU324" s="140"/>
      <c r="PRV324" s="157"/>
      <c r="PRW324" s="157"/>
      <c r="PRX324" s="100"/>
      <c r="PRY324" s="79"/>
      <c r="PRZ324" s="153"/>
      <c r="PSA324" s="137"/>
      <c r="PSB324" s="158"/>
      <c r="PSC324" s="363"/>
      <c r="PSD324" s="139"/>
      <c r="PSE324" s="139"/>
      <c r="PSF324" s="98"/>
      <c r="PSG324" s="79"/>
      <c r="PSH324" s="139"/>
      <c r="PSI324" s="139"/>
      <c r="PSJ324" s="138"/>
      <c r="PSK324" s="147"/>
      <c r="PSL324" s="147"/>
      <c r="PSM324" s="147"/>
      <c r="PSN324" s="138"/>
      <c r="PSO324" s="138"/>
      <c r="PSP324" s="147"/>
      <c r="PSQ324" s="148"/>
      <c r="PSR324" s="81"/>
      <c r="PSS324" s="140"/>
      <c r="PST324" s="157"/>
      <c r="PSU324" s="157"/>
      <c r="PSV324" s="100"/>
      <c r="PSW324" s="79"/>
      <c r="PSX324" s="153"/>
      <c r="PSY324" s="137"/>
      <c r="PSZ324" s="158"/>
      <c r="PTA324" s="363"/>
      <c r="PTB324" s="139"/>
      <c r="PTC324" s="139"/>
      <c r="PTD324" s="98"/>
      <c r="PTE324" s="79"/>
      <c r="PTF324" s="139"/>
      <c r="PTG324" s="139"/>
      <c r="PTH324" s="138"/>
      <c r="PTI324" s="147"/>
      <c r="PTJ324" s="147"/>
      <c r="PTK324" s="147"/>
      <c r="PTL324" s="138"/>
      <c r="PTM324" s="138"/>
      <c r="PTN324" s="147"/>
      <c r="PTO324" s="148"/>
      <c r="PTP324" s="81"/>
      <c r="PTQ324" s="140"/>
      <c r="PTR324" s="157"/>
      <c r="PTS324" s="157"/>
      <c r="PTT324" s="100"/>
      <c r="PTU324" s="79"/>
      <c r="PTV324" s="153"/>
      <c r="PTW324" s="137"/>
      <c r="PTX324" s="158"/>
      <c r="PTY324" s="363"/>
      <c r="PTZ324" s="139"/>
      <c r="PUA324" s="139"/>
      <c r="PUB324" s="98"/>
      <c r="PUC324" s="79"/>
      <c r="PUD324" s="139"/>
      <c r="PUE324" s="139"/>
      <c r="PUF324" s="138"/>
      <c r="PUG324" s="147"/>
      <c r="PUH324" s="147"/>
      <c r="PUI324" s="147"/>
      <c r="PUJ324" s="138"/>
      <c r="PUK324" s="138"/>
      <c r="PUL324" s="147"/>
      <c r="PUM324" s="148"/>
      <c r="PUN324" s="81"/>
      <c r="PUO324" s="140"/>
      <c r="PUP324" s="157"/>
      <c r="PUQ324" s="157"/>
      <c r="PUR324" s="100"/>
      <c r="PUS324" s="79"/>
      <c r="PUT324" s="153"/>
      <c r="PUU324" s="137"/>
      <c r="PUV324" s="158"/>
      <c r="PUW324" s="363"/>
      <c r="PUX324" s="139"/>
      <c r="PUY324" s="139"/>
      <c r="PUZ324" s="98"/>
      <c r="PVA324" s="79"/>
      <c r="PVB324" s="139"/>
      <c r="PVC324" s="139"/>
      <c r="PVD324" s="138"/>
      <c r="PVE324" s="147"/>
      <c r="PVF324" s="147"/>
      <c r="PVG324" s="147"/>
      <c r="PVH324" s="138"/>
      <c r="PVI324" s="138"/>
      <c r="PVJ324" s="147"/>
      <c r="PVK324" s="148"/>
      <c r="PVL324" s="81"/>
      <c r="PVM324" s="140"/>
      <c r="PVN324" s="157"/>
      <c r="PVO324" s="157"/>
      <c r="PVP324" s="100"/>
      <c r="PVQ324" s="79"/>
      <c r="PVR324" s="153"/>
      <c r="PVS324" s="137"/>
      <c r="PVT324" s="158"/>
      <c r="PVU324" s="363"/>
      <c r="PVV324" s="139"/>
      <c r="PVW324" s="139"/>
      <c r="PVX324" s="98"/>
      <c r="PVY324" s="79"/>
      <c r="PVZ324" s="139"/>
      <c r="PWA324" s="139"/>
      <c r="PWB324" s="138"/>
      <c r="PWC324" s="147"/>
      <c r="PWD324" s="147"/>
      <c r="PWE324" s="147"/>
      <c r="PWF324" s="138"/>
      <c r="PWG324" s="138"/>
      <c r="PWH324" s="147"/>
      <c r="PWI324" s="148"/>
      <c r="PWJ324" s="81"/>
      <c r="PWK324" s="140"/>
      <c r="PWL324" s="157"/>
      <c r="PWM324" s="157"/>
      <c r="PWN324" s="100"/>
      <c r="PWO324" s="79"/>
      <c r="PWP324" s="153"/>
      <c r="PWQ324" s="137"/>
      <c r="PWR324" s="158"/>
      <c r="PWS324" s="363"/>
      <c r="PWT324" s="139"/>
      <c r="PWU324" s="139"/>
      <c r="PWV324" s="98"/>
      <c r="PWW324" s="79"/>
      <c r="PWX324" s="139"/>
      <c r="PWY324" s="139"/>
      <c r="PWZ324" s="138"/>
      <c r="PXA324" s="147"/>
      <c r="PXB324" s="147"/>
      <c r="PXC324" s="147"/>
      <c r="PXD324" s="138"/>
      <c r="PXE324" s="138"/>
      <c r="PXF324" s="147"/>
      <c r="PXG324" s="148"/>
      <c r="PXH324" s="81"/>
      <c r="PXI324" s="140"/>
      <c r="PXJ324" s="157"/>
      <c r="PXK324" s="157"/>
      <c r="PXL324" s="100"/>
      <c r="PXM324" s="79"/>
      <c r="PXN324" s="153"/>
      <c r="PXO324" s="137"/>
      <c r="PXP324" s="158"/>
      <c r="PXQ324" s="363"/>
      <c r="PXR324" s="139"/>
      <c r="PXS324" s="139"/>
      <c r="PXT324" s="98"/>
      <c r="PXU324" s="79"/>
      <c r="PXV324" s="139"/>
      <c r="PXW324" s="139"/>
      <c r="PXX324" s="138"/>
      <c r="PXY324" s="147"/>
      <c r="PXZ324" s="147"/>
      <c r="PYA324" s="147"/>
      <c r="PYB324" s="138"/>
      <c r="PYC324" s="138"/>
      <c r="PYD324" s="147"/>
      <c r="PYE324" s="148"/>
      <c r="PYF324" s="81"/>
      <c r="PYG324" s="140"/>
      <c r="PYH324" s="157"/>
      <c r="PYI324" s="157"/>
      <c r="PYJ324" s="100"/>
      <c r="PYK324" s="79"/>
      <c r="PYL324" s="153"/>
      <c r="PYM324" s="137"/>
      <c r="PYN324" s="158"/>
      <c r="PYO324" s="363"/>
      <c r="PYP324" s="139"/>
      <c r="PYQ324" s="139"/>
      <c r="PYR324" s="98"/>
      <c r="PYS324" s="79"/>
      <c r="PYT324" s="139"/>
      <c r="PYU324" s="139"/>
      <c r="PYV324" s="138"/>
      <c r="PYW324" s="147"/>
      <c r="PYX324" s="147"/>
      <c r="PYY324" s="147"/>
      <c r="PYZ324" s="138"/>
      <c r="PZA324" s="138"/>
      <c r="PZB324" s="147"/>
      <c r="PZC324" s="148"/>
      <c r="PZD324" s="81"/>
      <c r="PZE324" s="140"/>
      <c r="PZF324" s="157"/>
      <c r="PZG324" s="157"/>
      <c r="PZH324" s="100"/>
      <c r="PZI324" s="79"/>
      <c r="PZJ324" s="153"/>
      <c r="PZK324" s="137"/>
      <c r="PZL324" s="158"/>
      <c r="PZM324" s="363"/>
      <c r="PZN324" s="139"/>
      <c r="PZO324" s="139"/>
      <c r="PZP324" s="98"/>
      <c r="PZQ324" s="79"/>
      <c r="PZR324" s="139"/>
      <c r="PZS324" s="139"/>
      <c r="PZT324" s="138"/>
      <c r="PZU324" s="147"/>
      <c r="PZV324" s="147"/>
      <c r="PZW324" s="147"/>
      <c r="PZX324" s="138"/>
      <c r="PZY324" s="138"/>
      <c r="PZZ324" s="147"/>
      <c r="QAA324" s="148"/>
      <c r="QAB324" s="81"/>
      <c r="QAC324" s="140"/>
      <c r="QAD324" s="157"/>
      <c r="QAE324" s="157"/>
      <c r="QAF324" s="100"/>
      <c r="QAG324" s="79"/>
      <c r="QAH324" s="153"/>
      <c r="QAI324" s="137"/>
      <c r="QAJ324" s="158"/>
      <c r="QAK324" s="363"/>
      <c r="QAL324" s="139"/>
      <c r="QAM324" s="139"/>
      <c r="QAN324" s="98"/>
      <c r="QAO324" s="79"/>
      <c r="QAP324" s="139"/>
      <c r="QAQ324" s="139"/>
      <c r="QAR324" s="138"/>
      <c r="QAS324" s="147"/>
      <c r="QAT324" s="147"/>
      <c r="QAU324" s="147"/>
      <c r="QAV324" s="138"/>
      <c r="QAW324" s="138"/>
      <c r="QAX324" s="147"/>
      <c r="QAY324" s="148"/>
      <c r="QAZ324" s="81"/>
      <c r="QBA324" s="140"/>
      <c r="QBB324" s="157"/>
      <c r="QBC324" s="157"/>
      <c r="QBD324" s="100"/>
      <c r="QBE324" s="79"/>
      <c r="QBF324" s="153"/>
      <c r="QBG324" s="137"/>
      <c r="QBH324" s="158"/>
      <c r="QBI324" s="363"/>
      <c r="QBJ324" s="139"/>
      <c r="QBK324" s="139"/>
      <c r="QBL324" s="98"/>
      <c r="QBM324" s="79"/>
      <c r="QBN324" s="139"/>
      <c r="QBO324" s="139"/>
      <c r="QBP324" s="138"/>
      <c r="QBQ324" s="147"/>
      <c r="QBR324" s="147"/>
      <c r="QBS324" s="147"/>
      <c r="QBT324" s="138"/>
      <c r="QBU324" s="138"/>
      <c r="QBV324" s="147"/>
      <c r="QBW324" s="148"/>
      <c r="QBX324" s="81"/>
      <c r="QBY324" s="140"/>
      <c r="QBZ324" s="157"/>
      <c r="QCA324" s="157"/>
      <c r="QCB324" s="100"/>
      <c r="QCC324" s="79"/>
      <c r="QCD324" s="153"/>
      <c r="QCE324" s="137"/>
      <c r="QCF324" s="158"/>
      <c r="QCG324" s="363"/>
      <c r="QCH324" s="139"/>
      <c r="QCI324" s="139"/>
      <c r="QCJ324" s="98"/>
      <c r="QCK324" s="79"/>
      <c r="QCL324" s="139"/>
      <c r="QCM324" s="139"/>
      <c r="QCN324" s="138"/>
      <c r="QCO324" s="147"/>
      <c r="QCP324" s="147"/>
      <c r="QCQ324" s="147"/>
      <c r="QCR324" s="138"/>
      <c r="QCS324" s="138"/>
      <c r="QCT324" s="147"/>
      <c r="QCU324" s="148"/>
      <c r="QCV324" s="81"/>
      <c r="QCW324" s="140"/>
      <c r="QCX324" s="157"/>
      <c r="QCY324" s="157"/>
      <c r="QCZ324" s="100"/>
      <c r="QDA324" s="79"/>
      <c r="QDB324" s="153"/>
      <c r="QDC324" s="137"/>
      <c r="QDD324" s="158"/>
      <c r="QDE324" s="363"/>
      <c r="QDF324" s="139"/>
      <c r="QDG324" s="139"/>
      <c r="QDH324" s="98"/>
      <c r="QDI324" s="79"/>
      <c r="QDJ324" s="139"/>
      <c r="QDK324" s="139"/>
      <c r="QDL324" s="138"/>
      <c r="QDM324" s="147"/>
      <c r="QDN324" s="147"/>
      <c r="QDO324" s="147"/>
      <c r="QDP324" s="138"/>
      <c r="QDQ324" s="138"/>
      <c r="QDR324" s="147"/>
      <c r="QDS324" s="148"/>
      <c r="QDT324" s="81"/>
      <c r="QDU324" s="140"/>
      <c r="QDV324" s="157"/>
      <c r="QDW324" s="157"/>
      <c r="QDX324" s="100"/>
      <c r="QDY324" s="79"/>
      <c r="QDZ324" s="153"/>
      <c r="QEA324" s="137"/>
      <c r="QEB324" s="158"/>
      <c r="QEC324" s="363"/>
      <c r="QED324" s="139"/>
      <c r="QEE324" s="139"/>
      <c r="QEF324" s="98"/>
      <c r="QEG324" s="79"/>
      <c r="QEH324" s="139"/>
      <c r="QEI324" s="139"/>
      <c r="QEJ324" s="138"/>
      <c r="QEK324" s="147"/>
      <c r="QEL324" s="147"/>
      <c r="QEM324" s="147"/>
      <c r="QEN324" s="138"/>
      <c r="QEO324" s="138"/>
      <c r="QEP324" s="147"/>
      <c r="QEQ324" s="148"/>
      <c r="QER324" s="81"/>
      <c r="QES324" s="140"/>
      <c r="QET324" s="157"/>
      <c r="QEU324" s="157"/>
      <c r="QEV324" s="100"/>
      <c r="QEW324" s="79"/>
      <c r="QEX324" s="153"/>
      <c r="QEY324" s="137"/>
      <c r="QEZ324" s="158"/>
      <c r="QFA324" s="363"/>
      <c r="QFB324" s="139"/>
      <c r="QFC324" s="139"/>
      <c r="QFD324" s="98"/>
      <c r="QFE324" s="79"/>
      <c r="QFF324" s="139"/>
      <c r="QFG324" s="139"/>
      <c r="QFH324" s="138"/>
      <c r="QFI324" s="147"/>
      <c r="QFJ324" s="147"/>
      <c r="QFK324" s="147"/>
      <c r="QFL324" s="138"/>
      <c r="QFM324" s="138"/>
      <c r="QFN324" s="147"/>
      <c r="QFO324" s="148"/>
      <c r="QFP324" s="81"/>
      <c r="QFQ324" s="140"/>
      <c r="QFR324" s="157"/>
      <c r="QFS324" s="157"/>
      <c r="QFT324" s="100"/>
      <c r="QFU324" s="79"/>
      <c r="QFV324" s="153"/>
      <c r="QFW324" s="137"/>
      <c r="QFX324" s="158"/>
      <c r="QFY324" s="363"/>
      <c r="QFZ324" s="139"/>
      <c r="QGA324" s="139"/>
      <c r="QGB324" s="98"/>
      <c r="QGC324" s="79"/>
      <c r="QGD324" s="139"/>
      <c r="QGE324" s="139"/>
      <c r="QGF324" s="138"/>
      <c r="QGG324" s="147"/>
      <c r="QGH324" s="147"/>
      <c r="QGI324" s="147"/>
      <c r="QGJ324" s="138"/>
      <c r="QGK324" s="138"/>
      <c r="QGL324" s="147"/>
      <c r="QGM324" s="148"/>
      <c r="QGN324" s="81"/>
      <c r="QGO324" s="140"/>
      <c r="QGP324" s="157"/>
      <c r="QGQ324" s="157"/>
      <c r="QGR324" s="100"/>
      <c r="QGS324" s="79"/>
      <c r="QGT324" s="153"/>
      <c r="QGU324" s="137"/>
      <c r="QGV324" s="158"/>
      <c r="QGW324" s="363"/>
      <c r="QGX324" s="139"/>
      <c r="QGY324" s="139"/>
      <c r="QGZ324" s="98"/>
      <c r="QHA324" s="79"/>
      <c r="QHB324" s="139"/>
      <c r="QHC324" s="139"/>
      <c r="QHD324" s="138"/>
      <c r="QHE324" s="147"/>
      <c r="QHF324" s="147"/>
      <c r="QHG324" s="147"/>
      <c r="QHH324" s="138"/>
      <c r="QHI324" s="138"/>
      <c r="QHJ324" s="147"/>
      <c r="QHK324" s="148"/>
      <c r="QHL324" s="81"/>
      <c r="QHM324" s="140"/>
      <c r="QHN324" s="157"/>
      <c r="QHO324" s="157"/>
      <c r="QHP324" s="100"/>
      <c r="QHQ324" s="79"/>
      <c r="QHR324" s="153"/>
      <c r="QHS324" s="137"/>
      <c r="QHT324" s="158"/>
      <c r="QHU324" s="363"/>
      <c r="QHV324" s="139"/>
      <c r="QHW324" s="139"/>
      <c r="QHX324" s="98"/>
      <c r="QHY324" s="79"/>
      <c r="QHZ324" s="139"/>
      <c r="QIA324" s="139"/>
      <c r="QIB324" s="138"/>
      <c r="QIC324" s="147"/>
      <c r="QID324" s="147"/>
      <c r="QIE324" s="147"/>
      <c r="QIF324" s="138"/>
      <c r="QIG324" s="138"/>
      <c r="QIH324" s="147"/>
      <c r="QII324" s="148"/>
      <c r="QIJ324" s="81"/>
      <c r="QIK324" s="140"/>
      <c r="QIL324" s="157"/>
      <c r="QIM324" s="157"/>
      <c r="QIN324" s="100"/>
      <c r="QIO324" s="79"/>
      <c r="QIP324" s="153"/>
      <c r="QIQ324" s="137"/>
      <c r="QIR324" s="158"/>
      <c r="QIS324" s="363"/>
      <c r="QIT324" s="139"/>
      <c r="QIU324" s="139"/>
      <c r="QIV324" s="98"/>
      <c r="QIW324" s="79"/>
      <c r="QIX324" s="139"/>
      <c r="QIY324" s="139"/>
      <c r="QIZ324" s="138"/>
      <c r="QJA324" s="147"/>
      <c r="QJB324" s="147"/>
      <c r="QJC324" s="147"/>
      <c r="QJD324" s="138"/>
      <c r="QJE324" s="138"/>
      <c r="QJF324" s="147"/>
      <c r="QJG324" s="148"/>
      <c r="QJH324" s="81"/>
      <c r="QJI324" s="140"/>
      <c r="QJJ324" s="157"/>
      <c r="QJK324" s="157"/>
      <c r="QJL324" s="100"/>
      <c r="QJM324" s="79"/>
      <c r="QJN324" s="153"/>
      <c r="QJO324" s="137"/>
      <c r="QJP324" s="158"/>
      <c r="QJQ324" s="363"/>
      <c r="QJR324" s="139"/>
      <c r="QJS324" s="139"/>
      <c r="QJT324" s="98"/>
      <c r="QJU324" s="79"/>
      <c r="QJV324" s="139"/>
      <c r="QJW324" s="139"/>
      <c r="QJX324" s="138"/>
      <c r="QJY324" s="147"/>
      <c r="QJZ324" s="147"/>
      <c r="QKA324" s="147"/>
      <c r="QKB324" s="138"/>
      <c r="QKC324" s="138"/>
      <c r="QKD324" s="147"/>
      <c r="QKE324" s="148"/>
      <c r="QKF324" s="81"/>
      <c r="QKG324" s="140"/>
      <c r="QKH324" s="157"/>
      <c r="QKI324" s="157"/>
      <c r="QKJ324" s="100"/>
      <c r="QKK324" s="79"/>
      <c r="QKL324" s="153"/>
      <c r="QKM324" s="137"/>
      <c r="QKN324" s="158"/>
      <c r="QKO324" s="363"/>
      <c r="QKP324" s="139"/>
      <c r="QKQ324" s="139"/>
      <c r="QKR324" s="98"/>
      <c r="QKS324" s="79"/>
      <c r="QKT324" s="139"/>
      <c r="QKU324" s="139"/>
      <c r="QKV324" s="138"/>
      <c r="QKW324" s="147"/>
      <c r="QKX324" s="147"/>
      <c r="QKY324" s="147"/>
      <c r="QKZ324" s="138"/>
      <c r="QLA324" s="138"/>
      <c r="QLB324" s="147"/>
      <c r="QLC324" s="148"/>
      <c r="QLD324" s="81"/>
      <c r="QLE324" s="140"/>
      <c r="QLF324" s="157"/>
      <c r="QLG324" s="157"/>
      <c r="QLH324" s="100"/>
      <c r="QLI324" s="79"/>
      <c r="QLJ324" s="153"/>
      <c r="QLK324" s="137"/>
      <c r="QLL324" s="158"/>
      <c r="QLM324" s="363"/>
      <c r="QLN324" s="139"/>
      <c r="QLO324" s="139"/>
      <c r="QLP324" s="98"/>
      <c r="QLQ324" s="79"/>
      <c r="QLR324" s="139"/>
      <c r="QLS324" s="139"/>
      <c r="QLT324" s="138"/>
      <c r="QLU324" s="147"/>
      <c r="QLV324" s="147"/>
      <c r="QLW324" s="147"/>
      <c r="QLX324" s="138"/>
      <c r="QLY324" s="138"/>
      <c r="QLZ324" s="147"/>
      <c r="QMA324" s="148"/>
      <c r="QMB324" s="81"/>
      <c r="QMC324" s="140"/>
      <c r="QMD324" s="157"/>
      <c r="QME324" s="157"/>
      <c r="QMF324" s="100"/>
      <c r="QMG324" s="79"/>
      <c r="QMH324" s="153"/>
      <c r="QMI324" s="137"/>
      <c r="QMJ324" s="158"/>
      <c r="QMK324" s="363"/>
      <c r="QML324" s="139"/>
      <c r="QMM324" s="139"/>
      <c r="QMN324" s="98"/>
      <c r="QMO324" s="79"/>
      <c r="QMP324" s="139"/>
      <c r="QMQ324" s="139"/>
      <c r="QMR324" s="138"/>
      <c r="QMS324" s="147"/>
      <c r="QMT324" s="147"/>
      <c r="QMU324" s="147"/>
      <c r="QMV324" s="138"/>
      <c r="QMW324" s="138"/>
      <c r="QMX324" s="147"/>
      <c r="QMY324" s="148"/>
      <c r="QMZ324" s="81"/>
      <c r="QNA324" s="140"/>
      <c r="QNB324" s="157"/>
      <c r="QNC324" s="157"/>
      <c r="QND324" s="100"/>
      <c r="QNE324" s="79"/>
      <c r="QNF324" s="153"/>
      <c r="QNG324" s="137"/>
      <c r="QNH324" s="158"/>
      <c r="QNI324" s="363"/>
      <c r="QNJ324" s="139"/>
      <c r="QNK324" s="139"/>
      <c r="QNL324" s="98"/>
      <c r="QNM324" s="79"/>
      <c r="QNN324" s="139"/>
      <c r="QNO324" s="139"/>
      <c r="QNP324" s="138"/>
      <c r="QNQ324" s="147"/>
      <c r="QNR324" s="147"/>
      <c r="QNS324" s="147"/>
      <c r="QNT324" s="138"/>
      <c r="QNU324" s="138"/>
      <c r="QNV324" s="147"/>
      <c r="QNW324" s="148"/>
      <c r="QNX324" s="81"/>
      <c r="QNY324" s="140"/>
      <c r="QNZ324" s="157"/>
      <c r="QOA324" s="157"/>
      <c r="QOB324" s="100"/>
      <c r="QOC324" s="79"/>
      <c r="QOD324" s="153"/>
      <c r="QOE324" s="137"/>
      <c r="QOF324" s="158"/>
      <c r="QOG324" s="363"/>
      <c r="QOH324" s="139"/>
      <c r="QOI324" s="139"/>
      <c r="QOJ324" s="98"/>
      <c r="QOK324" s="79"/>
      <c r="QOL324" s="139"/>
      <c r="QOM324" s="139"/>
      <c r="QON324" s="138"/>
      <c r="QOO324" s="147"/>
      <c r="QOP324" s="147"/>
      <c r="QOQ324" s="147"/>
      <c r="QOR324" s="138"/>
      <c r="QOS324" s="138"/>
      <c r="QOT324" s="147"/>
      <c r="QOU324" s="148"/>
      <c r="QOV324" s="81"/>
      <c r="QOW324" s="140"/>
      <c r="QOX324" s="157"/>
      <c r="QOY324" s="157"/>
      <c r="QOZ324" s="100"/>
      <c r="QPA324" s="79"/>
      <c r="QPB324" s="153"/>
      <c r="QPC324" s="137"/>
      <c r="QPD324" s="158"/>
      <c r="QPE324" s="363"/>
      <c r="QPF324" s="139"/>
      <c r="QPG324" s="139"/>
      <c r="QPH324" s="98"/>
      <c r="QPI324" s="79"/>
      <c r="QPJ324" s="139"/>
      <c r="QPK324" s="139"/>
      <c r="QPL324" s="138"/>
      <c r="QPM324" s="147"/>
      <c r="QPN324" s="147"/>
      <c r="QPO324" s="147"/>
      <c r="QPP324" s="138"/>
      <c r="QPQ324" s="138"/>
      <c r="QPR324" s="147"/>
      <c r="QPS324" s="148"/>
      <c r="QPT324" s="81"/>
      <c r="QPU324" s="140"/>
      <c r="QPV324" s="157"/>
      <c r="QPW324" s="157"/>
      <c r="QPX324" s="100"/>
      <c r="QPY324" s="79"/>
      <c r="QPZ324" s="153"/>
      <c r="QQA324" s="137"/>
      <c r="QQB324" s="158"/>
      <c r="QQC324" s="363"/>
      <c r="QQD324" s="139"/>
      <c r="QQE324" s="139"/>
      <c r="QQF324" s="98"/>
      <c r="QQG324" s="79"/>
      <c r="QQH324" s="139"/>
      <c r="QQI324" s="139"/>
      <c r="QQJ324" s="138"/>
      <c r="QQK324" s="147"/>
      <c r="QQL324" s="147"/>
      <c r="QQM324" s="147"/>
      <c r="QQN324" s="138"/>
      <c r="QQO324" s="138"/>
      <c r="QQP324" s="147"/>
      <c r="QQQ324" s="148"/>
      <c r="QQR324" s="81"/>
      <c r="QQS324" s="140"/>
      <c r="QQT324" s="157"/>
      <c r="QQU324" s="157"/>
      <c r="QQV324" s="100"/>
      <c r="QQW324" s="79"/>
      <c r="QQX324" s="153"/>
      <c r="QQY324" s="137"/>
      <c r="QQZ324" s="158"/>
      <c r="QRA324" s="363"/>
      <c r="QRB324" s="139"/>
      <c r="QRC324" s="139"/>
      <c r="QRD324" s="98"/>
      <c r="QRE324" s="79"/>
      <c r="QRF324" s="139"/>
      <c r="QRG324" s="139"/>
      <c r="QRH324" s="138"/>
      <c r="QRI324" s="147"/>
      <c r="QRJ324" s="147"/>
      <c r="QRK324" s="147"/>
      <c r="QRL324" s="138"/>
      <c r="QRM324" s="138"/>
      <c r="QRN324" s="147"/>
      <c r="QRO324" s="148"/>
      <c r="QRP324" s="81"/>
      <c r="QRQ324" s="140"/>
      <c r="QRR324" s="157"/>
      <c r="QRS324" s="157"/>
      <c r="QRT324" s="100"/>
      <c r="QRU324" s="79"/>
      <c r="QRV324" s="153"/>
      <c r="QRW324" s="137"/>
      <c r="QRX324" s="158"/>
      <c r="QRY324" s="363"/>
      <c r="QRZ324" s="139"/>
      <c r="QSA324" s="139"/>
      <c r="QSB324" s="98"/>
      <c r="QSC324" s="79"/>
      <c r="QSD324" s="139"/>
      <c r="QSE324" s="139"/>
      <c r="QSF324" s="138"/>
      <c r="QSG324" s="147"/>
      <c r="QSH324" s="147"/>
      <c r="QSI324" s="147"/>
      <c r="QSJ324" s="138"/>
      <c r="QSK324" s="138"/>
      <c r="QSL324" s="147"/>
      <c r="QSM324" s="148"/>
      <c r="QSN324" s="81"/>
      <c r="QSO324" s="140"/>
      <c r="QSP324" s="157"/>
      <c r="QSQ324" s="157"/>
      <c r="QSR324" s="100"/>
      <c r="QSS324" s="79"/>
      <c r="QST324" s="153"/>
      <c r="QSU324" s="137"/>
      <c r="QSV324" s="158"/>
      <c r="QSW324" s="363"/>
      <c r="QSX324" s="139"/>
      <c r="QSY324" s="139"/>
      <c r="QSZ324" s="98"/>
      <c r="QTA324" s="79"/>
      <c r="QTB324" s="139"/>
      <c r="QTC324" s="139"/>
      <c r="QTD324" s="138"/>
      <c r="QTE324" s="147"/>
      <c r="QTF324" s="147"/>
      <c r="QTG324" s="147"/>
      <c r="QTH324" s="138"/>
      <c r="QTI324" s="138"/>
      <c r="QTJ324" s="147"/>
      <c r="QTK324" s="148"/>
      <c r="QTL324" s="81"/>
      <c r="QTM324" s="140"/>
      <c r="QTN324" s="157"/>
      <c r="QTO324" s="157"/>
      <c r="QTP324" s="100"/>
      <c r="QTQ324" s="79"/>
      <c r="QTR324" s="153"/>
      <c r="QTS324" s="137"/>
      <c r="QTT324" s="158"/>
      <c r="QTU324" s="363"/>
      <c r="QTV324" s="139"/>
      <c r="QTW324" s="139"/>
      <c r="QTX324" s="98"/>
      <c r="QTY324" s="79"/>
      <c r="QTZ324" s="139"/>
      <c r="QUA324" s="139"/>
      <c r="QUB324" s="138"/>
      <c r="QUC324" s="147"/>
      <c r="QUD324" s="147"/>
      <c r="QUE324" s="147"/>
      <c r="QUF324" s="138"/>
      <c r="QUG324" s="138"/>
      <c r="QUH324" s="147"/>
      <c r="QUI324" s="148"/>
      <c r="QUJ324" s="81"/>
      <c r="QUK324" s="140"/>
      <c r="QUL324" s="157"/>
      <c r="QUM324" s="157"/>
      <c r="QUN324" s="100"/>
      <c r="QUO324" s="79"/>
      <c r="QUP324" s="153"/>
      <c r="QUQ324" s="137"/>
      <c r="QUR324" s="158"/>
      <c r="QUS324" s="363"/>
      <c r="QUT324" s="139"/>
      <c r="QUU324" s="139"/>
      <c r="QUV324" s="98"/>
      <c r="QUW324" s="79"/>
      <c r="QUX324" s="139"/>
      <c r="QUY324" s="139"/>
      <c r="QUZ324" s="138"/>
      <c r="QVA324" s="147"/>
      <c r="QVB324" s="147"/>
      <c r="QVC324" s="147"/>
      <c r="QVD324" s="138"/>
      <c r="QVE324" s="138"/>
      <c r="QVF324" s="147"/>
      <c r="QVG324" s="148"/>
      <c r="QVH324" s="81"/>
      <c r="QVI324" s="140"/>
      <c r="QVJ324" s="157"/>
      <c r="QVK324" s="157"/>
      <c r="QVL324" s="100"/>
      <c r="QVM324" s="79"/>
      <c r="QVN324" s="153"/>
      <c r="QVO324" s="137"/>
      <c r="QVP324" s="158"/>
      <c r="QVQ324" s="363"/>
      <c r="QVR324" s="139"/>
      <c r="QVS324" s="139"/>
      <c r="QVT324" s="98"/>
      <c r="QVU324" s="79"/>
      <c r="QVV324" s="139"/>
      <c r="QVW324" s="139"/>
      <c r="QVX324" s="138"/>
      <c r="QVY324" s="147"/>
      <c r="QVZ324" s="147"/>
      <c r="QWA324" s="147"/>
      <c r="QWB324" s="138"/>
      <c r="QWC324" s="138"/>
      <c r="QWD324" s="147"/>
      <c r="QWE324" s="148"/>
      <c r="QWF324" s="81"/>
      <c r="QWG324" s="140"/>
      <c r="QWH324" s="157"/>
      <c r="QWI324" s="157"/>
      <c r="QWJ324" s="100"/>
      <c r="QWK324" s="79"/>
      <c r="QWL324" s="153"/>
      <c r="QWM324" s="137"/>
      <c r="QWN324" s="158"/>
      <c r="QWO324" s="363"/>
      <c r="QWP324" s="139"/>
      <c r="QWQ324" s="139"/>
      <c r="QWR324" s="98"/>
      <c r="QWS324" s="79"/>
      <c r="QWT324" s="139"/>
      <c r="QWU324" s="139"/>
      <c r="QWV324" s="138"/>
      <c r="QWW324" s="147"/>
      <c r="QWX324" s="147"/>
      <c r="QWY324" s="147"/>
      <c r="QWZ324" s="138"/>
      <c r="QXA324" s="138"/>
      <c r="QXB324" s="147"/>
      <c r="QXC324" s="148"/>
      <c r="QXD324" s="81"/>
      <c r="QXE324" s="140"/>
      <c r="QXF324" s="157"/>
      <c r="QXG324" s="157"/>
      <c r="QXH324" s="100"/>
      <c r="QXI324" s="79"/>
      <c r="QXJ324" s="153"/>
      <c r="QXK324" s="137"/>
      <c r="QXL324" s="158"/>
      <c r="QXM324" s="363"/>
      <c r="QXN324" s="139"/>
      <c r="QXO324" s="139"/>
      <c r="QXP324" s="98"/>
      <c r="QXQ324" s="79"/>
      <c r="QXR324" s="139"/>
      <c r="QXS324" s="139"/>
      <c r="QXT324" s="138"/>
      <c r="QXU324" s="147"/>
      <c r="QXV324" s="147"/>
      <c r="QXW324" s="147"/>
      <c r="QXX324" s="138"/>
      <c r="QXY324" s="138"/>
      <c r="QXZ324" s="147"/>
      <c r="QYA324" s="148"/>
      <c r="QYB324" s="81"/>
      <c r="QYC324" s="140"/>
      <c r="QYD324" s="157"/>
      <c r="QYE324" s="157"/>
      <c r="QYF324" s="100"/>
      <c r="QYG324" s="79"/>
      <c r="QYH324" s="153"/>
      <c r="QYI324" s="137"/>
      <c r="QYJ324" s="158"/>
      <c r="QYK324" s="363"/>
      <c r="QYL324" s="139"/>
      <c r="QYM324" s="139"/>
      <c r="QYN324" s="98"/>
      <c r="QYO324" s="79"/>
      <c r="QYP324" s="139"/>
      <c r="QYQ324" s="139"/>
      <c r="QYR324" s="138"/>
      <c r="QYS324" s="147"/>
      <c r="QYT324" s="147"/>
      <c r="QYU324" s="147"/>
      <c r="QYV324" s="138"/>
      <c r="QYW324" s="138"/>
      <c r="QYX324" s="147"/>
      <c r="QYY324" s="148"/>
      <c r="QYZ324" s="81"/>
      <c r="QZA324" s="140"/>
      <c r="QZB324" s="157"/>
      <c r="QZC324" s="157"/>
      <c r="QZD324" s="100"/>
      <c r="QZE324" s="79"/>
      <c r="QZF324" s="153"/>
      <c r="QZG324" s="137"/>
      <c r="QZH324" s="158"/>
      <c r="QZI324" s="363"/>
      <c r="QZJ324" s="139"/>
      <c r="QZK324" s="139"/>
      <c r="QZL324" s="98"/>
      <c r="QZM324" s="79"/>
      <c r="QZN324" s="139"/>
      <c r="QZO324" s="139"/>
      <c r="QZP324" s="138"/>
      <c r="QZQ324" s="147"/>
      <c r="QZR324" s="147"/>
      <c r="QZS324" s="147"/>
      <c r="QZT324" s="138"/>
      <c r="QZU324" s="138"/>
      <c r="QZV324" s="147"/>
      <c r="QZW324" s="148"/>
      <c r="QZX324" s="81"/>
      <c r="QZY324" s="140"/>
      <c r="QZZ324" s="157"/>
      <c r="RAA324" s="157"/>
      <c r="RAB324" s="100"/>
      <c r="RAC324" s="79"/>
      <c r="RAD324" s="153"/>
      <c r="RAE324" s="137"/>
      <c r="RAF324" s="158"/>
      <c r="RAG324" s="363"/>
      <c r="RAH324" s="139"/>
      <c r="RAI324" s="139"/>
      <c r="RAJ324" s="98"/>
      <c r="RAK324" s="79"/>
      <c r="RAL324" s="139"/>
      <c r="RAM324" s="139"/>
      <c r="RAN324" s="138"/>
      <c r="RAO324" s="147"/>
      <c r="RAP324" s="147"/>
      <c r="RAQ324" s="147"/>
      <c r="RAR324" s="138"/>
      <c r="RAS324" s="138"/>
      <c r="RAT324" s="147"/>
      <c r="RAU324" s="148"/>
      <c r="RAV324" s="81"/>
      <c r="RAW324" s="140"/>
      <c r="RAX324" s="157"/>
      <c r="RAY324" s="157"/>
      <c r="RAZ324" s="100"/>
      <c r="RBA324" s="79"/>
      <c r="RBB324" s="153"/>
      <c r="RBC324" s="137"/>
      <c r="RBD324" s="158"/>
      <c r="RBE324" s="363"/>
      <c r="RBF324" s="139"/>
      <c r="RBG324" s="139"/>
      <c r="RBH324" s="98"/>
      <c r="RBI324" s="79"/>
      <c r="RBJ324" s="139"/>
      <c r="RBK324" s="139"/>
      <c r="RBL324" s="138"/>
      <c r="RBM324" s="147"/>
      <c r="RBN324" s="147"/>
      <c r="RBO324" s="147"/>
      <c r="RBP324" s="138"/>
      <c r="RBQ324" s="138"/>
      <c r="RBR324" s="147"/>
      <c r="RBS324" s="148"/>
      <c r="RBT324" s="81"/>
      <c r="RBU324" s="140"/>
      <c r="RBV324" s="157"/>
      <c r="RBW324" s="157"/>
      <c r="RBX324" s="100"/>
      <c r="RBY324" s="79"/>
      <c r="RBZ324" s="153"/>
      <c r="RCA324" s="137"/>
      <c r="RCB324" s="158"/>
      <c r="RCC324" s="363"/>
      <c r="RCD324" s="139"/>
      <c r="RCE324" s="139"/>
      <c r="RCF324" s="98"/>
      <c r="RCG324" s="79"/>
      <c r="RCH324" s="139"/>
      <c r="RCI324" s="139"/>
      <c r="RCJ324" s="138"/>
      <c r="RCK324" s="147"/>
      <c r="RCL324" s="147"/>
      <c r="RCM324" s="147"/>
      <c r="RCN324" s="138"/>
      <c r="RCO324" s="138"/>
      <c r="RCP324" s="147"/>
      <c r="RCQ324" s="148"/>
      <c r="RCR324" s="81"/>
      <c r="RCS324" s="140"/>
      <c r="RCT324" s="157"/>
      <c r="RCU324" s="157"/>
      <c r="RCV324" s="100"/>
      <c r="RCW324" s="79"/>
      <c r="RCX324" s="153"/>
      <c r="RCY324" s="137"/>
      <c r="RCZ324" s="158"/>
      <c r="RDA324" s="363"/>
      <c r="RDB324" s="139"/>
      <c r="RDC324" s="139"/>
      <c r="RDD324" s="98"/>
      <c r="RDE324" s="79"/>
      <c r="RDF324" s="139"/>
      <c r="RDG324" s="139"/>
      <c r="RDH324" s="138"/>
      <c r="RDI324" s="147"/>
      <c r="RDJ324" s="147"/>
      <c r="RDK324" s="147"/>
      <c r="RDL324" s="138"/>
      <c r="RDM324" s="138"/>
      <c r="RDN324" s="147"/>
      <c r="RDO324" s="148"/>
      <c r="RDP324" s="81"/>
      <c r="RDQ324" s="140"/>
      <c r="RDR324" s="157"/>
      <c r="RDS324" s="157"/>
      <c r="RDT324" s="100"/>
      <c r="RDU324" s="79"/>
      <c r="RDV324" s="153"/>
      <c r="RDW324" s="137"/>
      <c r="RDX324" s="158"/>
      <c r="RDY324" s="363"/>
      <c r="RDZ324" s="139"/>
      <c r="REA324" s="139"/>
      <c r="REB324" s="98"/>
      <c r="REC324" s="79"/>
      <c r="RED324" s="139"/>
      <c r="REE324" s="139"/>
      <c r="REF324" s="138"/>
      <c r="REG324" s="147"/>
      <c r="REH324" s="147"/>
      <c r="REI324" s="147"/>
      <c r="REJ324" s="138"/>
      <c r="REK324" s="138"/>
      <c r="REL324" s="147"/>
      <c r="REM324" s="148"/>
      <c r="REN324" s="81"/>
      <c r="REO324" s="140"/>
      <c r="REP324" s="157"/>
      <c r="REQ324" s="157"/>
      <c r="RER324" s="100"/>
      <c r="RES324" s="79"/>
      <c r="RET324" s="153"/>
      <c r="REU324" s="137"/>
      <c r="REV324" s="158"/>
      <c r="REW324" s="363"/>
      <c r="REX324" s="139"/>
      <c r="REY324" s="139"/>
      <c r="REZ324" s="98"/>
      <c r="RFA324" s="79"/>
      <c r="RFB324" s="139"/>
      <c r="RFC324" s="139"/>
      <c r="RFD324" s="138"/>
      <c r="RFE324" s="147"/>
      <c r="RFF324" s="147"/>
      <c r="RFG324" s="147"/>
      <c r="RFH324" s="138"/>
      <c r="RFI324" s="138"/>
      <c r="RFJ324" s="147"/>
      <c r="RFK324" s="148"/>
      <c r="RFL324" s="81"/>
      <c r="RFM324" s="140"/>
      <c r="RFN324" s="157"/>
      <c r="RFO324" s="157"/>
      <c r="RFP324" s="100"/>
      <c r="RFQ324" s="79"/>
      <c r="RFR324" s="153"/>
      <c r="RFS324" s="137"/>
      <c r="RFT324" s="158"/>
      <c r="RFU324" s="363"/>
      <c r="RFV324" s="139"/>
      <c r="RFW324" s="139"/>
      <c r="RFX324" s="98"/>
      <c r="RFY324" s="79"/>
      <c r="RFZ324" s="139"/>
      <c r="RGA324" s="139"/>
      <c r="RGB324" s="138"/>
      <c r="RGC324" s="147"/>
      <c r="RGD324" s="147"/>
      <c r="RGE324" s="147"/>
      <c r="RGF324" s="138"/>
      <c r="RGG324" s="138"/>
      <c r="RGH324" s="147"/>
      <c r="RGI324" s="148"/>
      <c r="RGJ324" s="81"/>
      <c r="RGK324" s="140"/>
      <c r="RGL324" s="157"/>
      <c r="RGM324" s="157"/>
      <c r="RGN324" s="100"/>
      <c r="RGO324" s="79"/>
      <c r="RGP324" s="153"/>
      <c r="RGQ324" s="137"/>
      <c r="RGR324" s="158"/>
      <c r="RGS324" s="363"/>
      <c r="RGT324" s="139"/>
      <c r="RGU324" s="139"/>
      <c r="RGV324" s="98"/>
      <c r="RGW324" s="79"/>
      <c r="RGX324" s="139"/>
      <c r="RGY324" s="139"/>
      <c r="RGZ324" s="138"/>
      <c r="RHA324" s="147"/>
      <c r="RHB324" s="147"/>
      <c r="RHC324" s="147"/>
      <c r="RHD324" s="138"/>
      <c r="RHE324" s="138"/>
      <c r="RHF324" s="147"/>
      <c r="RHG324" s="148"/>
      <c r="RHH324" s="81"/>
      <c r="RHI324" s="140"/>
      <c r="RHJ324" s="157"/>
      <c r="RHK324" s="157"/>
      <c r="RHL324" s="100"/>
      <c r="RHM324" s="79"/>
      <c r="RHN324" s="153"/>
      <c r="RHO324" s="137"/>
      <c r="RHP324" s="158"/>
      <c r="RHQ324" s="363"/>
      <c r="RHR324" s="139"/>
      <c r="RHS324" s="139"/>
      <c r="RHT324" s="98"/>
      <c r="RHU324" s="79"/>
      <c r="RHV324" s="139"/>
      <c r="RHW324" s="139"/>
      <c r="RHX324" s="138"/>
      <c r="RHY324" s="147"/>
      <c r="RHZ324" s="147"/>
      <c r="RIA324" s="147"/>
      <c r="RIB324" s="138"/>
      <c r="RIC324" s="138"/>
      <c r="RID324" s="147"/>
      <c r="RIE324" s="148"/>
      <c r="RIF324" s="81"/>
      <c r="RIG324" s="140"/>
      <c r="RIH324" s="157"/>
      <c r="RII324" s="157"/>
      <c r="RIJ324" s="100"/>
      <c r="RIK324" s="79"/>
      <c r="RIL324" s="153"/>
      <c r="RIM324" s="137"/>
      <c r="RIN324" s="158"/>
      <c r="RIO324" s="363"/>
      <c r="RIP324" s="139"/>
      <c r="RIQ324" s="139"/>
      <c r="RIR324" s="98"/>
      <c r="RIS324" s="79"/>
      <c r="RIT324" s="139"/>
      <c r="RIU324" s="139"/>
      <c r="RIV324" s="138"/>
      <c r="RIW324" s="147"/>
      <c r="RIX324" s="147"/>
      <c r="RIY324" s="147"/>
      <c r="RIZ324" s="138"/>
      <c r="RJA324" s="138"/>
      <c r="RJB324" s="147"/>
      <c r="RJC324" s="148"/>
      <c r="RJD324" s="81"/>
      <c r="RJE324" s="140"/>
      <c r="RJF324" s="157"/>
      <c r="RJG324" s="157"/>
      <c r="RJH324" s="100"/>
      <c r="RJI324" s="79"/>
      <c r="RJJ324" s="153"/>
      <c r="RJK324" s="137"/>
      <c r="RJL324" s="158"/>
      <c r="RJM324" s="363"/>
      <c r="RJN324" s="139"/>
      <c r="RJO324" s="139"/>
      <c r="RJP324" s="98"/>
      <c r="RJQ324" s="79"/>
      <c r="RJR324" s="139"/>
      <c r="RJS324" s="139"/>
      <c r="RJT324" s="138"/>
      <c r="RJU324" s="147"/>
      <c r="RJV324" s="147"/>
      <c r="RJW324" s="147"/>
      <c r="RJX324" s="138"/>
      <c r="RJY324" s="138"/>
      <c r="RJZ324" s="147"/>
      <c r="RKA324" s="148"/>
      <c r="RKB324" s="81"/>
      <c r="RKC324" s="140"/>
      <c r="RKD324" s="157"/>
      <c r="RKE324" s="157"/>
      <c r="RKF324" s="100"/>
      <c r="RKG324" s="79"/>
      <c r="RKH324" s="153"/>
      <c r="RKI324" s="137"/>
      <c r="RKJ324" s="158"/>
      <c r="RKK324" s="363"/>
      <c r="RKL324" s="139"/>
      <c r="RKM324" s="139"/>
      <c r="RKN324" s="98"/>
      <c r="RKO324" s="79"/>
      <c r="RKP324" s="139"/>
      <c r="RKQ324" s="139"/>
      <c r="RKR324" s="138"/>
      <c r="RKS324" s="147"/>
      <c r="RKT324" s="147"/>
      <c r="RKU324" s="147"/>
      <c r="RKV324" s="138"/>
      <c r="RKW324" s="138"/>
      <c r="RKX324" s="147"/>
      <c r="RKY324" s="148"/>
      <c r="RKZ324" s="81"/>
      <c r="RLA324" s="140"/>
      <c r="RLB324" s="157"/>
      <c r="RLC324" s="157"/>
      <c r="RLD324" s="100"/>
      <c r="RLE324" s="79"/>
      <c r="RLF324" s="153"/>
      <c r="RLG324" s="137"/>
      <c r="RLH324" s="158"/>
      <c r="RLI324" s="363"/>
      <c r="RLJ324" s="139"/>
      <c r="RLK324" s="139"/>
      <c r="RLL324" s="98"/>
      <c r="RLM324" s="79"/>
      <c r="RLN324" s="139"/>
      <c r="RLO324" s="139"/>
      <c r="RLP324" s="138"/>
      <c r="RLQ324" s="147"/>
      <c r="RLR324" s="147"/>
      <c r="RLS324" s="147"/>
      <c r="RLT324" s="138"/>
      <c r="RLU324" s="138"/>
      <c r="RLV324" s="147"/>
      <c r="RLW324" s="148"/>
      <c r="RLX324" s="81"/>
      <c r="RLY324" s="140"/>
      <c r="RLZ324" s="157"/>
      <c r="RMA324" s="157"/>
      <c r="RMB324" s="100"/>
      <c r="RMC324" s="79"/>
      <c r="RMD324" s="153"/>
      <c r="RME324" s="137"/>
      <c r="RMF324" s="158"/>
      <c r="RMG324" s="363"/>
      <c r="RMH324" s="139"/>
      <c r="RMI324" s="139"/>
      <c r="RMJ324" s="98"/>
      <c r="RMK324" s="79"/>
      <c r="RML324" s="139"/>
      <c r="RMM324" s="139"/>
      <c r="RMN324" s="138"/>
      <c r="RMO324" s="147"/>
      <c r="RMP324" s="147"/>
      <c r="RMQ324" s="147"/>
      <c r="RMR324" s="138"/>
      <c r="RMS324" s="138"/>
      <c r="RMT324" s="147"/>
      <c r="RMU324" s="148"/>
      <c r="RMV324" s="81"/>
      <c r="RMW324" s="140"/>
      <c r="RMX324" s="157"/>
      <c r="RMY324" s="157"/>
      <c r="RMZ324" s="100"/>
      <c r="RNA324" s="79"/>
      <c r="RNB324" s="153"/>
      <c r="RNC324" s="137"/>
      <c r="RND324" s="158"/>
      <c r="RNE324" s="363"/>
      <c r="RNF324" s="139"/>
      <c r="RNG324" s="139"/>
      <c r="RNH324" s="98"/>
      <c r="RNI324" s="79"/>
      <c r="RNJ324" s="139"/>
      <c r="RNK324" s="139"/>
      <c r="RNL324" s="138"/>
      <c r="RNM324" s="147"/>
      <c r="RNN324" s="147"/>
      <c r="RNO324" s="147"/>
      <c r="RNP324" s="138"/>
      <c r="RNQ324" s="138"/>
      <c r="RNR324" s="147"/>
      <c r="RNS324" s="148"/>
      <c r="RNT324" s="81"/>
      <c r="RNU324" s="140"/>
      <c r="RNV324" s="157"/>
      <c r="RNW324" s="157"/>
      <c r="RNX324" s="100"/>
      <c r="RNY324" s="79"/>
      <c r="RNZ324" s="153"/>
      <c r="ROA324" s="137"/>
      <c r="ROB324" s="158"/>
      <c r="ROC324" s="363"/>
      <c r="ROD324" s="139"/>
      <c r="ROE324" s="139"/>
      <c r="ROF324" s="98"/>
      <c r="ROG324" s="79"/>
      <c r="ROH324" s="139"/>
      <c r="ROI324" s="139"/>
      <c r="ROJ324" s="138"/>
      <c r="ROK324" s="147"/>
      <c r="ROL324" s="147"/>
      <c r="ROM324" s="147"/>
      <c r="RON324" s="138"/>
      <c r="ROO324" s="138"/>
      <c r="ROP324" s="147"/>
      <c r="ROQ324" s="148"/>
      <c r="ROR324" s="81"/>
      <c r="ROS324" s="140"/>
      <c r="ROT324" s="157"/>
      <c r="ROU324" s="157"/>
      <c r="ROV324" s="100"/>
      <c r="ROW324" s="79"/>
      <c r="ROX324" s="153"/>
      <c r="ROY324" s="137"/>
      <c r="ROZ324" s="158"/>
      <c r="RPA324" s="363"/>
      <c r="RPB324" s="139"/>
      <c r="RPC324" s="139"/>
      <c r="RPD324" s="98"/>
      <c r="RPE324" s="79"/>
      <c r="RPF324" s="139"/>
      <c r="RPG324" s="139"/>
      <c r="RPH324" s="138"/>
      <c r="RPI324" s="147"/>
      <c r="RPJ324" s="147"/>
      <c r="RPK324" s="147"/>
      <c r="RPL324" s="138"/>
      <c r="RPM324" s="138"/>
      <c r="RPN324" s="147"/>
      <c r="RPO324" s="148"/>
      <c r="RPP324" s="81"/>
      <c r="RPQ324" s="140"/>
      <c r="RPR324" s="157"/>
      <c r="RPS324" s="157"/>
      <c r="RPT324" s="100"/>
      <c r="RPU324" s="79"/>
      <c r="RPV324" s="153"/>
      <c r="RPW324" s="137"/>
      <c r="RPX324" s="158"/>
      <c r="RPY324" s="363"/>
      <c r="RPZ324" s="139"/>
      <c r="RQA324" s="139"/>
      <c r="RQB324" s="98"/>
      <c r="RQC324" s="79"/>
      <c r="RQD324" s="139"/>
      <c r="RQE324" s="139"/>
      <c r="RQF324" s="138"/>
      <c r="RQG324" s="147"/>
      <c r="RQH324" s="147"/>
      <c r="RQI324" s="147"/>
      <c r="RQJ324" s="138"/>
      <c r="RQK324" s="138"/>
      <c r="RQL324" s="147"/>
      <c r="RQM324" s="148"/>
      <c r="RQN324" s="81"/>
      <c r="RQO324" s="140"/>
      <c r="RQP324" s="157"/>
      <c r="RQQ324" s="157"/>
      <c r="RQR324" s="100"/>
      <c r="RQS324" s="79"/>
      <c r="RQT324" s="153"/>
      <c r="RQU324" s="137"/>
      <c r="RQV324" s="158"/>
      <c r="RQW324" s="363"/>
      <c r="RQX324" s="139"/>
      <c r="RQY324" s="139"/>
      <c r="RQZ324" s="98"/>
      <c r="RRA324" s="79"/>
      <c r="RRB324" s="139"/>
      <c r="RRC324" s="139"/>
      <c r="RRD324" s="138"/>
      <c r="RRE324" s="147"/>
      <c r="RRF324" s="147"/>
      <c r="RRG324" s="147"/>
      <c r="RRH324" s="138"/>
      <c r="RRI324" s="138"/>
      <c r="RRJ324" s="147"/>
      <c r="RRK324" s="148"/>
      <c r="RRL324" s="81"/>
      <c r="RRM324" s="140"/>
      <c r="RRN324" s="157"/>
      <c r="RRO324" s="157"/>
      <c r="RRP324" s="100"/>
      <c r="RRQ324" s="79"/>
      <c r="RRR324" s="153"/>
      <c r="RRS324" s="137"/>
      <c r="RRT324" s="158"/>
      <c r="RRU324" s="363"/>
      <c r="RRV324" s="139"/>
      <c r="RRW324" s="139"/>
      <c r="RRX324" s="98"/>
      <c r="RRY324" s="79"/>
      <c r="RRZ324" s="139"/>
      <c r="RSA324" s="139"/>
      <c r="RSB324" s="138"/>
      <c r="RSC324" s="147"/>
      <c r="RSD324" s="147"/>
      <c r="RSE324" s="147"/>
      <c r="RSF324" s="138"/>
      <c r="RSG324" s="138"/>
      <c r="RSH324" s="147"/>
      <c r="RSI324" s="148"/>
      <c r="RSJ324" s="81"/>
      <c r="RSK324" s="140"/>
      <c r="RSL324" s="157"/>
      <c r="RSM324" s="157"/>
      <c r="RSN324" s="100"/>
      <c r="RSO324" s="79"/>
      <c r="RSP324" s="153"/>
      <c r="RSQ324" s="137"/>
      <c r="RSR324" s="158"/>
      <c r="RSS324" s="363"/>
      <c r="RST324" s="139"/>
      <c r="RSU324" s="139"/>
      <c r="RSV324" s="98"/>
      <c r="RSW324" s="79"/>
      <c r="RSX324" s="139"/>
      <c r="RSY324" s="139"/>
      <c r="RSZ324" s="138"/>
      <c r="RTA324" s="147"/>
      <c r="RTB324" s="147"/>
      <c r="RTC324" s="147"/>
      <c r="RTD324" s="138"/>
      <c r="RTE324" s="138"/>
      <c r="RTF324" s="147"/>
      <c r="RTG324" s="148"/>
      <c r="RTH324" s="81"/>
      <c r="RTI324" s="140"/>
      <c r="RTJ324" s="157"/>
      <c r="RTK324" s="157"/>
      <c r="RTL324" s="100"/>
      <c r="RTM324" s="79"/>
      <c r="RTN324" s="153"/>
      <c r="RTO324" s="137"/>
      <c r="RTP324" s="158"/>
      <c r="RTQ324" s="363"/>
      <c r="RTR324" s="139"/>
      <c r="RTS324" s="139"/>
      <c r="RTT324" s="98"/>
      <c r="RTU324" s="79"/>
      <c r="RTV324" s="139"/>
      <c r="RTW324" s="139"/>
      <c r="RTX324" s="138"/>
      <c r="RTY324" s="147"/>
      <c r="RTZ324" s="147"/>
      <c r="RUA324" s="147"/>
      <c r="RUB324" s="138"/>
      <c r="RUC324" s="138"/>
      <c r="RUD324" s="147"/>
      <c r="RUE324" s="148"/>
      <c r="RUF324" s="81"/>
      <c r="RUG324" s="140"/>
      <c r="RUH324" s="157"/>
      <c r="RUI324" s="157"/>
      <c r="RUJ324" s="100"/>
      <c r="RUK324" s="79"/>
      <c r="RUL324" s="153"/>
      <c r="RUM324" s="137"/>
      <c r="RUN324" s="158"/>
      <c r="RUO324" s="363"/>
      <c r="RUP324" s="139"/>
      <c r="RUQ324" s="139"/>
      <c r="RUR324" s="98"/>
      <c r="RUS324" s="79"/>
      <c r="RUT324" s="139"/>
      <c r="RUU324" s="139"/>
      <c r="RUV324" s="138"/>
      <c r="RUW324" s="147"/>
      <c r="RUX324" s="147"/>
      <c r="RUY324" s="147"/>
      <c r="RUZ324" s="138"/>
      <c r="RVA324" s="138"/>
      <c r="RVB324" s="147"/>
      <c r="RVC324" s="148"/>
      <c r="RVD324" s="81"/>
      <c r="RVE324" s="140"/>
      <c r="RVF324" s="157"/>
      <c r="RVG324" s="157"/>
      <c r="RVH324" s="100"/>
      <c r="RVI324" s="79"/>
      <c r="RVJ324" s="153"/>
      <c r="RVK324" s="137"/>
      <c r="RVL324" s="158"/>
      <c r="RVM324" s="363"/>
      <c r="RVN324" s="139"/>
      <c r="RVO324" s="139"/>
      <c r="RVP324" s="98"/>
      <c r="RVQ324" s="79"/>
      <c r="RVR324" s="139"/>
      <c r="RVS324" s="139"/>
      <c r="RVT324" s="138"/>
      <c r="RVU324" s="147"/>
      <c r="RVV324" s="147"/>
      <c r="RVW324" s="147"/>
      <c r="RVX324" s="138"/>
      <c r="RVY324" s="138"/>
      <c r="RVZ324" s="147"/>
      <c r="RWA324" s="148"/>
      <c r="RWB324" s="81"/>
      <c r="RWC324" s="140"/>
      <c r="RWD324" s="157"/>
      <c r="RWE324" s="157"/>
      <c r="RWF324" s="100"/>
      <c r="RWG324" s="79"/>
      <c r="RWH324" s="153"/>
      <c r="RWI324" s="137"/>
      <c r="RWJ324" s="158"/>
      <c r="RWK324" s="363"/>
      <c r="RWL324" s="139"/>
      <c r="RWM324" s="139"/>
      <c r="RWN324" s="98"/>
      <c r="RWO324" s="79"/>
      <c r="RWP324" s="139"/>
      <c r="RWQ324" s="139"/>
      <c r="RWR324" s="138"/>
      <c r="RWS324" s="147"/>
      <c r="RWT324" s="147"/>
      <c r="RWU324" s="147"/>
      <c r="RWV324" s="138"/>
      <c r="RWW324" s="138"/>
      <c r="RWX324" s="147"/>
      <c r="RWY324" s="148"/>
      <c r="RWZ324" s="81"/>
      <c r="RXA324" s="140"/>
      <c r="RXB324" s="157"/>
      <c r="RXC324" s="157"/>
      <c r="RXD324" s="100"/>
      <c r="RXE324" s="79"/>
      <c r="RXF324" s="153"/>
      <c r="RXG324" s="137"/>
      <c r="RXH324" s="158"/>
      <c r="RXI324" s="363"/>
      <c r="RXJ324" s="139"/>
      <c r="RXK324" s="139"/>
      <c r="RXL324" s="98"/>
      <c r="RXM324" s="79"/>
      <c r="RXN324" s="139"/>
      <c r="RXO324" s="139"/>
      <c r="RXP324" s="138"/>
      <c r="RXQ324" s="147"/>
      <c r="RXR324" s="147"/>
      <c r="RXS324" s="147"/>
      <c r="RXT324" s="138"/>
      <c r="RXU324" s="138"/>
      <c r="RXV324" s="147"/>
      <c r="RXW324" s="148"/>
      <c r="RXX324" s="81"/>
      <c r="RXY324" s="140"/>
      <c r="RXZ324" s="157"/>
      <c r="RYA324" s="157"/>
      <c r="RYB324" s="100"/>
      <c r="RYC324" s="79"/>
      <c r="RYD324" s="153"/>
      <c r="RYE324" s="137"/>
      <c r="RYF324" s="158"/>
      <c r="RYG324" s="363"/>
      <c r="RYH324" s="139"/>
      <c r="RYI324" s="139"/>
      <c r="RYJ324" s="98"/>
      <c r="RYK324" s="79"/>
      <c r="RYL324" s="139"/>
      <c r="RYM324" s="139"/>
      <c r="RYN324" s="138"/>
      <c r="RYO324" s="147"/>
      <c r="RYP324" s="147"/>
      <c r="RYQ324" s="147"/>
      <c r="RYR324" s="138"/>
      <c r="RYS324" s="138"/>
      <c r="RYT324" s="147"/>
      <c r="RYU324" s="148"/>
      <c r="RYV324" s="81"/>
      <c r="RYW324" s="140"/>
      <c r="RYX324" s="157"/>
      <c r="RYY324" s="157"/>
      <c r="RYZ324" s="100"/>
      <c r="RZA324" s="79"/>
      <c r="RZB324" s="153"/>
      <c r="RZC324" s="137"/>
      <c r="RZD324" s="158"/>
      <c r="RZE324" s="363"/>
      <c r="RZF324" s="139"/>
      <c r="RZG324" s="139"/>
      <c r="RZH324" s="98"/>
      <c r="RZI324" s="79"/>
      <c r="RZJ324" s="139"/>
      <c r="RZK324" s="139"/>
      <c r="RZL324" s="138"/>
      <c r="RZM324" s="147"/>
      <c r="RZN324" s="147"/>
      <c r="RZO324" s="147"/>
      <c r="RZP324" s="138"/>
      <c r="RZQ324" s="138"/>
      <c r="RZR324" s="147"/>
      <c r="RZS324" s="148"/>
      <c r="RZT324" s="81"/>
      <c r="RZU324" s="140"/>
      <c r="RZV324" s="157"/>
      <c r="RZW324" s="157"/>
      <c r="RZX324" s="100"/>
      <c r="RZY324" s="79"/>
      <c r="RZZ324" s="153"/>
      <c r="SAA324" s="137"/>
      <c r="SAB324" s="158"/>
      <c r="SAC324" s="363"/>
      <c r="SAD324" s="139"/>
      <c r="SAE324" s="139"/>
      <c r="SAF324" s="98"/>
      <c r="SAG324" s="79"/>
      <c r="SAH324" s="139"/>
      <c r="SAI324" s="139"/>
      <c r="SAJ324" s="138"/>
      <c r="SAK324" s="147"/>
      <c r="SAL324" s="147"/>
      <c r="SAM324" s="147"/>
      <c r="SAN324" s="138"/>
      <c r="SAO324" s="138"/>
      <c r="SAP324" s="147"/>
      <c r="SAQ324" s="148"/>
      <c r="SAR324" s="81"/>
      <c r="SAS324" s="140"/>
      <c r="SAT324" s="157"/>
      <c r="SAU324" s="157"/>
      <c r="SAV324" s="100"/>
      <c r="SAW324" s="79"/>
      <c r="SAX324" s="153"/>
      <c r="SAY324" s="137"/>
      <c r="SAZ324" s="158"/>
      <c r="SBA324" s="363"/>
      <c r="SBB324" s="139"/>
      <c r="SBC324" s="139"/>
      <c r="SBD324" s="98"/>
      <c r="SBE324" s="79"/>
      <c r="SBF324" s="139"/>
      <c r="SBG324" s="139"/>
      <c r="SBH324" s="138"/>
      <c r="SBI324" s="147"/>
      <c r="SBJ324" s="147"/>
      <c r="SBK324" s="147"/>
      <c r="SBL324" s="138"/>
      <c r="SBM324" s="138"/>
      <c r="SBN324" s="147"/>
      <c r="SBO324" s="148"/>
      <c r="SBP324" s="81"/>
      <c r="SBQ324" s="140"/>
      <c r="SBR324" s="157"/>
      <c r="SBS324" s="157"/>
      <c r="SBT324" s="100"/>
      <c r="SBU324" s="79"/>
      <c r="SBV324" s="153"/>
      <c r="SBW324" s="137"/>
      <c r="SBX324" s="158"/>
      <c r="SBY324" s="363"/>
      <c r="SBZ324" s="139"/>
      <c r="SCA324" s="139"/>
      <c r="SCB324" s="98"/>
      <c r="SCC324" s="79"/>
      <c r="SCD324" s="139"/>
      <c r="SCE324" s="139"/>
      <c r="SCF324" s="138"/>
      <c r="SCG324" s="147"/>
      <c r="SCH324" s="147"/>
      <c r="SCI324" s="147"/>
      <c r="SCJ324" s="138"/>
      <c r="SCK324" s="138"/>
      <c r="SCL324" s="147"/>
      <c r="SCM324" s="148"/>
      <c r="SCN324" s="81"/>
      <c r="SCO324" s="140"/>
      <c r="SCP324" s="157"/>
      <c r="SCQ324" s="157"/>
      <c r="SCR324" s="100"/>
      <c r="SCS324" s="79"/>
      <c r="SCT324" s="153"/>
      <c r="SCU324" s="137"/>
      <c r="SCV324" s="158"/>
      <c r="SCW324" s="363"/>
      <c r="SCX324" s="139"/>
      <c r="SCY324" s="139"/>
      <c r="SCZ324" s="98"/>
      <c r="SDA324" s="79"/>
      <c r="SDB324" s="139"/>
      <c r="SDC324" s="139"/>
      <c r="SDD324" s="138"/>
      <c r="SDE324" s="147"/>
      <c r="SDF324" s="147"/>
      <c r="SDG324" s="147"/>
      <c r="SDH324" s="138"/>
      <c r="SDI324" s="138"/>
      <c r="SDJ324" s="147"/>
      <c r="SDK324" s="148"/>
      <c r="SDL324" s="81"/>
      <c r="SDM324" s="140"/>
      <c r="SDN324" s="157"/>
      <c r="SDO324" s="157"/>
      <c r="SDP324" s="100"/>
      <c r="SDQ324" s="79"/>
      <c r="SDR324" s="153"/>
      <c r="SDS324" s="137"/>
      <c r="SDT324" s="158"/>
      <c r="SDU324" s="363"/>
      <c r="SDV324" s="139"/>
      <c r="SDW324" s="139"/>
      <c r="SDX324" s="98"/>
      <c r="SDY324" s="79"/>
      <c r="SDZ324" s="139"/>
      <c r="SEA324" s="139"/>
      <c r="SEB324" s="138"/>
      <c r="SEC324" s="147"/>
      <c r="SED324" s="147"/>
      <c r="SEE324" s="147"/>
      <c r="SEF324" s="138"/>
      <c r="SEG324" s="138"/>
      <c r="SEH324" s="147"/>
      <c r="SEI324" s="148"/>
      <c r="SEJ324" s="81"/>
      <c r="SEK324" s="140"/>
      <c r="SEL324" s="157"/>
      <c r="SEM324" s="157"/>
      <c r="SEN324" s="100"/>
      <c r="SEO324" s="79"/>
      <c r="SEP324" s="153"/>
      <c r="SEQ324" s="137"/>
      <c r="SER324" s="158"/>
      <c r="SES324" s="363"/>
      <c r="SET324" s="139"/>
      <c r="SEU324" s="139"/>
      <c r="SEV324" s="98"/>
      <c r="SEW324" s="79"/>
      <c r="SEX324" s="139"/>
      <c r="SEY324" s="139"/>
      <c r="SEZ324" s="138"/>
      <c r="SFA324" s="147"/>
      <c r="SFB324" s="147"/>
      <c r="SFC324" s="147"/>
      <c r="SFD324" s="138"/>
      <c r="SFE324" s="138"/>
      <c r="SFF324" s="147"/>
      <c r="SFG324" s="148"/>
      <c r="SFH324" s="81"/>
      <c r="SFI324" s="140"/>
      <c r="SFJ324" s="157"/>
      <c r="SFK324" s="157"/>
      <c r="SFL324" s="100"/>
      <c r="SFM324" s="79"/>
      <c r="SFN324" s="153"/>
      <c r="SFO324" s="137"/>
      <c r="SFP324" s="158"/>
      <c r="SFQ324" s="363"/>
      <c r="SFR324" s="139"/>
      <c r="SFS324" s="139"/>
      <c r="SFT324" s="98"/>
      <c r="SFU324" s="79"/>
      <c r="SFV324" s="139"/>
      <c r="SFW324" s="139"/>
      <c r="SFX324" s="138"/>
      <c r="SFY324" s="147"/>
      <c r="SFZ324" s="147"/>
      <c r="SGA324" s="147"/>
      <c r="SGB324" s="138"/>
      <c r="SGC324" s="138"/>
      <c r="SGD324" s="147"/>
      <c r="SGE324" s="148"/>
      <c r="SGF324" s="81"/>
      <c r="SGG324" s="140"/>
      <c r="SGH324" s="157"/>
      <c r="SGI324" s="157"/>
      <c r="SGJ324" s="100"/>
      <c r="SGK324" s="79"/>
      <c r="SGL324" s="153"/>
      <c r="SGM324" s="137"/>
      <c r="SGN324" s="158"/>
      <c r="SGO324" s="363"/>
      <c r="SGP324" s="139"/>
      <c r="SGQ324" s="139"/>
      <c r="SGR324" s="98"/>
      <c r="SGS324" s="79"/>
      <c r="SGT324" s="139"/>
      <c r="SGU324" s="139"/>
      <c r="SGV324" s="138"/>
      <c r="SGW324" s="147"/>
      <c r="SGX324" s="147"/>
      <c r="SGY324" s="147"/>
      <c r="SGZ324" s="138"/>
      <c r="SHA324" s="138"/>
      <c r="SHB324" s="147"/>
      <c r="SHC324" s="148"/>
      <c r="SHD324" s="81"/>
      <c r="SHE324" s="140"/>
      <c r="SHF324" s="157"/>
      <c r="SHG324" s="157"/>
      <c r="SHH324" s="100"/>
      <c r="SHI324" s="79"/>
      <c r="SHJ324" s="153"/>
      <c r="SHK324" s="137"/>
      <c r="SHL324" s="158"/>
      <c r="SHM324" s="363"/>
      <c r="SHN324" s="139"/>
      <c r="SHO324" s="139"/>
      <c r="SHP324" s="98"/>
      <c r="SHQ324" s="79"/>
      <c r="SHR324" s="139"/>
      <c r="SHS324" s="139"/>
      <c r="SHT324" s="138"/>
      <c r="SHU324" s="147"/>
      <c r="SHV324" s="147"/>
      <c r="SHW324" s="147"/>
      <c r="SHX324" s="138"/>
      <c r="SHY324" s="138"/>
      <c r="SHZ324" s="147"/>
      <c r="SIA324" s="148"/>
      <c r="SIB324" s="81"/>
      <c r="SIC324" s="140"/>
      <c r="SID324" s="157"/>
      <c r="SIE324" s="157"/>
      <c r="SIF324" s="100"/>
      <c r="SIG324" s="79"/>
      <c r="SIH324" s="153"/>
      <c r="SII324" s="137"/>
      <c r="SIJ324" s="158"/>
      <c r="SIK324" s="363"/>
      <c r="SIL324" s="139"/>
      <c r="SIM324" s="139"/>
      <c r="SIN324" s="98"/>
      <c r="SIO324" s="79"/>
      <c r="SIP324" s="139"/>
      <c r="SIQ324" s="139"/>
      <c r="SIR324" s="138"/>
      <c r="SIS324" s="147"/>
      <c r="SIT324" s="147"/>
      <c r="SIU324" s="147"/>
      <c r="SIV324" s="138"/>
      <c r="SIW324" s="138"/>
      <c r="SIX324" s="147"/>
      <c r="SIY324" s="148"/>
      <c r="SIZ324" s="81"/>
      <c r="SJA324" s="140"/>
      <c r="SJB324" s="157"/>
      <c r="SJC324" s="157"/>
      <c r="SJD324" s="100"/>
      <c r="SJE324" s="79"/>
      <c r="SJF324" s="153"/>
      <c r="SJG324" s="137"/>
      <c r="SJH324" s="158"/>
      <c r="SJI324" s="363"/>
      <c r="SJJ324" s="139"/>
      <c r="SJK324" s="139"/>
      <c r="SJL324" s="98"/>
      <c r="SJM324" s="79"/>
      <c r="SJN324" s="139"/>
      <c r="SJO324" s="139"/>
      <c r="SJP324" s="138"/>
      <c r="SJQ324" s="147"/>
      <c r="SJR324" s="147"/>
      <c r="SJS324" s="147"/>
      <c r="SJT324" s="138"/>
      <c r="SJU324" s="138"/>
      <c r="SJV324" s="147"/>
      <c r="SJW324" s="148"/>
      <c r="SJX324" s="81"/>
      <c r="SJY324" s="140"/>
      <c r="SJZ324" s="157"/>
      <c r="SKA324" s="157"/>
      <c r="SKB324" s="100"/>
      <c r="SKC324" s="79"/>
      <c r="SKD324" s="153"/>
      <c r="SKE324" s="137"/>
      <c r="SKF324" s="158"/>
      <c r="SKG324" s="363"/>
      <c r="SKH324" s="139"/>
      <c r="SKI324" s="139"/>
      <c r="SKJ324" s="98"/>
      <c r="SKK324" s="79"/>
      <c r="SKL324" s="139"/>
      <c r="SKM324" s="139"/>
      <c r="SKN324" s="138"/>
      <c r="SKO324" s="147"/>
      <c r="SKP324" s="147"/>
      <c r="SKQ324" s="147"/>
      <c r="SKR324" s="138"/>
      <c r="SKS324" s="138"/>
      <c r="SKT324" s="147"/>
      <c r="SKU324" s="148"/>
      <c r="SKV324" s="81"/>
      <c r="SKW324" s="140"/>
      <c r="SKX324" s="157"/>
      <c r="SKY324" s="157"/>
      <c r="SKZ324" s="100"/>
      <c r="SLA324" s="79"/>
      <c r="SLB324" s="153"/>
      <c r="SLC324" s="137"/>
      <c r="SLD324" s="158"/>
      <c r="SLE324" s="363"/>
      <c r="SLF324" s="139"/>
      <c r="SLG324" s="139"/>
      <c r="SLH324" s="98"/>
      <c r="SLI324" s="79"/>
      <c r="SLJ324" s="139"/>
      <c r="SLK324" s="139"/>
      <c r="SLL324" s="138"/>
      <c r="SLM324" s="147"/>
      <c r="SLN324" s="147"/>
      <c r="SLO324" s="147"/>
      <c r="SLP324" s="138"/>
      <c r="SLQ324" s="138"/>
      <c r="SLR324" s="147"/>
      <c r="SLS324" s="148"/>
      <c r="SLT324" s="81"/>
      <c r="SLU324" s="140"/>
      <c r="SLV324" s="157"/>
      <c r="SLW324" s="157"/>
      <c r="SLX324" s="100"/>
      <c r="SLY324" s="79"/>
      <c r="SLZ324" s="153"/>
      <c r="SMA324" s="137"/>
      <c r="SMB324" s="158"/>
      <c r="SMC324" s="363"/>
      <c r="SMD324" s="139"/>
      <c r="SME324" s="139"/>
      <c r="SMF324" s="98"/>
      <c r="SMG324" s="79"/>
      <c r="SMH324" s="139"/>
      <c r="SMI324" s="139"/>
      <c r="SMJ324" s="138"/>
      <c r="SMK324" s="147"/>
      <c r="SML324" s="147"/>
      <c r="SMM324" s="147"/>
      <c r="SMN324" s="138"/>
      <c r="SMO324" s="138"/>
      <c r="SMP324" s="147"/>
      <c r="SMQ324" s="148"/>
      <c r="SMR324" s="81"/>
      <c r="SMS324" s="140"/>
      <c r="SMT324" s="157"/>
      <c r="SMU324" s="157"/>
      <c r="SMV324" s="100"/>
      <c r="SMW324" s="79"/>
      <c r="SMX324" s="153"/>
      <c r="SMY324" s="137"/>
      <c r="SMZ324" s="158"/>
      <c r="SNA324" s="363"/>
      <c r="SNB324" s="139"/>
      <c r="SNC324" s="139"/>
      <c r="SND324" s="98"/>
      <c r="SNE324" s="79"/>
      <c r="SNF324" s="139"/>
      <c r="SNG324" s="139"/>
      <c r="SNH324" s="138"/>
      <c r="SNI324" s="147"/>
      <c r="SNJ324" s="147"/>
      <c r="SNK324" s="147"/>
      <c r="SNL324" s="138"/>
      <c r="SNM324" s="138"/>
      <c r="SNN324" s="147"/>
      <c r="SNO324" s="148"/>
      <c r="SNP324" s="81"/>
      <c r="SNQ324" s="140"/>
      <c r="SNR324" s="157"/>
      <c r="SNS324" s="157"/>
      <c r="SNT324" s="100"/>
      <c r="SNU324" s="79"/>
      <c r="SNV324" s="153"/>
      <c r="SNW324" s="137"/>
      <c r="SNX324" s="158"/>
      <c r="SNY324" s="363"/>
      <c r="SNZ324" s="139"/>
      <c r="SOA324" s="139"/>
      <c r="SOB324" s="98"/>
      <c r="SOC324" s="79"/>
      <c r="SOD324" s="139"/>
      <c r="SOE324" s="139"/>
      <c r="SOF324" s="138"/>
      <c r="SOG324" s="147"/>
      <c r="SOH324" s="147"/>
      <c r="SOI324" s="147"/>
      <c r="SOJ324" s="138"/>
      <c r="SOK324" s="138"/>
      <c r="SOL324" s="147"/>
      <c r="SOM324" s="148"/>
      <c r="SON324" s="81"/>
      <c r="SOO324" s="140"/>
      <c r="SOP324" s="157"/>
      <c r="SOQ324" s="157"/>
      <c r="SOR324" s="100"/>
      <c r="SOS324" s="79"/>
      <c r="SOT324" s="153"/>
      <c r="SOU324" s="137"/>
      <c r="SOV324" s="158"/>
      <c r="SOW324" s="363"/>
      <c r="SOX324" s="139"/>
      <c r="SOY324" s="139"/>
      <c r="SOZ324" s="98"/>
      <c r="SPA324" s="79"/>
      <c r="SPB324" s="139"/>
      <c r="SPC324" s="139"/>
      <c r="SPD324" s="138"/>
      <c r="SPE324" s="147"/>
      <c r="SPF324" s="147"/>
      <c r="SPG324" s="147"/>
      <c r="SPH324" s="138"/>
      <c r="SPI324" s="138"/>
      <c r="SPJ324" s="147"/>
      <c r="SPK324" s="148"/>
      <c r="SPL324" s="81"/>
      <c r="SPM324" s="140"/>
      <c r="SPN324" s="157"/>
      <c r="SPO324" s="157"/>
      <c r="SPP324" s="100"/>
      <c r="SPQ324" s="79"/>
      <c r="SPR324" s="153"/>
      <c r="SPS324" s="137"/>
      <c r="SPT324" s="158"/>
      <c r="SPU324" s="363"/>
      <c r="SPV324" s="139"/>
      <c r="SPW324" s="139"/>
      <c r="SPX324" s="98"/>
      <c r="SPY324" s="79"/>
      <c r="SPZ324" s="139"/>
      <c r="SQA324" s="139"/>
      <c r="SQB324" s="138"/>
      <c r="SQC324" s="147"/>
      <c r="SQD324" s="147"/>
      <c r="SQE324" s="147"/>
      <c r="SQF324" s="138"/>
      <c r="SQG324" s="138"/>
      <c r="SQH324" s="147"/>
      <c r="SQI324" s="148"/>
      <c r="SQJ324" s="81"/>
      <c r="SQK324" s="140"/>
      <c r="SQL324" s="157"/>
      <c r="SQM324" s="157"/>
      <c r="SQN324" s="100"/>
      <c r="SQO324" s="79"/>
      <c r="SQP324" s="153"/>
      <c r="SQQ324" s="137"/>
      <c r="SQR324" s="158"/>
      <c r="SQS324" s="363"/>
      <c r="SQT324" s="139"/>
      <c r="SQU324" s="139"/>
      <c r="SQV324" s="98"/>
      <c r="SQW324" s="79"/>
      <c r="SQX324" s="139"/>
      <c r="SQY324" s="139"/>
      <c r="SQZ324" s="138"/>
      <c r="SRA324" s="147"/>
      <c r="SRB324" s="147"/>
      <c r="SRC324" s="147"/>
      <c r="SRD324" s="138"/>
      <c r="SRE324" s="138"/>
      <c r="SRF324" s="147"/>
      <c r="SRG324" s="148"/>
      <c r="SRH324" s="81"/>
      <c r="SRI324" s="140"/>
      <c r="SRJ324" s="157"/>
      <c r="SRK324" s="157"/>
      <c r="SRL324" s="100"/>
      <c r="SRM324" s="79"/>
      <c r="SRN324" s="153"/>
      <c r="SRO324" s="137"/>
      <c r="SRP324" s="158"/>
      <c r="SRQ324" s="363"/>
      <c r="SRR324" s="139"/>
      <c r="SRS324" s="139"/>
      <c r="SRT324" s="98"/>
      <c r="SRU324" s="79"/>
      <c r="SRV324" s="139"/>
      <c r="SRW324" s="139"/>
      <c r="SRX324" s="138"/>
      <c r="SRY324" s="147"/>
      <c r="SRZ324" s="147"/>
      <c r="SSA324" s="147"/>
      <c r="SSB324" s="138"/>
      <c r="SSC324" s="138"/>
      <c r="SSD324" s="147"/>
      <c r="SSE324" s="148"/>
      <c r="SSF324" s="81"/>
      <c r="SSG324" s="140"/>
      <c r="SSH324" s="157"/>
      <c r="SSI324" s="157"/>
      <c r="SSJ324" s="100"/>
      <c r="SSK324" s="79"/>
      <c r="SSL324" s="153"/>
      <c r="SSM324" s="137"/>
      <c r="SSN324" s="158"/>
      <c r="SSO324" s="363"/>
      <c r="SSP324" s="139"/>
      <c r="SSQ324" s="139"/>
      <c r="SSR324" s="98"/>
      <c r="SSS324" s="79"/>
      <c r="SST324" s="139"/>
      <c r="SSU324" s="139"/>
      <c r="SSV324" s="138"/>
      <c r="SSW324" s="147"/>
      <c r="SSX324" s="147"/>
      <c r="SSY324" s="147"/>
      <c r="SSZ324" s="138"/>
      <c r="STA324" s="138"/>
      <c r="STB324" s="147"/>
      <c r="STC324" s="148"/>
      <c r="STD324" s="81"/>
      <c r="STE324" s="140"/>
      <c r="STF324" s="157"/>
      <c r="STG324" s="157"/>
      <c r="STH324" s="100"/>
      <c r="STI324" s="79"/>
      <c r="STJ324" s="153"/>
      <c r="STK324" s="137"/>
      <c r="STL324" s="158"/>
      <c r="STM324" s="363"/>
      <c r="STN324" s="139"/>
      <c r="STO324" s="139"/>
      <c r="STP324" s="98"/>
      <c r="STQ324" s="79"/>
      <c r="STR324" s="139"/>
      <c r="STS324" s="139"/>
      <c r="STT324" s="138"/>
      <c r="STU324" s="147"/>
      <c r="STV324" s="147"/>
      <c r="STW324" s="147"/>
      <c r="STX324" s="138"/>
      <c r="STY324" s="138"/>
      <c r="STZ324" s="147"/>
      <c r="SUA324" s="148"/>
      <c r="SUB324" s="81"/>
      <c r="SUC324" s="140"/>
      <c r="SUD324" s="157"/>
      <c r="SUE324" s="157"/>
      <c r="SUF324" s="100"/>
      <c r="SUG324" s="79"/>
      <c r="SUH324" s="153"/>
      <c r="SUI324" s="137"/>
      <c r="SUJ324" s="158"/>
      <c r="SUK324" s="363"/>
      <c r="SUL324" s="139"/>
      <c r="SUM324" s="139"/>
      <c r="SUN324" s="98"/>
      <c r="SUO324" s="79"/>
      <c r="SUP324" s="139"/>
      <c r="SUQ324" s="139"/>
      <c r="SUR324" s="138"/>
      <c r="SUS324" s="147"/>
      <c r="SUT324" s="147"/>
      <c r="SUU324" s="147"/>
      <c r="SUV324" s="138"/>
      <c r="SUW324" s="138"/>
      <c r="SUX324" s="147"/>
      <c r="SUY324" s="148"/>
      <c r="SUZ324" s="81"/>
      <c r="SVA324" s="140"/>
      <c r="SVB324" s="157"/>
      <c r="SVC324" s="157"/>
      <c r="SVD324" s="100"/>
      <c r="SVE324" s="79"/>
      <c r="SVF324" s="153"/>
      <c r="SVG324" s="137"/>
      <c r="SVH324" s="158"/>
      <c r="SVI324" s="363"/>
      <c r="SVJ324" s="139"/>
      <c r="SVK324" s="139"/>
      <c r="SVL324" s="98"/>
      <c r="SVM324" s="79"/>
      <c r="SVN324" s="139"/>
      <c r="SVO324" s="139"/>
      <c r="SVP324" s="138"/>
      <c r="SVQ324" s="147"/>
      <c r="SVR324" s="147"/>
      <c r="SVS324" s="147"/>
      <c r="SVT324" s="138"/>
      <c r="SVU324" s="138"/>
      <c r="SVV324" s="147"/>
      <c r="SVW324" s="148"/>
      <c r="SVX324" s="81"/>
      <c r="SVY324" s="140"/>
      <c r="SVZ324" s="157"/>
      <c r="SWA324" s="157"/>
      <c r="SWB324" s="100"/>
      <c r="SWC324" s="79"/>
      <c r="SWD324" s="153"/>
      <c r="SWE324" s="137"/>
      <c r="SWF324" s="158"/>
      <c r="SWG324" s="363"/>
      <c r="SWH324" s="139"/>
      <c r="SWI324" s="139"/>
      <c r="SWJ324" s="98"/>
      <c r="SWK324" s="79"/>
      <c r="SWL324" s="139"/>
      <c r="SWM324" s="139"/>
      <c r="SWN324" s="138"/>
      <c r="SWO324" s="147"/>
      <c r="SWP324" s="147"/>
      <c r="SWQ324" s="147"/>
      <c r="SWR324" s="138"/>
      <c r="SWS324" s="138"/>
      <c r="SWT324" s="147"/>
      <c r="SWU324" s="148"/>
      <c r="SWV324" s="81"/>
      <c r="SWW324" s="140"/>
      <c r="SWX324" s="157"/>
      <c r="SWY324" s="157"/>
      <c r="SWZ324" s="100"/>
      <c r="SXA324" s="79"/>
      <c r="SXB324" s="153"/>
      <c r="SXC324" s="137"/>
      <c r="SXD324" s="158"/>
      <c r="SXE324" s="363"/>
      <c r="SXF324" s="139"/>
      <c r="SXG324" s="139"/>
      <c r="SXH324" s="98"/>
      <c r="SXI324" s="79"/>
      <c r="SXJ324" s="139"/>
      <c r="SXK324" s="139"/>
      <c r="SXL324" s="138"/>
      <c r="SXM324" s="147"/>
      <c r="SXN324" s="147"/>
      <c r="SXO324" s="147"/>
      <c r="SXP324" s="138"/>
      <c r="SXQ324" s="138"/>
      <c r="SXR324" s="147"/>
      <c r="SXS324" s="148"/>
      <c r="SXT324" s="81"/>
      <c r="SXU324" s="140"/>
      <c r="SXV324" s="157"/>
      <c r="SXW324" s="157"/>
      <c r="SXX324" s="100"/>
      <c r="SXY324" s="79"/>
      <c r="SXZ324" s="153"/>
      <c r="SYA324" s="137"/>
      <c r="SYB324" s="158"/>
      <c r="SYC324" s="363"/>
      <c r="SYD324" s="139"/>
      <c r="SYE324" s="139"/>
      <c r="SYF324" s="98"/>
      <c r="SYG324" s="79"/>
      <c r="SYH324" s="139"/>
      <c r="SYI324" s="139"/>
      <c r="SYJ324" s="138"/>
      <c r="SYK324" s="147"/>
      <c r="SYL324" s="147"/>
      <c r="SYM324" s="147"/>
      <c r="SYN324" s="138"/>
      <c r="SYO324" s="138"/>
      <c r="SYP324" s="147"/>
      <c r="SYQ324" s="148"/>
      <c r="SYR324" s="81"/>
      <c r="SYS324" s="140"/>
      <c r="SYT324" s="157"/>
      <c r="SYU324" s="157"/>
      <c r="SYV324" s="100"/>
      <c r="SYW324" s="79"/>
      <c r="SYX324" s="153"/>
      <c r="SYY324" s="137"/>
      <c r="SYZ324" s="158"/>
      <c r="SZA324" s="363"/>
      <c r="SZB324" s="139"/>
      <c r="SZC324" s="139"/>
      <c r="SZD324" s="98"/>
      <c r="SZE324" s="79"/>
      <c r="SZF324" s="139"/>
      <c r="SZG324" s="139"/>
      <c r="SZH324" s="138"/>
      <c r="SZI324" s="147"/>
      <c r="SZJ324" s="147"/>
      <c r="SZK324" s="147"/>
      <c r="SZL324" s="138"/>
      <c r="SZM324" s="138"/>
      <c r="SZN324" s="147"/>
      <c r="SZO324" s="148"/>
      <c r="SZP324" s="81"/>
      <c r="SZQ324" s="140"/>
      <c r="SZR324" s="157"/>
      <c r="SZS324" s="157"/>
      <c r="SZT324" s="100"/>
      <c r="SZU324" s="79"/>
      <c r="SZV324" s="153"/>
      <c r="SZW324" s="137"/>
      <c r="SZX324" s="158"/>
      <c r="SZY324" s="363"/>
      <c r="SZZ324" s="139"/>
      <c r="TAA324" s="139"/>
      <c r="TAB324" s="98"/>
      <c r="TAC324" s="79"/>
      <c r="TAD324" s="139"/>
      <c r="TAE324" s="139"/>
      <c r="TAF324" s="138"/>
      <c r="TAG324" s="147"/>
      <c r="TAH324" s="147"/>
      <c r="TAI324" s="147"/>
      <c r="TAJ324" s="138"/>
      <c r="TAK324" s="138"/>
      <c r="TAL324" s="147"/>
      <c r="TAM324" s="148"/>
      <c r="TAN324" s="81"/>
      <c r="TAO324" s="140"/>
      <c r="TAP324" s="157"/>
      <c r="TAQ324" s="157"/>
      <c r="TAR324" s="100"/>
      <c r="TAS324" s="79"/>
      <c r="TAT324" s="153"/>
      <c r="TAU324" s="137"/>
      <c r="TAV324" s="158"/>
      <c r="TAW324" s="363"/>
      <c r="TAX324" s="139"/>
      <c r="TAY324" s="139"/>
      <c r="TAZ324" s="98"/>
      <c r="TBA324" s="79"/>
      <c r="TBB324" s="139"/>
      <c r="TBC324" s="139"/>
      <c r="TBD324" s="138"/>
      <c r="TBE324" s="147"/>
      <c r="TBF324" s="147"/>
      <c r="TBG324" s="147"/>
      <c r="TBH324" s="138"/>
      <c r="TBI324" s="138"/>
      <c r="TBJ324" s="147"/>
      <c r="TBK324" s="148"/>
      <c r="TBL324" s="81"/>
      <c r="TBM324" s="140"/>
      <c r="TBN324" s="157"/>
      <c r="TBO324" s="157"/>
      <c r="TBP324" s="100"/>
      <c r="TBQ324" s="79"/>
      <c r="TBR324" s="153"/>
      <c r="TBS324" s="137"/>
      <c r="TBT324" s="158"/>
      <c r="TBU324" s="363"/>
      <c r="TBV324" s="139"/>
      <c r="TBW324" s="139"/>
      <c r="TBX324" s="98"/>
      <c r="TBY324" s="79"/>
      <c r="TBZ324" s="139"/>
      <c r="TCA324" s="139"/>
      <c r="TCB324" s="138"/>
      <c r="TCC324" s="147"/>
      <c r="TCD324" s="147"/>
      <c r="TCE324" s="147"/>
      <c r="TCF324" s="138"/>
      <c r="TCG324" s="138"/>
      <c r="TCH324" s="147"/>
      <c r="TCI324" s="148"/>
      <c r="TCJ324" s="81"/>
      <c r="TCK324" s="140"/>
      <c r="TCL324" s="157"/>
      <c r="TCM324" s="157"/>
      <c r="TCN324" s="100"/>
      <c r="TCO324" s="79"/>
      <c r="TCP324" s="153"/>
      <c r="TCQ324" s="137"/>
      <c r="TCR324" s="158"/>
      <c r="TCS324" s="363"/>
      <c r="TCT324" s="139"/>
      <c r="TCU324" s="139"/>
      <c r="TCV324" s="98"/>
      <c r="TCW324" s="79"/>
      <c r="TCX324" s="139"/>
      <c r="TCY324" s="139"/>
      <c r="TCZ324" s="138"/>
      <c r="TDA324" s="147"/>
      <c r="TDB324" s="147"/>
      <c r="TDC324" s="147"/>
      <c r="TDD324" s="138"/>
      <c r="TDE324" s="138"/>
      <c r="TDF324" s="147"/>
      <c r="TDG324" s="148"/>
      <c r="TDH324" s="81"/>
      <c r="TDI324" s="140"/>
      <c r="TDJ324" s="157"/>
      <c r="TDK324" s="157"/>
      <c r="TDL324" s="100"/>
      <c r="TDM324" s="79"/>
      <c r="TDN324" s="153"/>
      <c r="TDO324" s="137"/>
      <c r="TDP324" s="158"/>
      <c r="TDQ324" s="363"/>
      <c r="TDR324" s="139"/>
      <c r="TDS324" s="139"/>
      <c r="TDT324" s="98"/>
      <c r="TDU324" s="79"/>
      <c r="TDV324" s="139"/>
      <c r="TDW324" s="139"/>
      <c r="TDX324" s="138"/>
      <c r="TDY324" s="147"/>
      <c r="TDZ324" s="147"/>
      <c r="TEA324" s="147"/>
      <c r="TEB324" s="138"/>
      <c r="TEC324" s="138"/>
      <c r="TED324" s="147"/>
      <c r="TEE324" s="148"/>
      <c r="TEF324" s="81"/>
      <c r="TEG324" s="140"/>
      <c r="TEH324" s="157"/>
      <c r="TEI324" s="157"/>
      <c r="TEJ324" s="100"/>
      <c r="TEK324" s="79"/>
      <c r="TEL324" s="153"/>
      <c r="TEM324" s="137"/>
      <c r="TEN324" s="158"/>
      <c r="TEO324" s="363"/>
      <c r="TEP324" s="139"/>
      <c r="TEQ324" s="139"/>
      <c r="TER324" s="98"/>
      <c r="TES324" s="79"/>
      <c r="TET324" s="139"/>
      <c r="TEU324" s="139"/>
      <c r="TEV324" s="138"/>
      <c r="TEW324" s="147"/>
      <c r="TEX324" s="147"/>
      <c r="TEY324" s="147"/>
      <c r="TEZ324" s="138"/>
      <c r="TFA324" s="138"/>
      <c r="TFB324" s="147"/>
      <c r="TFC324" s="148"/>
      <c r="TFD324" s="81"/>
      <c r="TFE324" s="140"/>
      <c r="TFF324" s="157"/>
      <c r="TFG324" s="157"/>
      <c r="TFH324" s="100"/>
      <c r="TFI324" s="79"/>
      <c r="TFJ324" s="153"/>
      <c r="TFK324" s="137"/>
      <c r="TFL324" s="158"/>
      <c r="TFM324" s="363"/>
      <c r="TFN324" s="139"/>
      <c r="TFO324" s="139"/>
      <c r="TFP324" s="98"/>
      <c r="TFQ324" s="79"/>
      <c r="TFR324" s="139"/>
      <c r="TFS324" s="139"/>
      <c r="TFT324" s="138"/>
      <c r="TFU324" s="147"/>
      <c r="TFV324" s="147"/>
      <c r="TFW324" s="147"/>
      <c r="TFX324" s="138"/>
      <c r="TFY324" s="138"/>
      <c r="TFZ324" s="147"/>
      <c r="TGA324" s="148"/>
      <c r="TGB324" s="81"/>
      <c r="TGC324" s="140"/>
      <c r="TGD324" s="157"/>
      <c r="TGE324" s="157"/>
      <c r="TGF324" s="100"/>
      <c r="TGG324" s="79"/>
      <c r="TGH324" s="153"/>
      <c r="TGI324" s="137"/>
      <c r="TGJ324" s="158"/>
      <c r="TGK324" s="363"/>
      <c r="TGL324" s="139"/>
      <c r="TGM324" s="139"/>
      <c r="TGN324" s="98"/>
      <c r="TGO324" s="79"/>
      <c r="TGP324" s="139"/>
      <c r="TGQ324" s="139"/>
      <c r="TGR324" s="138"/>
      <c r="TGS324" s="147"/>
      <c r="TGT324" s="147"/>
      <c r="TGU324" s="147"/>
      <c r="TGV324" s="138"/>
      <c r="TGW324" s="138"/>
      <c r="TGX324" s="147"/>
      <c r="TGY324" s="148"/>
      <c r="TGZ324" s="81"/>
      <c r="THA324" s="140"/>
      <c r="THB324" s="157"/>
      <c r="THC324" s="157"/>
      <c r="THD324" s="100"/>
      <c r="THE324" s="79"/>
      <c r="THF324" s="153"/>
      <c r="THG324" s="137"/>
      <c r="THH324" s="158"/>
      <c r="THI324" s="363"/>
      <c r="THJ324" s="139"/>
      <c r="THK324" s="139"/>
      <c r="THL324" s="98"/>
      <c r="THM324" s="79"/>
      <c r="THN324" s="139"/>
      <c r="THO324" s="139"/>
      <c r="THP324" s="138"/>
      <c r="THQ324" s="147"/>
      <c r="THR324" s="147"/>
      <c r="THS324" s="147"/>
      <c r="THT324" s="138"/>
      <c r="THU324" s="138"/>
      <c r="THV324" s="147"/>
      <c r="THW324" s="148"/>
      <c r="THX324" s="81"/>
      <c r="THY324" s="140"/>
      <c r="THZ324" s="157"/>
      <c r="TIA324" s="157"/>
      <c r="TIB324" s="100"/>
      <c r="TIC324" s="79"/>
      <c r="TID324" s="153"/>
      <c r="TIE324" s="137"/>
      <c r="TIF324" s="158"/>
      <c r="TIG324" s="363"/>
      <c r="TIH324" s="139"/>
      <c r="TII324" s="139"/>
      <c r="TIJ324" s="98"/>
      <c r="TIK324" s="79"/>
      <c r="TIL324" s="139"/>
      <c r="TIM324" s="139"/>
      <c r="TIN324" s="138"/>
      <c r="TIO324" s="147"/>
      <c r="TIP324" s="147"/>
      <c r="TIQ324" s="147"/>
      <c r="TIR324" s="138"/>
      <c r="TIS324" s="138"/>
      <c r="TIT324" s="147"/>
      <c r="TIU324" s="148"/>
      <c r="TIV324" s="81"/>
      <c r="TIW324" s="140"/>
      <c r="TIX324" s="157"/>
      <c r="TIY324" s="157"/>
      <c r="TIZ324" s="100"/>
      <c r="TJA324" s="79"/>
      <c r="TJB324" s="153"/>
      <c r="TJC324" s="137"/>
      <c r="TJD324" s="158"/>
      <c r="TJE324" s="363"/>
      <c r="TJF324" s="139"/>
      <c r="TJG324" s="139"/>
      <c r="TJH324" s="98"/>
      <c r="TJI324" s="79"/>
      <c r="TJJ324" s="139"/>
      <c r="TJK324" s="139"/>
      <c r="TJL324" s="138"/>
      <c r="TJM324" s="147"/>
      <c r="TJN324" s="147"/>
      <c r="TJO324" s="147"/>
      <c r="TJP324" s="138"/>
      <c r="TJQ324" s="138"/>
      <c r="TJR324" s="147"/>
      <c r="TJS324" s="148"/>
      <c r="TJT324" s="81"/>
      <c r="TJU324" s="140"/>
      <c r="TJV324" s="157"/>
      <c r="TJW324" s="157"/>
      <c r="TJX324" s="100"/>
      <c r="TJY324" s="79"/>
      <c r="TJZ324" s="153"/>
      <c r="TKA324" s="137"/>
      <c r="TKB324" s="158"/>
      <c r="TKC324" s="363"/>
      <c r="TKD324" s="139"/>
      <c r="TKE324" s="139"/>
      <c r="TKF324" s="98"/>
      <c r="TKG324" s="79"/>
      <c r="TKH324" s="139"/>
      <c r="TKI324" s="139"/>
      <c r="TKJ324" s="138"/>
      <c r="TKK324" s="147"/>
      <c r="TKL324" s="147"/>
      <c r="TKM324" s="147"/>
      <c r="TKN324" s="138"/>
      <c r="TKO324" s="138"/>
      <c r="TKP324" s="147"/>
      <c r="TKQ324" s="148"/>
      <c r="TKR324" s="81"/>
      <c r="TKS324" s="140"/>
      <c r="TKT324" s="157"/>
      <c r="TKU324" s="157"/>
      <c r="TKV324" s="100"/>
      <c r="TKW324" s="79"/>
      <c r="TKX324" s="153"/>
      <c r="TKY324" s="137"/>
      <c r="TKZ324" s="158"/>
      <c r="TLA324" s="363"/>
      <c r="TLB324" s="139"/>
      <c r="TLC324" s="139"/>
      <c r="TLD324" s="98"/>
      <c r="TLE324" s="79"/>
      <c r="TLF324" s="139"/>
      <c r="TLG324" s="139"/>
      <c r="TLH324" s="138"/>
      <c r="TLI324" s="147"/>
      <c r="TLJ324" s="147"/>
      <c r="TLK324" s="147"/>
      <c r="TLL324" s="138"/>
      <c r="TLM324" s="138"/>
      <c r="TLN324" s="147"/>
      <c r="TLO324" s="148"/>
      <c r="TLP324" s="81"/>
      <c r="TLQ324" s="140"/>
      <c r="TLR324" s="157"/>
      <c r="TLS324" s="157"/>
      <c r="TLT324" s="100"/>
      <c r="TLU324" s="79"/>
      <c r="TLV324" s="153"/>
      <c r="TLW324" s="137"/>
      <c r="TLX324" s="158"/>
      <c r="TLY324" s="363"/>
      <c r="TLZ324" s="139"/>
      <c r="TMA324" s="139"/>
      <c r="TMB324" s="98"/>
      <c r="TMC324" s="79"/>
      <c r="TMD324" s="139"/>
      <c r="TME324" s="139"/>
      <c r="TMF324" s="138"/>
      <c r="TMG324" s="147"/>
      <c r="TMH324" s="147"/>
      <c r="TMI324" s="147"/>
      <c r="TMJ324" s="138"/>
      <c r="TMK324" s="138"/>
      <c r="TML324" s="147"/>
      <c r="TMM324" s="148"/>
      <c r="TMN324" s="81"/>
      <c r="TMO324" s="140"/>
      <c r="TMP324" s="157"/>
      <c r="TMQ324" s="157"/>
      <c r="TMR324" s="100"/>
      <c r="TMS324" s="79"/>
      <c r="TMT324" s="153"/>
      <c r="TMU324" s="137"/>
      <c r="TMV324" s="158"/>
      <c r="TMW324" s="363"/>
      <c r="TMX324" s="139"/>
      <c r="TMY324" s="139"/>
      <c r="TMZ324" s="98"/>
      <c r="TNA324" s="79"/>
      <c r="TNB324" s="139"/>
      <c r="TNC324" s="139"/>
      <c r="TND324" s="138"/>
      <c r="TNE324" s="147"/>
      <c r="TNF324" s="147"/>
      <c r="TNG324" s="147"/>
      <c r="TNH324" s="138"/>
      <c r="TNI324" s="138"/>
      <c r="TNJ324" s="147"/>
      <c r="TNK324" s="148"/>
      <c r="TNL324" s="81"/>
      <c r="TNM324" s="140"/>
      <c r="TNN324" s="157"/>
      <c r="TNO324" s="157"/>
      <c r="TNP324" s="100"/>
      <c r="TNQ324" s="79"/>
      <c r="TNR324" s="153"/>
      <c r="TNS324" s="137"/>
      <c r="TNT324" s="158"/>
      <c r="TNU324" s="363"/>
      <c r="TNV324" s="139"/>
      <c r="TNW324" s="139"/>
      <c r="TNX324" s="98"/>
      <c r="TNY324" s="79"/>
      <c r="TNZ324" s="139"/>
      <c r="TOA324" s="139"/>
      <c r="TOB324" s="138"/>
      <c r="TOC324" s="147"/>
      <c r="TOD324" s="147"/>
      <c r="TOE324" s="147"/>
      <c r="TOF324" s="138"/>
      <c r="TOG324" s="138"/>
      <c r="TOH324" s="147"/>
      <c r="TOI324" s="148"/>
      <c r="TOJ324" s="81"/>
      <c r="TOK324" s="140"/>
      <c r="TOL324" s="157"/>
      <c r="TOM324" s="157"/>
      <c r="TON324" s="100"/>
      <c r="TOO324" s="79"/>
      <c r="TOP324" s="153"/>
      <c r="TOQ324" s="137"/>
      <c r="TOR324" s="158"/>
      <c r="TOS324" s="363"/>
      <c r="TOT324" s="139"/>
      <c r="TOU324" s="139"/>
      <c r="TOV324" s="98"/>
      <c r="TOW324" s="79"/>
      <c r="TOX324" s="139"/>
      <c r="TOY324" s="139"/>
      <c r="TOZ324" s="138"/>
      <c r="TPA324" s="147"/>
      <c r="TPB324" s="147"/>
      <c r="TPC324" s="147"/>
      <c r="TPD324" s="138"/>
      <c r="TPE324" s="138"/>
      <c r="TPF324" s="147"/>
      <c r="TPG324" s="148"/>
      <c r="TPH324" s="81"/>
      <c r="TPI324" s="140"/>
      <c r="TPJ324" s="157"/>
      <c r="TPK324" s="157"/>
      <c r="TPL324" s="100"/>
      <c r="TPM324" s="79"/>
      <c r="TPN324" s="153"/>
      <c r="TPO324" s="137"/>
      <c r="TPP324" s="158"/>
      <c r="TPQ324" s="363"/>
      <c r="TPR324" s="139"/>
      <c r="TPS324" s="139"/>
      <c r="TPT324" s="98"/>
      <c r="TPU324" s="79"/>
      <c r="TPV324" s="139"/>
      <c r="TPW324" s="139"/>
      <c r="TPX324" s="138"/>
      <c r="TPY324" s="147"/>
      <c r="TPZ324" s="147"/>
      <c r="TQA324" s="147"/>
      <c r="TQB324" s="138"/>
      <c r="TQC324" s="138"/>
      <c r="TQD324" s="147"/>
      <c r="TQE324" s="148"/>
      <c r="TQF324" s="81"/>
      <c r="TQG324" s="140"/>
      <c r="TQH324" s="157"/>
      <c r="TQI324" s="157"/>
      <c r="TQJ324" s="100"/>
      <c r="TQK324" s="79"/>
      <c r="TQL324" s="153"/>
      <c r="TQM324" s="137"/>
      <c r="TQN324" s="158"/>
      <c r="TQO324" s="363"/>
      <c r="TQP324" s="139"/>
      <c r="TQQ324" s="139"/>
      <c r="TQR324" s="98"/>
      <c r="TQS324" s="79"/>
      <c r="TQT324" s="139"/>
      <c r="TQU324" s="139"/>
      <c r="TQV324" s="138"/>
      <c r="TQW324" s="147"/>
      <c r="TQX324" s="147"/>
      <c r="TQY324" s="147"/>
      <c r="TQZ324" s="138"/>
      <c r="TRA324" s="138"/>
      <c r="TRB324" s="147"/>
      <c r="TRC324" s="148"/>
      <c r="TRD324" s="81"/>
      <c r="TRE324" s="140"/>
      <c r="TRF324" s="157"/>
      <c r="TRG324" s="157"/>
      <c r="TRH324" s="100"/>
      <c r="TRI324" s="79"/>
      <c r="TRJ324" s="153"/>
      <c r="TRK324" s="137"/>
      <c r="TRL324" s="158"/>
      <c r="TRM324" s="363"/>
      <c r="TRN324" s="139"/>
      <c r="TRO324" s="139"/>
      <c r="TRP324" s="98"/>
      <c r="TRQ324" s="79"/>
      <c r="TRR324" s="139"/>
      <c r="TRS324" s="139"/>
      <c r="TRT324" s="138"/>
      <c r="TRU324" s="147"/>
      <c r="TRV324" s="147"/>
      <c r="TRW324" s="147"/>
      <c r="TRX324" s="138"/>
      <c r="TRY324" s="138"/>
      <c r="TRZ324" s="147"/>
      <c r="TSA324" s="148"/>
      <c r="TSB324" s="81"/>
      <c r="TSC324" s="140"/>
      <c r="TSD324" s="157"/>
      <c r="TSE324" s="157"/>
      <c r="TSF324" s="100"/>
      <c r="TSG324" s="79"/>
      <c r="TSH324" s="153"/>
      <c r="TSI324" s="137"/>
      <c r="TSJ324" s="158"/>
      <c r="TSK324" s="363"/>
      <c r="TSL324" s="139"/>
      <c r="TSM324" s="139"/>
      <c r="TSN324" s="98"/>
      <c r="TSO324" s="79"/>
      <c r="TSP324" s="139"/>
      <c r="TSQ324" s="139"/>
      <c r="TSR324" s="138"/>
      <c r="TSS324" s="147"/>
      <c r="TST324" s="147"/>
      <c r="TSU324" s="147"/>
      <c r="TSV324" s="138"/>
      <c r="TSW324" s="138"/>
      <c r="TSX324" s="147"/>
      <c r="TSY324" s="148"/>
      <c r="TSZ324" s="81"/>
      <c r="TTA324" s="140"/>
      <c r="TTB324" s="157"/>
      <c r="TTC324" s="157"/>
      <c r="TTD324" s="100"/>
      <c r="TTE324" s="79"/>
      <c r="TTF324" s="153"/>
      <c r="TTG324" s="137"/>
      <c r="TTH324" s="158"/>
      <c r="TTI324" s="363"/>
      <c r="TTJ324" s="139"/>
      <c r="TTK324" s="139"/>
      <c r="TTL324" s="98"/>
      <c r="TTM324" s="79"/>
      <c r="TTN324" s="139"/>
      <c r="TTO324" s="139"/>
      <c r="TTP324" s="138"/>
      <c r="TTQ324" s="147"/>
      <c r="TTR324" s="147"/>
      <c r="TTS324" s="147"/>
      <c r="TTT324" s="138"/>
      <c r="TTU324" s="138"/>
      <c r="TTV324" s="147"/>
      <c r="TTW324" s="148"/>
      <c r="TTX324" s="81"/>
      <c r="TTY324" s="140"/>
      <c r="TTZ324" s="157"/>
      <c r="TUA324" s="157"/>
      <c r="TUB324" s="100"/>
      <c r="TUC324" s="79"/>
      <c r="TUD324" s="153"/>
      <c r="TUE324" s="137"/>
      <c r="TUF324" s="158"/>
      <c r="TUG324" s="363"/>
      <c r="TUH324" s="139"/>
      <c r="TUI324" s="139"/>
      <c r="TUJ324" s="98"/>
      <c r="TUK324" s="79"/>
      <c r="TUL324" s="139"/>
      <c r="TUM324" s="139"/>
      <c r="TUN324" s="138"/>
      <c r="TUO324" s="147"/>
      <c r="TUP324" s="147"/>
      <c r="TUQ324" s="147"/>
      <c r="TUR324" s="138"/>
      <c r="TUS324" s="138"/>
      <c r="TUT324" s="147"/>
      <c r="TUU324" s="148"/>
      <c r="TUV324" s="81"/>
      <c r="TUW324" s="140"/>
      <c r="TUX324" s="157"/>
      <c r="TUY324" s="157"/>
      <c r="TUZ324" s="100"/>
      <c r="TVA324" s="79"/>
      <c r="TVB324" s="153"/>
      <c r="TVC324" s="137"/>
      <c r="TVD324" s="158"/>
      <c r="TVE324" s="363"/>
      <c r="TVF324" s="139"/>
      <c r="TVG324" s="139"/>
      <c r="TVH324" s="98"/>
      <c r="TVI324" s="79"/>
      <c r="TVJ324" s="139"/>
      <c r="TVK324" s="139"/>
      <c r="TVL324" s="138"/>
      <c r="TVM324" s="147"/>
      <c r="TVN324" s="147"/>
      <c r="TVO324" s="147"/>
      <c r="TVP324" s="138"/>
      <c r="TVQ324" s="138"/>
      <c r="TVR324" s="147"/>
      <c r="TVS324" s="148"/>
      <c r="TVT324" s="81"/>
      <c r="TVU324" s="140"/>
      <c r="TVV324" s="157"/>
      <c r="TVW324" s="157"/>
      <c r="TVX324" s="100"/>
      <c r="TVY324" s="79"/>
      <c r="TVZ324" s="153"/>
      <c r="TWA324" s="137"/>
      <c r="TWB324" s="158"/>
      <c r="TWC324" s="363"/>
      <c r="TWD324" s="139"/>
      <c r="TWE324" s="139"/>
      <c r="TWF324" s="98"/>
      <c r="TWG324" s="79"/>
      <c r="TWH324" s="139"/>
      <c r="TWI324" s="139"/>
      <c r="TWJ324" s="138"/>
      <c r="TWK324" s="147"/>
      <c r="TWL324" s="147"/>
      <c r="TWM324" s="147"/>
      <c r="TWN324" s="138"/>
      <c r="TWO324" s="138"/>
      <c r="TWP324" s="147"/>
      <c r="TWQ324" s="148"/>
      <c r="TWR324" s="81"/>
      <c r="TWS324" s="140"/>
      <c r="TWT324" s="157"/>
      <c r="TWU324" s="157"/>
      <c r="TWV324" s="100"/>
      <c r="TWW324" s="79"/>
      <c r="TWX324" s="153"/>
      <c r="TWY324" s="137"/>
      <c r="TWZ324" s="158"/>
      <c r="TXA324" s="363"/>
      <c r="TXB324" s="139"/>
      <c r="TXC324" s="139"/>
      <c r="TXD324" s="98"/>
      <c r="TXE324" s="79"/>
      <c r="TXF324" s="139"/>
      <c r="TXG324" s="139"/>
      <c r="TXH324" s="138"/>
      <c r="TXI324" s="147"/>
      <c r="TXJ324" s="147"/>
      <c r="TXK324" s="147"/>
      <c r="TXL324" s="138"/>
      <c r="TXM324" s="138"/>
      <c r="TXN324" s="147"/>
      <c r="TXO324" s="148"/>
      <c r="TXP324" s="81"/>
      <c r="TXQ324" s="140"/>
      <c r="TXR324" s="157"/>
      <c r="TXS324" s="157"/>
      <c r="TXT324" s="100"/>
      <c r="TXU324" s="79"/>
      <c r="TXV324" s="153"/>
      <c r="TXW324" s="137"/>
      <c r="TXX324" s="158"/>
      <c r="TXY324" s="363"/>
      <c r="TXZ324" s="139"/>
      <c r="TYA324" s="139"/>
      <c r="TYB324" s="98"/>
      <c r="TYC324" s="79"/>
      <c r="TYD324" s="139"/>
      <c r="TYE324" s="139"/>
      <c r="TYF324" s="138"/>
      <c r="TYG324" s="147"/>
      <c r="TYH324" s="147"/>
      <c r="TYI324" s="147"/>
      <c r="TYJ324" s="138"/>
      <c r="TYK324" s="138"/>
      <c r="TYL324" s="147"/>
      <c r="TYM324" s="148"/>
      <c r="TYN324" s="81"/>
      <c r="TYO324" s="140"/>
      <c r="TYP324" s="157"/>
      <c r="TYQ324" s="157"/>
      <c r="TYR324" s="100"/>
      <c r="TYS324" s="79"/>
      <c r="TYT324" s="153"/>
      <c r="TYU324" s="137"/>
      <c r="TYV324" s="158"/>
      <c r="TYW324" s="363"/>
      <c r="TYX324" s="139"/>
      <c r="TYY324" s="139"/>
      <c r="TYZ324" s="98"/>
      <c r="TZA324" s="79"/>
      <c r="TZB324" s="139"/>
      <c r="TZC324" s="139"/>
      <c r="TZD324" s="138"/>
      <c r="TZE324" s="147"/>
      <c r="TZF324" s="147"/>
      <c r="TZG324" s="147"/>
      <c r="TZH324" s="138"/>
      <c r="TZI324" s="138"/>
      <c r="TZJ324" s="147"/>
      <c r="TZK324" s="148"/>
      <c r="TZL324" s="81"/>
      <c r="TZM324" s="140"/>
      <c r="TZN324" s="157"/>
      <c r="TZO324" s="157"/>
      <c r="TZP324" s="100"/>
      <c r="TZQ324" s="79"/>
      <c r="TZR324" s="153"/>
      <c r="TZS324" s="137"/>
      <c r="TZT324" s="158"/>
      <c r="TZU324" s="363"/>
      <c r="TZV324" s="139"/>
      <c r="TZW324" s="139"/>
      <c r="TZX324" s="98"/>
      <c r="TZY324" s="79"/>
      <c r="TZZ324" s="139"/>
      <c r="UAA324" s="139"/>
      <c r="UAB324" s="138"/>
      <c r="UAC324" s="147"/>
      <c r="UAD324" s="147"/>
      <c r="UAE324" s="147"/>
      <c r="UAF324" s="138"/>
      <c r="UAG324" s="138"/>
      <c r="UAH324" s="147"/>
      <c r="UAI324" s="148"/>
      <c r="UAJ324" s="81"/>
      <c r="UAK324" s="140"/>
      <c r="UAL324" s="157"/>
      <c r="UAM324" s="157"/>
      <c r="UAN324" s="100"/>
      <c r="UAO324" s="79"/>
      <c r="UAP324" s="153"/>
      <c r="UAQ324" s="137"/>
      <c r="UAR324" s="158"/>
      <c r="UAS324" s="363"/>
      <c r="UAT324" s="139"/>
      <c r="UAU324" s="139"/>
      <c r="UAV324" s="98"/>
      <c r="UAW324" s="79"/>
      <c r="UAX324" s="139"/>
      <c r="UAY324" s="139"/>
      <c r="UAZ324" s="138"/>
      <c r="UBA324" s="147"/>
      <c r="UBB324" s="147"/>
      <c r="UBC324" s="147"/>
      <c r="UBD324" s="138"/>
      <c r="UBE324" s="138"/>
      <c r="UBF324" s="147"/>
      <c r="UBG324" s="148"/>
      <c r="UBH324" s="81"/>
      <c r="UBI324" s="140"/>
      <c r="UBJ324" s="157"/>
      <c r="UBK324" s="157"/>
      <c r="UBL324" s="100"/>
      <c r="UBM324" s="79"/>
      <c r="UBN324" s="153"/>
      <c r="UBO324" s="137"/>
      <c r="UBP324" s="158"/>
      <c r="UBQ324" s="363"/>
      <c r="UBR324" s="139"/>
      <c r="UBS324" s="139"/>
      <c r="UBT324" s="98"/>
      <c r="UBU324" s="79"/>
      <c r="UBV324" s="139"/>
      <c r="UBW324" s="139"/>
      <c r="UBX324" s="138"/>
      <c r="UBY324" s="147"/>
      <c r="UBZ324" s="147"/>
      <c r="UCA324" s="147"/>
      <c r="UCB324" s="138"/>
      <c r="UCC324" s="138"/>
      <c r="UCD324" s="147"/>
      <c r="UCE324" s="148"/>
      <c r="UCF324" s="81"/>
      <c r="UCG324" s="140"/>
      <c r="UCH324" s="157"/>
      <c r="UCI324" s="157"/>
      <c r="UCJ324" s="100"/>
      <c r="UCK324" s="79"/>
      <c r="UCL324" s="153"/>
      <c r="UCM324" s="137"/>
      <c r="UCN324" s="158"/>
      <c r="UCO324" s="363"/>
      <c r="UCP324" s="139"/>
      <c r="UCQ324" s="139"/>
      <c r="UCR324" s="98"/>
      <c r="UCS324" s="79"/>
      <c r="UCT324" s="139"/>
      <c r="UCU324" s="139"/>
      <c r="UCV324" s="138"/>
      <c r="UCW324" s="147"/>
      <c r="UCX324" s="147"/>
      <c r="UCY324" s="147"/>
      <c r="UCZ324" s="138"/>
      <c r="UDA324" s="138"/>
      <c r="UDB324" s="147"/>
      <c r="UDC324" s="148"/>
      <c r="UDD324" s="81"/>
      <c r="UDE324" s="140"/>
      <c r="UDF324" s="157"/>
      <c r="UDG324" s="157"/>
      <c r="UDH324" s="100"/>
      <c r="UDI324" s="79"/>
      <c r="UDJ324" s="153"/>
      <c r="UDK324" s="137"/>
      <c r="UDL324" s="158"/>
      <c r="UDM324" s="363"/>
      <c r="UDN324" s="139"/>
      <c r="UDO324" s="139"/>
      <c r="UDP324" s="98"/>
      <c r="UDQ324" s="79"/>
      <c r="UDR324" s="139"/>
      <c r="UDS324" s="139"/>
      <c r="UDT324" s="138"/>
      <c r="UDU324" s="147"/>
      <c r="UDV324" s="147"/>
      <c r="UDW324" s="147"/>
      <c r="UDX324" s="138"/>
      <c r="UDY324" s="138"/>
      <c r="UDZ324" s="147"/>
      <c r="UEA324" s="148"/>
      <c r="UEB324" s="81"/>
      <c r="UEC324" s="140"/>
      <c r="UED324" s="157"/>
      <c r="UEE324" s="157"/>
      <c r="UEF324" s="100"/>
      <c r="UEG324" s="79"/>
      <c r="UEH324" s="153"/>
      <c r="UEI324" s="137"/>
      <c r="UEJ324" s="158"/>
      <c r="UEK324" s="363"/>
      <c r="UEL324" s="139"/>
      <c r="UEM324" s="139"/>
      <c r="UEN324" s="98"/>
      <c r="UEO324" s="79"/>
      <c r="UEP324" s="139"/>
      <c r="UEQ324" s="139"/>
      <c r="UER324" s="138"/>
      <c r="UES324" s="147"/>
      <c r="UET324" s="147"/>
      <c r="UEU324" s="147"/>
      <c r="UEV324" s="138"/>
      <c r="UEW324" s="138"/>
      <c r="UEX324" s="147"/>
      <c r="UEY324" s="148"/>
      <c r="UEZ324" s="81"/>
      <c r="UFA324" s="140"/>
      <c r="UFB324" s="157"/>
      <c r="UFC324" s="157"/>
      <c r="UFD324" s="100"/>
      <c r="UFE324" s="79"/>
      <c r="UFF324" s="153"/>
      <c r="UFG324" s="137"/>
      <c r="UFH324" s="158"/>
      <c r="UFI324" s="363"/>
      <c r="UFJ324" s="139"/>
      <c r="UFK324" s="139"/>
      <c r="UFL324" s="98"/>
      <c r="UFM324" s="79"/>
      <c r="UFN324" s="139"/>
      <c r="UFO324" s="139"/>
      <c r="UFP324" s="138"/>
      <c r="UFQ324" s="147"/>
      <c r="UFR324" s="147"/>
      <c r="UFS324" s="147"/>
      <c r="UFT324" s="138"/>
      <c r="UFU324" s="138"/>
      <c r="UFV324" s="147"/>
      <c r="UFW324" s="148"/>
      <c r="UFX324" s="81"/>
      <c r="UFY324" s="140"/>
      <c r="UFZ324" s="157"/>
      <c r="UGA324" s="157"/>
      <c r="UGB324" s="100"/>
      <c r="UGC324" s="79"/>
      <c r="UGD324" s="153"/>
      <c r="UGE324" s="137"/>
      <c r="UGF324" s="158"/>
      <c r="UGG324" s="363"/>
      <c r="UGH324" s="139"/>
      <c r="UGI324" s="139"/>
      <c r="UGJ324" s="98"/>
      <c r="UGK324" s="79"/>
      <c r="UGL324" s="139"/>
      <c r="UGM324" s="139"/>
      <c r="UGN324" s="138"/>
      <c r="UGO324" s="147"/>
      <c r="UGP324" s="147"/>
      <c r="UGQ324" s="147"/>
      <c r="UGR324" s="138"/>
      <c r="UGS324" s="138"/>
      <c r="UGT324" s="147"/>
      <c r="UGU324" s="148"/>
      <c r="UGV324" s="81"/>
      <c r="UGW324" s="140"/>
      <c r="UGX324" s="157"/>
      <c r="UGY324" s="157"/>
      <c r="UGZ324" s="100"/>
      <c r="UHA324" s="79"/>
      <c r="UHB324" s="153"/>
      <c r="UHC324" s="137"/>
      <c r="UHD324" s="158"/>
      <c r="UHE324" s="363"/>
      <c r="UHF324" s="139"/>
      <c r="UHG324" s="139"/>
      <c r="UHH324" s="98"/>
      <c r="UHI324" s="79"/>
      <c r="UHJ324" s="139"/>
      <c r="UHK324" s="139"/>
      <c r="UHL324" s="138"/>
      <c r="UHM324" s="147"/>
      <c r="UHN324" s="147"/>
      <c r="UHO324" s="147"/>
      <c r="UHP324" s="138"/>
      <c r="UHQ324" s="138"/>
      <c r="UHR324" s="147"/>
      <c r="UHS324" s="148"/>
      <c r="UHT324" s="81"/>
      <c r="UHU324" s="140"/>
      <c r="UHV324" s="157"/>
      <c r="UHW324" s="157"/>
      <c r="UHX324" s="100"/>
      <c r="UHY324" s="79"/>
      <c r="UHZ324" s="153"/>
      <c r="UIA324" s="137"/>
      <c r="UIB324" s="158"/>
      <c r="UIC324" s="363"/>
      <c r="UID324" s="139"/>
      <c r="UIE324" s="139"/>
      <c r="UIF324" s="98"/>
      <c r="UIG324" s="79"/>
      <c r="UIH324" s="139"/>
      <c r="UII324" s="139"/>
      <c r="UIJ324" s="138"/>
      <c r="UIK324" s="147"/>
      <c r="UIL324" s="147"/>
      <c r="UIM324" s="147"/>
      <c r="UIN324" s="138"/>
      <c r="UIO324" s="138"/>
      <c r="UIP324" s="147"/>
      <c r="UIQ324" s="148"/>
      <c r="UIR324" s="81"/>
      <c r="UIS324" s="140"/>
      <c r="UIT324" s="157"/>
      <c r="UIU324" s="157"/>
      <c r="UIV324" s="100"/>
      <c r="UIW324" s="79"/>
      <c r="UIX324" s="153"/>
      <c r="UIY324" s="137"/>
      <c r="UIZ324" s="158"/>
      <c r="UJA324" s="363"/>
      <c r="UJB324" s="139"/>
      <c r="UJC324" s="139"/>
      <c r="UJD324" s="98"/>
      <c r="UJE324" s="79"/>
      <c r="UJF324" s="139"/>
      <c r="UJG324" s="139"/>
      <c r="UJH324" s="138"/>
      <c r="UJI324" s="147"/>
      <c r="UJJ324" s="147"/>
      <c r="UJK324" s="147"/>
      <c r="UJL324" s="138"/>
      <c r="UJM324" s="138"/>
      <c r="UJN324" s="147"/>
      <c r="UJO324" s="148"/>
      <c r="UJP324" s="81"/>
      <c r="UJQ324" s="140"/>
      <c r="UJR324" s="157"/>
      <c r="UJS324" s="157"/>
      <c r="UJT324" s="100"/>
      <c r="UJU324" s="79"/>
      <c r="UJV324" s="153"/>
      <c r="UJW324" s="137"/>
      <c r="UJX324" s="158"/>
      <c r="UJY324" s="363"/>
      <c r="UJZ324" s="139"/>
      <c r="UKA324" s="139"/>
      <c r="UKB324" s="98"/>
      <c r="UKC324" s="79"/>
      <c r="UKD324" s="139"/>
      <c r="UKE324" s="139"/>
      <c r="UKF324" s="138"/>
      <c r="UKG324" s="147"/>
      <c r="UKH324" s="147"/>
      <c r="UKI324" s="147"/>
      <c r="UKJ324" s="138"/>
      <c r="UKK324" s="138"/>
      <c r="UKL324" s="147"/>
      <c r="UKM324" s="148"/>
      <c r="UKN324" s="81"/>
      <c r="UKO324" s="140"/>
      <c r="UKP324" s="157"/>
      <c r="UKQ324" s="157"/>
      <c r="UKR324" s="100"/>
      <c r="UKS324" s="79"/>
      <c r="UKT324" s="153"/>
      <c r="UKU324" s="137"/>
      <c r="UKV324" s="158"/>
      <c r="UKW324" s="363"/>
      <c r="UKX324" s="139"/>
      <c r="UKY324" s="139"/>
      <c r="UKZ324" s="98"/>
      <c r="ULA324" s="79"/>
      <c r="ULB324" s="139"/>
      <c r="ULC324" s="139"/>
      <c r="ULD324" s="138"/>
      <c r="ULE324" s="147"/>
      <c r="ULF324" s="147"/>
      <c r="ULG324" s="147"/>
      <c r="ULH324" s="138"/>
      <c r="ULI324" s="138"/>
      <c r="ULJ324" s="147"/>
      <c r="ULK324" s="148"/>
      <c r="ULL324" s="81"/>
      <c r="ULM324" s="140"/>
      <c r="ULN324" s="157"/>
      <c r="ULO324" s="157"/>
      <c r="ULP324" s="100"/>
      <c r="ULQ324" s="79"/>
      <c r="ULR324" s="153"/>
      <c r="ULS324" s="137"/>
      <c r="ULT324" s="158"/>
      <c r="ULU324" s="363"/>
      <c r="ULV324" s="139"/>
      <c r="ULW324" s="139"/>
      <c r="ULX324" s="98"/>
      <c r="ULY324" s="79"/>
      <c r="ULZ324" s="139"/>
      <c r="UMA324" s="139"/>
      <c r="UMB324" s="138"/>
      <c r="UMC324" s="147"/>
      <c r="UMD324" s="147"/>
      <c r="UME324" s="147"/>
      <c r="UMF324" s="138"/>
      <c r="UMG324" s="138"/>
      <c r="UMH324" s="147"/>
      <c r="UMI324" s="148"/>
      <c r="UMJ324" s="81"/>
      <c r="UMK324" s="140"/>
      <c r="UML324" s="157"/>
      <c r="UMM324" s="157"/>
      <c r="UMN324" s="100"/>
      <c r="UMO324" s="79"/>
      <c r="UMP324" s="153"/>
      <c r="UMQ324" s="137"/>
      <c r="UMR324" s="158"/>
      <c r="UMS324" s="363"/>
      <c r="UMT324" s="139"/>
      <c r="UMU324" s="139"/>
      <c r="UMV324" s="98"/>
      <c r="UMW324" s="79"/>
      <c r="UMX324" s="139"/>
      <c r="UMY324" s="139"/>
      <c r="UMZ324" s="138"/>
      <c r="UNA324" s="147"/>
      <c r="UNB324" s="147"/>
      <c r="UNC324" s="147"/>
      <c r="UND324" s="138"/>
      <c r="UNE324" s="138"/>
      <c r="UNF324" s="147"/>
      <c r="UNG324" s="148"/>
      <c r="UNH324" s="81"/>
      <c r="UNI324" s="140"/>
      <c r="UNJ324" s="157"/>
      <c r="UNK324" s="157"/>
      <c r="UNL324" s="100"/>
      <c r="UNM324" s="79"/>
      <c r="UNN324" s="153"/>
      <c r="UNO324" s="137"/>
      <c r="UNP324" s="158"/>
      <c r="UNQ324" s="363"/>
      <c r="UNR324" s="139"/>
      <c r="UNS324" s="139"/>
      <c r="UNT324" s="98"/>
      <c r="UNU324" s="79"/>
      <c r="UNV324" s="139"/>
      <c r="UNW324" s="139"/>
      <c r="UNX324" s="138"/>
      <c r="UNY324" s="147"/>
      <c r="UNZ324" s="147"/>
      <c r="UOA324" s="147"/>
      <c r="UOB324" s="138"/>
      <c r="UOC324" s="138"/>
      <c r="UOD324" s="147"/>
      <c r="UOE324" s="148"/>
      <c r="UOF324" s="81"/>
      <c r="UOG324" s="140"/>
      <c r="UOH324" s="157"/>
      <c r="UOI324" s="157"/>
      <c r="UOJ324" s="100"/>
      <c r="UOK324" s="79"/>
      <c r="UOL324" s="153"/>
      <c r="UOM324" s="137"/>
      <c r="UON324" s="158"/>
      <c r="UOO324" s="363"/>
      <c r="UOP324" s="139"/>
      <c r="UOQ324" s="139"/>
      <c r="UOR324" s="98"/>
      <c r="UOS324" s="79"/>
      <c r="UOT324" s="139"/>
      <c r="UOU324" s="139"/>
      <c r="UOV324" s="138"/>
      <c r="UOW324" s="147"/>
      <c r="UOX324" s="147"/>
      <c r="UOY324" s="147"/>
      <c r="UOZ324" s="138"/>
      <c r="UPA324" s="138"/>
      <c r="UPB324" s="147"/>
      <c r="UPC324" s="148"/>
      <c r="UPD324" s="81"/>
      <c r="UPE324" s="140"/>
      <c r="UPF324" s="157"/>
      <c r="UPG324" s="157"/>
      <c r="UPH324" s="100"/>
      <c r="UPI324" s="79"/>
      <c r="UPJ324" s="153"/>
      <c r="UPK324" s="137"/>
      <c r="UPL324" s="158"/>
      <c r="UPM324" s="363"/>
      <c r="UPN324" s="139"/>
      <c r="UPO324" s="139"/>
      <c r="UPP324" s="98"/>
      <c r="UPQ324" s="79"/>
      <c r="UPR324" s="139"/>
      <c r="UPS324" s="139"/>
      <c r="UPT324" s="138"/>
      <c r="UPU324" s="147"/>
      <c r="UPV324" s="147"/>
      <c r="UPW324" s="147"/>
      <c r="UPX324" s="138"/>
      <c r="UPY324" s="138"/>
      <c r="UPZ324" s="147"/>
      <c r="UQA324" s="148"/>
      <c r="UQB324" s="81"/>
      <c r="UQC324" s="140"/>
      <c r="UQD324" s="157"/>
      <c r="UQE324" s="157"/>
      <c r="UQF324" s="100"/>
      <c r="UQG324" s="79"/>
      <c r="UQH324" s="153"/>
      <c r="UQI324" s="137"/>
      <c r="UQJ324" s="158"/>
      <c r="UQK324" s="363"/>
      <c r="UQL324" s="139"/>
      <c r="UQM324" s="139"/>
      <c r="UQN324" s="98"/>
      <c r="UQO324" s="79"/>
      <c r="UQP324" s="139"/>
      <c r="UQQ324" s="139"/>
      <c r="UQR324" s="138"/>
      <c r="UQS324" s="147"/>
      <c r="UQT324" s="147"/>
      <c r="UQU324" s="147"/>
      <c r="UQV324" s="138"/>
      <c r="UQW324" s="138"/>
      <c r="UQX324" s="147"/>
      <c r="UQY324" s="148"/>
      <c r="UQZ324" s="81"/>
      <c r="URA324" s="140"/>
      <c r="URB324" s="157"/>
      <c r="URC324" s="157"/>
      <c r="URD324" s="100"/>
      <c r="URE324" s="79"/>
      <c r="URF324" s="153"/>
      <c r="URG324" s="137"/>
      <c r="URH324" s="158"/>
      <c r="URI324" s="363"/>
      <c r="URJ324" s="139"/>
      <c r="URK324" s="139"/>
      <c r="URL324" s="98"/>
      <c r="URM324" s="79"/>
      <c r="URN324" s="139"/>
      <c r="URO324" s="139"/>
      <c r="URP324" s="138"/>
      <c r="URQ324" s="147"/>
      <c r="URR324" s="147"/>
      <c r="URS324" s="147"/>
      <c r="URT324" s="138"/>
      <c r="URU324" s="138"/>
      <c r="URV324" s="147"/>
      <c r="URW324" s="148"/>
      <c r="URX324" s="81"/>
      <c r="URY324" s="140"/>
      <c r="URZ324" s="157"/>
      <c r="USA324" s="157"/>
      <c r="USB324" s="100"/>
      <c r="USC324" s="79"/>
      <c r="USD324" s="153"/>
      <c r="USE324" s="137"/>
      <c r="USF324" s="158"/>
      <c r="USG324" s="363"/>
      <c r="USH324" s="139"/>
      <c r="USI324" s="139"/>
      <c r="USJ324" s="98"/>
      <c r="USK324" s="79"/>
      <c r="USL324" s="139"/>
      <c r="USM324" s="139"/>
      <c r="USN324" s="138"/>
      <c r="USO324" s="147"/>
      <c r="USP324" s="147"/>
      <c r="USQ324" s="147"/>
      <c r="USR324" s="138"/>
      <c r="USS324" s="138"/>
      <c r="UST324" s="147"/>
      <c r="USU324" s="148"/>
      <c r="USV324" s="81"/>
      <c r="USW324" s="140"/>
      <c r="USX324" s="157"/>
      <c r="USY324" s="157"/>
      <c r="USZ324" s="100"/>
      <c r="UTA324" s="79"/>
      <c r="UTB324" s="153"/>
      <c r="UTC324" s="137"/>
      <c r="UTD324" s="158"/>
      <c r="UTE324" s="363"/>
      <c r="UTF324" s="139"/>
      <c r="UTG324" s="139"/>
      <c r="UTH324" s="98"/>
      <c r="UTI324" s="79"/>
      <c r="UTJ324" s="139"/>
      <c r="UTK324" s="139"/>
      <c r="UTL324" s="138"/>
      <c r="UTM324" s="147"/>
      <c r="UTN324" s="147"/>
      <c r="UTO324" s="147"/>
      <c r="UTP324" s="138"/>
      <c r="UTQ324" s="138"/>
      <c r="UTR324" s="147"/>
      <c r="UTS324" s="148"/>
      <c r="UTT324" s="81"/>
      <c r="UTU324" s="140"/>
      <c r="UTV324" s="157"/>
      <c r="UTW324" s="157"/>
      <c r="UTX324" s="100"/>
      <c r="UTY324" s="79"/>
      <c r="UTZ324" s="153"/>
      <c r="UUA324" s="137"/>
      <c r="UUB324" s="158"/>
      <c r="UUC324" s="363"/>
      <c r="UUD324" s="139"/>
      <c r="UUE324" s="139"/>
      <c r="UUF324" s="98"/>
      <c r="UUG324" s="79"/>
      <c r="UUH324" s="139"/>
      <c r="UUI324" s="139"/>
      <c r="UUJ324" s="138"/>
      <c r="UUK324" s="147"/>
      <c r="UUL324" s="147"/>
      <c r="UUM324" s="147"/>
      <c r="UUN324" s="138"/>
      <c r="UUO324" s="138"/>
      <c r="UUP324" s="147"/>
      <c r="UUQ324" s="148"/>
      <c r="UUR324" s="81"/>
      <c r="UUS324" s="140"/>
      <c r="UUT324" s="157"/>
      <c r="UUU324" s="157"/>
      <c r="UUV324" s="100"/>
      <c r="UUW324" s="79"/>
      <c r="UUX324" s="153"/>
      <c r="UUY324" s="137"/>
      <c r="UUZ324" s="158"/>
      <c r="UVA324" s="363"/>
      <c r="UVB324" s="139"/>
      <c r="UVC324" s="139"/>
      <c r="UVD324" s="98"/>
      <c r="UVE324" s="79"/>
      <c r="UVF324" s="139"/>
      <c r="UVG324" s="139"/>
      <c r="UVH324" s="138"/>
      <c r="UVI324" s="147"/>
      <c r="UVJ324" s="147"/>
      <c r="UVK324" s="147"/>
      <c r="UVL324" s="138"/>
      <c r="UVM324" s="138"/>
      <c r="UVN324" s="147"/>
      <c r="UVO324" s="148"/>
      <c r="UVP324" s="81"/>
      <c r="UVQ324" s="140"/>
      <c r="UVR324" s="157"/>
      <c r="UVS324" s="157"/>
      <c r="UVT324" s="100"/>
      <c r="UVU324" s="79"/>
      <c r="UVV324" s="153"/>
      <c r="UVW324" s="137"/>
      <c r="UVX324" s="158"/>
      <c r="UVY324" s="363"/>
      <c r="UVZ324" s="139"/>
      <c r="UWA324" s="139"/>
      <c r="UWB324" s="98"/>
      <c r="UWC324" s="79"/>
      <c r="UWD324" s="139"/>
      <c r="UWE324" s="139"/>
      <c r="UWF324" s="138"/>
      <c r="UWG324" s="147"/>
      <c r="UWH324" s="147"/>
      <c r="UWI324" s="147"/>
      <c r="UWJ324" s="138"/>
      <c r="UWK324" s="138"/>
      <c r="UWL324" s="147"/>
      <c r="UWM324" s="148"/>
      <c r="UWN324" s="81"/>
      <c r="UWO324" s="140"/>
      <c r="UWP324" s="157"/>
      <c r="UWQ324" s="157"/>
      <c r="UWR324" s="100"/>
      <c r="UWS324" s="79"/>
      <c r="UWT324" s="153"/>
      <c r="UWU324" s="137"/>
      <c r="UWV324" s="158"/>
      <c r="UWW324" s="363"/>
      <c r="UWX324" s="139"/>
      <c r="UWY324" s="139"/>
      <c r="UWZ324" s="98"/>
      <c r="UXA324" s="79"/>
      <c r="UXB324" s="139"/>
      <c r="UXC324" s="139"/>
      <c r="UXD324" s="138"/>
      <c r="UXE324" s="147"/>
      <c r="UXF324" s="147"/>
      <c r="UXG324" s="147"/>
      <c r="UXH324" s="138"/>
      <c r="UXI324" s="138"/>
      <c r="UXJ324" s="147"/>
      <c r="UXK324" s="148"/>
      <c r="UXL324" s="81"/>
      <c r="UXM324" s="140"/>
      <c r="UXN324" s="157"/>
      <c r="UXO324" s="157"/>
      <c r="UXP324" s="100"/>
      <c r="UXQ324" s="79"/>
      <c r="UXR324" s="153"/>
      <c r="UXS324" s="137"/>
      <c r="UXT324" s="158"/>
      <c r="UXU324" s="363"/>
      <c r="UXV324" s="139"/>
      <c r="UXW324" s="139"/>
      <c r="UXX324" s="98"/>
      <c r="UXY324" s="79"/>
      <c r="UXZ324" s="139"/>
      <c r="UYA324" s="139"/>
      <c r="UYB324" s="138"/>
      <c r="UYC324" s="147"/>
      <c r="UYD324" s="147"/>
      <c r="UYE324" s="147"/>
      <c r="UYF324" s="138"/>
      <c r="UYG324" s="138"/>
      <c r="UYH324" s="147"/>
      <c r="UYI324" s="148"/>
      <c r="UYJ324" s="81"/>
      <c r="UYK324" s="140"/>
      <c r="UYL324" s="157"/>
      <c r="UYM324" s="157"/>
      <c r="UYN324" s="100"/>
      <c r="UYO324" s="79"/>
      <c r="UYP324" s="153"/>
      <c r="UYQ324" s="137"/>
      <c r="UYR324" s="158"/>
      <c r="UYS324" s="363"/>
      <c r="UYT324" s="139"/>
      <c r="UYU324" s="139"/>
      <c r="UYV324" s="98"/>
      <c r="UYW324" s="79"/>
      <c r="UYX324" s="139"/>
      <c r="UYY324" s="139"/>
      <c r="UYZ324" s="138"/>
      <c r="UZA324" s="147"/>
      <c r="UZB324" s="147"/>
      <c r="UZC324" s="147"/>
      <c r="UZD324" s="138"/>
      <c r="UZE324" s="138"/>
      <c r="UZF324" s="147"/>
      <c r="UZG324" s="148"/>
      <c r="UZH324" s="81"/>
      <c r="UZI324" s="140"/>
      <c r="UZJ324" s="157"/>
      <c r="UZK324" s="157"/>
      <c r="UZL324" s="100"/>
      <c r="UZM324" s="79"/>
      <c r="UZN324" s="153"/>
      <c r="UZO324" s="137"/>
      <c r="UZP324" s="158"/>
      <c r="UZQ324" s="363"/>
      <c r="UZR324" s="139"/>
      <c r="UZS324" s="139"/>
      <c r="UZT324" s="98"/>
      <c r="UZU324" s="79"/>
      <c r="UZV324" s="139"/>
      <c r="UZW324" s="139"/>
      <c r="UZX324" s="138"/>
      <c r="UZY324" s="147"/>
      <c r="UZZ324" s="147"/>
      <c r="VAA324" s="147"/>
      <c r="VAB324" s="138"/>
      <c r="VAC324" s="138"/>
      <c r="VAD324" s="147"/>
      <c r="VAE324" s="148"/>
      <c r="VAF324" s="81"/>
      <c r="VAG324" s="140"/>
      <c r="VAH324" s="157"/>
      <c r="VAI324" s="157"/>
      <c r="VAJ324" s="100"/>
      <c r="VAK324" s="79"/>
      <c r="VAL324" s="153"/>
      <c r="VAM324" s="137"/>
      <c r="VAN324" s="158"/>
      <c r="VAO324" s="363"/>
      <c r="VAP324" s="139"/>
      <c r="VAQ324" s="139"/>
      <c r="VAR324" s="98"/>
      <c r="VAS324" s="79"/>
      <c r="VAT324" s="139"/>
      <c r="VAU324" s="139"/>
      <c r="VAV324" s="138"/>
      <c r="VAW324" s="147"/>
      <c r="VAX324" s="147"/>
      <c r="VAY324" s="147"/>
      <c r="VAZ324" s="138"/>
      <c r="VBA324" s="138"/>
      <c r="VBB324" s="147"/>
      <c r="VBC324" s="148"/>
      <c r="VBD324" s="81"/>
      <c r="VBE324" s="140"/>
      <c r="VBF324" s="157"/>
      <c r="VBG324" s="157"/>
      <c r="VBH324" s="100"/>
      <c r="VBI324" s="79"/>
      <c r="VBJ324" s="153"/>
      <c r="VBK324" s="137"/>
      <c r="VBL324" s="158"/>
      <c r="VBM324" s="363"/>
      <c r="VBN324" s="139"/>
      <c r="VBO324" s="139"/>
      <c r="VBP324" s="98"/>
      <c r="VBQ324" s="79"/>
      <c r="VBR324" s="139"/>
      <c r="VBS324" s="139"/>
      <c r="VBT324" s="138"/>
      <c r="VBU324" s="147"/>
      <c r="VBV324" s="147"/>
      <c r="VBW324" s="147"/>
      <c r="VBX324" s="138"/>
      <c r="VBY324" s="138"/>
      <c r="VBZ324" s="147"/>
      <c r="VCA324" s="148"/>
      <c r="VCB324" s="81"/>
      <c r="VCC324" s="140"/>
      <c r="VCD324" s="157"/>
      <c r="VCE324" s="157"/>
      <c r="VCF324" s="100"/>
      <c r="VCG324" s="79"/>
      <c r="VCH324" s="153"/>
      <c r="VCI324" s="137"/>
      <c r="VCJ324" s="158"/>
      <c r="VCK324" s="363"/>
      <c r="VCL324" s="139"/>
      <c r="VCM324" s="139"/>
      <c r="VCN324" s="98"/>
      <c r="VCO324" s="79"/>
      <c r="VCP324" s="139"/>
      <c r="VCQ324" s="139"/>
      <c r="VCR324" s="138"/>
      <c r="VCS324" s="147"/>
      <c r="VCT324" s="147"/>
      <c r="VCU324" s="147"/>
      <c r="VCV324" s="138"/>
      <c r="VCW324" s="138"/>
      <c r="VCX324" s="147"/>
      <c r="VCY324" s="148"/>
      <c r="VCZ324" s="81"/>
      <c r="VDA324" s="140"/>
      <c r="VDB324" s="157"/>
      <c r="VDC324" s="157"/>
      <c r="VDD324" s="100"/>
      <c r="VDE324" s="79"/>
      <c r="VDF324" s="153"/>
      <c r="VDG324" s="137"/>
      <c r="VDH324" s="158"/>
      <c r="VDI324" s="363"/>
      <c r="VDJ324" s="139"/>
      <c r="VDK324" s="139"/>
      <c r="VDL324" s="98"/>
      <c r="VDM324" s="79"/>
      <c r="VDN324" s="139"/>
      <c r="VDO324" s="139"/>
      <c r="VDP324" s="138"/>
      <c r="VDQ324" s="147"/>
      <c r="VDR324" s="147"/>
      <c r="VDS324" s="147"/>
      <c r="VDT324" s="138"/>
      <c r="VDU324" s="138"/>
      <c r="VDV324" s="147"/>
      <c r="VDW324" s="148"/>
      <c r="VDX324" s="81"/>
      <c r="VDY324" s="140"/>
      <c r="VDZ324" s="157"/>
      <c r="VEA324" s="157"/>
      <c r="VEB324" s="100"/>
      <c r="VEC324" s="79"/>
      <c r="VED324" s="153"/>
      <c r="VEE324" s="137"/>
      <c r="VEF324" s="158"/>
      <c r="VEG324" s="363"/>
      <c r="VEH324" s="139"/>
      <c r="VEI324" s="139"/>
      <c r="VEJ324" s="98"/>
      <c r="VEK324" s="79"/>
      <c r="VEL324" s="139"/>
      <c r="VEM324" s="139"/>
      <c r="VEN324" s="138"/>
      <c r="VEO324" s="147"/>
      <c r="VEP324" s="147"/>
      <c r="VEQ324" s="147"/>
      <c r="VER324" s="138"/>
      <c r="VES324" s="138"/>
      <c r="VET324" s="147"/>
      <c r="VEU324" s="148"/>
      <c r="VEV324" s="81"/>
      <c r="VEW324" s="140"/>
      <c r="VEX324" s="157"/>
      <c r="VEY324" s="157"/>
      <c r="VEZ324" s="100"/>
      <c r="VFA324" s="79"/>
      <c r="VFB324" s="153"/>
      <c r="VFC324" s="137"/>
      <c r="VFD324" s="158"/>
      <c r="VFE324" s="363"/>
      <c r="VFF324" s="139"/>
      <c r="VFG324" s="139"/>
      <c r="VFH324" s="98"/>
      <c r="VFI324" s="79"/>
      <c r="VFJ324" s="139"/>
      <c r="VFK324" s="139"/>
      <c r="VFL324" s="138"/>
      <c r="VFM324" s="147"/>
      <c r="VFN324" s="147"/>
      <c r="VFO324" s="147"/>
      <c r="VFP324" s="138"/>
      <c r="VFQ324" s="138"/>
      <c r="VFR324" s="147"/>
      <c r="VFS324" s="148"/>
      <c r="VFT324" s="81"/>
      <c r="VFU324" s="140"/>
      <c r="VFV324" s="157"/>
      <c r="VFW324" s="157"/>
      <c r="VFX324" s="100"/>
      <c r="VFY324" s="79"/>
      <c r="VFZ324" s="153"/>
      <c r="VGA324" s="137"/>
      <c r="VGB324" s="158"/>
      <c r="VGC324" s="363"/>
      <c r="VGD324" s="139"/>
      <c r="VGE324" s="139"/>
      <c r="VGF324" s="98"/>
      <c r="VGG324" s="79"/>
      <c r="VGH324" s="139"/>
      <c r="VGI324" s="139"/>
      <c r="VGJ324" s="138"/>
      <c r="VGK324" s="147"/>
      <c r="VGL324" s="147"/>
      <c r="VGM324" s="147"/>
      <c r="VGN324" s="138"/>
      <c r="VGO324" s="138"/>
      <c r="VGP324" s="147"/>
      <c r="VGQ324" s="148"/>
      <c r="VGR324" s="81"/>
      <c r="VGS324" s="140"/>
      <c r="VGT324" s="157"/>
      <c r="VGU324" s="157"/>
      <c r="VGV324" s="100"/>
      <c r="VGW324" s="79"/>
      <c r="VGX324" s="153"/>
      <c r="VGY324" s="137"/>
      <c r="VGZ324" s="158"/>
      <c r="VHA324" s="363"/>
      <c r="VHB324" s="139"/>
      <c r="VHC324" s="139"/>
      <c r="VHD324" s="98"/>
      <c r="VHE324" s="79"/>
      <c r="VHF324" s="139"/>
      <c r="VHG324" s="139"/>
      <c r="VHH324" s="138"/>
      <c r="VHI324" s="147"/>
      <c r="VHJ324" s="147"/>
      <c r="VHK324" s="147"/>
      <c r="VHL324" s="138"/>
      <c r="VHM324" s="138"/>
      <c r="VHN324" s="147"/>
      <c r="VHO324" s="148"/>
      <c r="VHP324" s="81"/>
      <c r="VHQ324" s="140"/>
      <c r="VHR324" s="157"/>
      <c r="VHS324" s="157"/>
      <c r="VHT324" s="100"/>
      <c r="VHU324" s="79"/>
      <c r="VHV324" s="153"/>
      <c r="VHW324" s="137"/>
      <c r="VHX324" s="158"/>
      <c r="VHY324" s="363"/>
      <c r="VHZ324" s="139"/>
      <c r="VIA324" s="139"/>
      <c r="VIB324" s="98"/>
      <c r="VIC324" s="79"/>
      <c r="VID324" s="139"/>
      <c r="VIE324" s="139"/>
      <c r="VIF324" s="138"/>
      <c r="VIG324" s="147"/>
      <c r="VIH324" s="147"/>
      <c r="VII324" s="147"/>
      <c r="VIJ324" s="138"/>
      <c r="VIK324" s="138"/>
      <c r="VIL324" s="147"/>
      <c r="VIM324" s="148"/>
      <c r="VIN324" s="81"/>
      <c r="VIO324" s="140"/>
      <c r="VIP324" s="157"/>
      <c r="VIQ324" s="157"/>
      <c r="VIR324" s="100"/>
      <c r="VIS324" s="79"/>
      <c r="VIT324" s="153"/>
      <c r="VIU324" s="137"/>
      <c r="VIV324" s="158"/>
      <c r="VIW324" s="363"/>
      <c r="VIX324" s="139"/>
      <c r="VIY324" s="139"/>
      <c r="VIZ324" s="98"/>
      <c r="VJA324" s="79"/>
      <c r="VJB324" s="139"/>
      <c r="VJC324" s="139"/>
      <c r="VJD324" s="138"/>
      <c r="VJE324" s="147"/>
      <c r="VJF324" s="147"/>
      <c r="VJG324" s="147"/>
      <c r="VJH324" s="138"/>
      <c r="VJI324" s="138"/>
      <c r="VJJ324" s="147"/>
      <c r="VJK324" s="148"/>
      <c r="VJL324" s="81"/>
      <c r="VJM324" s="140"/>
      <c r="VJN324" s="157"/>
      <c r="VJO324" s="157"/>
      <c r="VJP324" s="100"/>
      <c r="VJQ324" s="79"/>
      <c r="VJR324" s="153"/>
      <c r="VJS324" s="137"/>
      <c r="VJT324" s="158"/>
      <c r="VJU324" s="363"/>
      <c r="VJV324" s="139"/>
      <c r="VJW324" s="139"/>
      <c r="VJX324" s="98"/>
      <c r="VJY324" s="79"/>
      <c r="VJZ324" s="139"/>
      <c r="VKA324" s="139"/>
      <c r="VKB324" s="138"/>
      <c r="VKC324" s="147"/>
      <c r="VKD324" s="147"/>
      <c r="VKE324" s="147"/>
      <c r="VKF324" s="138"/>
      <c r="VKG324" s="138"/>
      <c r="VKH324" s="147"/>
      <c r="VKI324" s="148"/>
      <c r="VKJ324" s="81"/>
      <c r="VKK324" s="140"/>
      <c r="VKL324" s="157"/>
      <c r="VKM324" s="157"/>
      <c r="VKN324" s="100"/>
      <c r="VKO324" s="79"/>
      <c r="VKP324" s="153"/>
      <c r="VKQ324" s="137"/>
      <c r="VKR324" s="158"/>
      <c r="VKS324" s="363"/>
      <c r="VKT324" s="139"/>
      <c r="VKU324" s="139"/>
      <c r="VKV324" s="98"/>
      <c r="VKW324" s="79"/>
      <c r="VKX324" s="139"/>
      <c r="VKY324" s="139"/>
      <c r="VKZ324" s="138"/>
      <c r="VLA324" s="147"/>
      <c r="VLB324" s="147"/>
      <c r="VLC324" s="147"/>
      <c r="VLD324" s="138"/>
      <c r="VLE324" s="138"/>
      <c r="VLF324" s="147"/>
      <c r="VLG324" s="148"/>
      <c r="VLH324" s="81"/>
      <c r="VLI324" s="140"/>
      <c r="VLJ324" s="157"/>
      <c r="VLK324" s="157"/>
      <c r="VLL324" s="100"/>
      <c r="VLM324" s="79"/>
      <c r="VLN324" s="153"/>
      <c r="VLO324" s="137"/>
      <c r="VLP324" s="158"/>
      <c r="VLQ324" s="363"/>
      <c r="VLR324" s="139"/>
      <c r="VLS324" s="139"/>
      <c r="VLT324" s="98"/>
      <c r="VLU324" s="79"/>
      <c r="VLV324" s="139"/>
      <c r="VLW324" s="139"/>
      <c r="VLX324" s="138"/>
      <c r="VLY324" s="147"/>
      <c r="VLZ324" s="147"/>
      <c r="VMA324" s="147"/>
      <c r="VMB324" s="138"/>
      <c r="VMC324" s="138"/>
      <c r="VMD324" s="147"/>
      <c r="VME324" s="148"/>
      <c r="VMF324" s="81"/>
      <c r="VMG324" s="140"/>
      <c r="VMH324" s="157"/>
      <c r="VMI324" s="157"/>
      <c r="VMJ324" s="100"/>
      <c r="VMK324" s="79"/>
      <c r="VML324" s="153"/>
      <c r="VMM324" s="137"/>
      <c r="VMN324" s="158"/>
      <c r="VMO324" s="363"/>
      <c r="VMP324" s="139"/>
      <c r="VMQ324" s="139"/>
      <c r="VMR324" s="98"/>
      <c r="VMS324" s="79"/>
      <c r="VMT324" s="139"/>
      <c r="VMU324" s="139"/>
      <c r="VMV324" s="138"/>
      <c r="VMW324" s="147"/>
      <c r="VMX324" s="147"/>
      <c r="VMY324" s="147"/>
      <c r="VMZ324" s="138"/>
      <c r="VNA324" s="138"/>
      <c r="VNB324" s="147"/>
      <c r="VNC324" s="148"/>
      <c r="VND324" s="81"/>
      <c r="VNE324" s="140"/>
      <c r="VNF324" s="157"/>
      <c r="VNG324" s="157"/>
      <c r="VNH324" s="100"/>
      <c r="VNI324" s="79"/>
      <c r="VNJ324" s="153"/>
      <c r="VNK324" s="137"/>
      <c r="VNL324" s="158"/>
      <c r="VNM324" s="363"/>
      <c r="VNN324" s="139"/>
      <c r="VNO324" s="139"/>
      <c r="VNP324" s="98"/>
      <c r="VNQ324" s="79"/>
      <c r="VNR324" s="139"/>
      <c r="VNS324" s="139"/>
      <c r="VNT324" s="138"/>
      <c r="VNU324" s="147"/>
      <c r="VNV324" s="147"/>
      <c r="VNW324" s="147"/>
      <c r="VNX324" s="138"/>
      <c r="VNY324" s="138"/>
      <c r="VNZ324" s="147"/>
      <c r="VOA324" s="148"/>
      <c r="VOB324" s="81"/>
      <c r="VOC324" s="140"/>
      <c r="VOD324" s="157"/>
      <c r="VOE324" s="157"/>
      <c r="VOF324" s="100"/>
      <c r="VOG324" s="79"/>
      <c r="VOH324" s="153"/>
      <c r="VOI324" s="137"/>
      <c r="VOJ324" s="158"/>
      <c r="VOK324" s="363"/>
      <c r="VOL324" s="139"/>
      <c r="VOM324" s="139"/>
      <c r="VON324" s="98"/>
      <c r="VOO324" s="79"/>
      <c r="VOP324" s="139"/>
      <c r="VOQ324" s="139"/>
      <c r="VOR324" s="138"/>
      <c r="VOS324" s="147"/>
      <c r="VOT324" s="147"/>
      <c r="VOU324" s="147"/>
      <c r="VOV324" s="138"/>
      <c r="VOW324" s="138"/>
      <c r="VOX324" s="147"/>
      <c r="VOY324" s="148"/>
      <c r="VOZ324" s="81"/>
      <c r="VPA324" s="140"/>
      <c r="VPB324" s="157"/>
      <c r="VPC324" s="157"/>
      <c r="VPD324" s="100"/>
      <c r="VPE324" s="79"/>
      <c r="VPF324" s="153"/>
      <c r="VPG324" s="137"/>
      <c r="VPH324" s="158"/>
      <c r="VPI324" s="363"/>
      <c r="VPJ324" s="139"/>
      <c r="VPK324" s="139"/>
      <c r="VPL324" s="98"/>
      <c r="VPM324" s="79"/>
      <c r="VPN324" s="139"/>
      <c r="VPO324" s="139"/>
      <c r="VPP324" s="138"/>
      <c r="VPQ324" s="147"/>
      <c r="VPR324" s="147"/>
      <c r="VPS324" s="147"/>
      <c r="VPT324" s="138"/>
      <c r="VPU324" s="138"/>
      <c r="VPV324" s="147"/>
      <c r="VPW324" s="148"/>
      <c r="VPX324" s="81"/>
      <c r="VPY324" s="140"/>
      <c r="VPZ324" s="157"/>
      <c r="VQA324" s="157"/>
      <c r="VQB324" s="100"/>
      <c r="VQC324" s="79"/>
      <c r="VQD324" s="153"/>
      <c r="VQE324" s="137"/>
      <c r="VQF324" s="158"/>
      <c r="VQG324" s="363"/>
      <c r="VQH324" s="139"/>
      <c r="VQI324" s="139"/>
      <c r="VQJ324" s="98"/>
      <c r="VQK324" s="79"/>
      <c r="VQL324" s="139"/>
      <c r="VQM324" s="139"/>
      <c r="VQN324" s="138"/>
      <c r="VQO324" s="147"/>
      <c r="VQP324" s="147"/>
      <c r="VQQ324" s="147"/>
      <c r="VQR324" s="138"/>
      <c r="VQS324" s="138"/>
      <c r="VQT324" s="147"/>
      <c r="VQU324" s="148"/>
      <c r="VQV324" s="81"/>
      <c r="VQW324" s="140"/>
      <c r="VQX324" s="157"/>
      <c r="VQY324" s="157"/>
      <c r="VQZ324" s="100"/>
      <c r="VRA324" s="79"/>
      <c r="VRB324" s="153"/>
      <c r="VRC324" s="137"/>
      <c r="VRD324" s="158"/>
      <c r="VRE324" s="363"/>
      <c r="VRF324" s="139"/>
      <c r="VRG324" s="139"/>
      <c r="VRH324" s="98"/>
      <c r="VRI324" s="79"/>
      <c r="VRJ324" s="139"/>
      <c r="VRK324" s="139"/>
      <c r="VRL324" s="138"/>
      <c r="VRM324" s="147"/>
      <c r="VRN324" s="147"/>
      <c r="VRO324" s="147"/>
      <c r="VRP324" s="138"/>
      <c r="VRQ324" s="138"/>
      <c r="VRR324" s="147"/>
      <c r="VRS324" s="148"/>
      <c r="VRT324" s="81"/>
      <c r="VRU324" s="140"/>
      <c r="VRV324" s="157"/>
      <c r="VRW324" s="157"/>
      <c r="VRX324" s="100"/>
      <c r="VRY324" s="79"/>
      <c r="VRZ324" s="153"/>
      <c r="VSA324" s="137"/>
      <c r="VSB324" s="158"/>
      <c r="VSC324" s="363"/>
      <c r="VSD324" s="139"/>
      <c r="VSE324" s="139"/>
      <c r="VSF324" s="98"/>
      <c r="VSG324" s="79"/>
      <c r="VSH324" s="139"/>
      <c r="VSI324" s="139"/>
      <c r="VSJ324" s="138"/>
      <c r="VSK324" s="147"/>
      <c r="VSL324" s="147"/>
      <c r="VSM324" s="147"/>
      <c r="VSN324" s="138"/>
      <c r="VSO324" s="138"/>
      <c r="VSP324" s="147"/>
      <c r="VSQ324" s="148"/>
      <c r="VSR324" s="81"/>
      <c r="VSS324" s="140"/>
      <c r="VST324" s="157"/>
      <c r="VSU324" s="157"/>
      <c r="VSV324" s="100"/>
      <c r="VSW324" s="79"/>
      <c r="VSX324" s="153"/>
      <c r="VSY324" s="137"/>
      <c r="VSZ324" s="158"/>
      <c r="VTA324" s="363"/>
      <c r="VTB324" s="139"/>
      <c r="VTC324" s="139"/>
      <c r="VTD324" s="98"/>
      <c r="VTE324" s="79"/>
      <c r="VTF324" s="139"/>
      <c r="VTG324" s="139"/>
      <c r="VTH324" s="138"/>
      <c r="VTI324" s="147"/>
      <c r="VTJ324" s="147"/>
      <c r="VTK324" s="147"/>
      <c r="VTL324" s="138"/>
      <c r="VTM324" s="138"/>
      <c r="VTN324" s="147"/>
      <c r="VTO324" s="148"/>
      <c r="VTP324" s="81"/>
      <c r="VTQ324" s="140"/>
      <c r="VTR324" s="157"/>
      <c r="VTS324" s="157"/>
      <c r="VTT324" s="100"/>
      <c r="VTU324" s="79"/>
      <c r="VTV324" s="153"/>
      <c r="VTW324" s="137"/>
      <c r="VTX324" s="158"/>
      <c r="VTY324" s="363"/>
      <c r="VTZ324" s="139"/>
      <c r="VUA324" s="139"/>
      <c r="VUB324" s="98"/>
      <c r="VUC324" s="79"/>
      <c r="VUD324" s="139"/>
      <c r="VUE324" s="139"/>
      <c r="VUF324" s="138"/>
      <c r="VUG324" s="147"/>
      <c r="VUH324" s="147"/>
      <c r="VUI324" s="147"/>
      <c r="VUJ324" s="138"/>
      <c r="VUK324" s="138"/>
      <c r="VUL324" s="147"/>
      <c r="VUM324" s="148"/>
      <c r="VUN324" s="81"/>
      <c r="VUO324" s="140"/>
      <c r="VUP324" s="157"/>
      <c r="VUQ324" s="157"/>
      <c r="VUR324" s="100"/>
      <c r="VUS324" s="79"/>
      <c r="VUT324" s="153"/>
      <c r="VUU324" s="137"/>
      <c r="VUV324" s="158"/>
      <c r="VUW324" s="363"/>
      <c r="VUX324" s="139"/>
      <c r="VUY324" s="139"/>
      <c r="VUZ324" s="98"/>
      <c r="VVA324" s="79"/>
      <c r="VVB324" s="139"/>
      <c r="VVC324" s="139"/>
      <c r="VVD324" s="138"/>
      <c r="VVE324" s="147"/>
      <c r="VVF324" s="147"/>
      <c r="VVG324" s="147"/>
      <c r="VVH324" s="138"/>
      <c r="VVI324" s="138"/>
      <c r="VVJ324" s="147"/>
      <c r="VVK324" s="148"/>
      <c r="VVL324" s="81"/>
      <c r="VVM324" s="140"/>
      <c r="VVN324" s="157"/>
      <c r="VVO324" s="157"/>
      <c r="VVP324" s="100"/>
      <c r="VVQ324" s="79"/>
      <c r="VVR324" s="153"/>
      <c r="VVS324" s="137"/>
      <c r="VVT324" s="158"/>
      <c r="VVU324" s="363"/>
      <c r="VVV324" s="139"/>
      <c r="VVW324" s="139"/>
      <c r="VVX324" s="98"/>
      <c r="VVY324" s="79"/>
      <c r="VVZ324" s="139"/>
      <c r="VWA324" s="139"/>
      <c r="VWB324" s="138"/>
      <c r="VWC324" s="147"/>
      <c r="VWD324" s="147"/>
      <c r="VWE324" s="147"/>
      <c r="VWF324" s="138"/>
      <c r="VWG324" s="138"/>
      <c r="VWH324" s="147"/>
      <c r="VWI324" s="148"/>
      <c r="VWJ324" s="81"/>
      <c r="VWK324" s="140"/>
      <c r="VWL324" s="157"/>
      <c r="VWM324" s="157"/>
      <c r="VWN324" s="100"/>
      <c r="VWO324" s="79"/>
      <c r="VWP324" s="153"/>
      <c r="VWQ324" s="137"/>
      <c r="VWR324" s="158"/>
      <c r="VWS324" s="363"/>
      <c r="VWT324" s="139"/>
      <c r="VWU324" s="139"/>
      <c r="VWV324" s="98"/>
      <c r="VWW324" s="79"/>
      <c r="VWX324" s="139"/>
      <c r="VWY324" s="139"/>
      <c r="VWZ324" s="138"/>
      <c r="VXA324" s="147"/>
      <c r="VXB324" s="147"/>
      <c r="VXC324" s="147"/>
      <c r="VXD324" s="138"/>
      <c r="VXE324" s="138"/>
      <c r="VXF324" s="147"/>
      <c r="VXG324" s="148"/>
      <c r="VXH324" s="81"/>
      <c r="VXI324" s="140"/>
      <c r="VXJ324" s="157"/>
      <c r="VXK324" s="157"/>
      <c r="VXL324" s="100"/>
      <c r="VXM324" s="79"/>
      <c r="VXN324" s="153"/>
      <c r="VXO324" s="137"/>
      <c r="VXP324" s="158"/>
      <c r="VXQ324" s="363"/>
      <c r="VXR324" s="139"/>
      <c r="VXS324" s="139"/>
      <c r="VXT324" s="98"/>
      <c r="VXU324" s="79"/>
      <c r="VXV324" s="139"/>
      <c r="VXW324" s="139"/>
      <c r="VXX324" s="138"/>
      <c r="VXY324" s="147"/>
      <c r="VXZ324" s="147"/>
      <c r="VYA324" s="147"/>
      <c r="VYB324" s="138"/>
      <c r="VYC324" s="138"/>
      <c r="VYD324" s="147"/>
      <c r="VYE324" s="148"/>
      <c r="VYF324" s="81"/>
      <c r="VYG324" s="140"/>
      <c r="VYH324" s="157"/>
      <c r="VYI324" s="157"/>
      <c r="VYJ324" s="100"/>
      <c r="VYK324" s="79"/>
      <c r="VYL324" s="153"/>
      <c r="VYM324" s="137"/>
      <c r="VYN324" s="158"/>
      <c r="VYO324" s="363"/>
      <c r="VYP324" s="139"/>
      <c r="VYQ324" s="139"/>
      <c r="VYR324" s="98"/>
      <c r="VYS324" s="79"/>
      <c r="VYT324" s="139"/>
      <c r="VYU324" s="139"/>
      <c r="VYV324" s="138"/>
      <c r="VYW324" s="147"/>
      <c r="VYX324" s="147"/>
      <c r="VYY324" s="147"/>
      <c r="VYZ324" s="138"/>
      <c r="VZA324" s="138"/>
      <c r="VZB324" s="147"/>
      <c r="VZC324" s="148"/>
      <c r="VZD324" s="81"/>
      <c r="VZE324" s="140"/>
      <c r="VZF324" s="157"/>
      <c r="VZG324" s="157"/>
      <c r="VZH324" s="100"/>
      <c r="VZI324" s="79"/>
      <c r="VZJ324" s="153"/>
      <c r="VZK324" s="137"/>
      <c r="VZL324" s="158"/>
      <c r="VZM324" s="363"/>
      <c r="VZN324" s="139"/>
      <c r="VZO324" s="139"/>
      <c r="VZP324" s="98"/>
      <c r="VZQ324" s="79"/>
      <c r="VZR324" s="139"/>
      <c r="VZS324" s="139"/>
      <c r="VZT324" s="138"/>
      <c r="VZU324" s="147"/>
      <c r="VZV324" s="147"/>
      <c r="VZW324" s="147"/>
      <c r="VZX324" s="138"/>
      <c r="VZY324" s="138"/>
      <c r="VZZ324" s="147"/>
      <c r="WAA324" s="148"/>
      <c r="WAB324" s="81"/>
      <c r="WAC324" s="140"/>
      <c r="WAD324" s="157"/>
      <c r="WAE324" s="157"/>
      <c r="WAF324" s="100"/>
      <c r="WAG324" s="79"/>
      <c r="WAH324" s="153"/>
      <c r="WAI324" s="137"/>
      <c r="WAJ324" s="158"/>
      <c r="WAK324" s="363"/>
      <c r="WAL324" s="139"/>
      <c r="WAM324" s="139"/>
      <c r="WAN324" s="98"/>
      <c r="WAO324" s="79"/>
      <c r="WAP324" s="139"/>
      <c r="WAQ324" s="139"/>
      <c r="WAR324" s="138"/>
      <c r="WAS324" s="147"/>
      <c r="WAT324" s="147"/>
      <c r="WAU324" s="147"/>
      <c r="WAV324" s="138"/>
      <c r="WAW324" s="138"/>
      <c r="WAX324" s="147"/>
      <c r="WAY324" s="148"/>
      <c r="WAZ324" s="81"/>
      <c r="WBA324" s="140"/>
      <c r="WBB324" s="157"/>
      <c r="WBC324" s="157"/>
      <c r="WBD324" s="100"/>
      <c r="WBE324" s="79"/>
      <c r="WBF324" s="153"/>
      <c r="WBG324" s="137"/>
      <c r="WBH324" s="158"/>
      <c r="WBI324" s="363"/>
      <c r="WBJ324" s="139"/>
      <c r="WBK324" s="139"/>
      <c r="WBL324" s="98"/>
      <c r="WBM324" s="79"/>
      <c r="WBN324" s="139"/>
      <c r="WBO324" s="139"/>
      <c r="WBP324" s="138"/>
      <c r="WBQ324" s="147"/>
      <c r="WBR324" s="147"/>
      <c r="WBS324" s="147"/>
      <c r="WBT324" s="138"/>
      <c r="WBU324" s="138"/>
      <c r="WBV324" s="147"/>
      <c r="WBW324" s="148"/>
      <c r="WBX324" s="81"/>
      <c r="WBY324" s="140"/>
      <c r="WBZ324" s="157"/>
      <c r="WCA324" s="157"/>
      <c r="WCB324" s="100"/>
      <c r="WCC324" s="79"/>
      <c r="WCD324" s="153"/>
      <c r="WCE324" s="137"/>
      <c r="WCF324" s="158"/>
      <c r="WCG324" s="363"/>
      <c r="WCH324" s="139"/>
      <c r="WCI324" s="139"/>
      <c r="WCJ324" s="98"/>
      <c r="WCK324" s="79"/>
      <c r="WCL324" s="139"/>
      <c r="WCM324" s="139"/>
      <c r="WCN324" s="138"/>
      <c r="WCO324" s="147"/>
      <c r="WCP324" s="147"/>
      <c r="WCQ324" s="147"/>
      <c r="WCR324" s="138"/>
      <c r="WCS324" s="138"/>
      <c r="WCT324" s="147"/>
      <c r="WCU324" s="148"/>
      <c r="WCV324" s="81"/>
      <c r="WCW324" s="140"/>
      <c r="WCX324" s="157"/>
      <c r="WCY324" s="157"/>
      <c r="WCZ324" s="100"/>
      <c r="WDA324" s="79"/>
      <c r="WDB324" s="153"/>
      <c r="WDC324" s="137"/>
      <c r="WDD324" s="158"/>
      <c r="WDE324" s="363"/>
      <c r="WDF324" s="139"/>
      <c r="WDG324" s="139"/>
      <c r="WDH324" s="98"/>
      <c r="WDI324" s="79"/>
      <c r="WDJ324" s="139"/>
      <c r="WDK324" s="139"/>
      <c r="WDL324" s="138"/>
      <c r="WDM324" s="147"/>
      <c r="WDN324" s="147"/>
      <c r="WDO324" s="147"/>
      <c r="WDP324" s="138"/>
      <c r="WDQ324" s="138"/>
      <c r="WDR324" s="147"/>
      <c r="WDS324" s="148"/>
      <c r="WDT324" s="81"/>
      <c r="WDU324" s="140"/>
      <c r="WDV324" s="157"/>
      <c r="WDW324" s="157"/>
      <c r="WDX324" s="100"/>
      <c r="WDY324" s="79"/>
      <c r="WDZ324" s="153"/>
      <c r="WEA324" s="137"/>
      <c r="WEB324" s="158"/>
      <c r="WEC324" s="363"/>
      <c r="WED324" s="139"/>
      <c r="WEE324" s="139"/>
      <c r="WEF324" s="98"/>
      <c r="WEG324" s="79"/>
      <c r="WEH324" s="139"/>
      <c r="WEI324" s="139"/>
      <c r="WEJ324" s="138"/>
      <c r="WEK324" s="147"/>
      <c r="WEL324" s="147"/>
      <c r="WEM324" s="147"/>
      <c r="WEN324" s="138"/>
      <c r="WEO324" s="138"/>
      <c r="WEP324" s="147"/>
      <c r="WEQ324" s="148"/>
      <c r="WER324" s="81"/>
      <c r="WES324" s="140"/>
      <c r="WET324" s="157"/>
      <c r="WEU324" s="157"/>
      <c r="WEV324" s="100"/>
      <c r="WEW324" s="79"/>
      <c r="WEX324" s="153"/>
      <c r="WEY324" s="137"/>
      <c r="WEZ324" s="158"/>
      <c r="WFA324" s="363"/>
      <c r="WFB324" s="139"/>
      <c r="WFC324" s="139"/>
      <c r="WFD324" s="98"/>
      <c r="WFE324" s="79"/>
      <c r="WFF324" s="139"/>
      <c r="WFG324" s="139"/>
      <c r="WFH324" s="138"/>
      <c r="WFI324" s="147"/>
      <c r="WFJ324" s="147"/>
      <c r="WFK324" s="147"/>
      <c r="WFL324" s="138"/>
      <c r="WFM324" s="138"/>
      <c r="WFN324" s="147"/>
      <c r="WFO324" s="148"/>
      <c r="WFP324" s="81"/>
      <c r="WFQ324" s="140"/>
      <c r="WFR324" s="157"/>
      <c r="WFS324" s="157"/>
      <c r="WFT324" s="100"/>
      <c r="WFU324" s="79"/>
      <c r="WFV324" s="153"/>
      <c r="WFW324" s="137"/>
      <c r="WFX324" s="158"/>
      <c r="WFY324" s="363"/>
      <c r="WFZ324" s="139"/>
      <c r="WGA324" s="139"/>
      <c r="WGB324" s="98"/>
      <c r="WGC324" s="79"/>
      <c r="WGD324" s="139"/>
      <c r="WGE324" s="139"/>
      <c r="WGF324" s="138"/>
      <c r="WGG324" s="147"/>
      <c r="WGH324" s="147"/>
      <c r="WGI324" s="147"/>
      <c r="WGJ324" s="138"/>
      <c r="WGK324" s="138"/>
      <c r="WGL324" s="147"/>
      <c r="WGM324" s="148"/>
      <c r="WGN324" s="81"/>
      <c r="WGO324" s="140"/>
      <c r="WGP324" s="157"/>
      <c r="WGQ324" s="157"/>
      <c r="WGR324" s="100"/>
      <c r="WGS324" s="79"/>
      <c r="WGT324" s="153"/>
      <c r="WGU324" s="137"/>
      <c r="WGV324" s="158"/>
      <c r="WGW324" s="363"/>
      <c r="WGX324" s="139"/>
      <c r="WGY324" s="139"/>
      <c r="WGZ324" s="98"/>
      <c r="WHA324" s="79"/>
      <c r="WHB324" s="139"/>
      <c r="WHC324" s="139"/>
      <c r="WHD324" s="138"/>
      <c r="WHE324" s="147"/>
      <c r="WHF324" s="147"/>
      <c r="WHG324" s="147"/>
      <c r="WHH324" s="138"/>
      <c r="WHI324" s="138"/>
      <c r="WHJ324" s="147"/>
      <c r="WHK324" s="148"/>
      <c r="WHL324" s="81"/>
      <c r="WHM324" s="140"/>
      <c r="WHN324" s="157"/>
      <c r="WHO324" s="157"/>
      <c r="WHP324" s="100"/>
      <c r="WHQ324" s="79"/>
      <c r="WHR324" s="153"/>
      <c r="WHS324" s="137"/>
      <c r="WHT324" s="158"/>
      <c r="WHU324" s="363"/>
      <c r="WHV324" s="139"/>
      <c r="WHW324" s="139"/>
      <c r="WHX324" s="98"/>
      <c r="WHY324" s="79"/>
      <c r="WHZ324" s="139"/>
      <c r="WIA324" s="139"/>
      <c r="WIB324" s="138"/>
      <c r="WIC324" s="147"/>
      <c r="WID324" s="147"/>
      <c r="WIE324" s="147"/>
      <c r="WIF324" s="138"/>
      <c r="WIG324" s="138"/>
      <c r="WIH324" s="147"/>
      <c r="WII324" s="148"/>
      <c r="WIJ324" s="81"/>
      <c r="WIK324" s="140"/>
      <c r="WIL324" s="157"/>
      <c r="WIM324" s="157"/>
      <c r="WIN324" s="100"/>
      <c r="WIO324" s="79"/>
      <c r="WIP324" s="153"/>
      <c r="WIQ324" s="137"/>
      <c r="WIR324" s="158"/>
      <c r="WIS324" s="363"/>
      <c r="WIT324" s="139"/>
      <c r="WIU324" s="139"/>
      <c r="WIV324" s="98"/>
      <c r="WIW324" s="79"/>
      <c r="WIX324" s="139"/>
      <c r="WIY324" s="139"/>
      <c r="WIZ324" s="138"/>
      <c r="WJA324" s="147"/>
      <c r="WJB324" s="147"/>
      <c r="WJC324" s="147"/>
      <c r="WJD324" s="138"/>
      <c r="WJE324" s="138"/>
      <c r="WJF324" s="147"/>
      <c r="WJG324" s="148"/>
      <c r="WJH324" s="81"/>
      <c r="WJI324" s="140"/>
      <c r="WJJ324" s="157"/>
      <c r="WJK324" s="157"/>
      <c r="WJL324" s="100"/>
      <c r="WJM324" s="79"/>
      <c r="WJN324" s="153"/>
      <c r="WJO324" s="137"/>
      <c r="WJP324" s="158"/>
      <c r="WJQ324" s="363"/>
      <c r="WJR324" s="139"/>
      <c r="WJS324" s="139"/>
      <c r="WJT324" s="98"/>
      <c r="WJU324" s="79"/>
      <c r="WJV324" s="139"/>
      <c r="WJW324" s="139"/>
      <c r="WJX324" s="138"/>
      <c r="WJY324" s="147"/>
      <c r="WJZ324" s="147"/>
      <c r="WKA324" s="147"/>
      <c r="WKB324" s="138"/>
      <c r="WKC324" s="138"/>
      <c r="WKD324" s="147"/>
      <c r="WKE324" s="148"/>
      <c r="WKF324" s="81"/>
      <c r="WKG324" s="140"/>
      <c r="WKH324" s="157"/>
      <c r="WKI324" s="157"/>
      <c r="WKJ324" s="100"/>
      <c r="WKK324" s="79"/>
      <c r="WKL324" s="153"/>
      <c r="WKM324" s="137"/>
      <c r="WKN324" s="158"/>
      <c r="WKO324" s="363"/>
      <c r="WKP324" s="139"/>
      <c r="WKQ324" s="139"/>
      <c r="WKR324" s="98"/>
      <c r="WKS324" s="79"/>
      <c r="WKT324" s="139"/>
      <c r="WKU324" s="139"/>
      <c r="WKV324" s="138"/>
      <c r="WKW324" s="147"/>
      <c r="WKX324" s="147"/>
      <c r="WKY324" s="147"/>
      <c r="WKZ324" s="138"/>
      <c r="WLA324" s="138"/>
      <c r="WLB324" s="147"/>
      <c r="WLC324" s="148"/>
      <c r="WLD324" s="81"/>
      <c r="WLE324" s="140"/>
      <c r="WLF324" s="157"/>
      <c r="WLG324" s="157"/>
      <c r="WLH324" s="100"/>
      <c r="WLI324" s="79"/>
      <c r="WLJ324" s="153"/>
      <c r="WLK324" s="137"/>
      <c r="WLL324" s="158"/>
      <c r="WLM324" s="363"/>
      <c r="WLN324" s="139"/>
      <c r="WLO324" s="139"/>
      <c r="WLP324" s="98"/>
      <c r="WLQ324" s="79"/>
      <c r="WLR324" s="139"/>
      <c r="WLS324" s="139"/>
      <c r="WLT324" s="138"/>
      <c r="WLU324" s="147"/>
      <c r="WLV324" s="147"/>
      <c r="WLW324" s="147"/>
      <c r="WLX324" s="138"/>
      <c r="WLY324" s="138"/>
      <c r="WLZ324" s="147"/>
      <c r="WMA324" s="148"/>
      <c r="WMB324" s="81"/>
      <c r="WMC324" s="140"/>
      <c r="WMD324" s="157"/>
      <c r="WME324" s="157"/>
      <c r="WMF324" s="100"/>
      <c r="WMG324" s="79"/>
      <c r="WMH324" s="153"/>
      <c r="WMI324" s="137"/>
      <c r="WMJ324" s="158"/>
      <c r="WMK324" s="363"/>
      <c r="WML324" s="139"/>
      <c r="WMM324" s="139"/>
      <c r="WMN324" s="98"/>
      <c r="WMO324" s="79"/>
      <c r="WMP324" s="139"/>
      <c r="WMQ324" s="139"/>
      <c r="WMR324" s="138"/>
      <c r="WMS324" s="147"/>
      <c r="WMT324" s="147"/>
      <c r="WMU324" s="147"/>
      <c r="WMV324" s="138"/>
      <c r="WMW324" s="138"/>
      <c r="WMX324" s="147"/>
      <c r="WMY324" s="148"/>
      <c r="WMZ324" s="81"/>
      <c r="WNA324" s="140"/>
      <c r="WNB324" s="157"/>
      <c r="WNC324" s="157"/>
      <c r="WND324" s="100"/>
      <c r="WNE324" s="79"/>
      <c r="WNF324" s="153"/>
      <c r="WNG324" s="137"/>
      <c r="WNH324" s="158"/>
      <c r="WNI324" s="363"/>
      <c r="WNJ324" s="139"/>
      <c r="WNK324" s="139"/>
      <c r="WNL324" s="98"/>
      <c r="WNM324" s="79"/>
      <c r="WNN324" s="139"/>
      <c r="WNO324" s="139"/>
      <c r="WNP324" s="138"/>
      <c r="WNQ324" s="147"/>
      <c r="WNR324" s="147"/>
      <c r="WNS324" s="147"/>
      <c r="WNT324" s="138"/>
      <c r="WNU324" s="138"/>
      <c r="WNV324" s="147"/>
      <c r="WNW324" s="148"/>
      <c r="WNX324" s="81"/>
      <c r="WNY324" s="140"/>
      <c r="WNZ324" s="157"/>
      <c r="WOA324" s="157"/>
      <c r="WOB324" s="100"/>
      <c r="WOC324" s="79"/>
      <c r="WOD324" s="153"/>
      <c r="WOE324" s="137"/>
      <c r="WOF324" s="158"/>
      <c r="WOG324" s="363"/>
      <c r="WOH324" s="139"/>
      <c r="WOI324" s="139"/>
      <c r="WOJ324" s="98"/>
      <c r="WOK324" s="79"/>
      <c r="WOL324" s="139"/>
      <c r="WOM324" s="139"/>
      <c r="WON324" s="138"/>
      <c r="WOO324" s="147"/>
      <c r="WOP324" s="147"/>
      <c r="WOQ324" s="147"/>
      <c r="WOR324" s="138"/>
      <c r="WOS324" s="138"/>
      <c r="WOT324" s="147"/>
      <c r="WOU324" s="148"/>
      <c r="WOV324" s="81"/>
      <c r="WOW324" s="140"/>
      <c r="WOX324" s="157"/>
      <c r="WOY324" s="157"/>
      <c r="WOZ324" s="100"/>
      <c r="WPA324" s="79"/>
      <c r="WPB324" s="153"/>
      <c r="WPC324" s="137"/>
      <c r="WPD324" s="158"/>
      <c r="WPE324" s="363"/>
      <c r="WPF324" s="139"/>
      <c r="WPG324" s="139"/>
      <c r="WPH324" s="98"/>
      <c r="WPI324" s="79"/>
      <c r="WPJ324" s="139"/>
      <c r="WPK324" s="139"/>
      <c r="WPL324" s="138"/>
      <c r="WPM324" s="147"/>
      <c r="WPN324" s="147"/>
      <c r="WPO324" s="147"/>
      <c r="WPP324" s="138"/>
      <c r="WPQ324" s="138"/>
      <c r="WPR324" s="147"/>
      <c r="WPS324" s="148"/>
      <c r="WPT324" s="81"/>
      <c r="WPU324" s="140"/>
      <c r="WPV324" s="157"/>
      <c r="WPW324" s="157"/>
      <c r="WPX324" s="100"/>
      <c r="WPY324" s="79"/>
      <c r="WPZ324" s="153"/>
      <c r="WQA324" s="137"/>
      <c r="WQB324" s="158"/>
      <c r="WQC324" s="363"/>
      <c r="WQD324" s="139"/>
      <c r="WQE324" s="139"/>
      <c r="WQF324" s="98"/>
      <c r="WQG324" s="79"/>
      <c r="WQH324" s="139"/>
      <c r="WQI324" s="139"/>
      <c r="WQJ324" s="138"/>
      <c r="WQK324" s="147"/>
      <c r="WQL324" s="147"/>
      <c r="WQM324" s="147"/>
      <c r="WQN324" s="138"/>
      <c r="WQO324" s="138"/>
      <c r="WQP324" s="147"/>
      <c r="WQQ324" s="148"/>
      <c r="WQR324" s="81"/>
      <c r="WQS324" s="140"/>
      <c r="WQT324" s="157"/>
      <c r="WQU324" s="157"/>
      <c r="WQV324" s="100"/>
      <c r="WQW324" s="79"/>
      <c r="WQX324" s="153"/>
      <c r="WQY324" s="137"/>
      <c r="WQZ324" s="158"/>
      <c r="WRA324" s="363"/>
      <c r="WRB324" s="139"/>
      <c r="WRC324" s="139"/>
      <c r="WRD324" s="98"/>
      <c r="WRE324" s="79"/>
      <c r="WRF324" s="139"/>
      <c r="WRG324" s="139"/>
      <c r="WRH324" s="138"/>
      <c r="WRI324" s="147"/>
      <c r="WRJ324" s="147"/>
      <c r="WRK324" s="147"/>
      <c r="WRL324" s="138"/>
      <c r="WRM324" s="138"/>
      <c r="WRN324" s="147"/>
      <c r="WRO324" s="148"/>
      <c r="WRP324" s="81"/>
      <c r="WRQ324" s="140"/>
      <c r="WRR324" s="157"/>
      <c r="WRS324" s="157"/>
      <c r="WRT324" s="100"/>
      <c r="WRU324" s="79"/>
      <c r="WRV324" s="153"/>
      <c r="WRW324" s="137"/>
      <c r="WRX324" s="158"/>
      <c r="WRY324" s="363"/>
      <c r="WRZ324" s="139"/>
      <c r="WSA324" s="139"/>
      <c r="WSB324" s="98"/>
      <c r="WSC324" s="79"/>
      <c r="WSD324" s="139"/>
      <c r="WSE324" s="139"/>
      <c r="WSF324" s="138"/>
      <c r="WSG324" s="147"/>
      <c r="WSH324" s="147"/>
      <c r="WSI324" s="147"/>
      <c r="WSJ324" s="138"/>
      <c r="WSK324" s="138"/>
      <c r="WSL324" s="147"/>
      <c r="WSM324" s="148"/>
      <c r="WSN324" s="81"/>
      <c r="WSO324" s="140"/>
      <c r="WSP324" s="157"/>
      <c r="WSQ324" s="157"/>
      <c r="WSR324" s="100"/>
      <c r="WSS324" s="79"/>
      <c r="WST324" s="153"/>
      <c r="WSU324" s="137"/>
      <c r="WSV324" s="158"/>
      <c r="WSW324" s="363"/>
      <c r="WSX324" s="139"/>
      <c r="WSY324" s="139"/>
      <c r="WSZ324" s="98"/>
      <c r="WTA324" s="79"/>
      <c r="WTB324" s="139"/>
      <c r="WTC324" s="139"/>
      <c r="WTD324" s="138"/>
      <c r="WTE324" s="147"/>
      <c r="WTF324" s="147"/>
      <c r="WTG324" s="147"/>
      <c r="WTH324" s="138"/>
      <c r="WTI324" s="138"/>
      <c r="WTJ324" s="147"/>
      <c r="WTK324" s="148"/>
      <c r="WTL324" s="81"/>
      <c r="WTM324" s="140"/>
      <c r="WTN324" s="157"/>
      <c r="WTO324" s="157"/>
      <c r="WTP324" s="100"/>
      <c r="WTQ324" s="79"/>
      <c r="WTR324" s="153"/>
      <c r="WTS324" s="137"/>
      <c r="WTT324" s="158"/>
      <c r="WTU324" s="363"/>
      <c r="WTV324" s="139"/>
      <c r="WTW324" s="139"/>
      <c r="WTX324" s="98"/>
      <c r="WTY324" s="79"/>
      <c r="WTZ324" s="139"/>
      <c r="WUA324" s="139"/>
      <c r="WUB324" s="138"/>
      <c r="WUC324" s="147"/>
      <c r="WUD324" s="147"/>
      <c r="WUE324" s="147"/>
      <c r="WUF324" s="138"/>
      <c r="WUG324" s="138"/>
      <c r="WUH324" s="147"/>
      <c r="WUI324" s="148"/>
      <c r="WUJ324" s="81"/>
      <c r="WUK324" s="140"/>
      <c r="WUL324" s="157"/>
      <c r="WUM324" s="157"/>
      <c r="WUN324" s="100"/>
      <c r="WUO324" s="79"/>
      <c r="WUP324" s="153"/>
      <c r="WUQ324" s="137"/>
      <c r="WUR324" s="158"/>
      <c r="WUS324" s="363"/>
      <c r="WUT324" s="139"/>
      <c r="WUU324" s="139"/>
      <c r="WUV324" s="98"/>
      <c r="WUW324" s="79"/>
      <c r="WUX324" s="139"/>
      <c r="WUY324" s="139"/>
      <c r="WUZ324" s="138"/>
      <c r="WVA324" s="147"/>
      <c r="WVB324" s="147"/>
      <c r="WVC324" s="147"/>
      <c r="WVD324" s="138"/>
      <c r="WVE324" s="138"/>
      <c r="WVF324" s="147"/>
      <c r="WVG324" s="148"/>
      <c r="WVH324" s="81"/>
      <c r="WVI324" s="140"/>
      <c r="WVJ324" s="157"/>
      <c r="WVK324" s="157"/>
      <c r="WVL324" s="100"/>
      <c r="WVM324" s="79"/>
      <c r="WVN324" s="153"/>
      <c r="WVO324" s="137"/>
      <c r="WVP324" s="158"/>
      <c r="WVQ324" s="363"/>
      <c r="WVR324" s="139"/>
      <c r="WVS324" s="139"/>
      <c r="WVT324" s="98"/>
      <c r="WVU324" s="79"/>
      <c r="WVV324" s="139"/>
      <c r="WVW324" s="139"/>
      <c r="WVX324" s="138"/>
      <c r="WVY324" s="147"/>
      <c r="WVZ324" s="147"/>
      <c r="WWA324" s="147"/>
      <c r="WWB324" s="138"/>
      <c r="WWC324" s="138"/>
      <c r="WWD324" s="147"/>
      <c r="WWE324" s="148"/>
      <c r="WWF324" s="81"/>
      <c r="WWG324" s="140"/>
      <c r="WWH324" s="157"/>
      <c r="WWI324" s="157"/>
      <c r="WWJ324" s="100"/>
      <c r="WWK324" s="79"/>
      <c r="WWL324" s="153"/>
      <c r="WWM324" s="137"/>
      <c r="WWN324" s="158"/>
      <c r="WWO324" s="363"/>
      <c r="WWP324" s="139"/>
      <c r="WWQ324" s="139"/>
      <c r="WWR324" s="98"/>
      <c r="WWS324" s="79"/>
      <c r="WWT324" s="139"/>
      <c r="WWU324" s="139"/>
      <c r="WWV324" s="138"/>
      <c r="WWW324" s="147"/>
      <c r="WWX324" s="147"/>
      <c r="WWY324" s="147"/>
      <c r="WWZ324" s="138"/>
      <c r="WXA324" s="138"/>
      <c r="WXB324" s="147"/>
      <c r="WXC324" s="148"/>
      <c r="WXD324" s="81"/>
      <c r="WXE324" s="140"/>
      <c r="WXF324" s="157"/>
      <c r="WXG324" s="157"/>
      <c r="WXH324" s="100"/>
      <c r="WXI324" s="79"/>
      <c r="WXJ324" s="153"/>
      <c r="WXK324" s="137"/>
      <c r="WXL324" s="158"/>
      <c r="WXM324" s="363"/>
      <c r="WXN324" s="139"/>
      <c r="WXO324" s="139"/>
      <c r="WXP324" s="98"/>
      <c r="WXQ324" s="79"/>
      <c r="WXR324" s="139"/>
      <c r="WXS324" s="139"/>
      <c r="WXT324" s="138"/>
      <c r="WXU324" s="147"/>
      <c r="WXV324" s="147"/>
      <c r="WXW324" s="147"/>
      <c r="WXX324" s="138"/>
      <c r="WXY324" s="138"/>
      <c r="WXZ324" s="147"/>
      <c r="WYA324" s="148"/>
      <c r="WYB324" s="81"/>
      <c r="WYC324" s="140"/>
      <c r="WYD324" s="157"/>
      <c r="WYE324" s="157"/>
      <c r="WYF324" s="100"/>
      <c r="WYG324" s="79"/>
      <c r="WYH324" s="153"/>
      <c r="WYI324" s="137"/>
      <c r="WYJ324" s="158"/>
      <c r="WYK324" s="363"/>
      <c r="WYL324" s="139"/>
      <c r="WYM324" s="139"/>
      <c r="WYN324" s="98"/>
      <c r="WYO324" s="79"/>
      <c r="WYP324" s="139"/>
      <c r="WYQ324" s="139"/>
      <c r="WYR324" s="138"/>
      <c r="WYS324" s="147"/>
      <c r="WYT324" s="147"/>
      <c r="WYU324" s="147"/>
      <c r="WYV324" s="138"/>
      <c r="WYW324" s="138"/>
      <c r="WYX324" s="147"/>
      <c r="WYY324" s="148"/>
      <c r="WYZ324" s="81"/>
      <c r="WZA324" s="140"/>
      <c r="WZB324" s="157"/>
      <c r="WZC324" s="157"/>
      <c r="WZD324" s="100"/>
      <c r="WZE324" s="79"/>
      <c r="WZF324" s="153"/>
      <c r="WZG324" s="137"/>
      <c r="WZH324" s="158"/>
      <c r="WZI324" s="363"/>
      <c r="WZJ324" s="139"/>
      <c r="WZK324" s="139"/>
      <c r="WZL324" s="98"/>
      <c r="WZM324" s="79"/>
      <c r="WZN324" s="139"/>
      <c r="WZO324" s="139"/>
      <c r="WZP324" s="138"/>
      <c r="WZQ324" s="147"/>
      <c r="WZR324" s="147"/>
      <c r="WZS324" s="147"/>
      <c r="WZT324" s="138"/>
      <c r="WZU324" s="138"/>
      <c r="WZV324" s="147"/>
      <c r="WZW324" s="148"/>
      <c r="WZX324" s="81"/>
      <c r="WZY324" s="140"/>
      <c r="WZZ324" s="157"/>
      <c r="XAA324" s="157"/>
      <c r="XAB324" s="100"/>
      <c r="XAC324" s="79"/>
      <c r="XAD324" s="153"/>
      <c r="XAE324" s="137"/>
      <c r="XAF324" s="158"/>
      <c r="XAG324" s="363"/>
      <c r="XAH324" s="139"/>
      <c r="XAI324" s="139"/>
      <c r="XAJ324" s="98"/>
      <c r="XAK324" s="79"/>
      <c r="XAL324" s="139"/>
      <c r="XAM324" s="139"/>
      <c r="XAN324" s="138"/>
      <c r="XAO324" s="147"/>
      <c r="XAP324" s="147"/>
      <c r="XAQ324" s="147"/>
      <c r="XAR324" s="138"/>
      <c r="XAS324" s="138"/>
      <c r="XAT324" s="147"/>
      <c r="XAU324" s="148"/>
      <c r="XAV324" s="81"/>
      <c r="XAW324" s="140"/>
      <c r="XAX324" s="157"/>
      <c r="XAY324" s="157"/>
      <c r="XAZ324" s="100"/>
      <c r="XBA324" s="79"/>
      <c r="XBB324" s="153"/>
      <c r="XBC324" s="137"/>
      <c r="XBD324" s="158"/>
      <c r="XBE324" s="363"/>
      <c r="XBF324" s="139"/>
      <c r="XBG324" s="139"/>
      <c r="XBH324" s="98"/>
      <c r="XBI324" s="79"/>
      <c r="XBJ324" s="139"/>
      <c r="XBK324" s="139"/>
      <c r="XBL324" s="138"/>
      <c r="XBM324" s="147"/>
      <c r="XBN324" s="147"/>
      <c r="XBO324" s="147"/>
      <c r="XBP324" s="138"/>
      <c r="XBQ324" s="138"/>
      <c r="XBR324" s="147"/>
      <c r="XBS324" s="148"/>
      <c r="XBT324" s="81"/>
      <c r="XBU324" s="140"/>
      <c r="XBV324" s="157"/>
      <c r="XBW324" s="157"/>
      <c r="XBX324" s="100"/>
      <c r="XBY324" s="79"/>
      <c r="XBZ324" s="153"/>
      <c r="XCA324" s="137"/>
      <c r="XCB324" s="158"/>
      <c r="XCC324" s="363"/>
      <c r="XCD324" s="139"/>
      <c r="XCE324" s="139"/>
      <c r="XCF324" s="98"/>
      <c r="XCG324" s="79"/>
      <c r="XCH324" s="139"/>
      <c r="XCI324" s="139"/>
      <c r="XCJ324" s="138"/>
      <c r="XCK324" s="147"/>
      <c r="XCL324" s="147"/>
      <c r="XCM324" s="147"/>
      <c r="XCN324" s="138"/>
      <c r="XCO324" s="138"/>
      <c r="XCP324" s="147"/>
      <c r="XCQ324" s="148"/>
      <c r="XCR324" s="81"/>
      <c r="XCS324" s="140"/>
      <c r="XCT324" s="157"/>
      <c r="XCU324" s="157"/>
      <c r="XCV324" s="100"/>
      <c r="XCW324" s="79"/>
      <c r="XCX324" s="153"/>
      <c r="XCY324" s="137"/>
      <c r="XCZ324" s="158"/>
      <c r="XDA324" s="363"/>
      <c r="XDB324" s="139"/>
      <c r="XDC324" s="139"/>
      <c r="XDD324" s="98"/>
      <c r="XDE324" s="79"/>
      <c r="XDF324" s="139"/>
      <c r="XDG324" s="139"/>
      <c r="XDH324" s="138"/>
      <c r="XDI324" s="147"/>
      <c r="XDJ324" s="147"/>
      <c r="XDK324" s="147"/>
      <c r="XDL324" s="138"/>
      <c r="XDM324" s="138"/>
      <c r="XDN324" s="147"/>
      <c r="XDO324" s="148"/>
      <c r="XDP324" s="81"/>
      <c r="XDQ324" s="140"/>
      <c r="XDR324" s="157"/>
      <c r="XDS324" s="157"/>
      <c r="XDT324" s="100"/>
      <c r="XDU324" s="79"/>
      <c r="XDV324" s="153"/>
      <c r="XDW324" s="137"/>
      <c r="XDX324" s="158"/>
      <c r="XDY324" s="363"/>
      <c r="XDZ324" s="139"/>
      <c r="XEA324" s="139"/>
      <c r="XEB324" s="98"/>
      <c r="XEC324" s="79"/>
      <c r="XED324" s="139"/>
      <c r="XEE324" s="139"/>
      <c r="XEF324" s="138"/>
      <c r="XEG324" s="147"/>
      <c r="XEH324" s="147"/>
      <c r="XEI324" s="147"/>
      <c r="XEJ324" s="138"/>
      <c r="XEK324" s="138"/>
      <c r="XEL324" s="147"/>
      <c r="XEM324" s="148"/>
      <c r="XEN324" s="81"/>
      <c r="XEO324" s="140"/>
      <c r="XEP324" s="157"/>
      <c r="XEQ324" s="157"/>
      <c r="XER324" s="100"/>
      <c r="XES324" s="79"/>
      <c r="XET324" s="153"/>
      <c r="XEU324" s="137"/>
      <c r="XEV324" s="158"/>
      <c r="XEW324" s="363"/>
      <c r="XEX324" s="139"/>
      <c r="XEY324" s="139"/>
      <c r="XEZ324" s="98"/>
      <c r="XFA324" s="79"/>
      <c r="XFB324" s="139"/>
      <c r="XFC324" s="139"/>
      <c r="XFD324" s="138"/>
    </row>
    <row r="325" spans="1:16384" s="113" customFormat="1" x14ac:dyDescent="0.25">
      <c r="A325" s="140">
        <f t="shared" si="31"/>
        <v>7</v>
      </c>
      <c r="B325" s="157">
        <v>43874</v>
      </c>
      <c r="C325" s="157">
        <v>43874</v>
      </c>
      <c r="D325" s="100" t="s">
        <v>68</v>
      </c>
      <c r="E325" s="79"/>
      <c r="F325" s="153">
        <v>540</v>
      </c>
      <c r="G325" s="137" t="s">
        <v>59</v>
      </c>
      <c r="H325" s="158" t="s">
        <v>57</v>
      </c>
      <c r="I325" s="306" t="s">
        <v>63</v>
      </c>
      <c r="J325" s="139"/>
      <c r="K325" s="139"/>
      <c r="L325" s="98" t="s">
        <v>55</v>
      </c>
      <c r="M325" s="79"/>
      <c r="N325" s="139"/>
      <c r="O325" s="139">
        <v>30</v>
      </c>
      <c r="P325" s="138">
        <v>0.75</v>
      </c>
      <c r="Q325" s="147">
        <v>0.7270833333333333</v>
      </c>
      <c r="R325" s="147">
        <v>0.77083333333333337</v>
      </c>
      <c r="S325" s="147">
        <v>0.80208333333333337</v>
      </c>
      <c r="T325" s="138">
        <f t="shared" si="30"/>
        <v>4.3750000000000067E-2</v>
      </c>
      <c r="U325" s="138">
        <f t="shared" si="30"/>
        <v>3.125E-2</v>
      </c>
      <c r="V325" s="147">
        <v>0.80555555555555547</v>
      </c>
      <c r="W325" s="148">
        <f t="shared" si="32"/>
        <v>7.8472222222222165E-2</v>
      </c>
      <c r="X325" s="81"/>
    </row>
    <row r="326" spans="1:16384" s="113" customFormat="1" x14ac:dyDescent="0.25">
      <c r="A326" s="140">
        <f t="shared" si="31"/>
        <v>7</v>
      </c>
      <c r="B326" s="157">
        <v>43874</v>
      </c>
      <c r="C326" s="157">
        <v>43874</v>
      </c>
      <c r="D326" s="100" t="s">
        <v>68</v>
      </c>
      <c r="E326" s="79"/>
      <c r="F326" s="153">
        <v>540</v>
      </c>
      <c r="G326" s="137" t="s">
        <v>61</v>
      </c>
      <c r="H326" s="273" t="s">
        <v>330</v>
      </c>
      <c r="I326" s="365" t="s">
        <v>355</v>
      </c>
      <c r="J326" s="139"/>
      <c r="K326" s="139"/>
      <c r="L326" s="98" t="s">
        <v>55</v>
      </c>
      <c r="M326" s="79"/>
      <c r="N326" s="139"/>
      <c r="O326" s="139">
        <v>25</v>
      </c>
      <c r="P326" s="138">
        <v>0.79166666666666663</v>
      </c>
      <c r="Q326" s="147">
        <v>0.86805555555555547</v>
      </c>
      <c r="R326" s="147">
        <v>0.875</v>
      </c>
      <c r="S326" s="147">
        <v>0.88888888888888884</v>
      </c>
      <c r="T326" s="138">
        <f t="shared" si="30"/>
        <v>6.9444444444445308E-3</v>
      </c>
      <c r="U326" s="138">
        <f t="shared" si="30"/>
        <v>1.388888888888884E-2</v>
      </c>
      <c r="V326" s="147">
        <v>0.89236111111111116</v>
      </c>
      <c r="W326" s="148">
        <f t="shared" si="32"/>
        <v>2.4305555555555691E-2</v>
      </c>
      <c r="X326" s="81"/>
    </row>
    <row r="327" spans="1:16384" s="113" customFormat="1" x14ac:dyDescent="0.25">
      <c r="A327" s="140">
        <f t="shared" si="31"/>
        <v>7</v>
      </c>
      <c r="B327" s="157">
        <v>43874</v>
      </c>
      <c r="C327" s="157">
        <v>43874</v>
      </c>
      <c r="D327" s="100" t="s">
        <v>68</v>
      </c>
      <c r="E327" s="79"/>
      <c r="F327" s="153">
        <v>540</v>
      </c>
      <c r="G327" s="137" t="s">
        <v>64</v>
      </c>
      <c r="H327" s="158" t="s">
        <v>80</v>
      </c>
      <c r="I327" s="306" t="s">
        <v>78</v>
      </c>
      <c r="J327" s="139"/>
      <c r="K327" s="139"/>
      <c r="L327" s="98" t="s">
        <v>55</v>
      </c>
      <c r="M327" s="79"/>
      <c r="N327" s="139"/>
      <c r="O327" s="139">
        <v>26</v>
      </c>
      <c r="P327" s="138">
        <v>0.79166666666666663</v>
      </c>
      <c r="Q327" s="147">
        <v>0.83333333333333337</v>
      </c>
      <c r="R327" s="147">
        <v>0.84236111111111101</v>
      </c>
      <c r="S327" s="147">
        <v>0.86111111111111116</v>
      </c>
      <c r="T327" s="138">
        <f t="shared" si="30"/>
        <v>9.0277777777776347E-3</v>
      </c>
      <c r="U327" s="138">
        <f t="shared" si="30"/>
        <v>1.8750000000000155E-2</v>
      </c>
      <c r="V327" s="147">
        <v>0.86805555555555547</v>
      </c>
      <c r="W327" s="148">
        <f t="shared" si="32"/>
        <v>3.4722222222222099E-2</v>
      </c>
      <c r="X327" s="81"/>
    </row>
    <row r="328" spans="1:16384" s="113" customFormat="1" x14ac:dyDescent="0.25">
      <c r="A328" s="140">
        <f t="shared" si="31"/>
        <v>7</v>
      </c>
      <c r="B328" s="157">
        <v>43874</v>
      </c>
      <c r="C328" s="157">
        <v>43874</v>
      </c>
      <c r="D328" s="100" t="s">
        <v>68</v>
      </c>
      <c r="E328" s="79"/>
      <c r="F328" s="153">
        <v>540</v>
      </c>
      <c r="G328" s="137" t="s">
        <v>77</v>
      </c>
      <c r="H328" s="158" t="s">
        <v>76</v>
      </c>
      <c r="I328" s="363" t="s">
        <v>72</v>
      </c>
      <c r="J328" s="139"/>
      <c r="K328" s="139"/>
      <c r="L328" s="98" t="s">
        <v>55</v>
      </c>
      <c r="M328" s="79"/>
      <c r="N328" s="139"/>
      <c r="O328" s="139">
        <v>24</v>
      </c>
      <c r="P328" s="138">
        <v>0.83333333333333337</v>
      </c>
      <c r="Q328" s="147">
        <v>0.85069444444444453</v>
      </c>
      <c r="R328" s="147">
        <v>0.86111111111111116</v>
      </c>
      <c r="S328" s="147">
        <v>0.88194444444444453</v>
      </c>
      <c r="T328" s="138">
        <f t="shared" si="30"/>
        <v>1.041666666666663E-2</v>
      </c>
      <c r="U328" s="138">
        <f t="shared" si="30"/>
        <v>2.083333333333337E-2</v>
      </c>
      <c r="V328" s="147">
        <v>0.88541666666666663</v>
      </c>
      <c r="W328" s="148">
        <f t="shared" si="32"/>
        <v>3.4722222222222099E-2</v>
      </c>
      <c r="X328" s="81"/>
    </row>
    <row r="329" spans="1:16384" s="113" customFormat="1" x14ac:dyDescent="0.25">
      <c r="A329" s="140">
        <f t="shared" si="31"/>
        <v>7</v>
      </c>
      <c r="B329" s="157">
        <v>43874</v>
      </c>
      <c r="C329" s="157">
        <v>43874</v>
      </c>
      <c r="D329" s="100"/>
      <c r="E329" s="79"/>
      <c r="F329" s="153"/>
      <c r="G329" s="137" t="s">
        <v>736</v>
      </c>
      <c r="H329" s="158" t="s">
        <v>330</v>
      </c>
      <c r="I329" s="363" t="s">
        <v>341</v>
      </c>
      <c r="J329" s="139"/>
      <c r="K329" s="139"/>
      <c r="L329" s="98" t="s">
        <v>75</v>
      </c>
      <c r="M329" s="79"/>
      <c r="N329" s="139"/>
      <c r="O329" s="139"/>
      <c r="P329" s="138">
        <v>0.83333333333333337</v>
      </c>
      <c r="Q329" s="147"/>
      <c r="R329" s="147"/>
      <c r="S329" s="147"/>
      <c r="T329" s="138">
        <f t="shared" si="30"/>
        <v>0</v>
      </c>
      <c r="U329" s="138">
        <f t="shared" si="30"/>
        <v>0</v>
      </c>
      <c r="V329" s="147"/>
      <c r="W329" s="148">
        <f t="shared" si="32"/>
        <v>0</v>
      </c>
      <c r="X329" s="81"/>
    </row>
    <row r="330" spans="1:16384" s="113" customFormat="1" x14ac:dyDescent="0.25">
      <c r="A330" s="140">
        <f t="shared" si="31"/>
        <v>7</v>
      </c>
      <c r="B330" s="157">
        <v>43874</v>
      </c>
      <c r="C330" s="157">
        <v>43874</v>
      </c>
      <c r="D330" s="100" t="s">
        <v>68</v>
      </c>
      <c r="E330" s="250"/>
      <c r="F330" s="251">
        <v>540</v>
      </c>
      <c r="G330" s="137" t="s">
        <v>493</v>
      </c>
      <c r="H330" s="364" t="s">
        <v>387</v>
      </c>
      <c r="I330" s="340" t="s">
        <v>738</v>
      </c>
      <c r="J330" s="255"/>
      <c r="K330" s="255"/>
      <c r="L330" s="256" t="s">
        <v>55</v>
      </c>
      <c r="M330" s="250"/>
      <c r="N330" s="255"/>
      <c r="O330" s="255">
        <v>30</v>
      </c>
      <c r="P330" s="259">
        <v>0.875</v>
      </c>
      <c r="Q330" s="258">
        <v>0.80555555555555547</v>
      </c>
      <c r="R330" s="258">
        <v>0.8125</v>
      </c>
      <c r="S330" s="258">
        <v>0.83680555555555547</v>
      </c>
      <c r="T330" s="138">
        <f t="shared" si="30"/>
        <v>6.9444444444445308E-3</v>
      </c>
      <c r="U330" s="138">
        <f t="shared" si="30"/>
        <v>2.4305555555555469E-2</v>
      </c>
      <c r="V330" s="258">
        <v>0.84027777777777779</v>
      </c>
      <c r="W330" s="148">
        <f t="shared" si="32"/>
        <v>3.4722222222222321E-2</v>
      </c>
      <c r="X330" s="261"/>
      <c r="Y330" s="268"/>
    </row>
    <row r="331" spans="1:16384" s="113" customFormat="1" ht="16.5" thickBot="1" x14ac:dyDescent="0.3">
      <c r="A331" s="185">
        <f t="shared" si="31"/>
        <v>7</v>
      </c>
      <c r="B331" s="186">
        <v>43874</v>
      </c>
      <c r="C331" s="186">
        <v>43874</v>
      </c>
      <c r="D331" s="236" t="s">
        <v>337</v>
      </c>
      <c r="E331" s="172">
        <v>1000458920</v>
      </c>
      <c r="F331" s="187">
        <v>360</v>
      </c>
      <c r="G331" s="185" t="s">
        <v>69</v>
      </c>
      <c r="H331" s="188" t="s">
        <v>829</v>
      </c>
      <c r="I331" s="172" t="s">
        <v>827</v>
      </c>
      <c r="J331" s="189" t="s">
        <v>19</v>
      </c>
      <c r="K331" s="189"/>
      <c r="L331" s="172" t="s">
        <v>55</v>
      </c>
      <c r="M331" s="172">
        <v>80</v>
      </c>
      <c r="N331" s="189" t="s">
        <v>51</v>
      </c>
      <c r="O331" s="189">
        <v>33</v>
      </c>
      <c r="P331" s="190">
        <v>0.41666666666666669</v>
      </c>
      <c r="Q331" s="191">
        <v>0.44791666666666669</v>
      </c>
      <c r="R331" s="191">
        <v>0.46180555555555558</v>
      </c>
      <c r="S331" s="191">
        <v>0.47222222222222227</v>
      </c>
      <c r="T331" s="190">
        <f t="shared" si="30"/>
        <v>1.3888888888888895E-2</v>
      </c>
      <c r="U331" s="190">
        <f t="shared" si="30"/>
        <v>1.0416666666666685E-2</v>
      </c>
      <c r="V331" s="191">
        <v>0.47569444444444442</v>
      </c>
      <c r="W331" s="191">
        <f t="shared" si="32"/>
        <v>2.7777777777777735E-2</v>
      </c>
      <c r="X331" s="174"/>
      <c r="Y331" s="268"/>
    </row>
    <row r="332" spans="1:16384" s="113" customFormat="1" x14ac:dyDescent="0.25">
      <c r="A332" s="140">
        <f t="shared" si="31"/>
        <v>7</v>
      </c>
      <c r="B332" s="157">
        <v>43875</v>
      </c>
      <c r="C332" s="157">
        <v>43875</v>
      </c>
      <c r="D332" s="100" t="s">
        <v>361</v>
      </c>
      <c r="E332" s="98"/>
      <c r="F332" s="177">
        <v>540</v>
      </c>
      <c r="G332" s="140" t="s">
        <v>53</v>
      </c>
      <c r="H332" s="178" t="s">
        <v>470</v>
      </c>
      <c r="I332" s="143" t="s">
        <v>54</v>
      </c>
      <c r="J332" s="142"/>
      <c r="K332" s="142"/>
      <c r="L332" s="98" t="s">
        <v>55</v>
      </c>
      <c r="M332" s="98"/>
      <c r="N332" s="142"/>
      <c r="O332" s="142">
        <v>47</v>
      </c>
      <c r="P332" s="179">
        <v>0.66666666666666663</v>
      </c>
      <c r="Q332" s="148">
        <v>0.65347222222222223</v>
      </c>
      <c r="R332" s="148">
        <v>0.6875</v>
      </c>
      <c r="S332" s="148">
        <v>0.70833333333333337</v>
      </c>
      <c r="T332" s="179">
        <f t="shared" si="30"/>
        <v>3.4027777777777768E-2</v>
      </c>
      <c r="U332" s="179">
        <f t="shared" si="30"/>
        <v>2.083333333333337E-2</v>
      </c>
      <c r="V332" s="148">
        <v>0.71527777777777779</v>
      </c>
      <c r="W332" s="148">
        <f t="shared" si="32"/>
        <v>6.1805555555555558E-2</v>
      </c>
      <c r="X332" s="96"/>
    </row>
    <row r="333" spans="1:16384" s="113" customFormat="1" x14ac:dyDescent="0.25">
      <c r="A333" s="140">
        <f t="shared" si="31"/>
        <v>7</v>
      </c>
      <c r="B333" s="157">
        <v>43875</v>
      </c>
      <c r="C333" s="157">
        <v>43875</v>
      </c>
      <c r="D333" s="100" t="s">
        <v>68</v>
      </c>
      <c r="E333" s="79"/>
      <c r="F333" s="153">
        <v>540</v>
      </c>
      <c r="G333" s="137" t="s">
        <v>56</v>
      </c>
      <c r="H333" s="158" t="s">
        <v>57</v>
      </c>
      <c r="I333" s="143" t="s">
        <v>58</v>
      </c>
      <c r="J333" s="139"/>
      <c r="K333" s="139"/>
      <c r="L333" s="98" t="s">
        <v>55</v>
      </c>
      <c r="M333" s="79"/>
      <c r="N333" s="139"/>
      <c r="O333" s="139">
        <v>16</v>
      </c>
      <c r="P333" s="138">
        <v>0.70833333333333337</v>
      </c>
      <c r="Q333" s="147">
        <v>0.65277777777777779</v>
      </c>
      <c r="R333" s="147">
        <v>0.6875</v>
      </c>
      <c r="S333" s="147">
        <v>0.70138888888888884</v>
      </c>
      <c r="T333" s="138">
        <f t="shared" si="30"/>
        <v>3.472222222222221E-2</v>
      </c>
      <c r="U333" s="138">
        <f t="shared" si="30"/>
        <v>1.388888888888884E-2</v>
      </c>
      <c r="V333" s="147">
        <v>0.70486111111111116</v>
      </c>
      <c r="W333" s="148">
        <f t="shared" si="32"/>
        <v>5.208333333333337E-2</v>
      </c>
      <c r="X333" s="81" t="s">
        <v>517</v>
      </c>
    </row>
    <row r="334" spans="1:16384" s="113" customFormat="1" x14ac:dyDescent="0.25">
      <c r="A334" s="140">
        <f t="shared" si="31"/>
        <v>7</v>
      </c>
      <c r="B334" s="157">
        <v>43875</v>
      </c>
      <c r="C334" s="157">
        <v>43875</v>
      </c>
      <c r="D334" s="100" t="s">
        <v>68</v>
      </c>
      <c r="E334" s="79"/>
      <c r="F334" s="153">
        <v>540</v>
      </c>
      <c r="G334" s="137" t="s">
        <v>59</v>
      </c>
      <c r="H334" s="273" t="s">
        <v>80</v>
      </c>
      <c r="I334" s="306" t="s">
        <v>63</v>
      </c>
      <c r="J334" s="139"/>
      <c r="K334" s="139"/>
      <c r="L334" s="98" t="s">
        <v>55</v>
      </c>
      <c r="M334" s="79"/>
      <c r="N334" s="139"/>
      <c r="O334" s="139">
        <v>30</v>
      </c>
      <c r="P334" s="138">
        <v>0.75</v>
      </c>
      <c r="Q334" s="147">
        <v>0.72222222222222221</v>
      </c>
      <c r="R334" s="147">
        <v>0.72916666666666663</v>
      </c>
      <c r="S334" s="147">
        <v>0.75</v>
      </c>
      <c r="T334" s="138">
        <f t="shared" si="30"/>
        <v>6.9444444444444198E-3</v>
      </c>
      <c r="U334" s="138">
        <f t="shared" si="30"/>
        <v>2.083333333333337E-2</v>
      </c>
      <c r="V334" s="147">
        <v>0.75694444444444453</v>
      </c>
      <c r="W334" s="148">
        <f>U334-T334</f>
        <v>1.3888888888888951E-2</v>
      </c>
      <c r="X334" s="81"/>
    </row>
    <row r="335" spans="1:16384" s="113" customFormat="1" x14ac:dyDescent="0.25">
      <c r="A335" s="140">
        <f t="shared" si="31"/>
        <v>7</v>
      </c>
      <c r="B335" s="157">
        <v>43875</v>
      </c>
      <c r="C335" s="157">
        <v>43875</v>
      </c>
      <c r="D335" s="100" t="s">
        <v>68</v>
      </c>
      <c r="E335" s="79"/>
      <c r="F335" s="153">
        <v>540</v>
      </c>
      <c r="G335" s="137" t="s">
        <v>61</v>
      </c>
      <c r="H335" s="273" t="s">
        <v>317</v>
      </c>
      <c r="I335" s="365" t="s">
        <v>355</v>
      </c>
      <c r="J335" s="139"/>
      <c r="K335" s="139"/>
      <c r="L335" s="98" t="s">
        <v>55</v>
      </c>
      <c r="M335" s="79"/>
      <c r="N335" s="139"/>
      <c r="O335" s="139">
        <v>11</v>
      </c>
      <c r="P335" s="138">
        <v>0.79166666666666663</v>
      </c>
      <c r="Q335" s="147">
        <v>0.78819444444444453</v>
      </c>
      <c r="R335" s="147">
        <v>0.79166666666666663</v>
      </c>
      <c r="S335" s="147">
        <v>0.80208333333333337</v>
      </c>
      <c r="T335" s="138">
        <f t="shared" si="30"/>
        <v>3.4722222222220989E-3</v>
      </c>
      <c r="U335" s="138">
        <f t="shared" si="30"/>
        <v>1.0416666666666741E-2</v>
      </c>
      <c r="V335" s="147">
        <v>0.80555555555555547</v>
      </c>
      <c r="W335" s="148">
        <f>U335-T335</f>
        <v>6.9444444444446418E-3</v>
      </c>
      <c r="X335" s="81"/>
    </row>
    <row r="336" spans="1:16384" s="113" customFormat="1" x14ac:dyDescent="0.25">
      <c r="A336" s="140">
        <f t="shared" si="31"/>
        <v>7</v>
      </c>
      <c r="B336" s="157">
        <v>43875</v>
      </c>
      <c r="C336" s="157">
        <v>43875</v>
      </c>
      <c r="D336" s="100" t="s">
        <v>68</v>
      </c>
      <c r="E336" s="79"/>
      <c r="F336" s="153">
        <v>540</v>
      </c>
      <c r="G336" s="137" t="s">
        <v>64</v>
      </c>
      <c r="H336" s="273" t="s">
        <v>330</v>
      </c>
      <c r="I336" s="363" t="s">
        <v>72</v>
      </c>
      <c r="J336" s="139"/>
      <c r="K336" s="139"/>
      <c r="L336" s="98" t="s">
        <v>55</v>
      </c>
      <c r="M336" s="79"/>
      <c r="N336" s="139"/>
      <c r="O336" s="139">
        <v>40</v>
      </c>
      <c r="P336" s="138">
        <v>0.83333333333333337</v>
      </c>
      <c r="Q336" s="147">
        <v>0.80555555555555547</v>
      </c>
      <c r="R336" s="147">
        <v>0.80902777777777779</v>
      </c>
      <c r="S336" s="147">
        <v>0.81944444444444453</v>
      </c>
      <c r="T336" s="138">
        <f t="shared" si="30"/>
        <v>3.4722222222223209E-3</v>
      </c>
      <c r="U336" s="138">
        <f t="shared" si="30"/>
        <v>1.0416666666666741E-2</v>
      </c>
      <c r="V336" s="147">
        <v>0.82291666666666663</v>
      </c>
      <c r="W336" s="148">
        <f>U336-T336</f>
        <v>6.9444444444444198E-3</v>
      </c>
      <c r="X336" s="81"/>
    </row>
    <row r="337" spans="1:25" s="113" customFormat="1" x14ac:dyDescent="0.25">
      <c r="A337" s="140">
        <f t="shared" si="31"/>
        <v>7</v>
      </c>
      <c r="B337" s="157">
        <v>43875</v>
      </c>
      <c r="C337" s="157">
        <v>43875</v>
      </c>
      <c r="D337" s="100" t="s">
        <v>361</v>
      </c>
      <c r="E337" s="79"/>
      <c r="F337" s="153">
        <v>540</v>
      </c>
      <c r="G337" s="137" t="s">
        <v>77</v>
      </c>
      <c r="H337" s="273" t="s">
        <v>65</v>
      </c>
      <c r="I337" s="340" t="s">
        <v>738</v>
      </c>
      <c r="J337" s="139"/>
      <c r="K337" s="139"/>
      <c r="L337" s="98" t="s">
        <v>55</v>
      </c>
      <c r="M337" s="79"/>
      <c r="N337" s="139"/>
      <c r="O337" s="139">
        <v>12</v>
      </c>
      <c r="P337" s="138">
        <v>0.875</v>
      </c>
      <c r="Q337" s="147">
        <v>0.875</v>
      </c>
      <c r="R337" s="147">
        <v>0.87847222222222221</v>
      </c>
      <c r="S337" s="147">
        <v>0.88194444444444453</v>
      </c>
      <c r="T337" s="138">
        <f t="shared" si="30"/>
        <v>3.4722222222222099E-3</v>
      </c>
      <c r="U337" s="138">
        <f t="shared" si="30"/>
        <v>3.4722222222223209E-3</v>
      </c>
      <c r="V337" s="147">
        <v>0.88541666666666663</v>
      </c>
      <c r="W337" s="148">
        <f t="shared" si="32"/>
        <v>1.041666666666663E-2</v>
      </c>
      <c r="X337" s="81"/>
    </row>
    <row r="338" spans="1:25" s="113" customFormat="1" x14ac:dyDescent="0.25">
      <c r="A338" s="140">
        <f t="shared" si="31"/>
        <v>7</v>
      </c>
      <c r="B338" s="157">
        <v>43875</v>
      </c>
      <c r="C338" s="157">
        <v>43875</v>
      </c>
      <c r="D338" s="100" t="s">
        <v>361</v>
      </c>
      <c r="E338" s="79">
        <v>1000459101</v>
      </c>
      <c r="F338" s="153">
        <v>480</v>
      </c>
      <c r="G338" s="137" t="s">
        <v>325</v>
      </c>
      <c r="H338" s="158" t="s">
        <v>818</v>
      </c>
      <c r="I338" s="79" t="s">
        <v>840</v>
      </c>
      <c r="J338" s="139" t="s">
        <v>19</v>
      </c>
      <c r="K338" s="139"/>
      <c r="L338" s="98" t="s">
        <v>55</v>
      </c>
      <c r="M338" s="79">
        <v>80</v>
      </c>
      <c r="N338" s="139" t="s">
        <v>51</v>
      </c>
      <c r="O338" s="139">
        <v>44</v>
      </c>
      <c r="P338" s="138">
        <v>0.45833333333333331</v>
      </c>
      <c r="Q338" s="147">
        <v>0.44444444444444442</v>
      </c>
      <c r="R338" s="147">
        <v>0.46527777777777773</v>
      </c>
      <c r="S338" s="147">
        <v>0.4826388888888889</v>
      </c>
      <c r="T338" s="138">
        <f t="shared" si="30"/>
        <v>2.0833333333333315E-2</v>
      </c>
      <c r="U338" s="138">
        <f t="shared" si="30"/>
        <v>1.736111111111116E-2</v>
      </c>
      <c r="V338" s="147">
        <v>0.4861111111111111</v>
      </c>
      <c r="W338" s="148">
        <f t="shared" si="32"/>
        <v>4.1666666666666685E-2</v>
      </c>
      <c r="X338" s="81" t="s">
        <v>849</v>
      </c>
    </row>
    <row r="339" spans="1:25" s="113" customFormat="1" x14ac:dyDescent="0.25">
      <c r="A339" s="140">
        <f t="shared" si="31"/>
        <v>7</v>
      </c>
      <c r="B339" s="157">
        <v>43875</v>
      </c>
      <c r="C339" s="157">
        <v>43875</v>
      </c>
      <c r="D339" s="100" t="s">
        <v>361</v>
      </c>
      <c r="E339" s="79">
        <v>1000458924</v>
      </c>
      <c r="F339" s="153">
        <v>360</v>
      </c>
      <c r="G339" s="137" t="s">
        <v>324</v>
      </c>
      <c r="H339" s="158" t="s">
        <v>399</v>
      </c>
      <c r="I339" s="79" t="s">
        <v>841</v>
      </c>
      <c r="J339" s="139" t="s">
        <v>19</v>
      </c>
      <c r="K339" s="139"/>
      <c r="L339" s="98" t="s">
        <v>55</v>
      </c>
      <c r="M339" s="79">
        <v>80</v>
      </c>
      <c r="N339" s="139"/>
      <c r="O339" s="139">
        <v>37</v>
      </c>
      <c r="P339" s="138">
        <v>0.45833333333333331</v>
      </c>
      <c r="Q339" s="147">
        <v>0.47222222222222227</v>
      </c>
      <c r="R339" s="147">
        <v>0.50694444444444442</v>
      </c>
      <c r="S339" s="147">
        <v>0.53819444444444442</v>
      </c>
      <c r="T339" s="138">
        <f t="shared" si="30"/>
        <v>3.4722222222222154E-2</v>
      </c>
      <c r="U339" s="138">
        <f t="shared" si="30"/>
        <v>3.125E-2</v>
      </c>
      <c r="V339" s="147">
        <v>0.54513888888888895</v>
      </c>
      <c r="W339" s="148">
        <f t="shared" si="32"/>
        <v>7.2916666666666685E-2</v>
      </c>
      <c r="X339" s="81"/>
    </row>
    <row r="340" spans="1:25" s="113" customFormat="1" x14ac:dyDescent="0.25">
      <c r="A340" s="140">
        <f t="shared" si="31"/>
        <v>7</v>
      </c>
      <c r="B340" s="157">
        <v>43875</v>
      </c>
      <c r="C340" s="157">
        <v>43875</v>
      </c>
      <c r="D340" s="100" t="s">
        <v>337</v>
      </c>
      <c r="E340" s="79">
        <v>1000458927</v>
      </c>
      <c r="F340" s="153">
        <v>480</v>
      </c>
      <c r="G340" s="137" t="s">
        <v>340</v>
      </c>
      <c r="H340" s="158" t="s">
        <v>842</v>
      </c>
      <c r="I340" s="79" t="s">
        <v>828</v>
      </c>
      <c r="J340" s="139" t="s">
        <v>19</v>
      </c>
      <c r="K340" s="139"/>
      <c r="L340" s="98" t="s">
        <v>55</v>
      </c>
      <c r="M340" s="79">
        <v>80</v>
      </c>
      <c r="N340" s="139"/>
      <c r="O340" s="139">
        <v>42</v>
      </c>
      <c r="P340" s="138">
        <v>0.5</v>
      </c>
      <c r="Q340" s="147">
        <v>0.44791666666666669</v>
      </c>
      <c r="R340" s="147">
        <v>0.4513888888888889</v>
      </c>
      <c r="S340" s="147">
        <v>0.5</v>
      </c>
      <c r="T340" s="138">
        <f t="shared" si="30"/>
        <v>3.4722222222222099E-3</v>
      </c>
      <c r="U340" s="138">
        <f t="shared" si="30"/>
        <v>4.8611111111111105E-2</v>
      </c>
      <c r="V340" s="147">
        <v>0.50347222222222221</v>
      </c>
      <c r="W340" s="148">
        <f t="shared" si="32"/>
        <v>5.5555555555555525E-2</v>
      </c>
      <c r="X340" s="81"/>
    </row>
    <row r="341" spans="1:25" s="113" customFormat="1" ht="32.25" thickBot="1" x14ac:dyDescent="0.3">
      <c r="A341" s="185">
        <f t="shared" si="31"/>
        <v>7</v>
      </c>
      <c r="B341" s="186">
        <v>43875</v>
      </c>
      <c r="C341" s="186">
        <v>43875</v>
      </c>
      <c r="D341" s="236" t="s">
        <v>337</v>
      </c>
      <c r="E341" s="172">
        <v>1000458929</v>
      </c>
      <c r="F341" s="187">
        <v>180</v>
      </c>
      <c r="G341" s="185" t="s">
        <v>342</v>
      </c>
      <c r="H341" s="188" t="s">
        <v>829</v>
      </c>
      <c r="I341" s="172" t="s">
        <v>843</v>
      </c>
      <c r="J341" s="189" t="s">
        <v>19</v>
      </c>
      <c r="K341" s="189"/>
      <c r="L341" s="172" t="s">
        <v>55</v>
      </c>
      <c r="M341" s="172">
        <v>80</v>
      </c>
      <c r="N341" s="189"/>
      <c r="O341" s="189">
        <v>40</v>
      </c>
      <c r="P341" s="190">
        <v>0.54166666666666663</v>
      </c>
      <c r="Q341" s="191">
        <v>0.48958333333333331</v>
      </c>
      <c r="R341" s="191">
        <v>0.52777777777777779</v>
      </c>
      <c r="S341" s="191">
        <v>0.54513888888888895</v>
      </c>
      <c r="T341" s="190">
        <f t="shared" si="30"/>
        <v>3.8194444444444475E-2</v>
      </c>
      <c r="U341" s="190">
        <f t="shared" si="30"/>
        <v>1.736111111111116E-2</v>
      </c>
      <c r="V341" s="191">
        <v>0.54861111111111105</v>
      </c>
      <c r="W341" s="191">
        <f t="shared" si="32"/>
        <v>5.9027777777777735E-2</v>
      </c>
      <c r="X341" s="174"/>
      <c r="Y341" s="268"/>
    </row>
    <row r="342" spans="1:25" s="113" customFormat="1" x14ac:dyDescent="0.25">
      <c r="A342" s="140">
        <f t="shared" si="31"/>
        <v>7</v>
      </c>
      <c r="B342" s="157">
        <v>43876</v>
      </c>
      <c r="C342" s="157">
        <v>43876</v>
      </c>
      <c r="D342" s="102" t="s">
        <v>361</v>
      </c>
      <c r="E342" s="98"/>
      <c r="F342" s="177">
        <v>540</v>
      </c>
      <c r="G342" s="140" t="s">
        <v>53</v>
      </c>
      <c r="H342" s="178" t="s">
        <v>387</v>
      </c>
      <c r="I342" s="143" t="s">
        <v>54</v>
      </c>
      <c r="J342" s="142"/>
      <c r="K342" s="142"/>
      <c r="L342" s="98" t="s">
        <v>55</v>
      </c>
      <c r="M342" s="98"/>
      <c r="N342" s="142"/>
      <c r="O342" s="142">
        <v>28</v>
      </c>
      <c r="P342" s="179">
        <v>0.66666666666666663</v>
      </c>
      <c r="Q342" s="148">
        <v>0.66666666666666663</v>
      </c>
      <c r="R342" s="148">
        <v>0.67361111111111116</v>
      </c>
      <c r="S342" s="148">
        <v>0.6875</v>
      </c>
      <c r="T342" s="179">
        <f t="shared" si="30"/>
        <v>6.9444444444445308E-3</v>
      </c>
      <c r="U342" s="179">
        <f t="shared" si="30"/>
        <v>1.388888888888884E-2</v>
      </c>
      <c r="V342" s="148">
        <v>0.69444444444444453</v>
      </c>
      <c r="W342" s="148">
        <f t="shared" si="32"/>
        <v>2.7777777777777901E-2</v>
      </c>
      <c r="X342" s="96"/>
    </row>
    <row r="343" spans="1:25" s="113" customFormat="1" x14ac:dyDescent="0.25">
      <c r="A343" s="140">
        <f t="shared" si="31"/>
        <v>7</v>
      </c>
      <c r="B343" s="157">
        <v>43876</v>
      </c>
      <c r="C343" s="157">
        <v>43876</v>
      </c>
      <c r="D343" s="100" t="s">
        <v>337</v>
      </c>
      <c r="E343" s="79"/>
      <c r="F343" s="153">
        <v>540</v>
      </c>
      <c r="G343" s="137" t="s">
        <v>56</v>
      </c>
      <c r="H343" s="273" t="s">
        <v>470</v>
      </c>
      <c r="I343" s="143" t="s">
        <v>58</v>
      </c>
      <c r="J343" s="139"/>
      <c r="K343" s="139"/>
      <c r="L343" s="98" t="s">
        <v>55</v>
      </c>
      <c r="M343" s="79"/>
      <c r="N343" s="139"/>
      <c r="O343" s="139">
        <v>18</v>
      </c>
      <c r="P343" s="179">
        <v>0.66666666666666663</v>
      </c>
      <c r="Q343" s="147">
        <v>0.63541666666666663</v>
      </c>
      <c r="R343" s="147">
        <v>0.65625</v>
      </c>
      <c r="S343" s="147">
        <v>0.66666666666666663</v>
      </c>
      <c r="T343" s="138">
        <f t="shared" si="30"/>
        <v>2.083333333333337E-2</v>
      </c>
      <c r="U343" s="138">
        <f t="shared" si="30"/>
        <v>1.041666666666663E-2</v>
      </c>
      <c r="V343" s="147">
        <v>0.67013888888888884</v>
      </c>
      <c r="W343" s="148">
        <f t="shared" ref="W343:W350" si="33">V343-Q343</f>
        <v>3.472222222222221E-2</v>
      </c>
      <c r="X343" s="81"/>
    </row>
    <row r="344" spans="1:25" s="113" customFormat="1" x14ac:dyDescent="0.25">
      <c r="A344" s="140">
        <f t="shared" si="31"/>
        <v>7</v>
      </c>
      <c r="B344" s="157">
        <v>43876</v>
      </c>
      <c r="C344" s="157">
        <v>43876</v>
      </c>
      <c r="D344" s="100"/>
      <c r="E344" s="79"/>
      <c r="F344" s="153"/>
      <c r="G344" s="137" t="s">
        <v>59</v>
      </c>
      <c r="H344" s="158" t="s">
        <v>76</v>
      </c>
      <c r="I344" s="143" t="s">
        <v>60</v>
      </c>
      <c r="J344" s="139"/>
      <c r="K344" s="139"/>
      <c r="L344" s="98" t="s">
        <v>75</v>
      </c>
      <c r="M344" s="79"/>
      <c r="N344" s="139"/>
      <c r="O344" s="139"/>
      <c r="P344" s="179">
        <v>0.70833333333333337</v>
      </c>
      <c r="Q344" s="147"/>
      <c r="R344" s="147"/>
      <c r="S344" s="147"/>
      <c r="T344" s="138">
        <f t="shared" si="30"/>
        <v>0</v>
      </c>
      <c r="U344" s="138">
        <f t="shared" si="30"/>
        <v>0</v>
      </c>
      <c r="V344" s="147"/>
      <c r="W344" s="148">
        <f t="shared" si="33"/>
        <v>0</v>
      </c>
      <c r="X344" s="81"/>
    </row>
    <row r="345" spans="1:25" s="113" customFormat="1" x14ac:dyDescent="0.25">
      <c r="A345" s="140">
        <f t="shared" si="31"/>
        <v>7</v>
      </c>
      <c r="B345" s="157">
        <v>43876</v>
      </c>
      <c r="C345" s="157">
        <v>43876</v>
      </c>
      <c r="D345" s="100" t="s">
        <v>361</v>
      </c>
      <c r="E345" s="79"/>
      <c r="F345" s="153">
        <v>540</v>
      </c>
      <c r="G345" s="137" t="s">
        <v>59</v>
      </c>
      <c r="H345" s="158" t="s">
        <v>76</v>
      </c>
      <c r="I345" s="306" t="s">
        <v>63</v>
      </c>
      <c r="J345" s="139"/>
      <c r="K345" s="139"/>
      <c r="L345" s="98" t="s">
        <v>55</v>
      </c>
      <c r="M345" s="79"/>
      <c r="N345" s="139"/>
      <c r="O345" s="139">
        <v>16</v>
      </c>
      <c r="P345" s="138">
        <v>0.75</v>
      </c>
      <c r="Q345" s="147">
        <v>0.73958333333333337</v>
      </c>
      <c r="R345" s="147">
        <v>0.75</v>
      </c>
      <c r="S345" s="147">
        <v>0.76388888888888884</v>
      </c>
      <c r="T345" s="138">
        <f t="shared" si="30"/>
        <v>1.041666666666663E-2</v>
      </c>
      <c r="U345" s="138">
        <f t="shared" si="30"/>
        <v>1.388888888888884E-2</v>
      </c>
      <c r="V345" s="147">
        <v>0.76736111111111116</v>
      </c>
      <c r="W345" s="148">
        <f t="shared" si="33"/>
        <v>2.777777777777779E-2</v>
      </c>
      <c r="X345" s="81"/>
    </row>
    <row r="346" spans="1:25" s="113" customFormat="1" x14ac:dyDescent="0.25">
      <c r="A346" s="140">
        <f t="shared" si="31"/>
        <v>7</v>
      </c>
      <c r="B346" s="157">
        <v>43876</v>
      </c>
      <c r="C346" s="157">
        <v>43876</v>
      </c>
      <c r="D346" s="100" t="s">
        <v>337</v>
      </c>
      <c r="E346" s="79"/>
      <c r="F346" s="153">
        <v>540</v>
      </c>
      <c r="G346" s="137" t="s">
        <v>61</v>
      </c>
      <c r="H346" s="158" t="s">
        <v>62</v>
      </c>
      <c r="I346" s="306" t="s">
        <v>355</v>
      </c>
      <c r="J346" s="139"/>
      <c r="K346" s="139"/>
      <c r="L346" s="98" t="s">
        <v>55</v>
      </c>
      <c r="M346" s="79"/>
      <c r="N346" s="139"/>
      <c r="O346" s="139">
        <v>26</v>
      </c>
      <c r="P346" s="138">
        <v>0.79166666666666663</v>
      </c>
      <c r="Q346" s="147">
        <v>0.77430555555555547</v>
      </c>
      <c r="R346" s="147">
        <v>0.78125</v>
      </c>
      <c r="S346" s="147">
        <v>0.80208333333333337</v>
      </c>
      <c r="T346" s="138">
        <f t="shared" si="30"/>
        <v>6.9444444444445308E-3</v>
      </c>
      <c r="U346" s="138">
        <f t="shared" si="30"/>
        <v>2.083333333333337E-2</v>
      </c>
      <c r="V346" s="147">
        <v>0.80555555555555547</v>
      </c>
      <c r="W346" s="148">
        <f t="shared" si="33"/>
        <v>3.125E-2</v>
      </c>
      <c r="X346" s="81"/>
    </row>
    <row r="347" spans="1:25" s="113" customFormat="1" x14ac:dyDescent="0.25">
      <c r="A347" s="140">
        <f t="shared" si="31"/>
        <v>7</v>
      </c>
      <c r="B347" s="157">
        <v>43876</v>
      </c>
      <c r="C347" s="157">
        <v>43876</v>
      </c>
      <c r="D347" s="100" t="s">
        <v>337</v>
      </c>
      <c r="E347" s="79"/>
      <c r="F347" s="153">
        <v>540</v>
      </c>
      <c r="G347" s="137" t="s">
        <v>64</v>
      </c>
      <c r="H347" s="158" t="s">
        <v>667</v>
      </c>
      <c r="I347" s="306" t="s">
        <v>78</v>
      </c>
      <c r="J347" s="139"/>
      <c r="K347" s="139"/>
      <c r="L347" s="98" t="s">
        <v>55</v>
      </c>
      <c r="M347" s="79"/>
      <c r="N347" s="139"/>
      <c r="O347" s="139">
        <v>17</v>
      </c>
      <c r="P347" s="138">
        <v>0.79166666666666663</v>
      </c>
      <c r="Q347" s="147">
        <v>0.84722222222222221</v>
      </c>
      <c r="R347" s="147">
        <v>0.8520833333333333</v>
      </c>
      <c r="S347" s="147">
        <v>0.86805555555555547</v>
      </c>
      <c r="T347" s="138">
        <f t="shared" si="30"/>
        <v>4.8611111111110938E-3</v>
      </c>
      <c r="U347" s="138">
        <f t="shared" si="30"/>
        <v>1.5972222222222165E-2</v>
      </c>
      <c r="V347" s="147">
        <v>0.87152777777777779</v>
      </c>
      <c r="W347" s="148">
        <f t="shared" si="33"/>
        <v>2.430555555555558E-2</v>
      </c>
      <c r="X347" s="81"/>
    </row>
    <row r="348" spans="1:25" s="113" customFormat="1" x14ac:dyDescent="0.25">
      <c r="A348" s="140">
        <f t="shared" si="31"/>
        <v>7</v>
      </c>
      <c r="B348" s="157">
        <v>43876</v>
      </c>
      <c r="C348" s="157">
        <v>43876</v>
      </c>
      <c r="D348" s="100" t="s">
        <v>361</v>
      </c>
      <c r="E348" s="79"/>
      <c r="F348" s="153">
        <v>540</v>
      </c>
      <c r="G348" s="137" t="s">
        <v>77</v>
      </c>
      <c r="H348" s="158" t="s">
        <v>317</v>
      </c>
      <c r="I348" s="340" t="s">
        <v>738</v>
      </c>
      <c r="J348" s="139"/>
      <c r="K348" s="139"/>
      <c r="L348" s="98" t="s">
        <v>55</v>
      </c>
      <c r="M348" s="79"/>
      <c r="N348" s="139"/>
      <c r="O348" s="139">
        <v>34</v>
      </c>
      <c r="P348" s="138">
        <v>0.875</v>
      </c>
      <c r="Q348" s="147">
        <v>0.875</v>
      </c>
      <c r="R348" s="147">
        <v>0.87847222222222221</v>
      </c>
      <c r="S348" s="147">
        <v>0.89236111111111116</v>
      </c>
      <c r="T348" s="138">
        <f t="shared" si="30"/>
        <v>3.4722222222222099E-3</v>
      </c>
      <c r="U348" s="138">
        <f t="shared" si="30"/>
        <v>1.3888888888888951E-2</v>
      </c>
      <c r="V348" s="147">
        <v>0.89583333333333337</v>
      </c>
      <c r="W348" s="148">
        <f t="shared" si="33"/>
        <v>2.083333333333337E-2</v>
      </c>
      <c r="X348" s="81"/>
    </row>
    <row r="349" spans="1:25" s="113" customFormat="1" x14ac:dyDescent="0.25">
      <c r="A349" s="140">
        <f t="shared" si="31"/>
        <v>7</v>
      </c>
      <c r="B349" s="157">
        <v>43876</v>
      </c>
      <c r="C349" s="157">
        <v>43876</v>
      </c>
      <c r="D349" s="100" t="s">
        <v>337</v>
      </c>
      <c r="E349" s="79"/>
      <c r="F349" s="153">
        <v>540</v>
      </c>
      <c r="G349" s="137" t="s">
        <v>493</v>
      </c>
      <c r="H349" s="158" t="s">
        <v>330</v>
      </c>
      <c r="I349" s="340" t="s">
        <v>794</v>
      </c>
      <c r="J349" s="139"/>
      <c r="K349" s="139"/>
      <c r="L349" s="98" t="s">
        <v>55</v>
      </c>
      <c r="M349" s="79"/>
      <c r="N349" s="139"/>
      <c r="O349" s="139">
        <v>4</v>
      </c>
      <c r="P349" s="138">
        <v>0.875</v>
      </c>
      <c r="Q349" s="147">
        <v>0.8125</v>
      </c>
      <c r="R349" s="147">
        <v>0.81944444444444453</v>
      </c>
      <c r="S349" s="147">
        <v>0.82291666666666663</v>
      </c>
      <c r="T349" s="138">
        <f>R349-Q349</f>
        <v>6.9444444444445308E-3</v>
      </c>
      <c r="U349" s="138">
        <f>S349-R349</f>
        <v>3.4722222222220989E-3</v>
      </c>
      <c r="V349" s="147">
        <v>0.82638888888888884</v>
      </c>
      <c r="W349" s="148">
        <f t="shared" si="33"/>
        <v>1.388888888888884E-2</v>
      </c>
      <c r="X349" s="81"/>
    </row>
    <row r="350" spans="1:25" s="113" customFormat="1" x14ac:dyDescent="0.25">
      <c r="A350" s="140">
        <f t="shared" si="31"/>
        <v>7</v>
      </c>
      <c r="B350" s="157">
        <v>43876</v>
      </c>
      <c r="C350" s="157">
        <v>43876</v>
      </c>
      <c r="D350" s="100" t="s">
        <v>361</v>
      </c>
      <c r="E350" s="79"/>
      <c r="F350" s="153">
        <v>540</v>
      </c>
      <c r="G350" s="137" t="s">
        <v>736</v>
      </c>
      <c r="H350" s="158" t="s">
        <v>57</v>
      </c>
      <c r="I350" s="363" t="s">
        <v>72</v>
      </c>
      <c r="J350" s="139"/>
      <c r="K350" s="139"/>
      <c r="L350" s="98" t="s">
        <v>55</v>
      </c>
      <c r="M350" s="79"/>
      <c r="N350" s="139"/>
      <c r="O350" s="139">
        <v>22</v>
      </c>
      <c r="P350" s="138">
        <v>0.75</v>
      </c>
      <c r="Q350" s="147">
        <v>0.75</v>
      </c>
      <c r="R350" s="147">
        <v>0.76388888888888884</v>
      </c>
      <c r="S350" s="147">
        <v>0.77777777777777779</v>
      </c>
      <c r="T350" s="138">
        <f t="shared" si="30"/>
        <v>1.388888888888884E-2</v>
      </c>
      <c r="U350" s="138">
        <f t="shared" si="30"/>
        <v>1.3888888888888951E-2</v>
      </c>
      <c r="V350" s="147">
        <v>0.78125</v>
      </c>
      <c r="W350" s="148">
        <f t="shared" si="33"/>
        <v>3.125E-2</v>
      </c>
      <c r="X350" s="81"/>
    </row>
    <row r="351" spans="1:25" s="113" customFormat="1" x14ac:dyDescent="0.25">
      <c r="A351" s="140">
        <f t="shared" si="31"/>
        <v>7</v>
      </c>
      <c r="B351" s="157">
        <v>43876</v>
      </c>
      <c r="C351" s="157">
        <v>43876</v>
      </c>
      <c r="D351" s="249" t="s">
        <v>337</v>
      </c>
      <c r="E351" s="250"/>
      <c r="F351" s="251">
        <v>540</v>
      </c>
      <c r="G351" s="137" t="s">
        <v>852</v>
      </c>
      <c r="H351" s="364" t="s">
        <v>80</v>
      </c>
      <c r="I351" s="363" t="s">
        <v>341</v>
      </c>
      <c r="J351" s="255"/>
      <c r="K351" s="255"/>
      <c r="L351" s="256" t="s">
        <v>55</v>
      </c>
      <c r="M351" s="250"/>
      <c r="N351" s="255"/>
      <c r="O351" s="255">
        <v>22</v>
      </c>
      <c r="P351" s="138">
        <v>0.83333333333333337</v>
      </c>
      <c r="Q351" s="258">
        <v>0.79861111111111116</v>
      </c>
      <c r="R351" s="258">
        <v>0.80902777777777779</v>
      </c>
      <c r="S351" s="258">
        <v>0.81944444444444453</v>
      </c>
      <c r="T351" s="138">
        <f t="shared" si="30"/>
        <v>1.041666666666663E-2</v>
      </c>
      <c r="U351" s="138">
        <f t="shared" si="30"/>
        <v>1.0416666666666741E-2</v>
      </c>
      <c r="V351" s="258">
        <v>0.82291666666666663</v>
      </c>
      <c r="W351" s="148">
        <f t="shared" si="32"/>
        <v>2.4305555555555469E-2</v>
      </c>
      <c r="X351" s="261"/>
      <c r="Y351" s="268"/>
    </row>
    <row r="352" spans="1:25" s="184" customFormat="1" ht="16.5" thickBot="1" x14ac:dyDescent="0.3">
      <c r="A352" s="185">
        <f t="shared" si="31"/>
        <v>7</v>
      </c>
      <c r="B352" s="186">
        <v>43876</v>
      </c>
      <c r="C352" s="186">
        <v>43876</v>
      </c>
      <c r="D352" s="236" t="s">
        <v>361</v>
      </c>
      <c r="E352" s="172">
        <v>1000458921</v>
      </c>
      <c r="F352" s="187">
        <v>360</v>
      </c>
      <c r="G352" s="185" t="s">
        <v>323</v>
      </c>
      <c r="H352" s="188" t="s">
        <v>497</v>
      </c>
      <c r="I352" s="172" t="s">
        <v>851</v>
      </c>
      <c r="J352" s="189" t="s">
        <v>19</v>
      </c>
      <c r="K352" s="189"/>
      <c r="L352" s="172" t="s">
        <v>55</v>
      </c>
      <c r="M352" s="172">
        <v>80</v>
      </c>
      <c r="N352" s="189"/>
      <c r="O352" s="189">
        <v>36</v>
      </c>
      <c r="P352" s="190">
        <v>0.41666666666666669</v>
      </c>
      <c r="Q352" s="191">
        <v>0.41319444444444442</v>
      </c>
      <c r="R352" s="191">
        <v>0.41666666666666669</v>
      </c>
      <c r="S352" s="190">
        <v>0.44444444444444442</v>
      </c>
      <c r="T352" s="190">
        <f>R352-Q352</f>
        <v>3.4722222222222654E-3</v>
      </c>
      <c r="U352" s="190">
        <f t="shared" si="30"/>
        <v>2.7777777777777735E-2</v>
      </c>
      <c r="V352" s="190">
        <v>0.44444444444444442</v>
      </c>
      <c r="W352" s="191">
        <f t="shared" si="32"/>
        <v>3.125E-2</v>
      </c>
      <c r="X352" s="174"/>
      <c r="Y352" s="183"/>
    </row>
    <row r="353" spans="1:25" s="134" customFormat="1" x14ac:dyDescent="0.25">
      <c r="A353" s="140">
        <f t="shared" si="31"/>
        <v>8</v>
      </c>
      <c r="B353" s="157">
        <v>43879</v>
      </c>
      <c r="C353" s="157">
        <v>43879</v>
      </c>
      <c r="D353" s="367" t="s">
        <v>361</v>
      </c>
      <c r="E353" s="98"/>
      <c r="F353" s="98">
        <v>240</v>
      </c>
      <c r="G353" s="140" t="s">
        <v>53</v>
      </c>
      <c r="H353" s="368" t="s">
        <v>80</v>
      </c>
      <c r="I353" s="306" t="s">
        <v>63</v>
      </c>
      <c r="J353" s="98"/>
      <c r="K353" s="98"/>
      <c r="L353" s="98" t="s">
        <v>55</v>
      </c>
      <c r="M353" s="98"/>
      <c r="N353" s="98"/>
      <c r="O353" s="98">
        <v>23</v>
      </c>
      <c r="P353" s="179">
        <v>0.58333333333333337</v>
      </c>
      <c r="Q353" s="179">
        <v>0.56944444444444442</v>
      </c>
      <c r="R353" s="179">
        <v>0.58333333333333337</v>
      </c>
      <c r="S353" s="179">
        <v>0.59722222222222221</v>
      </c>
      <c r="T353" s="179">
        <f t="shared" si="30"/>
        <v>1.3888888888888951E-2</v>
      </c>
      <c r="U353" s="179">
        <f t="shared" si="30"/>
        <v>1.388888888888884E-2</v>
      </c>
      <c r="V353" s="179">
        <v>0.60069444444444442</v>
      </c>
      <c r="W353" s="148">
        <f t="shared" si="32"/>
        <v>3.125E-2</v>
      </c>
      <c r="X353" s="96"/>
    </row>
    <row r="354" spans="1:25" s="113" customFormat="1" x14ac:dyDescent="0.25">
      <c r="A354" s="140">
        <f t="shared" si="31"/>
        <v>8</v>
      </c>
      <c r="B354" s="157">
        <v>43879</v>
      </c>
      <c r="C354" s="157">
        <v>43879</v>
      </c>
      <c r="D354" s="367" t="s">
        <v>361</v>
      </c>
      <c r="E354" s="79"/>
      <c r="F354" s="79">
        <v>480</v>
      </c>
      <c r="G354" s="140" t="s">
        <v>56</v>
      </c>
      <c r="H354" s="245" t="s">
        <v>57</v>
      </c>
      <c r="I354" s="306" t="s">
        <v>355</v>
      </c>
      <c r="J354" s="79"/>
      <c r="K354" s="79"/>
      <c r="L354" s="98" t="s">
        <v>55</v>
      </c>
      <c r="M354" s="79"/>
      <c r="N354" s="79"/>
      <c r="O354" s="79">
        <v>28</v>
      </c>
      <c r="P354" s="138">
        <v>0.58333333333333337</v>
      </c>
      <c r="Q354" s="138">
        <v>0.58333333333333337</v>
      </c>
      <c r="R354" s="138">
        <v>0.58680555555555558</v>
      </c>
      <c r="S354" s="138">
        <v>0.60416666666666663</v>
      </c>
      <c r="T354" s="179">
        <f t="shared" si="30"/>
        <v>3.4722222222222099E-3</v>
      </c>
      <c r="U354" s="138">
        <f t="shared" si="30"/>
        <v>1.7361111111111049E-2</v>
      </c>
      <c r="V354" s="138">
        <v>0.60763888888888895</v>
      </c>
      <c r="W354" s="148">
        <f t="shared" si="32"/>
        <v>2.430555555555558E-2</v>
      </c>
      <c r="X354" s="81"/>
    </row>
    <row r="355" spans="1:25" s="134" customFormat="1" x14ac:dyDescent="0.25">
      <c r="A355" s="140">
        <f t="shared" si="31"/>
        <v>8</v>
      </c>
      <c r="B355" s="157">
        <v>43879</v>
      </c>
      <c r="C355" s="157">
        <v>43879</v>
      </c>
      <c r="D355" s="102" t="s">
        <v>337</v>
      </c>
      <c r="E355" s="98"/>
      <c r="F355" s="177">
        <v>540</v>
      </c>
      <c r="G355" s="140" t="s">
        <v>59</v>
      </c>
      <c r="H355" s="178" t="s">
        <v>317</v>
      </c>
      <c r="I355" s="143" t="s">
        <v>54</v>
      </c>
      <c r="J355" s="142"/>
      <c r="K355" s="142"/>
      <c r="L355" s="98" t="s">
        <v>55</v>
      </c>
      <c r="M355" s="98"/>
      <c r="N355" s="142"/>
      <c r="O355" s="369">
        <v>34</v>
      </c>
      <c r="P355" s="179">
        <v>0.66666666666666663</v>
      </c>
      <c r="Q355" s="148">
        <v>0.625</v>
      </c>
      <c r="R355" s="148">
        <v>0.65277777777777779</v>
      </c>
      <c r="S355" s="148">
        <v>0.67708333333333337</v>
      </c>
      <c r="T355" s="179">
        <f t="shared" si="30"/>
        <v>2.777777777777779E-2</v>
      </c>
      <c r="U355" s="138">
        <f t="shared" si="30"/>
        <v>2.430555555555558E-2</v>
      </c>
      <c r="V355" s="148">
        <v>0.68055555555555547</v>
      </c>
      <c r="W355" s="148">
        <f t="shared" si="32"/>
        <v>5.5555555555555469E-2</v>
      </c>
      <c r="X355" s="96"/>
    </row>
    <row r="356" spans="1:25" s="113" customFormat="1" x14ac:dyDescent="0.25">
      <c r="A356" s="140">
        <f t="shared" si="31"/>
        <v>8</v>
      </c>
      <c r="B356" s="157">
        <v>43879</v>
      </c>
      <c r="C356" s="157">
        <v>43879</v>
      </c>
      <c r="D356" s="100" t="s">
        <v>361</v>
      </c>
      <c r="E356" s="79"/>
      <c r="F356" s="153">
        <v>540</v>
      </c>
      <c r="G356" s="137" t="s">
        <v>61</v>
      </c>
      <c r="H356" s="158" t="s">
        <v>667</v>
      </c>
      <c r="I356" s="143" t="s">
        <v>58</v>
      </c>
      <c r="J356" s="139"/>
      <c r="K356" s="139"/>
      <c r="L356" s="98" t="s">
        <v>55</v>
      </c>
      <c r="M356" s="79"/>
      <c r="N356" s="139"/>
      <c r="O356" s="139">
        <v>32</v>
      </c>
      <c r="P356" s="179">
        <v>0.70833333333333337</v>
      </c>
      <c r="Q356" s="147">
        <v>0.70138888888888884</v>
      </c>
      <c r="R356" s="147">
        <v>0.70833333333333337</v>
      </c>
      <c r="S356" s="147">
        <v>0.72569444444444453</v>
      </c>
      <c r="T356" s="138">
        <f t="shared" si="30"/>
        <v>6.9444444444445308E-3</v>
      </c>
      <c r="U356" s="138">
        <f t="shared" si="30"/>
        <v>1.736111111111116E-2</v>
      </c>
      <c r="V356" s="147">
        <v>0.72916666666666663</v>
      </c>
      <c r="W356" s="148">
        <f t="shared" si="32"/>
        <v>2.777777777777779E-2</v>
      </c>
      <c r="X356" s="81"/>
    </row>
    <row r="357" spans="1:25" s="113" customFormat="1" x14ac:dyDescent="0.25">
      <c r="A357" s="140">
        <f t="shared" si="31"/>
        <v>8</v>
      </c>
      <c r="B357" s="157">
        <v>43879</v>
      </c>
      <c r="C357" s="157">
        <v>43879</v>
      </c>
      <c r="D357" s="100" t="s">
        <v>337</v>
      </c>
      <c r="E357" s="79"/>
      <c r="F357" s="153">
        <v>540</v>
      </c>
      <c r="G357" s="137" t="s">
        <v>64</v>
      </c>
      <c r="H357" s="273" t="s">
        <v>76</v>
      </c>
      <c r="I357" s="143" t="s">
        <v>60</v>
      </c>
      <c r="J357" s="139"/>
      <c r="K357" s="139"/>
      <c r="L357" s="98" t="s">
        <v>55</v>
      </c>
      <c r="M357" s="79"/>
      <c r="N357" s="139"/>
      <c r="O357" s="139">
        <v>11</v>
      </c>
      <c r="P357" s="179">
        <v>0.70833333333333337</v>
      </c>
      <c r="Q357" s="147">
        <v>0.68402777777777779</v>
      </c>
      <c r="R357" s="147">
        <v>0.79166666666666663</v>
      </c>
      <c r="S357" s="147">
        <v>0.80555555555555547</v>
      </c>
      <c r="T357" s="138">
        <f t="shared" si="30"/>
        <v>0.10763888888888884</v>
      </c>
      <c r="U357" s="138">
        <f t="shared" si="30"/>
        <v>1.388888888888884E-2</v>
      </c>
      <c r="V357" s="147">
        <v>0.80902777777777779</v>
      </c>
      <c r="W357" s="148">
        <f t="shared" si="32"/>
        <v>0.125</v>
      </c>
      <c r="X357" s="114" t="s">
        <v>873</v>
      </c>
    </row>
    <row r="358" spans="1:25" s="113" customFormat="1" x14ac:dyDescent="0.25">
      <c r="A358" s="140">
        <f t="shared" si="31"/>
        <v>8</v>
      </c>
      <c r="B358" s="157">
        <v>43879</v>
      </c>
      <c r="C358" s="157">
        <v>43879</v>
      </c>
      <c r="D358" s="100" t="s">
        <v>337</v>
      </c>
      <c r="E358" s="79"/>
      <c r="F358" s="153">
        <v>540</v>
      </c>
      <c r="G358" s="137" t="s">
        <v>77</v>
      </c>
      <c r="H358" s="158" t="s">
        <v>330</v>
      </c>
      <c r="I358" s="306" t="s">
        <v>78</v>
      </c>
      <c r="J358" s="139"/>
      <c r="K358" s="139"/>
      <c r="L358" s="98" t="s">
        <v>55</v>
      </c>
      <c r="M358" s="79"/>
      <c r="N358" s="139"/>
      <c r="O358" s="139">
        <v>26</v>
      </c>
      <c r="P358" s="138">
        <v>0.75</v>
      </c>
      <c r="Q358" s="147">
        <v>0.83680555555555547</v>
      </c>
      <c r="R358" s="147">
        <v>0.84027777777777779</v>
      </c>
      <c r="S358" s="147">
        <v>0.85416666666666663</v>
      </c>
      <c r="T358" s="138">
        <f t="shared" si="30"/>
        <v>3.4722222222223209E-3</v>
      </c>
      <c r="U358" s="138">
        <f t="shared" si="30"/>
        <v>1.388888888888884E-2</v>
      </c>
      <c r="V358" s="147">
        <v>0.85763888888888884</v>
      </c>
      <c r="W358" s="148">
        <f t="shared" si="32"/>
        <v>2.083333333333337E-2</v>
      </c>
      <c r="X358" s="81"/>
    </row>
    <row r="359" spans="1:25" s="113" customFormat="1" x14ac:dyDescent="0.25">
      <c r="A359" s="140">
        <f t="shared" si="31"/>
        <v>8</v>
      </c>
      <c r="B359" s="157">
        <v>43879</v>
      </c>
      <c r="C359" s="157">
        <v>43879</v>
      </c>
      <c r="D359" s="100" t="s">
        <v>361</v>
      </c>
      <c r="E359" s="79"/>
      <c r="F359" s="153">
        <v>540</v>
      </c>
      <c r="G359" s="140" t="s">
        <v>493</v>
      </c>
      <c r="H359" s="158" t="s">
        <v>470</v>
      </c>
      <c r="I359" s="306" t="s">
        <v>79</v>
      </c>
      <c r="J359" s="139"/>
      <c r="K359" s="139"/>
      <c r="L359" s="98" t="s">
        <v>55</v>
      </c>
      <c r="M359" s="79"/>
      <c r="N359" s="139"/>
      <c r="O359" s="139">
        <v>21</v>
      </c>
      <c r="P359" s="138">
        <v>0.75</v>
      </c>
      <c r="Q359" s="147">
        <v>0.72916666666666663</v>
      </c>
      <c r="R359" s="147">
        <v>0.73263888888888884</v>
      </c>
      <c r="S359" s="147">
        <v>0.74305555555555547</v>
      </c>
      <c r="T359" s="138">
        <f t="shared" si="30"/>
        <v>3.4722222222222099E-3</v>
      </c>
      <c r="U359" s="138">
        <f t="shared" si="30"/>
        <v>1.041666666666663E-2</v>
      </c>
      <c r="V359" s="147">
        <v>0.74652777777777779</v>
      </c>
      <c r="W359" s="148">
        <f t="shared" si="32"/>
        <v>1.736111111111116E-2</v>
      </c>
      <c r="X359" s="81"/>
    </row>
    <row r="360" spans="1:25" s="113" customFormat="1" x14ac:dyDescent="0.25">
      <c r="A360" s="140">
        <f t="shared" si="31"/>
        <v>8</v>
      </c>
      <c r="B360" s="157">
        <v>43879</v>
      </c>
      <c r="C360" s="157">
        <v>43879</v>
      </c>
      <c r="D360" s="100" t="s">
        <v>361</v>
      </c>
      <c r="E360" s="79"/>
      <c r="F360" s="153">
        <v>540</v>
      </c>
      <c r="G360" s="140" t="s">
        <v>736</v>
      </c>
      <c r="H360" s="158" t="s">
        <v>62</v>
      </c>
      <c r="I360" s="363" t="s">
        <v>72</v>
      </c>
      <c r="J360" s="139"/>
      <c r="K360" s="139"/>
      <c r="L360" s="98" t="s">
        <v>55</v>
      </c>
      <c r="M360" s="79"/>
      <c r="N360" s="139"/>
      <c r="O360" s="139">
        <v>26</v>
      </c>
      <c r="P360" s="138">
        <v>0.83333333333333337</v>
      </c>
      <c r="Q360" s="147">
        <v>0.81944444444444453</v>
      </c>
      <c r="R360" s="147">
        <v>0.82291666666666663</v>
      </c>
      <c r="S360" s="147">
        <v>0.83333333333333337</v>
      </c>
      <c r="T360" s="138">
        <f t="shared" si="30"/>
        <v>3.4722222222220989E-3</v>
      </c>
      <c r="U360" s="138">
        <f t="shared" si="30"/>
        <v>1.0416666666666741E-2</v>
      </c>
      <c r="V360" s="147">
        <v>0.83680555555555547</v>
      </c>
      <c r="W360" s="148">
        <f>U360-T360</f>
        <v>6.9444444444446418E-3</v>
      </c>
      <c r="X360" s="81"/>
    </row>
    <row r="361" spans="1:25" s="113" customFormat="1" x14ac:dyDescent="0.25">
      <c r="A361" s="140">
        <f t="shared" si="31"/>
        <v>8</v>
      </c>
      <c r="B361" s="157">
        <v>43879</v>
      </c>
      <c r="C361" s="157">
        <v>43879</v>
      </c>
      <c r="D361" s="100" t="s">
        <v>361</v>
      </c>
      <c r="E361" s="79"/>
      <c r="F361" s="153">
        <v>540</v>
      </c>
      <c r="G361" s="137" t="s">
        <v>852</v>
      </c>
      <c r="H361" s="158" t="s">
        <v>387</v>
      </c>
      <c r="I361" s="363" t="s">
        <v>341</v>
      </c>
      <c r="J361" s="139"/>
      <c r="K361" s="139"/>
      <c r="L361" s="98" t="s">
        <v>55</v>
      </c>
      <c r="M361" s="79"/>
      <c r="N361" s="139"/>
      <c r="O361" s="139">
        <v>21</v>
      </c>
      <c r="P361" s="138">
        <v>0.83333333333333337</v>
      </c>
      <c r="Q361" s="147">
        <v>0.84722222222222221</v>
      </c>
      <c r="R361" s="147">
        <v>0.85069444444444453</v>
      </c>
      <c r="S361" s="147">
        <v>0.86111111111111116</v>
      </c>
      <c r="T361" s="138">
        <f t="shared" si="30"/>
        <v>3.4722222222223209E-3</v>
      </c>
      <c r="U361" s="138">
        <f t="shared" si="30"/>
        <v>1.041666666666663E-2</v>
      </c>
      <c r="V361" s="147">
        <v>0.86458333333333337</v>
      </c>
      <c r="W361" s="148">
        <f>U361-T361</f>
        <v>6.9444444444443088E-3</v>
      </c>
      <c r="X361" s="81"/>
    </row>
    <row r="362" spans="1:25" s="113" customFormat="1" x14ac:dyDescent="0.25">
      <c r="A362" s="140">
        <f t="shared" si="31"/>
        <v>8</v>
      </c>
      <c r="B362" s="157">
        <v>43879</v>
      </c>
      <c r="C362" s="157">
        <v>43879</v>
      </c>
      <c r="D362" s="100" t="s">
        <v>361</v>
      </c>
      <c r="E362" s="79"/>
      <c r="F362" s="153">
        <v>540</v>
      </c>
      <c r="G362" s="137" t="s">
        <v>870</v>
      </c>
      <c r="H362" s="158" t="s">
        <v>65</v>
      </c>
      <c r="I362" s="340" t="s">
        <v>738</v>
      </c>
      <c r="J362" s="139"/>
      <c r="K362" s="139"/>
      <c r="L362" s="98" t="s">
        <v>55</v>
      </c>
      <c r="M362" s="79"/>
      <c r="N362" s="139"/>
      <c r="O362" s="139">
        <v>17</v>
      </c>
      <c r="P362" s="138">
        <v>0.875</v>
      </c>
      <c r="Q362" s="147">
        <v>0.875</v>
      </c>
      <c r="R362" s="147">
        <v>0.87847222222222221</v>
      </c>
      <c r="S362" s="147">
        <v>0.88541666666666663</v>
      </c>
      <c r="T362" s="138">
        <f t="shared" si="30"/>
        <v>3.4722222222222099E-3</v>
      </c>
      <c r="U362" s="138">
        <f t="shared" si="30"/>
        <v>6.9444444444444198E-3</v>
      </c>
      <c r="V362" s="147">
        <v>0.88888888888888884</v>
      </c>
      <c r="W362" s="148">
        <f>U362-T362</f>
        <v>3.4722222222222099E-3</v>
      </c>
      <c r="X362" s="81"/>
    </row>
    <row r="363" spans="1:25" s="113" customFormat="1" x14ac:dyDescent="0.25">
      <c r="A363" s="140">
        <f t="shared" si="31"/>
        <v>8</v>
      </c>
      <c r="B363" s="157">
        <v>43879</v>
      </c>
      <c r="C363" s="157">
        <v>43879</v>
      </c>
      <c r="D363" s="100"/>
      <c r="E363" s="79">
        <v>1000460709</v>
      </c>
      <c r="F363" s="153"/>
      <c r="G363" s="137" t="s">
        <v>67</v>
      </c>
      <c r="H363" s="158"/>
      <c r="I363" s="79"/>
      <c r="J363" s="139"/>
      <c r="K363" s="139"/>
      <c r="L363" s="98" t="s">
        <v>75</v>
      </c>
      <c r="M363" s="79"/>
      <c r="N363" s="139"/>
      <c r="O363" s="139"/>
      <c r="P363" s="138">
        <v>0.41666666666666669</v>
      </c>
      <c r="Q363" s="147"/>
      <c r="R363" s="147"/>
      <c r="S363" s="147"/>
      <c r="T363" s="138">
        <f t="shared" si="30"/>
        <v>0</v>
      </c>
      <c r="U363" s="138">
        <f t="shared" si="30"/>
        <v>0</v>
      </c>
      <c r="V363" s="147"/>
      <c r="W363" s="148">
        <f>U363-T363</f>
        <v>0</v>
      </c>
      <c r="X363" s="81"/>
    </row>
    <row r="364" spans="1:25" s="113" customFormat="1" x14ac:dyDescent="0.25">
      <c r="A364" s="140">
        <f t="shared" si="31"/>
        <v>8</v>
      </c>
      <c r="B364" s="157">
        <v>43879</v>
      </c>
      <c r="C364" s="157">
        <v>43879</v>
      </c>
      <c r="D364" s="100" t="s">
        <v>68</v>
      </c>
      <c r="E364" s="79">
        <v>1000460714</v>
      </c>
      <c r="F364" s="153">
        <v>120</v>
      </c>
      <c r="G364" s="137" t="s">
        <v>71</v>
      </c>
      <c r="H364" s="158" t="s">
        <v>858</v>
      </c>
      <c r="I364" s="79" t="s">
        <v>857</v>
      </c>
      <c r="J364" s="139" t="s">
        <v>19</v>
      </c>
      <c r="K364" s="139"/>
      <c r="L364" s="98" t="s">
        <v>55</v>
      </c>
      <c r="M364" s="79">
        <v>80</v>
      </c>
      <c r="N364" s="139" t="s">
        <v>51</v>
      </c>
      <c r="O364" s="139">
        <v>36</v>
      </c>
      <c r="P364" s="138">
        <v>0.45833333333333331</v>
      </c>
      <c r="Q364" s="147">
        <v>0.33680555555555558</v>
      </c>
      <c r="R364" s="147">
        <v>0.38541666666666669</v>
      </c>
      <c r="S364" s="147">
        <v>0.41666666666666669</v>
      </c>
      <c r="T364" s="138">
        <f t="shared" si="30"/>
        <v>4.8611111111111105E-2</v>
      </c>
      <c r="U364" s="138">
        <f t="shared" si="30"/>
        <v>3.125E-2</v>
      </c>
      <c r="V364" s="147">
        <v>0.4201388888888889</v>
      </c>
      <c r="W364" s="148">
        <f t="shared" si="32"/>
        <v>8.3333333333333315E-2</v>
      </c>
      <c r="X364" s="81"/>
    </row>
    <row r="365" spans="1:25" s="113" customFormat="1" ht="16.5" thickBot="1" x14ac:dyDescent="0.3">
      <c r="A365" s="185">
        <f t="shared" si="31"/>
        <v>8</v>
      </c>
      <c r="B365" s="186">
        <v>43879</v>
      </c>
      <c r="C365" s="186">
        <v>43879</v>
      </c>
      <c r="D365" s="236" t="s">
        <v>337</v>
      </c>
      <c r="E365" s="172">
        <v>1000460726</v>
      </c>
      <c r="F365" s="187">
        <v>300</v>
      </c>
      <c r="G365" s="185" t="s">
        <v>74</v>
      </c>
      <c r="H365" s="188" t="s">
        <v>859</v>
      </c>
      <c r="I365" s="172" t="s">
        <v>860</v>
      </c>
      <c r="J365" s="189" t="s">
        <v>19</v>
      </c>
      <c r="K365" s="189"/>
      <c r="L365" s="172" t="s">
        <v>55</v>
      </c>
      <c r="M365" s="172">
        <v>80</v>
      </c>
      <c r="N365" s="189" t="s">
        <v>51</v>
      </c>
      <c r="O365" s="189">
        <v>36</v>
      </c>
      <c r="P365" s="190">
        <v>0.54166666666666663</v>
      </c>
      <c r="Q365" s="191">
        <v>0.67708333333333337</v>
      </c>
      <c r="R365" s="191">
        <v>0.68055555555555547</v>
      </c>
      <c r="S365" s="191">
        <v>0.70138888888888884</v>
      </c>
      <c r="T365" s="190">
        <f t="shared" si="30"/>
        <v>3.4722222222220989E-3</v>
      </c>
      <c r="U365" s="190">
        <f t="shared" si="30"/>
        <v>2.083333333333337E-2</v>
      </c>
      <c r="V365" s="191">
        <v>0.70486111111111116</v>
      </c>
      <c r="W365" s="191">
        <f t="shared" si="32"/>
        <v>2.777777777777779E-2</v>
      </c>
      <c r="X365" s="174"/>
      <c r="Y365" s="268"/>
    </row>
    <row r="366" spans="1:25" s="113" customFormat="1" x14ac:dyDescent="0.25">
      <c r="A366" s="140">
        <f t="shared" si="31"/>
        <v>8</v>
      </c>
      <c r="B366" s="157">
        <v>43880</v>
      </c>
      <c r="C366" s="157">
        <v>43880</v>
      </c>
      <c r="D366" s="102" t="s">
        <v>361</v>
      </c>
      <c r="E366" s="98"/>
      <c r="F366" s="177">
        <v>540</v>
      </c>
      <c r="G366" s="140" t="s">
        <v>53</v>
      </c>
      <c r="H366" s="178" t="s">
        <v>667</v>
      </c>
      <c r="I366" s="143" t="s">
        <v>54</v>
      </c>
      <c r="J366" s="142"/>
      <c r="K366" s="142"/>
      <c r="L366" s="98" t="s">
        <v>55</v>
      </c>
      <c r="M366" s="98"/>
      <c r="N366" s="142"/>
      <c r="O366" s="142">
        <v>28</v>
      </c>
      <c r="P366" s="179">
        <v>0.66666666666666663</v>
      </c>
      <c r="Q366" s="148">
        <v>0.6875</v>
      </c>
      <c r="R366" s="148">
        <v>0.69097222222222221</v>
      </c>
      <c r="S366" s="148">
        <v>0.70486111111111116</v>
      </c>
      <c r="T366" s="179">
        <f t="shared" si="30"/>
        <v>3.4722222222222099E-3</v>
      </c>
      <c r="U366" s="179">
        <f t="shared" si="30"/>
        <v>1.3888888888888951E-2</v>
      </c>
      <c r="V366" s="148">
        <v>0.70833333333333337</v>
      </c>
      <c r="W366" s="148">
        <f t="shared" si="32"/>
        <v>2.083333333333337E-2</v>
      </c>
      <c r="X366" s="96" t="s">
        <v>884</v>
      </c>
    </row>
    <row r="367" spans="1:25" s="113" customFormat="1" x14ac:dyDescent="0.25">
      <c r="A367" s="140">
        <f t="shared" si="31"/>
        <v>8</v>
      </c>
      <c r="B367" s="157">
        <v>43880</v>
      </c>
      <c r="C367" s="157">
        <v>43880</v>
      </c>
      <c r="D367" s="100" t="s">
        <v>361</v>
      </c>
      <c r="E367" s="79"/>
      <c r="F367" s="153">
        <v>540</v>
      </c>
      <c r="G367" s="137" t="s">
        <v>56</v>
      </c>
      <c r="H367" s="158" t="s">
        <v>317</v>
      </c>
      <c r="I367" s="143" t="s">
        <v>58</v>
      </c>
      <c r="J367" s="139"/>
      <c r="K367" s="139"/>
      <c r="L367" s="98" t="s">
        <v>55</v>
      </c>
      <c r="M367" s="79"/>
      <c r="N367" s="139"/>
      <c r="O367" s="139">
        <v>30</v>
      </c>
      <c r="P367" s="138">
        <v>0.70833333333333337</v>
      </c>
      <c r="Q367" s="147">
        <v>0.70138888888888884</v>
      </c>
      <c r="R367" s="147">
        <v>0.71180555555555547</v>
      </c>
      <c r="S367" s="147">
        <v>0.72916666666666663</v>
      </c>
      <c r="T367" s="138">
        <f t="shared" si="30"/>
        <v>1.041666666666663E-2</v>
      </c>
      <c r="U367" s="138">
        <f t="shared" si="30"/>
        <v>1.736111111111116E-2</v>
      </c>
      <c r="V367" s="147">
        <v>0.73263888888888884</v>
      </c>
      <c r="W367" s="148">
        <f t="shared" si="32"/>
        <v>3.125E-2</v>
      </c>
      <c r="X367" s="81" t="s">
        <v>885</v>
      </c>
    </row>
    <row r="368" spans="1:25" s="113" customFormat="1" x14ac:dyDescent="0.25">
      <c r="A368" s="140">
        <f t="shared" si="31"/>
        <v>8</v>
      </c>
      <c r="B368" s="157">
        <v>43880</v>
      </c>
      <c r="C368" s="157">
        <v>43880</v>
      </c>
      <c r="D368" s="100" t="s">
        <v>361</v>
      </c>
      <c r="E368" s="79"/>
      <c r="F368" s="153">
        <v>540</v>
      </c>
      <c r="G368" s="137" t="s">
        <v>59</v>
      </c>
      <c r="H368" s="158" t="s">
        <v>330</v>
      </c>
      <c r="I368" s="306" t="s">
        <v>63</v>
      </c>
      <c r="J368" s="139"/>
      <c r="K368" s="139"/>
      <c r="L368" s="98" t="s">
        <v>55</v>
      </c>
      <c r="M368" s="79"/>
      <c r="N368" s="139"/>
      <c r="O368" s="139">
        <v>26</v>
      </c>
      <c r="P368" s="138">
        <v>0.75</v>
      </c>
      <c r="Q368" s="147">
        <v>0.74305555555555547</v>
      </c>
      <c r="R368" s="147">
        <v>0.74652777777777779</v>
      </c>
      <c r="S368" s="147">
        <v>0.76041666666666663</v>
      </c>
      <c r="T368" s="138">
        <f t="shared" si="30"/>
        <v>3.4722222222223209E-3</v>
      </c>
      <c r="U368" s="138">
        <f t="shared" si="30"/>
        <v>1.388888888888884E-2</v>
      </c>
      <c r="V368" s="147">
        <v>0.76736111111111116</v>
      </c>
      <c r="W368" s="148">
        <f t="shared" si="32"/>
        <v>2.4305555555555691E-2</v>
      </c>
      <c r="X368" s="81"/>
    </row>
    <row r="369" spans="1:25" s="113" customFormat="1" x14ac:dyDescent="0.25">
      <c r="A369" s="140">
        <f t="shared" si="31"/>
        <v>8</v>
      </c>
      <c r="B369" s="157">
        <v>43880</v>
      </c>
      <c r="C369" s="157">
        <v>43880</v>
      </c>
      <c r="D369" s="100" t="s">
        <v>337</v>
      </c>
      <c r="E369" s="79"/>
      <c r="F369" s="153">
        <v>540</v>
      </c>
      <c r="G369" s="137" t="s">
        <v>61</v>
      </c>
      <c r="H369" s="158" t="s">
        <v>470</v>
      </c>
      <c r="I369" s="306" t="s">
        <v>355</v>
      </c>
      <c r="J369" s="139"/>
      <c r="K369" s="139"/>
      <c r="L369" s="98" t="s">
        <v>55</v>
      </c>
      <c r="M369" s="79"/>
      <c r="N369" s="139"/>
      <c r="O369" s="139">
        <v>13</v>
      </c>
      <c r="P369" s="138">
        <v>0.75</v>
      </c>
      <c r="Q369" s="147">
        <v>0.8125</v>
      </c>
      <c r="R369" s="147">
        <v>0.81597222222222221</v>
      </c>
      <c r="S369" s="147">
        <v>0.82291666666666663</v>
      </c>
      <c r="T369" s="138">
        <f t="shared" si="30"/>
        <v>3.4722222222222099E-3</v>
      </c>
      <c r="U369" s="138">
        <f t="shared" si="30"/>
        <v>6.9444444444444198E-3</v>
      </c>
      <c r="V369" s="147">
        <v>0.82638888888888884</v>
      </c>
      <c r="W369" s="148">
        <f t="shared" si="32"/>
        <v>1.388888888888884E-2</v>
      </c>
      <c r="X369" s="81"/>
    </row>
    <row r="370" spans="1:25" s="113" customFormat="1" x14ac:dyDescent="0.25">
      <c r="A370" s="140">
        <f t="shared" si="31"/>
        <v>8</v>
      </c>
      <c r="B370" s="157">
        <v>43880</v>
      </c>
      <c r="C370" s="157">
        <v>43880</v>
      </c>
      <c r="D370" s="100" t="s">
        <v>361</v>
      </c>
      <c r="E370" s="79"/>
      <c r="F370" s="153">
        <v>540</v>
      </c>
      <c r="G370" s="137" t="s">
        <v>64</v>
      </c>
      <c r="H370" s="158" t="s">
        <v>57</v>
      </c>
      <c r="I370" s="363" t="s">
        <v>72</v>
      </c>
      <c r="J370" s="139"/>
      <c r="K370" s="139"/>
      <c r="L370" s="98" t="s">
        <v>55</v>
      </c>
      <c r="M370" s="79"/>
      <c r="N370" s="139"/>
      <c r="O370" s="139">
        <v>24</v>
      </c>
      <c r="P370" s="138">
        <v>0.83333333333333337</v>
      </c>
      <c r="Q370" s="147">
        <v>0.82638888888888884</v>
      </c>
      <c r="R370" s="147">
        <v>0.82986111111111116</v>
      </c>
      <c r="S370" s="147">
        <v>0.84375</v>
      </c>
      <c r="T370" s="138">
        <f t="shared" si="30"/>
        <v>3.4722222222223209E-3</v>
      </c>
      <c r="U370" s="138">
        <f t="shared" si="30"/>
        <v>1.388888888888884E-2</v>
      </c>
      <c r="V370" s="147">
        <v>0.84722222222222221</v>
      </c>
      <c r="W370" s="148">
        <f t="shared" si="32"/>
        <v>2.083333333333337E-2</v>
      </c>
      <c r="X370" s="81"/>
    </row>
    <row r="371" spans="1:25" s="113" customFormat="1" x14ac:dyDescent="0.25">
      <c r="A371" s="140">
        <f t="shared" si="31"/>
        <v>8</v>
      </c>
      <c r="B371" s="157">
        <v>43880</v>
      </c>
      <c r="C371" s="157">
        <v>43880</v>
      </c>
      <c r="D371" s="100" t="s">
        <v>361</v>
      </c>
      <c r="E371" s="79"/>
      <c r="F371" s="153">
        <v>540</v>
      </c>
      <c r="G371" s="137" t="s">
        <v>77</v>
      </c>
      <c r="H371" s="158" t="s">
        <v>80</v>
      </c>
      <c r="I371" s="363" t="s">
        <v>341</v>
      </c>
      <c r="J371" s="139"/>
      <c r="K371" s="139"/>
      <c r="L371" s="98" t="s">
        <v>55</v>
      </c>
      <c r="M371" s="79"/>
      <c r="N371" s="139"/>
      <c r="O371" s="139">
        <v>16</v>
      </c>
      <c r="P371" s="138">
        <v>0.83333333333333337</v>
      </c>
      <c r="Q371" s="147">
        <v>0.81944444444444453</v>
      </c>
      <c r="R371" s="147">
        <v>0.82291666666666663</v>
      </c>
      <c r="S371" s="147">
        <v>0.82986111111111116</v>
      </c>
      <c r="T371" s="138">
        <f t="shared" si="30"/>
        <v>3.4722222222220989E-3</v>
      </c>
      <c r="U371" s="138">
        <f t="shared" si="30"/>
        <v>6.9444444444445308E-3</v>
      </c>
      <c r="V371" s="147">
        <v>0.83333333333333337</v>
      </c>
      <c r="W371" s="148">
        <f t="shared" si="32"/>
        <v>1.388888888888884E-2</v>
      </c>
      <c r="X371" s="81"/>
    </row>
    <row r="372" spans="1:25" s="113" customFormat="1" x14ac:dyDescent="0.25">
      <c r="A372" s="140">
        <f t="shared" si="31"/>
        <v>8</v>
      </c>
      <c r="B372" s="157">
        <v>43880</v>
      </c>
      <c r="C372" s="157">
        <v>43880</v>
      </c>
      <c r="D372" s="100" t="s">
        <v>337</v>
      </c>
      <c r="E372" s="79"/>
      <c r="F372" s="153">
        <v>540</v>
      </c>
      <c r="G372" s="137" t="s">
        <v>493</v>
      </c>
      <c r="H372" s="158" t="s">
        <v>76</v>
      </c>
      <c r="I372" s="340" t="s">
        <v>738</v>
      </c>
      <c r="J372" s="139"/>
      <c r="K372" s="139"/>
      <c r="L372" s="98" t="s">
        <v>55</v>
      </c>
      <c r="M372" s="79"/>
      <c r="N372" s="139"/>
      <c r="O372" s="139">
        <v>23</v>
      </c>
      <c r="P372" s="138">
        <v>0.875</v>
      </c>
      <c r="Q372" s="147">
        <v>0.84027777777777779</v>
      </c>
      <c r="R372" s="147">
        <v>0.84722222222222221</v>
      </c>
      <c r="S372" s="147">
        <v>0.85416666666666663</v>
      </c>
      <c r="T372" s="138">
        <f t="shared" si="30"/>
        <v>6.9444444444444198E-3</v>
      </c>
      <c r="U372" s="138">
        <f t="shared" si="30"/>
        <v>6.9444444444444198E-3</v>
      </c>
      <c r="V372" s="147">
        <v>0.85763888888888884</v>
      </c>
      <c r="W372" s="148">
        <f t="shared" si="32"/>
        <v>1.7361111111111049E-2</v>
      </c>
      <c r="X372" s="81"/>
    </row>
    <row r="373" spans="1:25" s="113" customFormat="1" x14ac:dyDescent="0.25">
      <c r="A373" s="140">
        <f>WEEKNUM(B373,21)</f>
        <v>8</v>
      </c>
      <c r="B373" s="157">
        <v>43880</v>
      </c>
      <c r="C373" s="157">
        <v>43880</v>
      </c>
      <c r="D373" s="100" t="s">
        <v>337</v>
      </c>
      <c r="E373" s="79"/>
      <c r="F373" s="153">
        <v>540</v>
      </c>
      <c r="G373" s="137" t="s">
        <v>736</v>
      </c>
      <c r="H373" s="158" t="s">
        <v>387</v>
      </c>
      <c r="I373" s="306" t="s">
        <v>78</v>
      </c>
      <c r="J373" s="139"/>
      <c r="K373" s="139"/>
      <c r="L373" s="98" t="s">
        <v>55</v>
      </c>
      <c r="M373" s="79"/>
      <c r="N373" s="139"/>
      <c r="O373" s="139">
        <v>11</v>
      </c>
      <c r="P373" s="138">
        <v>0.89583333333333337</v>
      </c>
      <c r="Q373" s="147">
        <v>0.86111111111111116</v>
      </c>
      <c r="R373" s="147">
        <v>0.86458333333333337</v>
      </c>
      <c r="S373" s="147">
        <v>0.875</v>
      </c>
      <c r="T373" s="138">
        <f>R373-Q373</f>
        <v>3.4722222222222099E-3</v>
      </c>
      <c r="U373" s="138">
        <f>S373-R373</f>
        <v>1.041666666666663E-2</v>
      </c>
      <c r="V373" s="147">
        <v>0.88888888888888884</v>
      </c>
      <c r="W373" s="148">
        <f>V373-Q373</f>
        <v>2.7777777777777679E-2</v>
      </c>
      <c r="X373" s="81"/>
    </row>
    <row r="374" spans="1:25" s="113" customFormat="1" x14ac:dyDescent="0.25">
      <c r="A374" s="140">
        <f t="shared" si="31"/>
        <v>8</v>
      </c>
      <c r="B374" s="157">
        <v>43880</v>
      </c>
      <c r="C374" s="157">
        <v>43880</v>
      </c>
      <c r="D374" s="100"/>
      <c r="E374" s="79">
        <v>1000460710</v>
      </c>
      <c r="F374" s="153"/>
      <c r="G374" s="137" t="s">
        <v>69</v>
      </c>
      <c r="H374" s="158"/>
      <c r="I374" s="79"/>
      <c r="J374" s="139"/>
      <c r="K374" s="139"/>
      <c r="L374" s="98" t="s">
        <v>75</v>
      </c>
      <c r="M374" s="79"/>
      <c r="N374" s="139"/>
      <c r="O374" s="139"/>
      <c r="P374" s="138">
        <v>0.41666666666666669</v>
      </c>
      <c r="Q374" s="147"/>
      <c r="R374" s="147"/>
      <c r="S374" s="147"/>
      <c r="T374" s="138">
        <f t="shared" si="30"/>
        <v>0</v>
      </c>
      <c r="U374" s="138">
        <f t="shared" si="30"/>
        <v>0</v>
      </c>
      <c r="V374" s="147"/>
      <c r="W374" s="148">
        <f>U374-T374</f>
        <v>0</v>
      </c>
      <c r="X374" s="81"/>
    </row>
    <row r="375" spans="1:25" s="113" customFormat="1" x14ac:dyDescent="0.25">
      <c r="A375" s="140">
        <f t="shared" si="31"/>
        <v>8</v>
      </c>
      <c r="B375" s="157">
        <v>43880</v>
      </c>
      <c r="C375" s="157">
        <v>43880</v>
      </c>
      <c r="D375" s="100" t="s">
        <v>68</v>
      </c>
      <c r="E375" s="79">
        <v>1000460720</v>
      </c>
      <c r="F375" s="153">
        <v>720</v>
      </c>
      <c r="G375" s="137" t="s">
        <v>70</v>
      </c>
      <c r="H375" s="158" t="s">
        <v>573</v>
      </c>
      <c r="I375" s="79" t="s">
        <v>872</v>
      </c>
      <c r="J375" s="139" t="s">
        <v>19</v>
      </c>
      <c r="K375" s="139"/>
      <c r="L375" s="98" t="s">
        <v>55</v>
      </c>
      <c r="M375" s="79">
        <v>80</v>
      </c>
      <c r="N375" s="139" t="s">
        <v>51</v>
      </c>
      <c r="O375" s="139">
        <v>38</v>
      </c>
      <c r="P375" s="138">
        <v>0.45833333333333331</v>
      </c>
      <c r="Q375" s="147">
        <v>0.36041666666666666</v>
      </c>
      <c r="R375" s="147">
        <v>0.37152777777777773</v>
      </c>
      <c r="S375" s="147">
        <v>0.39583333333333331</v>
      </c>
      <c r="T375" s="138">
        <f t="shared" si="30"/>
        <v>1.1111111111111072E-2</v>
      </c>
      <c r="U375" s="138">
        <f t="shared" si="30"/>
        <v>2.430555555555558E-2</v>
      </c>
      <c r="V375" s="147">
        <v>0.40625</v>
      </c>
      <c r="W375" s="148">
        <f>U375-T375</f>
        <v>1.3194444444444509E-2</v>
      </c>
      <c r="X375" s="81"/>
    </row>
    <row r="376" spans="1:25" s="113" customFormat="1" ht="16.5" thickBot="1" x14ac:dyDescent="0.3">
      <c r="A376" s="185">
        <f t="shared" si="31"/>
        <v>8</v>
      </c>
      <c r="B376" s="186">
        <v>43880</v>
      </c>
      <c r="C376" s="186">
        <v>43880</v>
      </c>
      <c r="D376" s="236" t="s">
        <v>68</v>
      </c>
      <c r="E376" s="172">
        <v>1000460723</v>
      </c>
      <c r="F376" s="187">
        <v>240</v>
      </c>
      <c r="G376" s="185" t="s">
        <v>73</v>
      </c>
      <c r="H376" s="188" t="s">
        <v>871</v>
      </c>
      <c r="I376" s="172" t="s">
        <v>861</v>
      </c>
      <c r="J376" s="189" t="s">
        <v>19</v>
      </c>
      <c r="K376" s="189"/>
      <c r="L376" s="172" t="s">
        <v>55</v>
      </c>
      <c r="M376" s="172">
        <v>80</v>
      </c>
      <c r="N376" s="189" t="s">
        <v>51</v>
      </c>
      <c r="O376" s="189">
        <v>46</v>
      </c>
      <c r="P376" s="190">
        <v>0.5</v>
      </c>
      <c r="Q376" s="191">
        <v>0.59722222222222221</v>
      </c>
      <c r="R376" s="191">
        <v>0.60069444444444442</v>
      </c>
      <c r="S376" s="191">
        <v>0.63194444444444442</v>
      </c>
      <c r="T376" s="190">
        <f t="shared" si="30"/>
        <v>3.4722222222222099E-3</v>
      </c>
      <c r="U376" s="190">
        <f t="shared" si="30"/>
        <v>3.125E-2</v>
      </c>
      <c r="V376" s="191">
        <v>0.63888888888888895</v>
      </c>
      <c r="W376" s="191">
        <f t="shared" si="32"/>
        <v>4.1666666666666741E-2</v>
      </c>
      <c r="X376" s="174"/>
      <c r="Y376" s="268"/>
    </row>
    <row r="377" spans="1:25" s="113" customFormat="1" x14ac:dyDescent="0.25">
      <c r="A377" s="140">
        <f t="shared" si="31"/>
        <v>8</v>
      </c>
      <c r="B377" s="157">
        <v>43881</v>
      </c>
      <c r="C377" s="157">
        <v>43881</v>
      </c>
      <c r="D377" s="102" t="s">
        <v>361</v>
      </c>
      <c r="E377" s="98"/>
      <c r="F377" s="177">
        <v>600</v>
      </c>
      <c r="G377" s="140" t="s">
        <v>53</v>
      </c>
      <c r="H377" s="178" t="s">
        <v>667</v>
      </c>
      <c r="I377" s="143" t="s">
        <v>54</v>
      </c>
      <c r="J377" s="142"/>
      <c r="K377" s="142"/>
      <c r="L377" s="98" t="s">
        <v>55</v>
      </c>
      <c r="M377" s="98"/>
      <c r="N377" s="142"/>
      <c r="O377" s="142">
        <v>28</v>
      </c>
      <c r="P377" s="179">
        <v>0.66666666666666663</v>
      </c>
      <c r="Q377" s="148">
        <v>0.65625</v>
      </c>
      <c r="R377" s="148">
        <v>0.66666666666666663</v>
      </c>
      <c r="S377" s="148">
        <v>0.70138888888888884</v>
      </c>
      <c r="T377" s="179">
        <f t="shared" si="30"/>
        <v>1.041666666666663E-2</v>
      </c>
      <c r="U377" s="179">
        <f t="shared" si="30"/>
        <v>3.472222222222221E-2</v>
      </c>
      <c r="V377" s="148">
        <v>0.70486111111111116</v>
      </c>
      <c r="W377" s="148">
        <f t="shared" si="32"/>
        <v>4.861111111111116E-2</v>
      </c>
      <c r="X377" s="96"/>
    </row>
    <row r="378" spans="1:25" s="113" customFormat="1" x14ac:dyDescent="0.25">
      <c r="A378" s="140">
        <f t="shared" si="31"/>
        <v>8</v>
      </c>
      <c r="B378" s="157">
        <v>43881</v>
      </c>
      <c r="C378" s="157">
        <v>43881</v>
      </c>
      <c r="D378" s="100" t="s">
        <v>337</v>
      </c>
      <c r="E378" s="79"/>
      <c r="F378" s="153">
        <v>600</v>
      </c>
      <c r="G378" s="137" t="s">
        <v>56</v>
      </c>
      <c r="H378" s="158" t="s">
        <v>62</v>
      </c>
      <c r="I378" s="143" t="s">
        <v>58</v>
      </c>
      <c r="J378" s="139"/>
      <c r="K378" s="139"/>
      <c r="L378" s="98" t="s">
        <v>55</v>
      </c>
      <c r="M378" s="79"/>
      <c r="N378" s="139"/>
      <c r="O378" s="139">
        <v>24</v>
      </c>
      <c r="P378" s="138">
        <v>0.70833333333333337</v>
      </c>
      <c r="Q378" s="147">
        <v>0.67361111111111116</v>
      </c>
      <c r="R378" s="147">
        <v>0.6875</v>
      </c>
      <c r="S378" s="147">
        <v>0.70833333333333337</v>
      </c>
      <c r="T378" s="138">
        <f t="shared" si="30"/>
        <v>1.388888888888884E-2</v>
      </c>
      <c r="U378" s="138">
        <f t="shared" si="30"/>
        <v>2.083333333333337E-2</v>
      </c>
      <c r="V378" s="147">
        <v>0.71180555555555547</v>
      </c>
      <c r="W378" s="148">
        <f t="shared" si="32"/>
        <v>3.8194444444444309E-2</v>
      </c>
      <c r="X378" s="81"/>
    </row>
    <row r="379" spans="1:25" s="113" customFormat="1" x14ac:dyDescent="0.25">
      <c r="A379" s="140">
        <f t="shared" si="31"/>
        <v>8</v>
      </c>
      <c r="B379" s="157">
        <v>43881</v>
      </c>
      <c r="C379" s="157">
        <v>43881</v>
      </c>
      <c r="D379" s="100" t="s">
        <v>361</v>
      </c>
      <c r="E379" s="79"/>
      <c r="F379" s="153">
        <v>600</v>
      </c>
      <c r="G379" s="137" t="s">
        <v>59</v>
      </c>
      <c r="H379" s="158" t="s">
        <v>470</v>
      </c>
      <c r="I379" s="306" t="s">
        <v>63</v>
      </c>
      <c r="J379" s="139"/>
      <c r="K379" s="139"/>
      <c r="L379" s="98" t="s">
        <v>55</v>
      </c>
      <c r="M379" s="79"/>
      <c r="N379" s="139"/>
      <c r="O379" s="139">
        <v>31</v>
      </c>
      <c r="P379" s="138">
        <v>0.75</v>
      </c>
      <c r="Q379" s="147">
        <v>0.74652777777777779</v>
      </c>
      <c r="R379" s="147">
        <v>0.75</v>
      </c>
      <c r="S379" s="147">
        <v>0.76736111111111116</v>
      </c>
      <c r="T379" s="138">
        <f t="shared" si="30"/>
        <v>3.4722222222222099E-3</v>
      </c>
      <c r="U379" s="138">
        <f t="shared" si="30"/>
        <v>1.736111111111116E-2</v>
      </c>
      <c r="V379" s="147">
        <v>0.77430555555555547</v>
      </c>
      <c r="W379" s="148">
        <f t="shared" si="32"/>
        <v>2.7777777777777679E-2</v>
      </c>
      <c r="X379" s="81"/>
    </row>
    <row r="380" spans="1:25" s="113" customFormat="1" x14ac:dyDescent="0.25">
      <c r="A380" s="140">
        <f t="shared" si="31"/>
        <v>8</v>
      </c>
      <c r="B380" s="157">
        <v>43881</v>
      </c>
      <c r="C380" s="157">
        <v>43881</v>
      </c>
      <c r="D380" s="100" t="s">
        <v>337</v>
      </c>
      <c r="E380" s="79"/>
      <c r="F380" s="79">
        <v>600</v>
      </c>
      <c r="G380" s="137" t="s">
        <v>61</v>
      </c>
      <c r="H380" s="158" t="s">
        <v>317</v>
      </c>
      <c r="I380" s="363" t="s">
        <v>72</v>
      </c>
      <c r="J380" s="139"/>
      <c r="K380" s="139"/>
      <c r="L380" s="98" t="s">
        <v>55</v>
      </c>
      <c r="M380" s="79"/>
      <c r="N380" s="139"/>
      <c r="O380" s="139">
        <v>29</v>
      </c>
      <c r="P380" s="138">
        <v>0.75</v>
      </c>
      <c r="Q380" s="147">
        <v>0.82291666666666663</v>
      </c>
      <c r="R380" s="147">
        <v>0.82638888888888884</v>
      </c>
      <c r="S380" s="147">
        <v>0.84375</v>
      </c>
      <c r="T380" s="138">
        <f t="shared" si="30"/>
        <v>3.4722222222222099E-3</v>
      </c>
      <c r="U380" s="138">
        <f t="shared" si="30"/>
        <v>1.736111111111116E-2</v>
      </c>
      <c r="V380" s="147">
        <v>0.84722222222222221</v>
      </c>
      <c r="W380" s="148">
        <f t="shared" si="32"/>
        <v>2.430555555555558E-2</v>
      </c>
      <c r="X380" s="81"/>
    </row>
    <row r="381" spans="1:25" s="113" customFormat="1" x14ac:dyDescent="0.25">
      <c r="A381" s="140">
        <f t="shared" si="31"/>
        <v>8</v>
      </c>
      <c r="B381" s="157">
        <v>43881</v>
      </c>
      <c r="C381" s="157">
        <v>43881</v>
      </c>
      <c r="D381" s="100" t="s">
        <v>361</v>
      </c>
      <c r="E381" s="79"/>
      <c r="F381" s="153">
        <v>600</v>
      </c>
      <c r="G381" s="137" t="s">
        <v>64</v>
      </c>
      <c r="H381" s="158" t="s">
        <v>65</v>
      </c>
      <c r="I381" s="363" t="s">
        <v>341</v>
      </c>
      <c r="J381" s="139"/>
      <c r="K381" s="139"/>
      <c r="L381" s="98" t="s">
        <v>55</v>
      </c>
      <c r="M381" s="79"/>
      <c r="N381" s="139"/>
      <c r="O381" s="139">
        <v>9</v>
      </c>
      <c r="P381" s="138">
        <v>0.83333333333333337</v>
      </c>
      <c r="Q381" s="147">
        <v>0.82986111111111116</v>
      </c>
      <c r="R381" s="147">
        <v>0.83333333333333337</v>
      </c>
      <c r="S381" s="147">
        <v>0.83680555555555547</v>
      </c>
      <c r="T381" s="138">
        <f t="shared" si="30"/>
        <v>3.4722222222222099E-3</v>
      </c>
      <c r="U381" s="138">
        <f t="shared" si="30"/>
        <v>3.4722222222220989E-3</v>
      </c>
      <c r="V381" s="147">
        <v>0.84027777777777779</v>
      </c>
      <c r="W381" s="148">
        <f t="shared" si="32"/>
        <v>1.041666666666663E-2</v>
      </c>
      <c r="X381" s="81"/>
    </row>
    <row r="382" spans="1:25" s="113" customFormat="1" x14ac:dyDescent="0.25">
      <c r="A382" s="140">
        <f t="shared" si="31"/>
        <v>8</v>
      </c>
      <c r="B382" s="157">
        <v>43881</v>
      </c>
      <c r="C382" s="157">
        <v>43881</v>
      </c>
      <c r="D382" s="100" t="s">
        <v>361</v>
      </c>
      <c r="E382" s="79"/>
      <c r="F382" s="153">
        <v>540</v>
      </c>
      <c r="G382" s="137" t="s">
        <v>77</v>
      </c>
      <c r="H382" s="158" t="s">
        <v>330</v>
      </c>
      <c r="I382" s="306" t="s">
        <v>355</v>
      </c>
      <c r="J382" s="139"/>
      <c r="K382" s="139"/>
      <c r="L382" s="98" t="s">
        <v>55</v>
      </c>
      <c r="M382" s="79"/>
      <c r="N382" s="139"/>
      <c r="O382" s="139">
        <v>31</v>
      </c>
      <c r="P382" s="138">
        <v>0.875</v>
      </c>
      <c r="Q382" s="147">
        <v>0.875</v>
      </c>
      <c r="R382" s="147">
        <v>0.88541666666666663</v>
      </c>
      <c r="S382" s="147">
        <v>0.89930555555555547</v>
      </c>
      <c r="T382" s="138">
        <f t="shared" si="30"/>
        <v>1.041666666666663E-2</v>
      </c>
      <c r="U382" s="138">
        <f t="shared" si="30"/>
        <v>1.388888888888884E-2</v>
      </c>
      <c r="V382" s="147">
        <v>0.90277777777777779</v>
      </c>
      <c r="W382" s="148">
        <f t="shared" si="32"/>
        <v>2.777777777777779E-2</v>
      </c>
      <c r="X382" s="81"/>
    </row>
    <row r="383" spans="1:25" s="113" customFormat="1" x14ac:dyDescent="0.25">
      <c r="A383" s="140">
        <f t="shared" si="31"/>
        <v>8</v>
      </c>
      <c r="B383" s="157">
        <v>43881</v>
      </c>
      <c r="C383" s="157">
        <v>43881</v>
      </c>
      <c r="D383" s="100" t="s">
        <v>337</v>
      </c>
      <c r="E383" s="79"/>
      <c r="F383" s="153">
        <v>600</v>
      </c>
      <c r="G383" s="137" t="s">
        <v>493</v>
      </c>
      <c r="H383" s="158" t="s">
        <v>80</v>
      </c>
      <c r="I383" s="306" t="s">
        <v>78</v>
      </c>
      <c r="J383" s="139"/>
      <c r="K383" s="139"/>
      <c r="L383" s="98" t="s">
        <v>55</v>
      </c>
      <c r="M383" s="79"/>
      <c r="N383" s="139"/>
      <c r="O383" s="139">
        <v>26</v>
      </c>
      <c r="P383" s="138">
        <v>0.875</v>
      </c>
      <c r="Q383" s="147">
        <v>0.83680555555555547</v>
      </c>
      <c r="R383" s="147">
        <v>0.84375</v>
      </c>
      <c r="S383" s="147">
        <v>0.85416666666666663</v>
      </c>
      <c r="T383" s="138">
        <f t="shared" ref="T383:U452" si="34">R383-Q383</f>
        <v>6.9444444444445308E-3</v>
      </c>
      <c r="U383" s="138">
        <f t="shared" si="34"/>
        <v>1.041666666666663E-2</v>
      </c>
      <c r="V383" s="147">
        <v>0.85763888888888884</v>
      </c>
      <c r="W383" s="148">
        <f t="shared" si="32"/>
        <v>2.083333333333337E-2</v>
      </c>
      <c r="X383" s="81"/>
    </row>
    <row r="384" spans="1:25" s="113" customFormat="1" x14ac:dyDescent="0.25">
      <c r="A384" s="140">
        <f t="shared" si="31"/>
        <v>8</v>
      </c>
      <c r="B384" s="157">
        <v>43881</v>
      </c>
      <c r="C384" s="157">
        <v>43881</v>
      </c>
      <c r="D384" s="100" t="s">
        <v>361</v>
      </c>
      <c r="E384" s="79"/>
      <c r="F384" s="153">
        <v>600</v>
      </c>
      <c r="G384" s="137" t="s">
        <v>736</v>
      </c>
      <c r="H384" s="158" t="s">
        <v>883</v>
      </c>
      <c r="I384" s="340" t="s">
        <v>738</v>
      </c>
      <c r="J384" s="139"/>
      <c r="K384" s="139"/>
      <c r="L384" s="98" t="s">
        <v>55</v>
      </c>
      <c r="M384" s="79"/>
      <c r="N384" s="139"/>
      <c r="O384" s="139">
        <v>26</v>
      </c>
      <c r="P384" s="138">
        <v>0.875</v>
      </c>
      <c r="Q384" s="147">
        <v>0.87152777777777779</v>
      </c>
      <c r="R384" s="147">
        <v>0.875</v>
      </c>
      <c r="S384" s="147">
        <v>0.88888888888888884</v>
      </c>
      <c r="T384" s="138">
        <f t="shared" si="34"/>
        <v>3.4722222222222099E-3</v>
      </c>
      <c r="U384" s="138">
        <f t="shared" si="34"/>
        <v>1.388888888888884E-2</v>
      </c>
      <c r="V384" s="147">
        <v>0.85416666666666663</v>
      </c>
      <c r="W384" s="148">
        <f t="shared" si="32"/>
        <v>-1.736111111111116E-2</v>
      </c>
      <c r="X384" s="81"/>
    </row>
    <row r="385" spans="1:25" s="113" customFormat="1" x14ac:dyDescent="0.25">
      <c r="A385" s="140">
        <f>WEEKNUM(B385,21)</f>
        <v>8</v>
      </c>
      <c r="B385" s="157">
        <v>43881</v>
      </c>
      <c r="C385" s="157">
        <v>43881</v>
      </c>
      <c r="D385" s="100" t="s">
        <v>337</v>
      </c>
      <c r="E385" s="79"/>
      <c r="F385" s="153">
        <v>600</v>
      </c>
      <c r="G385" s="137" t="s">
        <v>852</v>
      </c>
      <c r="H385" s="158" t="s">
        <v>76</v>
      </c>
      <c r="I385" s="143" t="s">
        <v>60</v>
      </c>
      <c r="J385" s="139"/>
      <c r="K385" s="139"/>
      <c r="L385" s="98" t="s">
        <v>55</v>
      </c>
      <c r="M385" s="79"/>
      <c r="N385" s="139"/>
      <c r="O385" s="139">
        <v>11</v>
      </c>
      <c r="P385" s="138">
        <v>0.89583333333333337</v>
      </c>
      <c r="Q385" s="147">
        <v>0.87152777777777779</v>
      </c>
      <c r="R385" s="147">
        <v>0.875</v>
      </c>
      <c r="S385" s="147">
        <v>0.88194444444444453</v>
      </c>
      <c r="T385" s="138">
        <f>R385-Q385</f>
        <v>3.4722222222222099E-3</v>
      </c>
      <c r="U385" s="138">
        <f>S385-R385</f>
        <v>6.9444444444445308E-3</v>
      </c>
      <c r="V385" s="147">
        <v>0.88541666666666663</v>
      </c>
      <c r="W385" s="148">
        <f>V385-Q385</f>
        <v>1.388888888888884E-2</v>
      </c>
      <c r="X385" s="81"/>
    </row>
    <row r="386" spans="1:25" s="113" customFormat="1" x14ac:dyDescent="0.25">
      <c r="A386" s="140">
        <f t="shared" ref="A386:A454" si="35">WEEKNUM(B386,21)</f>
        <v>8</v>
      </c>
      <c r="B386" s="157">
        <v>43881</v>
      </c>
      <c r="C386" s="157">
        <v>43881</v>
      </c>
      <c r="D386" s="100" t="s">
        <v>68</v>
      </c>
      <c r="E386" s="79">
        <v>1000460711</v>
      </c>
      <c r="F386" s="153">
        <v>720</v>
      </c>
      <c r="G386" s="137" t="s">
        <v>323</v>
      </c>
      <c r="H386" s="158" t="s">
        <v>871</v>
      </c>
      <c r="I386" s="79" t="s">
        <v>894</v>
      </c>
      <c r="J386" s="139" t="s">
        <v>19</v>
      </c>
      <c r="K386" s="139"/>
      <c r="L386" s="98" t="s">
        <v>55</v>
      </c>
      <c r="M386" s="79">
        <v>80</v>
      </c>
      <c r="N386" s="139" t="s">
        <v>51</v>
      </c>
      <c r="O386" s="139">
        <v>37</v>
      </c>
      <c r="P386" s="138">
        <v>0.41666666666666669</v>
      </c>
      <c r="Q386" s="147">
        <v>0.35694444444444445</v>
      </c>
      <c r="R386" s="147">
        <v>0.375</v>
      </c>
      <c r="S386" s="147">
        <v>0.39930555555555558</v>
      </c>
      <c r="T386" s="138">
        <f t="shared" si="34"/>
        <v>1.8055555555555547E-2</v>
      </c>
      <c r="U386" s="138">
        <f t="shared" si="34"/>
        <v>2.430555555555558E-2</v>
      </c>
      <c r="V386" s="147">
        <v>0.40625</v>
      </c>
      <c r="W386" s="148">
        <f t="shared" si="32"/>
        <v>4.9305555555555547E-2</v>
      </c>
      <c r="X386" s="81"/>
    </row>
    <row r="387" spans="1:25" s="113" customFormat="1" ht="31.5" x14ac:dyDescent="0.25">
      <c r="A387" s="140">
        <f t="shared" si="35"/>
        <v>8</v>
      </c>
      <c r="B387" s="248">
        <v>43881</v>
      </c>
      <c r="C387" s="157">
        <v>43881</v>
      </c>
      <c r="D387" s="320" t="s">
        <v>68</v>
      </c>
      <c r="E387" s="79">
        <v>1000460715</v>
      </c>
      <c r="F387" s="153">
        <v>300</v>
      </c>
      <c r="G387" s="137" t="s">
        <v>324</v>
      </c>
      <c r="H387" s="158" t="s">
        <v>878</v>
      </c>
      <c r="I387" s="79" t="s">
        <v>879</v>
      </c>
      <c r="J387" s="139" t="s">
        <v>19</v>
      </c>
      <c r="K387" s="139"/>
      <c r="L387" s="98" t="s">
        <v>55</v>
      </c>
      <c r="M387" s="79">
        <v>80</v>
      </c>
      <c r="N387" s="139" t="s">
        <v>51</v>
      </c>
      <c r="O387" s="139">
        <v>39</v>
      </c>
      <c r="P387" s="138">
        <v>0.45833333333333331</v>
      </c>
      <c r="Q387" s="147">
        <v>0.5229166666666667</v>
      </c>
      <c r="R387" s="147">
        <v>0.54166666666666663</v>
      </c>
      <c r="S387" s="147">
        <v>0.66319444444444442</v>
      </c>
      <c r="T387" s="138">
        <f t="shared" si="34"/>
        <v>1.8749999999999933E-2</v>
      </c>
      <c r="U387" s="138">
        <f t="shared" si="34"/>
        <v>0.12152777777777779</v>
      </c>
      <c r="V387" s="147">
        <v>0.66666666666666663</v>
      </c>
      <c r="W387" s="148">
        <f>U387-T387</f>
        <v>0.10277777777777786</v>
      </c>
      <c r="X387" s="81" t="s">
        <v>902</v>
      </c>
    </row>
    <row r="388" spans="1:25" s="184" customFormat="1" ht="16.5" thickBot="1" x14ac:dyDescent="0.3">
      <c r="A388" s="185">
        <f t="shared" si="35"/>
        <v>8</v>
      </c>
      <c r="B388" s="266">
        <v>43881</v>
      </c>
      <c r="C388" s="370">
        <v>43881</v>
      </c>
      <c r="D388" s="236" t="s">
        <v>68</v>
      </c>
      <c r="E388" s="172">
        <v>1000460727</v>
      </c>
      <c r="F388" s="187">
        <v>540</v>
      </c>
      <c r="G388" s="185" t="s">
        <v>342</v>
      </c>
      <c r="H388" s="188" t="s">
        <v>806</v>
      </c>
      <c r="I388" s="172" t="s">
        <v>877</v>
      </c>
      <c r="J388" s="189" t="s">
        <v>19</v>
      </c>
      <c r="K388" s="189"/>
      <c r="L388" s="172" t="s">
        <v>55</v>
      </c>
      <c r="M388" s="172">
        <v>80</v>
      </c>
      <c r="N388" s="189" t="s">
        <v>51</v>
      </c>
      <c r="O388" s="189">
        <v>38</v>
      </c>
      <c r="P388" s="190">
        <v>0.54166666666666663</v>
      </c>
      <c r="Q388" s="191">
        <v>0.41805555555555557</v>
      </c>
      <c r="R388" s="191">
        <v>0.46180555555555558</v>
      </c>
      <c r="S388" s="191">
        <v>0.56944444444444442</v>
      </c>
      <c r="T388" s="190">
        <f t="shared" si="34"/>
        <v>4.3750000000000011E-2</v>
      </c>
      <c r="U388" s="190">
        <f t="shared" si="34"/>
        <v>0.10763888888888884</v>
      </c>
      <c r="V388" s="191">
        <v>0.57291666666666663</v>
      </c>
      <c r="W388" s="191">
        <f>U388-T388</f>
        <v>6.3888888888888828E-2</v>
      </c>
      <c r="X388" s="174"/>
    </row>
    <row r="389" spans="1:25" s="134" customFormat="1" x14ac:dyDescent="0.25">
      <c r="A389" s="140">
        <f t="shared" si="35"/>
        <v>8</v>
      </c>
      <c r="B389" s="157">
        <v>43882</v>
      </c>
      <c r="C389" s="157">
        <v>43882</v>
      </c>
      <c r="D389" s="102" t="s">
        <v>337</v>
      </c>
      <c r="E389" s="98"/>
      <c r="F389" s="177">
        <v>600</v>
      </c>
      <c r="G389" s="140" t="s">
        <v>53</v>
      </c>
      <c r="H389" s="178" t="s">
        <v>57</v>
      </c>
      <c r="I389" s="143" t="s">
        <v>54</v>
      </c>
      <c r="J389" s="142"/>
      <c r="K389" s="142"/>
      <c r="L389" s="98" t="s">
        <v>55</v>
      </c>
      <c r="M389" s="98"/>
      <c r="N389" s="142"/>
      <c r="O389" s="142">
        <v>27</v>
      </c>
      <c r="P389" s="179">
        <v>0.66666666666666663</v>
      </c>
      <c r="Q389" s="148">
        <v>0.69097222222222221</v>
      </c>
      <c r="R389" s="148">
        <v>0.69791666666666663</v>
      </c>
      <c r="S389" s="148">
        <v>0.71527777777777779</v>
      </c>
      <c r="T389" s="179">
        <f t="shared" si="34"/>
        <v>6.9444444444444198E-3</v>
      </c>
      <c r="U389" s="179">
        <f t="shared" si="34"/>
        <v>1.736111111111116E-2</v>
      </c>
      <c r="V389" s="148">
        <v>0.71875</v>
      </c>
      <c r="W389" s="148">
        <f>U389-T389</f>
        <v>1.0416666666666741E-2</v>
      </c>
      <c r="X389" s="96" t="s">
        <v>918</v>
      </c>
    </row>
    <row r="390" spans="1:25" s="113" customFormat="1" x14ac:dyDescent="0.25">
      <c r="A390" s="140">
        <f t="shared" si="35"/>
        <v>8</v>
      </c>
      <c r="B390" s="157">
        <v>43882</v>
      </c>
      <c r="C390" s="157">
        <v>43882</v>
      </c>
      <c r="D390" s="100" t="s">
        <v>361</v>
      </c>
      <c r="E390" s="79"/>
      <c r="F390" s="153">
        <v>600</v>
      </c>
      <c r="G390" s="137" t="s">
        <v>56</v>
      </c>
      <c r="H390" s="158" t="s">
        <v>330</v>
      </c>
      <c r="I390" s="363" t="s">
        <v>72</v>
      </c>
      <c r="J390" s="139"/>
      <c r="K390" s="139"/>
      <c r="L390" s="98" t="s">
        <v>55</v>
      </c>
      <c r="M390" s="79"/>
      <c r="N390" s="139"/>
      <c r="O390" s="139">
        <v>24</v>
      </c>
      <c r="P390" s="138">
        <v>0.79166666666666663</v>
      </c>
      <c r="Q390" s="147">
        <v>0.79861111111111116</v>
      </c>
      <c r="R390" s="147">
        <v>0.80208333333333337</v>
      </c>
      <c r="S390" s="147">
        <v>0.81944444444444453</v>
      </c>
      <c r="T390" s="138">
        <f t="shared" si="34"/>
        <v>3.4722222222222099E-3</v>
      </c>
      <c r="U390" s="138">
        <f t="shared" si="34"/>
        <v>1.736111111111116E-2</v>
      </c>
      <c r="V390" s="147">
        <v>0.82291666666666663</v>
      </c>
      <c r="W390" s="148">
        <f t="shared" ref="W390:W450" si="36">V390-Q390</f>
        <v>2.4305555555555469E-2</v>
      </c>
      <c r="X390" s="81"/>
    </row>
    <row r="391" spans="1:25" s="113" customFormat="1" x14ac:dyDescent="0.25">
      <c r="A391" s="140">
        <f t="shared" si="35"/>
        <v>8</v>
      </c>
      <c r="B391" s="157">
        <v>43882</v>
      </c>
      <c r="C391" s="157">
        <v>43882</v>
      </c>
      <c r="D391" s="100" t="s">
        <v>337</v>
      </c>
      <c r="E391" s="79"/>
      <c r="F391" s="153">
        <v>600</v>
      </c>
      <c r="G391" s="137" t="s">
        <v>59</v>
      </c>
      <c r="H391" s="158" t="s">
        <v>62</v>
      </c>
      <c r="I391" s="340" t="s">
        <v>738</v>
      </c>
      <c r="J391" s="139"/>
      <c r="K391" s="139"/>
      <c r="L391" s="98" t="s">
        <v>55</v>
      </c>
      <c r="M391" s="79"/>
      <c r="N391" s="139"/>
      <c r="O391" s="139">
        <v>11</v>
      </c>
      <c r="P391" s="138">
        <v>0.79166666666666663</v>
      </c>
      <c r="Q391" s="147">
        <v>0.81597222222222221</v>
      </c>
      <c r="R391" s="147">
        <v>0.81944444444444453</v>
      </c>
      <c r="S391" s="147">
        <v>0.82986111111111116</v>
      </c>
      <c r="T391" s="138">
        <f t="shared" si="34"/>
        <v>3.4722222222223209E-3</v>
      </c>
      <c r="U391" s="138">
        <f t="shared" si="34"/>
        <v>1.041666666666663E-2</v>
      </c>
      <c r="V391" s="147">
        <v>0.83333333333333337</v>
      </c>
      <c r="W391" s="148">
        <f t="shared" si="36"/>
        <v>1.736111111111116E-2</v>
      </c>
      <c r="X391" s="81"/>
    </row>
    <row r="392" spans="1:25" s="113" customFormat="1" x14ac:dyDescent="0.25">
      <c r="A392" s="140">
        <f t="shared" si="35"/>
        <v>8</v>
      </c>
      <c r="B392" s="157">
        <v>43882</v>
      </c>
      <c r="C392" s="157">
        <v>43882</v>
      </c>
      <c r="D392" s="100" t="s">
        <v>337</v>
      </c>
      <c r="E392" s="79"/>
      <c r="F392" s="153">
        <v>600</v>
      </c>
      <c r="G392" s="137" t="s">
        <v>61</v>
      </c>
      <c r="H392" s="158" t="s">
        <v>80</v>
      </c>
      <c r="I392" s="363" t="s">
        <v>341</v>
      </c>
      <c r="J392" s="139"/>
      <c r="K392" s="139"/>
      <c r="L392" s="98" t="s">
        <v>55</v>
      </c>
      <c r="M392" s="79"/>
      <c r="N392" s="139"/>
      <c r="O392" s="139">
        <v>9</v>
      </c>
      <c r="P392" s="138">
        <v>0.83333333333333337</v>
      </c>
      <c r="Q392" s="147">
        <v>0.73958333333333337</v>
      </c>
      <c r="R392" s="147">
        <v>0.77083333333333337</v>
      </c>
      <c r="S392" s="147">
        <v>0.77777777777777779</v>
      </c>
      <c r="T392" s="138">
        <f t="shared" si="34"/>
        <v>3.125E-2</v>
      </c>
      <c r="U392" s="138">
        <f t="shared" si="34"/>
        <v>6.9444444444444198E-3</v>
      </c>
      <c r="V392" s="147">
        <v>0.78125</v>
      </c>
      <c r="W392" s="148">
        <f t="shared" si="36"/>
        <v>4.166666666666663E-2</v>
      </c>
      <c r="X392" s="81" t="s">
        <v>917</v>
      </c>
    </row>
    <row r="393" spans="1:25" s="113" customFormat="1" x14ac:dyDescent="0.25">
      <c r="A393" s="140">
        <f t="shared" si="35"/>
        <v>8</v>
      </c>
      <c r="B393" s="157">
        <v>43882</v>
      </c>
      <c r="C393" s="157">
        <v>43882</v>
      </c>
      <c r="D393" s="100" t="s">
        <v>337</v>
      </c>
      <c r="E393" s="79"/>
      <c r="F393" s="153">
        <v>600</v>
      </c>
      <c r="G393" s="137" t="s">
        <v>64</v>
      </c>
      <c r="H393" s="158" t="s">
        <v>387</v>
      </c>
      <c r="I393" s="143" t="s">
        <v>58</v>
      </c>
      <c r="J393" s="139"/>
      <c r="K393" s="139"/>
      <c r="L393" s="98" t="s">
        <v>55</v>
      </c>
      <c r="M393" s="79"/>
      <c r="N393" s="139"/>
      <c r="O393" s="139">
        <v>13</v>
      </c>
      <c r="P393" s="138">
        <v>0.85416666666666663</v>
      </c>
      <c r="Q393" s="147">
        <v>0.88541666666666663</v>
      </c>
      <c r="R393" s="147">
        <v>0.88888888888888884</v>
      </c>
      <c r="S393" s="147">
        <v>0.89583333333333337</v>
      </c>
      <c r="T393" s="138">
        <f t="shared" si="34"/>
        <v>3.4722222222222099E-3</v>
      </c>
      <c r="U393" s="138">
        <f t="shared" si="34"/>
        <v>6.9444444444445308E-3</v>
      </c>
      <c r="V393" s="147">
        <v>0.89930555555555547</v>
      </c>
      <c r="W393" s="148">
        <f t="shared" si="36"/>
        <v>1.388888888888884E-2</v>
      </c>
      <c r="X393" s="81"/>
    </row>
    <row r="394" spans="1:25" s="113" customFormat="1" x14ac:dyDescent="0.25">
      <c r="A394" s="140">
        <f t="shared" si="35"/>
        <v>8</v>
      </c>
      <c r="B394" s="157">
        <v>43882</v>
      </c>
      <c r="C394" s="157">
        <v>43882</v>
      </c>
      <c r="D394" s="100" t="s">
        <v>337</v>
      </c>
      <c r="E394" s="79"/>
      <c r="F394" s="153">
        <v>600</v>
      </c>
      <c r="G394" s="137" t="s">
        <v>77</v>
      </c>
      <c r="H394" s="158" t="s">
        <v>65</v>
      </c>
      <c r="I394" s="306" t="s">
        <v>63</v>
      </c>
      <c r="J394" s="139"/>
      <c r="K394" s="139"/>
      <c r="L394" s="98" t="s">
        <v>55</v>
      </c>
      <c r="M394" s="79"/>
      <c r="N394" s="139"/>
      <c r="O394" s="139">
        <v>28</v>
      </c>
      <c r="P394" s="138">
        <v>0.875</v>
      </c>
      <c r="Q394" s="147">
        <v>0.90625</v>
      </c>
      <c r="R394" s="147">
        <v>0.90972222222222221</v>
      </c>
      <c r="S394" s="147">
        <v>0.92013888888888884</v>
      </c>
      <c r="T394" s="138">
        <f t="shared" si="34"/>
        <v>3.4722222222222099E-3</v>
      </c>
      <c r="U394" s="138">
        <f t="shared" si="34"/>
        <v>1.041666666666663E-2</v>
      </c>
      <c r="V394" s="147">
        <v>0.92361111111111116</v>
      </c>
      <c r="W394" s="148">
        <f t="shared" si="36"/>
        <v>1.736111111111116E-2</v>
      </c>
      <c r="X394" s="81"/>
    </row>
    <row r="395" spans="1:25" s="113" customFormat="1" x14ac:dyDescent="0.25">
      <c r="A395" s="140">
        <f t="shared" si="35"/>
        <v>8</v>
      </c>
      <c r="B395" s="157">
        <v>43882</v>
      </c>
      <c r="C395" s="157">
        <v>43882</v>
      </c>
      <c r="D395" s="100" t="s">
        <v>337</v>
      </c>
      <c r="E395" s="79"/>
      <c r="F395" s="153">
        <v>600</v>
      </c>
      <c r="G395" s="137" t="s">
        <v>493</v>
      </c>
      <c r="H395" s="158" t="s">
        <v>317</v>
      </c>
      <c r="I395" s="306" t="s">
        <v>355</v>
      </c>
      <c r="J395" s="139"/>
      <c r="K395" s="139"/>
      <c r="L395" s="98" t="s">
        <v>55</v>
      </c>
      <c r="M395" s="79"/>
      <c r="N395" s="139"/>
      <c r="O395" s="139">
        <v>7</v>
      </c>
      <c r="P395" s="138">
        <v>0.875</v>
      </c>
      <c r="Q395" s="147">
        <v>0.80208333333333337</v>
      </c>
      <c r="R395" s="147">
        <v>0.80555555555555547</v>
      </c>
      <c r="S395" s="147">
        <v>0.8125</v>
      </c>
      <c r="T395" s="138">
        <f t="shared" si="34"/>
        <v>3.4722222222220989E-3</v>
      </c>
      <c r="U395" s="138">
        <f t="shared" si="34"/>
        <v>6.9444444444445308E-3</v>
      </c>
      <c r="V395" s="147">
        <v>0.81597222222222221</v>
      </c>
      <c r="W395" s="148">
        <f t="shared" si="36"/>
        <v>1.388888888888884E-2</v>
      </c>
      <c r="X395" s="81"/>
    </row>
    <row r="396" spans="1:25" s="113" customFormat="1" x14ac:dyDescent="0.25">
      <c r="A396" s="140">
        <f t="shared" si="35"/>
        <v>8</v>
      </c>
      <c r="B396" s="157">
        <v>43882</v>
      </c>
      <c r="C396" s="157">
        <v>43882</v>
      </c>
      <c r="D396" s="100" t="s">
        <v>337</v>
      </c>
      <c r="E396" s="79">
        <v>1000460712</v>
      </c>
      <c r="F396" s="153">
        <v>360</v>
      </c>
      <c r="G396" s="137" t="s">
        <v>339</v>
      </c>
      <c r="H396" s="158" t="s">
        <v>897</v>
      </c>
      <c r="I396" s="79" t="s">
        <v>900</v>
      </c>
      <c r="J396" s="139" t="s">
        <v>19</v>
      </c>
      <c r="K396" s="139"/>
      <c r="L396" s="98" t="s">
        <v>55</v>
      </c>
      <c r="M396" s="79">
        <v>80</v>
      </c>
      <c r="N396" s="139" t="s">
        <v>51</v>
      </c>
      <c r="O396" s="139">
        <v>33</v>
      </c>
      <c r="P396" s="138">
        <v>0.41666666666666669</v>
      </c>
      <c r="Q396" s="147">
        <v>0.51388888888888895</v>
      </c>
      <c r="R396" s="147">
        <v>0.58680555555555558</v>
      </c>
      <c r="S396" s="147">
        <v>0.60416666666666663</v>
      </c>
      <c r="T396" s="138">
        <f t="shared" si="34"/>
        <v>7.291666666666663E-2</v>
      </c>
      <c r="U396" s="138">
        <f t="shared" si="34"/>
        <v>1.7361111111111049E-2</v>
      </c>
      <c r="V396" s="147">
        <v>0.60763888888888895</v>
      </c>
      <c r="W396" s="148">
        <f t="shared" si="36"/>
        <v>9.375E-2</v>
      </c>
      <c r="X396" s="81"/>
    </row>
    <row r="397" spans="1:25" s="113" customFormat="1" x14ac:dyDescent="0.25">
      <c r="A397" s="140">
        <f t="shared" si="35"/>
        <v>8</v>
      </c>
      <c r="B397" s="157">
        <v>43882</v>
      </c>
      <c r="C397" s="157">
        <v>43882</v>
      </c>
      <c r="D397" s="100" t="s">
        <v>337</v>
      </c>
      <c r="E397" s="79">
        <v>1000460721</v>
      </c>
      <c r="F397" s="153">
        <v>360</v>
      </c>
      <c r="G397" s="137" t="s">
        <v>325</v>
      </c>
      <c r="H397" s="158" t="s">
        <v>912</v>
      </c>
      <c r="I397" s="79" t="s">
        <v>899</v>
      </c>
      <c r="J397" s="139" t="s">
        <v>19</v>
      </c>
      <c r="K397" s="139"/>
      <c r="L397" s="98" t="s">
        <v>55</v>
      </c>
      <c r="M397" s="79">
        <v>80</v>
      </c>
      <c r="N397" s="139" t="s">
        <v>51</v>
      </c>
      <c r="O397" s="139">
        <v>36</v>
      </c>
      <c r="P397" s="138">
        <v>0.45833333333333331</v>
      </c>
      <c r="Q397" s="147">
        <v>0.55902777777777779</v>
      </c>
      <c r="R397" s="147">
        <v>0.59375</v>
      </c>
      <c r="S397" s="147">
        <v>0.60416666666666663</v>
      </c>
      <c r="T397" s="138">
        <f t="shared" si="34"/>
        <v>3.472222222222221E-2</v>
      </c>
      <c r="U397" s="138">
        <f t="shared" si="34"/>
        <v>1.041666666666663E-2</v>
      </c>
      <c r="V397" s="147">
        <v>0.61805555555555558</v>
      </c>
      <c r="W397" s="148">
        <f t="shared" si="36"/>
        <v>5.902777777777779E-2</v>
      </c>
      <c r="X397" s="81"/>
    </row>
    <row r="398" spans="1:25" s="113" customFormat="1" x14ac:dyDescent="0.25">
      <c r="A398" s="140">
        <f t="shared" si="35"/>
        <v>8</v>
      </c>
      <c r="B398" s="157">
        <v>43882</v>
      </c>
      <c r="C398" s="157">
        <v>43882</v>
      </c>
      <c r="D398" s="100" t="s">
        <v>337</v>
      </c>
      <c r="E398" s="79">
        <v>1000460724</v>
      </c>
      <c r="F398" s="153">
        <v>180</v>
      </c>
      <c r="G398" s="79" t="s">
        <v>340</v>
      </c>
      <c r="H398" s="158" t="s">
        <v>555</v>
      </c>
      <c r="I398" s="79" t="s">
        <v>880</v>
      </c>
      <c r="J398" s="139" t="s">
        <v>19</v>
      </c>
      <c r="K398" s="139"/>
      <c r="L398" s="98" t="s">
        <v>55</v>
      </c>
      <c r="M398" s="79">
        <v>80</v>
      </c>
      <c r="N398" s="139" t="s">
        <v>51</v>
      </c>
      <c r="O398" s="139">
        <v>48</v>
      </c>
      <c r="P398" s="138">
        <v>0.5</v>
      </c>
      <c r="Q398" s="147">
        <v>0.65277777777777779</v>
      </c>
      <c r="R398" s="147">
        <v>0.66666666666666663</v>
      </c>
      <c r="S398" s="147">
        <v>0.69791666666666663</v>
      </c>
      <c r="T398" s="138">
        <f t="shared" si="34"/>
        <v>1.388888888888884E-2</v>
      </c>
      <c r="U398" s="138">
        <f t="shared" si="34"/>
        <v>3.125E-2</v>
      </c>
      <c r="V398" s="147">
        <v>0.70138888888888884</v>
      </c>
      <c r="W398" s="148">
        <f>U398-T398</f>
        <v>1.736111111111116E-2</v>
      </c>
      <c r="X398" s="81"/>
    </row>
    <row r="399" spans="1:25" s="113" customFormat="1" ht="16.5" thickBot="1" x14ac:dyDescent="0.3">
      <c r="A399" s="185">
        <f t="shared" si="35"/>
        <v>8</v>
      </c>
      <c r="B399" s="186">
        <v>43882</v>
      </c>
      <c r="C399" s="186">
        <v>43882</v>
      </c>
      <c r="D399" s="236" t="s">
        <v>337</v>
      </c>
      <c r="E399" s="172">
        <v>1000460728</v>
      </c>
      <c r="F399" s="187">
        <v>180</v>
      </c>
      <c r="G399" s="172" t="s">
        <v>510</v>
      </c>
      <c r="H399" s="188" t="s">
        <v>898</v>
      </c>
      <c r="I399" s="172" t="s">
        <v>901</v>
      </c>
      <c r="J399" s="189" t="s">
        <v>19</v>
      </c>
      <c r="K399" s="189"/>
      <c r="L399" s="172" t="s">
        <v>55</v>
      </c>
      <c r="M399" s="172">
        <v>80</v>
      </c>
      <c r="N399" s="189" t="s">
        <v>51</v>
      </c>
      <c r="O399" s="189">
        <v>33</v>
      </c>
      <c r="P399" s="190">
        <v>0.54166666666666663</v>
      </c>
      <c r="Q399" s="191">
        <v>0.4826388888888889</v>
      </c>
      <c r="R399" s="191">
        <v>0.52083333333333337</v>
      </c>
      <c r="S399" s="191">
        <v>0.53472222222222221</v>
      </c>
      <c r="T399" s="190">
        <f t="shared" si="34"/>
        <v>3.8194444444444475E-2</v>
      </c>
      <c r="U399" s="190">
        <f t="shared" si="34"/>
        <v>1.388888888888884E-2</v>
      </c>
      <c r="V399" s="191">
        <v>0.54513888888888895</v>
      </c>
      <c r="W399" s="191">
        <f>U399-T399</f>
        <v>-2.4305555555555636E-2</v>
      </c>
      <c r="X399" s="174"/>
      <c r="Y399" s="268"/>
    </row>
    <row r="400" spans="1:25" s="113" customFormat="1" x14ac:dyDescent="0.25">
      <c r="A400" s="140">
        <f t="shared" si="35"/>
        <v>8</v>
      </c>
      <c r="B400" s="157">
        <v>43883</v>
      </c>
      <c r="C400" s="157">
        <v>43883</v>
      </c>
      <c r="D400" s="100" t="s">
        <v>361</v>
      </c>
      <c r="E400" s="79"/>
      <c r="F400" s="153">
        <v>540</v>
      </c>
      <c r="G400" s="137" t="s">
        <v>53</v>
      </c>
      <c r="H400" s="158" t="s">
        <v>76</v>
      </c>
      <c r="I400" s="363" t="s">
        <v>72</v>
      </c>
      <c r="J400" s="139"/>
      <c r="K400" s="139"/>
      <c r="L400" s="98" t="s">
        <v>55</v>
      </c>
      <c r="M400" s="79"/>
      <c r="N400" s="139"/>
      <c r="O400" s="372">
        <v>34</v>
      </c>
      <c r="P400" s="138">
        <v>0.625</v>
      </c>
      <c r="Q400" s="147">
        <v>0.61458333333333337</v>
      </c>
      <c r="R400" s="147">
        <v>0.625</v>
      </c>
      <c r="S400" s="147">
        <v>0.65277777777777779</v>
      </c>
      <c r="T400" s="138">
        <f t="shared" si="34"/>
        <v>1.041666666666663E-2</v>
      </c>
      <c r="U400" s="138">
        <f t="shared" si="34"/>
        <v>2.777777777777779E-2</v>
      </c>
      <c r="V400" s="147">
        <v>0.65625</v>
      </c>
      <c r="W400" s="148">
        <f>U400-T400</f>
        <v>1.736111111111116E-2</v>
      </c>
      <c r="X400" s="81"/>
    </row>
    <row r="401" spans="1:25" s="113" customFormat="1" x14ac:dyDescent="0.25">
      <c r="A401" s="140">
        <f t="shared" si="35"/>
        <v>8</v>
      </c>
      <c r="B401" s="157">
        <v>43883</v>
      </c>
      <c r="C401" s="157">
        <v>43883</v>
      </c>
      <c r="D401" s="100" t="s">
        <v>361</v>
      </c>
      <c r="E401" s="79"/>
      <c r="F401" s="153">
        <v>540</v>
      </c>
      <c r="G401" s="137" t="s">
        <v>56</v>
      </c>
      <c r="H401" s="158" t="s">
        <v>667</v>
      </c>
      <c r="I401" s="143" t="s">
        <v>54</v>
      </c>
      <c r="J401" s="139"/>
      <c r="K401" s="139"/>
      <c r="L401" s="98" t="s">
        <v>55</v>
      </c>
      <c r="M401" s="79"/>
      <c r="N401" s="139"/>
      <c r="O401" s="139">
        <v>17</v>
      </c>
      <c r="P401" s="138">
        <v>0.66666666666666663</v>
      </c>
      <c r="Q401" s="147">
        <v>0.68402777777777779</v>
      </c>
      <c r="R401" s="147">
        <v>0.6875</v>
      </c>
      <c r="S401" s="147">
        <v>0.70486111111111116</v>
      </c>
      <c r="T401" s="138">
        <f t="shared" si="34"/>
        <v>3.4722222222222099E-3</v>
      </c>
      <c r="U401" s="138">
        <f t="shared" si="34"/>
        <v>1.736111111111116E-2</v>
      </c>
      <c r="V401" s="147">
        <v>0.70833333333333337</v>
      </c>
      <c r="W401" s="148">
        <f t="shared" si="36"/>
        <v>2.430555555555558E-2</v>
      </c>
      <c r="X401" s="81"/>
    </row>
    <row r="402" spans="1:25" s="113" customFormat="1" x14ac:dyDescent="0.25">
      <c r="A402" s="140">
        <f t="shared" si="35"/>
        <v>8</v>
      </c>
      <c r="B402" s="157">
        <v>43883</v>
      </c>
      <c r="C402" s="157">
        <v>43883</v>
      </c>
      <c r="D402" s="100" t="s">
        <v>337</v>
      </c>
      <c r="E402" s="79"/>
      <c r="F402" s="153">
        <v>540</v>
      </c>
      <c r="G402" s="137" t="s">
        <v>59</v>
      </c>
      <c r="H402" s="158" t="s">
        <v>57</v>
      </c>
      <c r="I402" s="143" t="s">
        <v>58</v>
      </c>
      <c r="J402" s="139"/>
      <c r="K402" s="139"/>
      <c r="L402" s="98" t="s">
        <v>55</v>
      </c>
      <c r="M402" s="79"/>
      <c r="N402" s="139"/>
      <c r="O402" s="139">
        <v>33</v>
      </c>
      <c r="P402" s="138">
        <v>0.70833333333333337</v>
      </c>
      <c r="Q402" s="147">
        <v>0.68402777777777779</v>
      </c>
      <c r="R402" s="147">
        <v>0.69791666666666663</v>
      </c>
      <c r="S402" s="147">
        <v>0.72916666666666663</v>
      </c>
      <c r="T402" s="138">
        <f t="shared" si="34"/>
        <v>1.388888888888884E-2</v>
      </c>
      <c r="U402" s="138">
        <f t="shared" si="34"/>
        <v>3.125E-2</v>
      </c>
      <c r="V402" s="147">
        <v>0.73263888888888884</v>
      </c>
      <c r="W402" s="148">
        <f t="shared" si="36"/>
        <v>4.8611111111111049E-2</v>
      </c>
      <c r="X402" s="81"/>
    </row>
    <row r="403" spans="1:25" s="113" customFormat="1" x14ac:dyDescent="0.25">
      <c r="A403" s="140">
        <f t="shared" si="35"/>
        <v>8</v>
      </c>
      <c r="B403" s="157">
        <v>43883</v>
      </c>
      <c r="C403" s="157">
        <v>43883</v>
      </c>
      <c r="D403" s="100" t="s">
        <v>337</v>
      </c>
      <c r="E403" s="79"/>
      <c r="F403" s="153">
        <v>540</v>
      </c>
      <c r="G403" s="137" t="s">
        <v>61</v>
      </c>
      <c r="H403" s="158" t="s">
        <v>317</v>
      </c>
      <c r="I403" s="363" t="s">
        <v>341</v>
      </c>
      <c r="J403" s="139"/>
      <c r="K403" s="139"/>
      <c r="L403" s="98" t="s">
        <v>55</v>
      </c>
      <c r="M403" s="79"/>
      <c r="N403" s="139"/>
      <c r="O403" s="139">
        <v>18</v>
      </c>
      <c r="P403" s="138">
        <v>0.79166666666666663</v>
      </c>
      <c r="Q403" s="147">
        <v>0.87847222222222221</v>
      </c>
      <c r="R403" s="147">
        <v>0.89236111111111116</v>
      </c>
      <c r="S403" s="147">
        <v>0.89930555555555547</v>
      </c>
      <c r="T403" s="138">
        <f t="shared" si="34"/>
        <v>1.3888888888888951E-2</v>
      </c>
      <c r="U403" s="138">
        <f t="shared" si="34"/>
        <v>6.9444444444443088E-3</v>
      </c>
      <c r="V403" s="147">
        <v>0.90277777777777779</v>
      </c>
      <c r="W403" s="148">
        <f t="shared" si="36"/>
        <v>2.430555555555558E-2</v>
      </c>
      <c r="X403" s="81"/>
    </row>
    <row r="404" spans="1:25" s="113" customFormat="1" x14ac:dyDescent="0.25">
      <c r="A404" s="140">
        <f t="shared" si="35"/>
        <v>8</v>
      </c>
      <c r="B404" s="157">
        <v>43883</v>
      </c>
      <c r="C404" s="157">
        <v>43883</v>
      </c>
      <c r="D404" s="100"/>
      <c r="E404" s="79"/>
      <c r="F404" s="153"/>
      <c r="G404" s="137" t="s">
        <v>64</v>
      </c>
      <c r="H404" s="158" t="s">
        <v>922</v>
      </c>
      <c r="I404" s="143" t="s">
        <v>60</v>
      </c>
      <c r="J404" s="139"/>
      <c r="K404" s="139"/>
      <c r="L404" s="98" t="s">
        <v>75</v>
      </c>
      <c r="M404" s="79"/>
      <c r="N404" s="139"/>
      <c r="O404" s="139"/>
      <c r="P404" s="138">
        <v>0.75</v>
      </c>
      <c r="Q404" s="147"/>
      <c r="R404" s="147"/>
      <c r="S404" s="147"/>
      <c r="T404" s="138">
        <f t="shared" si="34"/>
        <v>0</v>
      </c>
      <c r="U404" s="138">
        <f t="shared" si="34"/>
        <v>0</v>
      </c>
      <c r="V404" s="147"/>
      <c r="W404" s="148">
        <f t="shared" si="36"/>
        <v>0</v>
      </c>
      <c r="X404" s="81"/>
    </row>
    <row r="405" spans="1:25" s="113" customFormat="1" x14ac:dyDescent="0.25">
      <c r="A405" s="140">
        <f t="shared" si="35"/>
        <v>8</v>
      </c>
      <c r="B405" s="157">
        <v>43883</v>
      </c>
      <c r="C405" s="157">
        <v>43883</v>
      </c>
      <c r="D405" s="100"/>
      <c r="E405" s="79"/>
      <c r="F405" s="153"/>
      <c r="G405" s="137" t="s">
        <v>77</v>
      </c>
      <c r="H405" s="158" t="s">
        <v>317</v>
      </c>
      <c r="I405" s="98" t="s">
        <v>63</v>
      </c>
      <c r="J405" s="139"/>
      <c r="K405" s="139"/>
      <c r="L405" s="98" t="s">
        <v>75</v>
      </c>
      <c r="M405" s="79"/>
      <c r="N405" s="139"/>
      <c r="O405" s="139"/>
      <c r="P405" s="138">
        <v>0.79166666666666663</v>
      </c>
      <c r="Q405" s="147"/>
      <c r="R405" s="147"/>
      <c r="S405" s="147"/>
      <c r="T405" s="138">
        <f t="shared" si="34"/>
        <v>0</v>
      </c>
      <c r="U405" s="138">
        <f t="shared" si="34"/>
        <v>0</v>
      </c>
      <c r="V405" s="147"/>
      <c r="W405" s="148">
        <f t="shared" si="36"/>
        <v>0</v>
      </c>
      <c r="X405" s="81"/>
    </row>
    <row r="406" spans="1:25" s="113" customFormat="1" x14ac:dyDescent="0.25">
      <c r="A406" s="140">
        <f t="shared" si="35"/>
        <v>8</v>
      </c>
      <c r="B406" s="157">
        <v>43883</v>
      </c>
      <c r="C406" s="157">
        <v>43883</v>
      </c>
      <c r="D406" s="100" t="s">
        <v>361</v>
      </c>
      <c r="E406" s="79"/>
      <c r="F406" s="153">
        <v>540</v>
      </c>
      <c r="G406" s="137" t="s">
        <v>493</v>
      </c>
      <c r="H406" s="158" t="s">
        <v>330</v>
      </c>
      <c r="I406" s="342" t="s">
        <v>63</v>
      </c>
      <c r="J406" s="139"/>
      <c r="K406" s="139"/>
      <c r="L406" s="98" t="s">
        <v>55</v>
      </c>
      <c r="M406" s="79"/>
      <c r="N406" s="139"/>
      <c r="O406" s="139">
        <v>33</v>
      </c>
      <c r="P406" s="138">
        <v>0.83333333333333337</v>
      </c>
      <c r="Q406" s="147">
        <v>0.81597222222222221</v>
      </c>
      <c r="R406" s="147">
        <v>0.81944444444444453</v>
      </c>
      <c r="S406" s="147">
        <v>0.83333333333333337</v>
      </c>
      <c r="T406" s="138">
        <f t="shared" si="34"/>
        <v>3.4722222222223209E-3</v>
      </c>
      <c r="U406" s="138">
        <f t="shared" si="34"/>
        <v>1.388888888888884E-2</v>
      </c>
      <c r="V406" s="147">
        <v>0.83680555555555547</v>
      </c>
      <c r="W406" s="148">
        <f t="shared" si="36"/>
        <v>2.0833333333333259E-2</v>
      </c>
      <c r="X406" s="81"/>
    </row>
    <row r="407" spans="1:25" s="113" customFormat="1" x14ac:dyDescent="0.25">
      <c r="A407" s="140">
        <f t="shared" ref="A407" si="37">WEEKNUM(B407,21)</f>
        <v>8</v>
      </c>
      <c r="B407" s="157">
        <v>43883</v>
      </c>
      <c r="C407" s="157">
        <v>43883</v>
      </c>
      <c r="D407" s="100" t="s">
        <v>337</v>
      </c>
      <c r="E407" s="79"/>
      <c r="F407" s="153">
        <v>540</v>
      </c>
      <c r="G407" s="137" t="s">
        <v>736</v>
      </c>
      <c r="H407" s="158" t="s">
        <v>80</v>
      </c>
      <c r="I407" s="342" t="s">
        <v>355</v>
      </c>
      <c r="J407" s="139"/>
      <c r="K407" s="139"/>
      <c r="L407" s="98" t="s">
        <v>55</v>
      </c>
      <c r="M407" s="79"/>
      <c r="N407" s="139"/>
      <c r="O407" s="372">
        <v>37</v>
      </c>
      <c r="P407" s="138">
        <v>0.83333333333333337</v>
      </c>
      <c r="Q407" s="147">
        <v>0.78819444444444453</v>
      </c>
      <c r="R407" s="147">
        <v>0.79861111111111116</v>
      </c>
      <c r="S407" s="147">
        <v>0.81597222222222221</v>
      </c>
      <c r="T407" s="138">
        <f t="shared" ref="T407" si="38">R407-Q407</f>
        <v>1.041666666666663E-2</v>
      </c>
      <c r="U407" s="138">
        <f t="shared" ref="U407" si="39">S407-R407</f>
        <v>1.7361111111111049E-2</v>
      </c>
      <c r="V407" s="147">
        <v>0.81944444444444453</v>
      </c>
      <c r="W407" s="148">
        <f t="shared" ref="W407" si="40">V407-Q407</f>
        <v>3.125E-2</v>
      </c>
      <c r="X407" s="81" t="s">
        <v>931</v>
      </c>
    </row>
    <row r="408" spans="1:25" s="113" customFormat="1" x14ac:dyDescent="0.25">
      <c r="A408" s="140">
        <f t="shared" si="35"/>
        <v>8</v>
      </c>
      <c r="B408" s="157">
        <v>43883</v>
      </c>
      <c r="C408" s="157">
        <v>43883</v>
      </c>
      <c r="D408" s="100" t="s">
        <v>361</v>
      </c>
      <c r="E408" s="79"/>
      <c r="F408" s="153">
        <v>540</v>
      </c>
      <c r="G408" s="137" t="s">
        <v>852</v>
      </c>
      <c r="H408" s="158" t="s">
        <v>65</v>
      </c>
      <c r="I408" s="340" t="s">
        <v>738</v>
      </c>
      <c r="J408" s="139"/>
      <c r="K408" s="139"/>
      <c r="L408" s="98" t="s">
        <v>55</v>
      </c>
      <c r="M408" s="79"/>
      <c r="N408" s="139"/>
      <c r="O408" s="139">
        <v>24</v>
      </c>
      <c r="P408" s="138">
        <v>0.875</v>
      </c>
      <c r="Q408" s="147">
        <v>0.87847222222222221</v>
      </c>
      <c r="R408" s="147">
        <v>0.88194444444444453</v>
      </c>
      <c r="S408" s="147">
        <v>0.89236111111111116</v>
      </c>
      <c r="T408" s="138">
        <f t="shared" si="34"/>
        <v>3.4722222222223209E-3</v>
      </c>
      <c r="U408" s="138">
        <f t="shared" si="34"/>
        <v>1.041666666666663E-2</v>
      </c>
      <c r="V408" s="147">
        <v>0.89583333333333337</v>
      </c>
      <c r="W408" s="148">
        <f t="shared" si="36"/>
        <v>1.736111111111116E-2</v>
      </c>
      <c r="X408" s="81"/>
    </row>
    <row r="409" spans="1:25" s="113" customFormat="1" x14ac:dyDescent="0.25">
      <c r="A409" s="140">
        <f t="shared" si="35"/>
        <v>8</v>
      </c>
      <c r="B409" s="157">
        <v>43883</v>
      </c>
      <c r="C409" s="157">
        <v>43883</v>
      </c>
      <c r="D409" s="100" t="s">
        <v>361</v>
      </c>
      <c r="E409" s="79"/>
      <c r="F409" s="153">
        <v>540</v>
      </c>
      <c r="G409" s="137" t="s">
        <v>870</v>
      </c>
      <c r="H409" s="158" t="s">
        <v>387</v>
      </c>
      <c r="I409" s="340" t="s">
        <v>794</v>
      </c>
      <c r="J409" s="139"/>
      <c r="K409" s="139"/>
      <c r="L409" s="98" t="s">
        <v>55</v>
      </c>
      <c r="M409" s="79"/>
      <c r="N409" s="139"/>
      <c r="O409" s="139">
        <v>21</v>
      </c>
      <c r="P409" s="138">
        <v>0.875</v>
      </c>
      <c r="Q409" s="147">
        <v>0.875</v>
      </c>
      <c r="R409" s="147">
        <v>0.87847222222222221</v>
      </c>
      <c r="S409" s="147">
        <v>0.88541666666666663</v>
      </c>
      <c r="T409" s="138">
        <f t="shared" si="34"/>
        <v>3.4722222222222099E-3</v>
      </c>
      <c r="U409" s="138">
        <f t="shared" si="34"/>
        <v>6.9444444444444198E-3</v>
      </c>
      <c r="V409" s="147">
        <v>0.88888888888888884</v>
      </c>
      <c r="W409" s="148">
        <f t="shared" si="36"/>
        <v>1.388888888888884E-2</v>
      </c>
      <c r="X409" s="81"/>
    </row>
    <row r="410" spans="1:25" s="113" customFormat="1" ht="31.5" x14ac:dyDescent="0.25">
      <c r="A410" s="140">
        <f t="shared" si="35"/>
        <v>8</v>
      </c>
      <c r="B410" s="157">
        <v>43883</v>
      </c>
      <c r="C410" s="157">
        <v>43883</v>
      </c>
      <c r="D410" s="320" t="s">
        <v>68</v>
      </c>
      <c r="E410" s="79">
        <v>1000460713</v>
      </c>
      <c r="F410" s="153">
        <v>300</v>
      </c>
      <c r="G410" s="137" t="s">
        <v>370</v>
      </c>
      <c r="H410" s="158" t="s">
        <v>658</v>
      </c>
      <c r="I410" s="79" t="s">
        <v>914</v>
      </c>
      <c r="J410" s="139" t="s">
        <v>19</v>
      </c>
      <c r="K410" s="139"/>
      <c r="L410" s="98" t="s">
        <v>55</v>
      </c>
      <c r="M410" s="79">
        <v>80</v>
      </c>
      <c r="N410" s="139" t="s">
        <v>51</v>
      </c>
      <c r="O410" s="139">
        <v>38</v>
      </c>
      <c r="P410" s="138">
        <v>0.41666666666666669</v>
      </c>
      <c r="Q410" s="147">
        <v>0.36805555555555558</v>
      </c>
      <c r="R410" s="147">
        <v>0.41319444444444442</v>
      </c>
      <c r="S410" s="147">
        <v>0.43402777777777773</v>
      </c>
      <c r="T410" s="138">
        <f t="shared" si="34"/>
        <v>4.513888888888884E-2</v>
      </c>
      <c r="U410" s="138">
        <f t="shared" si="34"/>
        <v>2.0833333333333315E-2</v>
      </c>
      <c r="V410" s="147">
        <v>0.44791666666666669</v>
      </c>
      <c r="W410" s="148">
        <f t="shared" si="36"/>
        <v>7.9861111111111105E-2</v>
      </c>
      <c r="X410" s="81"/>
    </row>
    <row r="411" spans="1:25" s="113" customFormat="1" ht="32.25" thickBot="1" x14ac:dyDescent="0.3">
      <c r="A411" s="185">
        <f t="shared" si="35"/>
        <v>8</v>
      </c>
      <c r="B411" s="186">
        <v>43883</v>
      </c>
      <c r="C411" s="186">
        <v>43883</v>
      </c>
      <c r="D411" s="319" t="s">
        <v>68</v>
      </c>
      <c r="E411" s="172">
        <v>1000460716</v>
      </c>
      <c r="F411" s="187">
        <v>780</v>
      </c>
      <c r="G411" s="185" t="s">
        <v>372</v>
      </c>
      <c r="H411" s="188" t="s">
        <v>913</v>
      </c>
      <c r="I411" s="172" t="s">
        <v>915</v>
      </c>
      <c r="J411" s="189" t="s">
        <v>19</v>
      </c>
      <c r="K411" s="189"/>
      <c r="L411" s="172" t="s">
        <v>55</v>
      </c>
      <c r="M411" s="172">
        <v>80</v>
      </c>
      <c r="N411" s="189" t="s">
        <v>51</v>
      </c>
      <c r="O411" s="189">
        <v>37</v>
      </c>
      <c r="P411" s="190">
        <v>0.45833333333333331</v>
      </c>
      <c r="Q411" s="191">
        <v>0.3520833333333333</v>
      </c>
      <c r="R411" s="191">
        <v>0.3611111111111111</v>
      </c>
      <c r="S411" s="191">
        <v>0.38194444444444442</v>
      </c>
      <c r="T411" s="190">
        <f t="shared" si="34"/>
        <v>9.0277777777778012E-3</v>
      </c>
      <c r="U411" s="190">
        <f t="shared" si="34"/>
        <v>2.0833333333333315E-2</v>
      </c>
      <c r="V411" s="191">
        <v>0.38541666666666669</v>
      </c>
      <c r="W411" s="191">
        <f t="shared" si="36"/>
        <v>3.3333333333333381E-2</v>
      </c>
      <c r="X411" s="174"/>
      <c r="Y411" s="268"/>
    </row>
    <row r="412" spans="1:25" s="113" customFormat="1" x14ac:dyDescent="0.25">
      <c r="A412" s="140">
        <f t="shared" si="35"/>
        <v>9</v>
      </c>
      <c r="B412" s="157">
        <v>43886</v>
      </c>
      <c r="C412" s="157">
        <v>43886</v>
      </c>
      <c r="D412" s="320" t="s">
        <v>68</v>
      </c>
      <c r="E412" s="98"/>
      <c r="F412" s="177">
        <v>540</v>
      </c>
      <c r="G412" s="140" t="s">
        <v>53</v>
      </c>
      <c r="H412" s="178" t="s">
        <v>57</v>
      </c>
      <c r="I412" s="143" t="s">
        <v>54</v>
      </c>
      <c r="J412" s="142"/>
      <c r="K412" s="142"/>
      <c r="L412" s="98" t="s">
        <v>55</v>
      </c>
      <c r="M412" s="98"/>
      <c r="N412" s="142"/>
      <c r="O412" s="142">
        <v>33</v>
      </c>
      <c r="P412" s="179">
        <v>0.66666666666666663</v>
      </c>
      <c r="Q412" s="148">
        <v>0.63888888888888895</v>
      </c>
      <c r="R412" s="148">
        <v>0.67013888888888884</v>
      </c>
      <c r="S412" s="148">
        <v>0.70138888888888884</v>
      </c>
      <c r="T412" s="179">
        <f t="shared" si="34"/>
        <v>3.1249999999999889E-2</v>
      </c>
      <c r="U412" s="179">
        <f t="shared" si="34"/>
        <v>3.125E-2</v>
      </c>
      <c r="V412" s="148">
        <v>0.71527777777777779</v>
      </c>
      <c r="W412" s="148">
        <f t="shared" ref="W412:W419" si="41">V412-Q412</f>
        <v>7.638888888888884E-2</v>
      </c>
      <c r="X412" s="96" t="s">
        <v>954</v>
      </c>
    </row>
    <row r="413" spans="1:25" s="113" customFormat="1" x14ac:dyDescent="0.25">
      <c r="A413" s="140">
        <f t="shared" si="35"/>
        <v>9</v>
      </c>
      <c r="B413" s="157">
        <v>43886</v>
      </c>
      <c r="C413" s="157">
        <v>43886</v>
      </c>
      <c r="D413" s="320" t="s">
        <v>68</v>
      </c>
      <c r="E413" s="79"/>
      <c r="F413" s="153">
        <v>540</v>
      </c>
      <c r="G413" s="137" t="s">
        <v>56</v>
      </c>
      <c r="H413" s="158" t="s">
        <v>387</v>
      </c>
      <c r="I413" s="143" t="s">
        <v>58</v>
      </c>
      <c r="J413" s="139"/>
      <c r="K413" s="139"/>
      <c r="L413" s="98" t="s">
        <v>55</v>
      </c>
      <c r="M413" s="79"/>
      <c r="N413" s="139"/>
      <c r="O413" s="139">
        <v>29</v>
      </c>
      <c r="P413" s="138">
        <v>0.70833333333333337</v>
      </c>
      <c r="Q413" s="147">
        <v>0.67361111111111116</v>
      </c>
      <c r="R413" s="147">
        <v>0.7319444444444444</v>
      </c>
      <c r="S413" s="147">
        <v>0.75694444444444453</v>
      </c>
      <c r="T413" s="138">
        <f t="shared" si="34"/>
        <v>5.8333333333333237E-2</v>
      </c>
      <c r="U413" s="138">
        <f t="shared" si="34"/>
        <v>2.5000000000000133E-2</v>
      </c>
      <c r="V413" s="147">
        <v>0.76388888888888884</v>
      </c>
      <c r="W413" s="148">
        <f t="shared" si="41"/>
        <v>9.0277777777777679E-2</v>
      </c>
      <c r="X413" s="81" t="s">
        <v>955</v>
      </c>
    </row>
    <row r="414" spans="1:25" s="113" customFormat="1" x14ac:dyDescent="0.25">
      <c r="A414" s="140">
        <f t="shared" si="35"/>
        <v>9</v>
      </c>
      <c r="B414" s="157">
        <v>43886</v>
      </c>
      <c r="C414" s="157">
        <v>43886</v>
      </c>
      <c r="D414" s="100" t="s">
        <v>361</v>
      </c>
      <c r="E414" s="79"/>
      <c r="F414" s="153">
        <v>540</v>
      </c>
      <c r="G414" s="137" t="s">
        <v>59</v>
      </c>
      <c r="H414" s="158" t="s">
        <v>667</v>
      </c>
      <c r="I414" s="306" t="s">
        <v>63</v>
      </c>
      <c r="J414" s="139"/>
      <c r="K414" s="139"/>
      <c r="L414" s="98" t="s">
        <v>55</v>
      </c>
      <c r="M414" s="79"/>
      <c r="N414" s="139"/>
      <c r="O414" s="139">
        <v>25</v>
      </c>
      <c r="P414" s="138">
        <v>0.75</v>
      </c>
      <c r="Q414" s="147">
        <v>0.75</v>
      </c>
      <c r="R414" s="147">
        <v>0.78472222222222221</v>
      </c>
      <c r="S414" s="147">
        <v>0.80486111111111114</v>
      </c>
      <c r="T414" s="138">
        <f t="shared" si="34"/>
        <v>3.472222222222221E-2</v>
      </c>
      <c r="U414" s="138">
        <f t="shared" si="34"/>
        <v>2.0138888888888928E-2</v>
      </c>
      <c r="V414" s="147">
        <v>0.81597222222222221</v>
      </c>
      <c r="W414" s="148">
        <f t="shared" si="41"/>
        <v>6.597222222222221E-2</v>
      </c>
      <c r="X414" s="81" t="s">
        <v>956</v>
      </c>
    </row>
    <row r="415" spans="1:25" s="113" customFormat="1" x14ac:dyDescent="0.25">
      <c r="A415" s="140">
        <f t="shared" si="35"/>
        <v>9</v>
      </c>
      <c r="B415" s="157">
        <v>43886</v>
      </c>
      <c r="C415" s="157">
        <v>43886</v>
      </c>
      <c r="D415" s="320" t="s">
        <v>68</v>
      </c>
      <c r="E415" s="79"/>
      <c r="F415" s="153">
        <v>540</v>
      </c>
      <c r="G415" s="137" t="s">
        <v>61</v>
      </c>
      <c r="H415" s="158" t="s">
        <v>939</v>
      </c>
      <c r="I415" s="306" t="s">
        <v>355</v>
      </c>
      <c r="J415" s="139"/>
      <c r="K415" s="139"/>
      <c r="L415" s="98" t="s">
        <v>55</v>
      </c>
      <c r="M415" s="79"/>
      <c r="N415" s="139"/>
      <c r="O415" s="139">
        <v>27</v>
      </c>
      <c r="P415" s="138">
        <v>0.75</v>
      </c>
      <c r="Q415" s="147">
        <v>0.6972222222222223</v>
      </c>
      <c r="R415" s="147">
        <v>0.79166666666666663</v>
      </c>
      <c r="S415" s="147">
        <v>0.8125</v>
      </c>
      <c r="T415" s="138">
        <f t="shared" si="34"/>
        <v>9.4444444444444331E-2</v>
      </c>
      <c r="U415" s="138">
        <f t="shared" si="34"/>
        <v>2.083333333333337E-2</v>
      </c>
      <c r="V415" s="147">
        <v>0.81944444444444453</v>
      </c>
      <c r="W415" s="148">
        <f t="shared" si="41"/>
        <v>0.12222222222222223</v>
      </c>
      <c r="X415" s="81" t="s">
        <v>953</v>
      </c>
    </row>
    <row r="416" spans="1:25" s="113" customFormat="1" x14ac:dyDescent="0.25">
      <c r="A416" s="140">
        <f t="shared" si="35"/>
        <v>9</v>
      </c>
      <c r="B416" s="157">
        <v>43886</v>
      </c>
      <c r="C416" s="157">
        <v>43886</v>
      </c>
      <c r="D416" s="320" t="s">
        <v>68</v>
      </c>
      <c r="E416" s="79"/>
      <c r="F416" s="153">
        <v>540</v>
      </c>
      <c r="G416" s="137" t="s">
        <v>64</v>
      </c>
      <c r="H416" s="158" t="s">
        <v>62</v>
      </c>
      <c r="I416" s="306" t="s">
        <v>78</v>
      </c>
      <c r="J416" s="139"/>
      <c r="K416" s="139"/>
      <c r="L416" s="98" t="s">
        <v>55</v>
      </c>
      <c r="M416" s="79"/>
      <c r="N416" s="139"/>
      <c r="O416" s="139">
        <v>24</v>
      </c>
      <c r="P416" s="138">
        <v>0.79166666666666663</v>
      </c>
      <c r="Q416" s="147">
        <v>0.85416666666666663</v>
      </c>
      <c r="R416" s="147">
        <v>0.86458333333333337</v>
      </c>
      <c r="S416" s="147">
        <v>0.88194444444444453</v>
      </c>
      <c r="T416" s="138">
        <f t="shared" si="34"/>
        <v>1.0416666666666741E-2</v>
      </c>
      <c r="U416" s="138">
        <f t="shared" si="34"/>
        <v>1.736111111111116E-2</v>
      </c>
      <c r="V416" s="147">
        <v>0.88541666666666663</v>
      </c>
      <c r="W416" s="148">
        <f t="shared" si="41"/>
        <v>3.125E-2</v>
      </c>
      <c r="X416" s="81" t="s">
        <v>952</v>
      </c>
    </row>
    <row r="417" spans="1:25" s="113" customFormat="1" x14ac:dyDescent="0.25">
      <c r="A417" s="140">
        <f t="shared" si="35"/>
        <v>9</v>
      </c>
      <c r="B417" s="157">
        <v>43886</v>
      </c>
      <c r="C417" s="157">
        <v>43886</v>
      </c>
      <c r="D417" s="100" t="s">
        <v>361</v>
      </c>
      <c r="E417" s="79"/>
      <c r="F417" s="153">
        <v>540</v>
      </c>
      <c r="G417" s="137" t="s">
        <v>77</v>
      </c>
      <c r="H417" s="158" t="s">
        <v>76</v>
      </c>
      <c r="I417" s="143" t="s">
        <v>60</v>
      </c>
      <c r="J417" s="139"/>
      <c r="K417" s="139"/>
      <c r="L417" s="98" t="s">
        <v>55</v>
      </c>
      <c r="M417" s="79"/>
      <c r="N417" s="139"/>
      <c r="O417" s="139">
        <v>7</v>
      </c>
      <c r="P417" s="138">
        <v>0.83333333333333337</v>
      </c>
      <c r="Q417" s="147">
        <v>0.83333333333333337</v>
      </c>
      <c r="R417" s="147">
        <v>0.85416666666666663</v>
      </c>
      <c r="S417" s="147">
        <v>0.86111111111111116</v>
      </c>
      <c r="T417" s="138">
        <f t="shared" si="34"/>
        <v>2.0833333333333259E-2</v>
      </c>
      <c r="U417" s="138">
        <f t="shared" si="34"/>
        <v>6.9444444444445308E-3</v>
      </c>
      <c r="V417" s="147">
        <v>0.86458333333333337</v>
      </c>
      <c r="W417" s="148">
        <f t="shared" si="41"/>
        <v>3.125E-2</v>
      </c>
      <c r="X417" s="81"/>
    </row>
    <row r="418" spans="1:25" s="113" customFormat="1" x14ac:dyDescent="0.25">
      <c r="A418" s="140">
        <f t="shared" si="35"/>
        <v>9</v>
      </c>
      <c r="B418" s="157">
        <v>43886</v>
      </c>
      <c r="C418" s="157">
        <v>43886</v>
      </c>
      <c r="D418" s="320" t="s">
        <v>68</v>
      </c>
      <c r="E418" s="79"/>
      <c r="F418" s="153">
        <v>540</v>
      </c>
      <c r="G418" s="137" t="s">
        <v>493</v>
      </c>
      <c r="H418" s="158" t="s">
        <v>317</v>
      </c>
      <c r="I418" s="306" t="s">
        <v>79</v>
      </c>
      <c r="J418" s="139"/>
      <c r="K418" s="139"/>
      <c r="L418" s="98" t="s">
        <v>55</v>
      </c>
      <c r="M418" s="79"/>
      <c r="N418" s="139"/>
      <c r="O418" s="139">
        <v>31</v>
      </c>
      <c r="P418" s="138">
        <v>0.83333333333333337</v>
      </c>
      <c r="Q418" s="147">
        <v>0.90277777777777779</v>
      </c>
      <c r="R418" s="147">
        <v>0.90625</v>
      </c>
      <c r="S418" s="147">
        <v>0.91666666666666663</v>
      </c>
      <c r="T418" s="138">
        <f t="shared" si="34"/>
        <v>3.4722222222222099E-3</v>
      </c>
      <c r="U418" s="138">
        <f t="shared" si="34"/>
        <v>1.041666666666663E-2</v>
      </c>
      <c r="V418" s="147">
        <v>0.92013888888888884</v>
      </c>
      <c r="W418" s="148">
        <f t="shared" si="41"/>
        <v>1.7361111111111049E-2</v>
      </c>
      <c r="X418" s="81" t="s">
        <v>952</v>
      </c>
    </row>
    <row r="419" spans="1:25" s="113" customFormat="1" x14ac:dyDescent="0.25">
      <c r="A419" s="140">
        <f t="shared" si="35"/>
        <v>9</v>
      </c>
      <c r="B419" s="157">
        <v>43886</v>
      </c>
      <c r="C419" s="157">
        <v>43886</v>
      </c>
      <c r="D419" s="320" t="s">
        <v>68</v>
      </c>
      <c r="E419" s="79"/>
      <c r="F419" s="153">
        <v>540</v>
      </c>
      <c r="G419" s="137" t="s">
        <v>736</v>
      </c>
      <c r="H419" s="158" t="s">
        <v>470</v>
      </c>
      <c r="I419" s="363" t="s">
        <v>72</v>
      </c>
      <c r="J419" s="139"/>
      <c r="K419" s="139"/>
      <c r="L419" s="98" t="s">
        <v>55</v>
      </c>
      <c r="M419" s="79"/>
      <c r="N419" s="139"/>
      <c r="O419" s="139">
        <v>22</v>
      </c>
      <c r="P419" s="138">
        <v>0.83333333333333337</v>
      </c>
      <c r="Q419" s="147">
        <v>0.81597222222222221</v>
      </c>
      <c r="R419" s="147">
        <v>0.84375</v>
      </c>
      <c r="S419" s="147">
        <v>0.85763888888888884</v>
      </c>
      <c r="T419" s="138">
        <f t="shared" si="34"/>
        <v>2.777777777777779E-2</v>
      </c>
      <c r="U419" s="138">
        <f t="shared" si="34"/>
        <v>1.388888888888884E-2</v>
      </c>
      <c r="V419" s="147">
        <v>0.86111111111111116</v>
      </c>
      <c r="W419" s="148">
        <f t="shared" si="41"/>
        <v>4.5138888888888951E-2</v>
      </c>
      <c r="X419" s="81"/>
    </row>
    <row r="420" spans="1:25" s="113" customFormat="1" x14ac:dyDescent="0.25">
      <c r="A420" s="140">
        <f t="shared" ref="A420" si="42">WEEKNUM(B420,21)</f>
        <v>9</v>
      </c>
      <c r="B420" s="157">
        <v>43886</v>
      </c>
      <c r="C420" s="157">
        <v>43886</v>
      </c>
      <c r="D420" s="320" t="s">
        <v>68</v>
      </c>
      <c r="E420" s="79"/>
      <c r="F420" s="153">
        <v>540</v>
      </c>
      <c r="G420" s="137" t="s">
        <v>852</v>
      </c>
      <c r="H420" s="158" t="s">
        <v>80</v>
      </c>
      <c r="I420" s="340" t="s">
        <v>738</v>
      </c>
      <c r="J420" s="139"/>
      <c r="K420" s="139"/>
      <c r="L420" s="98" t="s">
        <v>55</v>
      </c>
      <c r="M420" s="79"/>
      <c r="N420" s="139"/>
      <c r="O420" s="139">
        <v>10</v>
      </c>
      <c r="P420" s="138">
        <v>0.875</v>
      </c>
      <c r="Q420" s="147">
        <v>0.85069444444444453</v>
      </c>
      <c r="R420" s="147">
        <v>0.88750000000000007</v>
      </c>
      <c r="S420" s="147">
        <v>0.89583333333333337</v>
      </c>
      <c r="T420" s="138">
        <f t="shared" ref="T420" si="43">R420-Q420</f>
        <v>3.6805555555555536E-2</v>
      </c>
      <c r="U420" s="138">
        <f t="shared" ref="U420" si="44">S420-R420</f>
        <v>8.3333333333333037E-3</v>
      </c>
      <c r="V420" s="147">
        <v>0.89930555555555547</v>
      </c>
      <c r="W420" s="148">
        <f t="shared" ref="W420" si="45">V420-Q420</f>
        <v>4.8611111111110938E-2</v>
      </c>
      <c r="X420" s="81"/>
    </row>
    <row r="421" spans="1:25" s="113" customFormat="1" x14ac:dyDescent="0.25">
      <c r="A421" s="140">
        <f>WEEKNUM(B421,21)</f>
        <v>9</v>
      </c>
      <c r="B421" s="157">
        <v>43886</v>
      </c>
      <c r="C421" s="157">
        <v>43886</v>
      </c>
      <c r="D421" s="320" t="s">
        <v>68</v>
      </c>
      <c r="E421" s="79"/>
      <c r="F421" s="153">
        <v>540</v>
      </c>
      <c r="G421" s="137" t="s">
        <v>870</v>
      </c>
      <c r="H421" s="158" t="s">
        <v>330</v>
      </c>
      <c r="I421" s="363" t="s">
        <v>341</v>
      </c>
      <c r="J421" s="139"/>
      <c r="K421" s="139"/>
      <c r="L421" s="98" t="s">
        <v>55</v>
      </c>
      <c r="M421" s="79"/>
      <c r="N421" s="139"/>
      <c r="O421" s="139">
        <v>26</v>
      </c>
      <c r="P421" s="138">
        <v>0.875</v>
      </c>
      <c r="Q421" s="147">
        <v>0.85763888888888884</v>
      </c>
      <c r="R421" s="147">
        <v>0.875</v>
      </c>
      <c r="S421" s="147">
        <v>0.8881944444444444</v>
      </c>
      <c r="T421" s="138">
        <f>R421-Q421</f>
        <v>1.736111111111116E-2</v>
      </c>
      <c r="U421" s="138">
        <f>S421-R421</f>
        <v>1.3194444444444398E-2</v>
      </c>
      <c r="V421" s="147">
        <v>0.89236111111111116</v>
      </c>
      <c r="W421" s="148">
        <f>V421-Q421</f>
        <v>3.4722222222222321E-2</v>
      </c>
      <c r="X421" s="81"/>
    </row>
    <row r="422" spans="1:25" s="113" customFormat="1" x14ac:dyDescent="0.25">
      <c r="A422" s="140">
        <f t="shared" si="35"/>
        <v>9</v>
      </c>
      <c r="B422" s="157">
        <v>43886</v>
      </c>
      <c r="C422" s="157">
        <v>43886</v>
      </c>
      <c r="D422" s="100" t="s">
        <v>337</v>
      </c>
      <c r="E422" s="79">
        <v>1000462864</v>
      </c>
      <c r="F422" s="153">
        <v>420</v>
      </c>
      <c r="G422" s="137" t="s">
        <v>67</v>
      </c>
      <c r="H422" s="158" t="s">
        <v>897</v>
      </c>
      <c r="I422" s="79" t="s">
        <v>925</v>
      </c>
      <c r="J422" s="139" t="s">
        <v>19</v>
      </c>
      <c r="K422" s="139"/>
      <c r="L422" s="98" t="s">
        <v>55</v>
      </c>
      <c r="M422" s="79">
        <v>80</v>
      </c>
      <c r="N422" s="139" t="s">
        <v>51</v>
      </c>
      <c r="O422" s="139">
        <v>39</v>
      </c>
      <c r="P422" s="138">
        <v>0.41666666666666669</v>
      </c>
      <c r="Q422" s="147">
        <v>0.45624999999999999</v>
      </c>
      <c r="R422" s="147">
        <v>0.4861111111111111</v>
      </c>
      <c r="S422" s="147">
        <v>0.50347222222222221</v>
      </c>
      <c r="T422" s="138">
        <f t="shared" si="34"/>
        <v>2.9861111111111116E-2</v>
      </c>
      <c r="U422" s="138">
        <f t="shared" si="34"/>
        <v>1.7361111111111105E-2</v>
      </c>
      <c r="V422" s="147">
        <v>0.51041666666666663</v>
      </c>
      <c r="W422" s="148">
        <f t="shared" si="36"/>
        <v>5.4166666666666641E-2</v>
      </c>
      <c r="X422" s="81"/>
    </row>
    <row r="423" spans="1:25" s="113" customFormat="1" x14ac:dyDescent="0.25">
      <c r="A423" s="140">
        <f t="shared" si="35"/>
        <v>9</v>
      </c>
      <c r="B423" s="157">
        <v>43886</v>
      </c>
      <c r="C423" s="157">
        <v>43886</v>
      </c>
      <c r="D423" s="100" t="s">
        <v>361</v>
      </c>
      <c r="E423" s="79">
        <v>1000462879</v>
      </c>
      <c r="F423" s="153">
        <v>720</v>
      </c>
      <c r="G423" s="137" t="s">
        <v>70</v>
      </c>
      <c r="H423" s="158" t="s">
        <v>818</v>
      </c>
      <c r="I423" s="79" t="s">
        <v>927</v>
      </c>
      <c r="J423" s="139" t="s">
        <v>19</v>
      </c>
      <c r="K423" s="139"/>
      <c r="L423" s="98" t="s">
        <v>55</v>
      </c>
      <c r="M423" s="79">
        <v>80</v>
      </c>
      <c r="N423" s="139" t="s">
        <v>51</v>
      </c>
      <c r="O423" s="139">
        <v>37</v>
      </c>
      <c r="P423" s="138">
        <v>0.45833333333333331</v>
      </c>
      <c r="Q423" s="147">
        <v>0.4465277777777778</v>
      </c>
      <c r="R423" s="147">
        <v>0.47569444444444442</v>
      </c>
      <c r="S423" s="147">
        <v>0.49652777777777773</v>
      </c>
      <c r="T423" s="138">
        <f t="shared" si="34"/>
        <v>2.9166666666666619E-2</v>
      </c>
      <c r="U423" s="138">
        <f t="shared" si="34"/>
        <v>2.0833333333333315E-2</v>
      </c>
      <c r="V423" s="147">
        <v>0.50347222222222221</v>
      </c>
      <c r="W423" s="148">
        <f t="shared" si="36"/>
        <v>5.6944444444444409E-2</v>
      </c>
      <c r="X423" s="81"/>
    </row>
    <row r="424" spans="1:25" s="113" customFormat="1" ht="31.5" x14ac:dyDescent="0.25">
      <c r="A424" s="140">
        <f t="shared" si="35"/>
        <v>9</v>
      </c>
      <c r="B424" s="157">
        <v>43886</v>
      </c>
      <c r="C424" s="157">
        <v>43886</v>
      </c>
      <c r="D424" s="100" t="s">
        <v>68</v>
      </c>
      <c r="E424" s="79">
        <v>1000462886</v>
      </c>
      <c r="F424" s="153">
        <v>240</v>
      </c>
      <c r="G424" s="137" t="s">
        <v>73</v>
      </c>
      <c r="H424" s="158" t="s">
        <v>829</v>
      </c>
      <c r="I424" s="79" t="s">
        <v>916</v>
      </c>
      <c r="J424" s="139" t="s">
        <v>19</v>
      </c>
      <c r="K424" s="139"/>
      <c r="L424" s="98" t="s">
        <v>55</v>
      </c>
      <c r="M424" s="79">
        <v>80</v>
      </c>
      <c r="N424" s="139" t="s">
        <v>51</v>
      </c>
      <c r="O424" s="139">
        <v>46</v>
      </c>
      <c r="P424" s="138">
        <v>0.5</v>
      </c>
      <c r="Q424" s="147">
        <v>0.56874999999999998</v>
      </c>
      <c r="R424" s="147">
        <v>0.60763888888888895</v>
      </c>
      <c r="S424" s="147">
        <v>0.63888888888888895</v>
      </c>
      <c r="T424" s="138">
        <f t="shared" si="34"/>
        <v>3.8888888888888973E-2</v>
      </c>
      <c r="U424" s="138">
        <f t="shared" si="34"/>
        <v>3.125E-2</v>
      </c>
      <c r="V424" s="147">
        <v>0.64930555555555558</v>
      </c>
      <c r="W424" s="148">
        <f t="shared" si="36"/>
        <v>8.0555555555555602E-2</v>
      </c>
      <c r="X424" s="81"/>
    </row>
    <row r="425" spans="1:25" s="113" customFormat="1" ht="16.5" thickBot="1" x14ac:dyDescent="0.3">
      <c r="A425" s="185">
        <f t="shared" si="35"/>
        <v>9</v>
      </c>
      <c r="B425" s="186">
        <v>43886</v>
      </c>
      <c r="C425" s="186">
        <v>43886</v>
      </c>
      <c r="D425" s="236" t="s">
        <v>66</v>
      </c>
      <c r="E425" s="172">
        <v>1000462890</v>
      </c>
      <c r="F425" s="187">
        <v>720</v>
      </c>
      <c r="G425" s="185" t="s">
        <v>74</v>
      </c>
      <c r="H425" s="188" t="s">
        <v>928</v>
      </c>
      <c r="I425" s="172" t="s">
        <v>926</v>
      </c>
      <c r="J425" s="189" t="s">
        <v>19</v>
      </c>
      <c r="K425" s="189"/>
      <c r="L425" s="172" t="s">
        <v>55</v>
      </c>
      <c r="M425" s="172">
        <v>80</v>
      </c>
      <c r="N425" s="189" t="s">
        <v>51</v>
      </c>
      <c r="O425" s="189">
        <v>38</v>
      </c>
      <c r="P425" s="190">
        <v>0.54166666666666663</v>
      </c>
      <c r="Q425" s="191">
        <v>0.54166666666666663</v>
      </c>
      <c r="R425" s="191">
        <v>0.57291666666666663</v>
      </c>
      <c r="S425" s="191">
        <v>0.60069444444444442</v>
      </c>
      <c r="T425" s="190">
        <f t="shared" si="34"/>
        <v>3.125E-2</v>
      </c>
      <c r="U425" s="190">
        <f t="shared" si="34"/>
        <v>2.777777777777779E-2</v>
      </c>
      <c r="V425" s="191">
        <v>0.60763888888888895</v>
      </c>
      <c r="W425" s="191">
        <f t="shared" si="36"/>
        <v>6.5972222222222321E-2</v>
      </c>
      <c r="X425" s="174"/>
      <c r="Y425" s="268"/>
    </row>
    <row r="426" spans="1:25" s="113" customFormat="1" x14ac:dyDescent="0.25">
      <c r="A426" s="140">
        <f t="shared" si="35"/>
        <v>9</v>
      </c>
      <c r="B426" s="157">
        <v>43887</v>
      </c>
      <c r="C426" s="157">
        <v>43887</v>
      </c>
      <c r="D426" s="102"/>
      <c r="E426" s="98"/>
      <c r="F426" s="177"/>
      <c r="G426" s="140" t="s">
        <v>53</v>
      </c>
      <c r="H426" s="178" t="s">
        <v>57</v>
      </c>
      <c r="I426" s="143" t="s">
        <v>54</v>
      </c>
      <c r="J426" s="142"/>
      <c r="K426" s="142"/>
      <c r="L426" s="98" t="s">
        <v>75</v>
      </c>
      <c r="M426" s="98"/>
      <c r="N426" s="142"/>
      <c r="O426" s="142"/>
      <c r="P426" s="179">
        <v>0.66666666666666663</v>
      </c>
      <c r="Q426" s="148"/>
      <c r="R426" s="148"/>
      <c r="S426" s="148"/>
      <c r="T426" s="179">
        <f t="shared" si="34"/>
        <v>0</v>
      </c>
      <c r="U426" s="179">
        <f t="shared" si="34"/>
        <v>0</v>
      </c>
      <c r="V426" s="148"/>
      <c r="W426" s="148">
        <f t="shared" si="36"/>
        <v>0</v>
      </c>
      <c r="X426" s="96"/>
    </row>
    <row r="427" spans="1:25" s="113" customFormat="1" x14ac:dyDescent="0.25">
      <c r="A427" s="140">
        <f t="shared" si="35"/>
        <v>9</v>
      </c>
      <c r="B427" s="157">
        <v>43887</v>
      </c>
      <c r="C427" s="157">
        <v>43887</v>
      </c>
      <c r="D427" s="100" t="s">
        <v>68</v>
      </c>
      <c r="E427" s="79">
        <v>540</v>
      </c>
      <c r="F427" s="153"/>
      <c r="G427" s="137" t="s">
        <v>56</v>
      </c>
      <c r="H427" s="158" t="s">
        <v>76</v>
      </c>
      <c r="I427" s="143" t="s">
        <v>54</v>
      </c>
      <c r="J427" s="139"/>
      <c r="K427" s="139"/>
      <c r="L427" s="98" t="s">
        <v>55</v>
      </c>
      <c r="M427" s="79"/>
      <c r="N427" s="139"/>
      <c r="O427" s="139">
        <v>31</v>
      </c>
      <c r="P427" s="237">
        <v>0.66666666666666663</v>
      </c>
      <c r="Q427" s="147">
        <v>0.68402777777777779</v>
      </c>
      <c r="R427" s="147">
        <v>0.70833333333333337</v>
      </c>
      <c r="S427" s="147">
        <v>0.73263888888888884</v>
      </c>
      <c r="T427" s="138">
        <f t="shared" si="34"/>
        <v>2.430555555555558E-2</v>
      </c>
      <c r="U427" s="138">
        <f t="shared" si="34"/>
        <v>2.4305555555555469E-2</v>
      </c>
      <c r="V427" s="147">
        <v>0.73611111111111116</v>
      </c>
      <c r="W427" s="148">
        <f t="shared" si="36"/>
        <v>5.208333333333337E-2</v>
      </c>
      <c r="X427" s="81"/>
    </row>
    <row r="428" spans="1:25" s="113" customFormat="1" x14ac:dyDescent="0.25">
      <c r="A428" s="140">
        <f t="shared" si="35"/>
        <v>9</v>
      </c>
      <c r="B428" s="157">
        <v>43887</v>
      </c>
      <c r="C428" s="157">
        <v>43887</v>
      </c>
      <c r="D428" s="100" t="s">
        <v>361</v>
      </c>
      <c r="E428" s="79">
        <v>540</v>
      </c>
      <c r="F428" s="153"/>
      <c r="G428" s="137" t="s">
        <v>59</v>
      </c>
      <c r="H428" s="158" t="s">
        <v>317</v>
      </c>
      <c r="I428" s="143" t="s">
        <v>58</v>
      </c>
      <c r="J428" s="139"/>
      <c r="K428" s="139"/>
      <c r="L428" s="98" t="s">
        <v>55</v>
      </c>
      <c r="M428" s="79"/>
      <c r="N428" s="139"/>
      <c r="O428" s="139">
        <v>15</v>
      </c>
      <c r="P428" s="138">
        <v>0.70833333333333337</v>
      </c>
      <c r="Q428" s="147">
        <v>0.70138888888888884</v>
      </c>
      <c r="R428" s="147">
        <v>0.72222222222222221</v>
      </c>
      <c r="S428" s="147">
        <v>0.75</v>
      </c>
      <c r="T428" s="138">
        <f t="shared" si="34"/>
        <v>2.083333333333337E-2</v>
      </c>
      <c r="U428" s="138">
        <f t="shared" si="34"/>
        <v>2.777777777777779E-2</v>
      </c>
      <c r="V428" s="147">
        <v>0.75694444444444453</v>
      </c>
      <c r="W428" s="148">
        <f t="shared" si="36"/>
        <v>5.5555555555555691E-2</v>
      </c>
      <c r="X428" s="81"/>
    </row>
    <row r="429" spans="1:25" s="113" customFormat="1" x14ac:dyDescent="0.25">
      <c r="A429" s="140">
        <f t="shared" si="35"/>
        <v>9</v>
      </c>
      <c r="B429" s="157">
        <v>43887</v>
      </c>
      <c r="C429" s="157">
        <v>43887</v>
      </c>
      <c r="D429" s="100" t="s">
        <v>68</v>
      </c>
      <c r="E429" s="79">
        <v>540</v>
      </c>
      <c r="F429" s="153"/>
      <c r="G429" s="137" t="s">
        <v>61</v>
      </c>
      <c r="H429" s="273" t="s">
        <v>80</v>
      </c>
      <c r="I429" s="306" t="s">
        <v>63</v>
      </c>
      <c r="J429" s="139"/>
      <c r="K429" s="139"/>
      <c r="L429" s="98" t="s">
        <v>55</v>
      </c>
      <c r="M429" s="79"/>
      <c r="N429" s="139"/>
      <c r="O429" s="139">
        <v>27</v>
      </c>
      <c r="P429" s="237">
        <v>0.79166666666666663</v>
      </c>
      <c r="Q429" s="147">
        <v>0.84375</v>
      </c>
      <c r="R429" s="147">
        <v>0.85763888888888884</v>
      </c>
      <c r="S429" s="147">
        <v>0.86805555555555547</v>
      </c>
      <c r="T429" s="138">
        <f t="shared" si="34"/>
        <v>1.388888888888884E-2</v>
      </c>
      <c r="U429" s="138">
        <f t="shared" si="34"/>
        <v>1.041666666666663E-2</v>
      </c>
      <c r="V429" s="147">
        <v>0.875</v>
      </c>
      <c r="W429" s="148">
        <f t="shared" si="36"/>
        <v>3.125E-2</v>
      </c>
      <c r="X429" s="81"/>
    </row>
    <row r="430" spans="1:25" s="113" customFormat="1" x14ac:dyDescent="0.25">
      <c r="A430" s="140">
        <f t="shared" si="35"/>
        <v>9</v>
      </c>
      <c r="B430" s="157">
        <v>43887</v>
      </c>
      <c r="C430" s="157">
        <v>43887</v>
      </c>
      <c r="D430" s="100" t="s">
        <v>68</v>
      </c>
      <c r="E430" s="79">
        <v>540</v>
      </c>
      <c r="F430" s="153"/>
      <c r="G430" s="137" t="s">
        <v>64</v>
      </c>
      <c r="H430" s="158" t="s">
        <v>470</v>
      </c>
      <c r="I430" s="306" t="s">
        <v>355</v>
      </c>
      <c r="J430" s="139"/>
      <c r="K430" s="139"/>
      <c r="L430" s="98" t="s">
        <v>55</v>
      </c>
      <c r="M430" s="79"/>
      <c r="N430" s="139"/>
      <c r="O430" s="139">
        <v>32</v>
      </c>
      <c r="P430" s="138">
        <v>0.79166666666666663</v>
      </c>
      <c r="Q430" s="147">
        <v>0.80208333333333337</v>
      </c>
      <c r="R430" s="147">
        <v>0.8125</v>
      </c>
      <c r="S430" s="147">
        <v>0.82638888888888884</v>
      </c>
      <c r="T430" s="138">
        <f t="shared" si="34"/>
        <v>1.041666666666663E-2</v>
      </c>
      <c r="U430" s="138">
        <f t="shared" si="34"/>
        <v>1.388888888888884E-2</v>
      </c>
      <c r="V430" s="147">
        <v>0.83333333333333337</v>
      </c>
      <c r="W430" s="148">
        <f t="shared" si="36"/>
        <v>3.125E-2</v>
      </c>
      <c r="X430" s="81"/>
    </row>
    <row r="431" spans="1:25" s="113" customFormat="1" x14ac:dyDescent="0.25">
      <c r="A431" s="140">
        <f t="shared" si="35"/>
        <v>9</v>
      </c>
      <c r="B431" s="157">
        <v>43887</v>
      </c>
      <c r="C431" s="157">
        <v>43887</v>
      </c>
      <c r="D431" s="100" t="s">
        <v>361</v>
      </c>
      <c r="E431" s="79">
        <v>540</v>
      </c>
      <c r="F431" s="153"/>
      <c r="G431" s="137" t="s">
        <v>77</v>
      </c>
      <c r="H431" s="158" t="s">
        <v>330</v>
      </c>
      <c r="I431" s="306" t="s">
        <v>78</v>
      </c>
      <c r="J431" s="139"/>
      <c r="K431" s="139"/>
      <c r="L431" s="98" t="s">
        <v>55</v>
      </c>
      <c r="M431" s="79"/>
      <c r="N431" s="139"/>
      <c r="O431" s="139">
        <v>11</v>
      </c>
      <c r="P431" s="138">
        <v>0.83333333333333337</v>
      </c>
      <c r="Q431" s="147">
        <v>0.82638888888888884</v>
      </c>
      <c r="R431" s="147">
        <v>0.83333333333333337</v>
      </c>
      <c r="S431" s="147">
        <v>0.84375</v>
      </c>
      <c r="T431" s="138">
        <f t="shared" si="34"/>
        <v>6.9444444444445308E-3</v>
      </c>
      <c r="U431" s="138">
        <f t="shared" si="34"/>
        <v>1.041666666666663E-2</v>
      </c>
      <c r="V431" s="147">
        <v>0.84722222222222221</v>
      </c>
      <c r="W431" s="148">
        <f t="shared" si="36"/>
        <v>2.083333333333337E-2</v>
      </c>
      <c r="X431" s="81"/>
    </row>
    <row r="432" spans="1:25" s="113" customFormat="1" x14ac:dyDescent="0.25">
      <c r="A432" s="140">
        <f t="shared" si="35"/>
        <v>9</v>
      </c>
      <c r="B432" s="157">
        <v>43887</v>
      </c>
      <c r="C432" s="157">
        <v>43887</v>
      </c>
      <c r="D432" s="100" t="s">
        <v>361</v>
      </c>
      <c r="E432" s="79">
        <v>540</v>
      </c>
      <c r="F432" s="153"/>
      <c r="G432" s="137" t="s">
        <v>493</v>
      </c>
      <c r="H432" s="273" t="s">
        <v>62</v>
      </c>
      <c r="I432" s="363" t="s">
        <v>72</v>
      </c>
      <c r="J432" s="139"/>
      <c r="K432" s="139"/>
      <c r="L432" s="98" t="s">
        <v>55</v>
      </c>
      <c r="M432" s="79"/>
      <c r="N432" s="139"/>
      <c r="O432" s="139">
        <v>29</v>
      </c>
      <c r="P432" s="138">
        <v>0.83333333333333337</v>
      </c>
      <c r="Q432" s="147">
        <v>0.82291666666666663</v>
      </c>
      <c r="R432" s="147">
        <v>0.83333333333333337</v>
      </c>
      <c r="S432" s="147">
        <v>0.85416666666666663</v>
      </c>
      <c r="T432" s="138">
        <f t="shared" si="34"/>
        <v>1.0416666666666741E-2</v>
      </c>
      <c r="U432" s="138">
        <f t="shared" si="34"/>
        <v>2.0833333333333259E-2</v>
      </c>
      <c r="V432" s="147">
        <v>0.85763888888888884</v>
      </c>
      <c r="W432" s="148">
        <f t="shared" si="36"/>
        <v>3.472222222222221E-2</v>
      </c>
      <c r="X432" s="81"/>
    </row>
    <row r="433" spans="1:25" s="113" customFormat="1" x14ac:dyDescent="0.25">
      <c r="A433" s="140">
        <f t="shared" si="35"/>
        <v>9</v>
      </c>
      <c r="B433" s="157">
        <v>43887</v>
      </c>
      <c r="C433" s="157">
        <v>43887</v>
      </c>
      <c r="D433" s="100" t="s">
        <v>68</v>
      </c>
      <c r="E433" s="79">
        <v>540</v>
      </c>
      <c r="F433" s="153"/>
      <c r="G433" s="137" t="s">
        <v>736</v>
      </c>
      <c r="H433" s="158" t="s">
        <v>387</v>
      </c>
      <c r="I433" s="363" t="s">
        <v>341</v>
      </c>
      <c r="J433" s="139"/>
      <c r="K433" s="139"/>
      <c r="L433" s="98" t="s">
        <v>55</v>
      </c>
      <c r="M433" s="79"/>
      <c r="N433" s="139"/>
      <c r="O433" s="139">
        <v>14</v>
      </c>
      <c r="P433" s="138">
        <v>0.83333333333333337</v>
      </c>
      <c r="Q433" s="147">
        <v>0.79861111111111116</v>
      </c>
      <c r="R433" s="147">
        <v>0.84722222222222221</v>
      </c>
      <c r="S433" s="147">
        <v>0.85416666666666663</v>
      </c>
      <c r="T433" s="138">
        <f t="shared" si="34"/>
        <v>4.8611111111111049E-2</v>
      </c>
      <c r="U433" s="138">
        <f t="shared" si="34"/>
        <v>6.9444444444444198E-3</v>
      </c>
      <c r="V433" s="147">
        <v>0.85763888888888884</v>
      </c>
      <c r="W433" s="148">
        <f t="shared" si="36"/>
        <v>5.9027777777777679E-2</v>
      </c>
      <c r="X433" s="81" t="s">
        <v>968</v>
      </c>
    </row>
    <row r="434" spans="1:25" s="113" customFormat="1" x14ac:dyDescent="0.25">
      <c r="A434" s="140">
        <f t="shared" si="35"/>
        <v>9</v>
      </c>
      <c r="B434" s="157">
        <v>43887</v>
      </c>
      <c r="C434" s="157">
        <v>43887</v>
      </c>
      <c r="D434" s="100" t="s">
        <v>361</v>
      </c>
      <c r="E434" s="79">
        <v>540</v>
      </c>
      <c r="F434" s="153"/>
      <c r="G434" s="137" t="s">
        <v>852</v>
      </c>
      <c r="H434" s="273" t="s">
        <v>65</v>
      </c>
      <c r="I434" s="340" t="s">
        <v>738</v>
      </c>
      <c r="J434" s="139"/>
      <c r="K434" s="139"/>
      <c r="L434" s="98" t="s">
        <v>55</v>
      </c>
      <c r="M434" s="79"/>
      <c r="N434" s="139"/>
      <c r="O434" s="139">
        <v>10</v>
      </c>
      <c r="P434" s="138">
        <v>0.875</v>
      </c>
      <c r="Q434" s="147">
        <v>0.875</v>
      </c>
      <c r="R434" s="147">
        <v>0.87847222222222221</v>
      </c>
      <c r="S434" s="147">
        <v>0.88194444444444453</v>
      </c>
      <c r="T434" s="138">
        <f t="shared" si="34"/>
        <v>3.4722222222222099E-3</v>
      </c>
      <c r="U434" s="138">
        <f t="shared" si="34"/>
        <v>3.4722222222223209E-3</v>
      </c>
      <c r="V434" s="147">
        <v>0.88541666666666663</v>
      </c>
      <c r="W434" s="148">
        <f t="shared" si="36"/>
        <v>1.041666666666663E-2</v>
      </c>
      <c r="X434" s="81"/>
    </row>
    <row r="435" spans="1:25" s="113" customFormat="1" x14ac:dyDescent="0.25">
      <c r="A435" s="140">
        <f t="shared" si="35"/>
        <v>9</v>
      </c>
      <c r="B435" s="157">
        <v>43887</v>
      </c>
      <c r="C435" s="157">
        <v>43887</v>
      </c>
      <c r="D435" s="100" t="s">
        <v>337</v>
      </c>
      <c r="E435" s="79">
        <v>1000462865</v>
      </c>
      <c r="F435" s="153">
        <v>300</v>
      </c>
      <c r="G435" s="137" t="s">
        <v>69</v>
      </c>
      <c r="H435" s="158" t="s">
        <v>935</v>
      </c>
      <c r="I435" s="79" t="s">
        <v>940</v>
      </c>
      <c r="J435" s="139" t="s">
        <v>19</v>
      </c>
      <c r="K435" s="139"/>
      <c r="L435" s="98" t="s">
        <v>55</v>
      </c>
      <c r="M435" s="79">
        <v>80</v>
      </c>
      <c r="N435" s="139" t="s">
        <v>51</v>
      </c>
      <c r="O435" s="139">
        <v>38</v>
      </c>
      <c r="P435" s="138">
        <v>0.41666666666666669</v>
      </c>
      <c r="Q435" s="147">
        <v>0.58472222222222225</v>
      </c>
      <c r="R435" s="147">
        <v>0.59375</v>
      </c>
      <c r="S435" s="147">
        <v>0.61805555555555558</v>
      </c>
      <c r="T435" s="138">
        <f t="shared" si="34"/>
        <v>9.0277777777777457E-3</v>
      </c>
      <c r="U435" s="138">
        <f t="shared" si="34"/>
        <v>2.430555555555558E-2</v>
      </c>
      <c r="V435" s="147">
        <v>0.625</v>
      </c>
      <c r="W435" s="148">
        <f t="shared" si="36"/>
        <v>4.0277777777777746E-2</v>
      </c>
      <c r="X435" s="81"/>
    </row>
    <row r="436" spans="1:25" s="113" customFormat="1" x14ac:dyDescent="0.25">
      <c r="A436" s="140">
        <f t="shared" si="35"/>
        <v>9</v>
      </c>
      <c r="B436" s="157">
        <v>43887</v>
      </c>
      <c r="C436" s="157">
        <v>43887</v>
      </c>
      <c r="D436" s="100"/>
      <c r="E436" s="79">
        <v>1000462868</v>
      </c>
      <c r="F436" s="153"/>
      <c r="G436" s="137" t="s">
        <v>323</v>
      </c>
      <c r="H436" s="158"/>
      <c r="I436" s="79"/>
      <c r="J436" s="139"/>
      <c r="K436" s="139"/>
      <c r="L436" s="98" t="s">
        <v>75</v>
      </c>
      <c r="M436" s="79"/>
      <c r="N436" s="139"/>
      <c r="O436" s="139"/>
      <c r="P436" s="138"/>
      <c r="Q436" s="147"/>
      <c r="R436" s="147"/>
      <c r="S436" s="147"/>
      <c r="T436" s="138">
        <f t="shared" si="34"/>
        <v>0</v>
      </c>
      <c r="U436" s="138">
        <f t="shared" si="34"/>
        <v>0</v>
      </c>
      <c r="V436" s="147"/>
      <c r="W436" s="148">
        <f t="shared" si="36"/>
        <v>0</v>
      </c>
      <c r="X436" s="81"/>
    </row>
    <row r="437" spans="1:25" s="113" customFormat="1" x14ac:dyDescent="0.25">
      <c r="A437" s="140">
        <f t="shared" si="35"/>
        <v>9</v>
      </c>
      <c r="B437" s="157">
        <v>43887</v>
      </c>
      <c r="C437" s="157">
        <v>43887</v>
      </c>
      <c r="D437" s="100" t="s">
        <v>68</v>
      </c>
      <c r="E437" s="79">
        <v>1000462873</v>
      </c>
      <c r="F437" s="153">
        <v>180</v>
      </c>
      <c r="G437" s="137" t="s">
        <v>71</v>
      </c>
      <c r="H437" s="158" t="s">
        <v>936</v>
      </c>
      <c r="I437" s="79" t="s">
        <v>942</v>
      </c>
      <c r="J437" s="139" t="s">
        <v>19</v>
      </c>
      <c r="K437" s="139"/>
      <c r="L437" s="98" t="s">
        <v>55</v>
      </c>
      <c r="M437" s="79">
        <v>80</v>
      </c>
      <c r="N437" s="139" t="s">
        <v>51</v>
      </c>
      <c r="O437" s="139">
        <v>39</v>
      </c>
      <c r="P437" s="138">
        <v>0.45833333333333331</v>
      </c>
      <c r="Q437" s="147">
        <v>0.51388888888888895</v>
      </c>
      <c r="R437" s="147">
        <v>0.52430555555555558</v>
      </c>
      <c r="S437" s="147">
        <v>0.54166666666666663</v>
      </c>
      <c r="T437" s="138">
        <f t="shared" si="34"/>
        <v>1.041666666666663E-2</v>
      </c>
      <c r="U437" s="138">
        <f t="shared" si="34"/>
        <v>1.7361111111111049E-2</v>
      </c>
      <c r="V437" s="147">
        <v>0.54513888888888895</v>
      </c>
      <c r="W437" s="148">
        <f t="shared" si="36"/>
        <v>3.125E-2</v>
      </c>
      <c r="X437" s="81"/>
    </row>
    <row r="438" spans="1:25" s="113" customFormat="1" ht="16.5" thickBot="1" x14ac:dyDescent="0.3">
      <c r="A438" s="185">
        <f t="shared" si="35"/>
        <v>9</v>
      </c>
      <c r="B438" s="186">
        <v>43887</v>
      </c>
      <c r="C438" s="186">
        <v>43887</v>
      </c>
      <c r="D438" s="236" t="s">
        <v>68</v>
      </c>
      <c r="E438" s="172">
        <v>1000462887</v>
      </c>
      <c r="F438" s="187">
        <v>180</v>
      </c>
      <c r="G438" s="185" t="s">
        <v>340</v>
      </c>
      <c r="H438" s="188" t="s">
        <v>937</v>
      </c>
      <c r="I438" s="172" t="s">
        <v>930</v>
      </c>
      <c r="J438" s="189" t="s">
        <v>19</v>
      </c>
      <c r="K438" s="189"/>
      <c r="L438" s="172" t="s">
        <v>55</v>
      </c>
      <c r="M438" s="172">
        <v>80</v>
      </c>
      <c r="N438" s="189" t="s">
        <v>51</v>
      </c>
      <c r="O438" s="189">
        <v>47</v>
      </c>
      <c r="P438" s="190">
        <v>0.5</v>
      </c>
      <c r="Q438" s="191">
        <v>0.53819444444444442</v>
      </c>
      <c r="R438" s="191">
        <v>0.54861111111111105</v>
      </c>
      <c r="S438" s="191">
        <v>0.5625</v>
      </c>
      <c r="T438" s="190">
        <f t="shared" si="34"/>
        <v>1.041666666666663E-2</v>
      </c>
      <c r="U438" s="190">
        <f t="shared" si="34"/>
        <v>1.3888888888888951E-2</v>
      </c>
      <c r="V438" s="191">
        <v>0.56597222222222221</v>
      </c>
      <c r="W438" s="191">
        <f t="shared" si="36"/>
        <v>2.777777777777779E-2</v>
      </c>
      <c r="X438" s="174"/>
      <c r="Y438" s="268"/>
    </row>
    <row r="439" spans="1:25" s="113" customFormat="1" x14ac:dyDescent="0.25">
      <c r="A439" s="140">
        <f t="shared" si="35"/>
        <v>9</v>
      </c>
      <c r="B439" s="157">
        <v>43888</v>
      </c>
      <c r="C439" s="157">
        <v>43888</v>
      </c>
      <c r="D439" s="100" t="s">
        <v>68</v>
      </c>
      <c r="E439" s="98"/>
      <c r="F439" s="177">
        <v>540</v>
      </c>
      <c r="G439" s="140" t="s">
        <v>53</v>
      </c>
      <c r="H439" s="178" t="s">
        <v>76</v>
      </c>
      <c r="I439" s="143" t="s">
        <v>54</v>
      </c>
      <c r="J439" s="142"/>
      <c r="K439" s="142"/>
      <c r="L439" s="98" t="s">
        <v>55</v>
      </c>
      <c r="M439" s="98"/>
      <c r="N439" s="142"/>
      <c r="O439" s="142">
        <v>31</v>
      </c>
      <c r="P439" s="138">
        <v>0.66666666666666663</v>
      </c>
      <c r="Q439" s="148">
        <v>0.64236111111111105</v>
      </c>
      <c r="R439" s="148">
        <v>0.66666666666666663</v>
      </c>
      <c r="S439" s="148">
        <v>0.74305555555555547</v>
      </c>
      <c r="T439" s="179">
        <f t="shared" si="34"/>
        <v>2.430555555555558E-2</v>
      </c>
      <c r="U439" s="179">
        <f t="shared" si="34"/>
        <v>7.638888888888884E-2</v>
      </c>
      <c r="V439" s="148">
        <v>0.70833333333333337</v>
      </c>
      <c r="W439" s="148">
        <f t="shared" si="36"/>
        <v>6.5972222222222321E-2</v>
      </c>
      <c r="X439" s="96" t="s">
        <v>991</v>
      </c>
    </row>
    <row r="440" spans="1:25" s="113" customFormat="1" x14ac:dyDescent="0.25">
      <c r="A440" s="140">
        <f t="shared" si="35"/>
        <v>9</v>
      </c>
      <c r="B440" s="157">
        <v>43888</v>
      </c>
      <c r="C440" s="157">
        <v>43888</v>
      </c>
      <c r="D440" s="100" t="s">
        <v>68</v>
      </c>
      <c r="E440" s="79"/>
      <c r="F440" s="153">
        <v>540</v>
      </c>
      <c r="G440" s="137" t="s">
        <v>56</v>
      </c>
      <c r="H440" s="158" t="s">
        <v>470</v>
      </c>
      <c r="I440" s="143" t="s">
        <v>58</v>
      </c>
      <c r="J440" s="139"/>
      <c r="K440" s="139"/>
      <c r="L440" s="98" t="s">
        <v>55</v>
      </c>
      <c r="M440" s="79"/>
      <c r="N440" s="139"/>
      <c r="O440" s="139">
        <v>33</v>
      </c>
      <c r="P440" s="138">
        <v>0.70833333333333337</v>
      </c>
      <c r="Q440" s="147">
        <v>0.68055555555555547</v>
      </c>
      <c r="R440" s="147">
        <v>0.69027777777777777</v>
      </c>
      <c r="S440" s="147">
        <v>0.72222222222222221</v>
      </c>
      <c r="T440" s="138">
        <f t="shared" si="34"/>
        <v>9.7222222222222987E-3</v>
      </c>
      <c r="U440" s="138">
        <f t="shared" si="34"/>
        <v>3.1944444444444442E-2</v>
      </c>
      <c r="V440" s="147">
        <v>0.72569444444444453</v>
      </c>
      <c r="W440" s="148">
        <f t="shared" ref="W440:W449" si="46">V440-Q440</f>
        <v>4.5138888888889062E-2</v>
      </c>
      <c r="X440" s="81"/>
    </row>
    <row r="441" spans="1:25" s="113" customFormat="1" x14ac:dyDescent="0.25">
      <c r="A441" s="140">
        <f t="shared" si="35"/>
        <v>9</v>
      </c>
      <c r="B441" s="157">
        <v>43888</v>
      </c>
      <c r="C441" s="157">
        <v>43888</v>
      </c>
      <c r="D441" s="100" t="s">
        <v>68</v>
      </c>
      <c r="E441" s="98"/>
      <c r="F441" s="177">
        <v>540</v>
      </c>
      <c r="G441" s="140" t="s">
        <v>59</v>
      </c>
      <c r="H441" s="178" t="s">
        <v>57</v>
      </c>
      <c r="I441" s="143" t="s">
        <v>60</v>
      </c>
      <c r="J441" s="142"/>
      <c r="K441" s="142"/>
      <c r="L441" s="98" t="s">
        <v>55</v>
      </c>
      <c r="M441" s="98"/>
      <c r="N441" s="142"/>
      <c r="O441" s="142">
        <v>10</v>
      </c>
      <c r="P441" s="138">
        <v>0.70833333333333337</v>
      </c>
      <c r="Q441" s="148">
        <v>0.68055555555555547</v>
      </c>
      <c r="R441" s="148">
        <v>0.70833333333333337</v>
      </c>
      <c r="S441" s="148">
        <v>0.71875</v>
      </c>
      <c r="T441" s="179">
        <f t="shared" si="34"/>
        <v>2.7777777777777901E-2</v>
      </c>
      <c r="U441" s="179">
        <f t="shared" si="34"/>
        <v>1.041666666666663E-2</v>
      </c>
      <c r="V441" s="148">
        <v>0.72222222222222221</v>
      </c>
      <c r="W441" s="148">
        <f t="shared" si="46"/>
        <v>4.1666666666666741E-2</v>
      </c>
      <c r="X441" s="96"/>
    </row>
    <row r="442" spans="1:25" s="113" customFormat="1" x14ac:dyDescent="0.25">
      <c r="A442" s="140">
        <f t="shared" si="35"/>
        <v>9</v>
      </c>
      <c r="B442" s="157">
        <v>43888</v>
      </c>
      <c r="C442" s="157">
        <v>43888</v>
      </c>
      <c r="D442" s="100" t="s">
        <v>68</v>
      </c>
      <c r="E442" s="79"/>
      <c r="F442" s="153">
        <v>540</v>
      </c>
      <c r="G442" s="137" t="s">
        <v>61</v>
      </c>
      <c r="H442" s="158" t="s">
        <v>667</v>
      </c>
      <c r="I442" s="306" t="s">
        <v>63</v>
      </c>
      <c r="J442" s="139"/>
      <c r="K442" s="139"/>
      <c r="L442" s="98" t="s">
        <v>55</v>
      </c>
      <c r="M442" s="79"/>
      <c r="N442" s="139"/>
      <c r="O442" s="139">
        <v>30</v>
      </c>
      <c r="P442" s="138">
        <v>0.75</v>
      </c>
      <c r="Q442" s="147">
        <v>0.73263888888888884</v>
      </c>
      <c r="R442" s="147">
        <v>0.75694444444444453</v>
      </c>
      <c r="S442" s="147">
        <v>0.78472222222222221</v>
      </c>
      <c r="T442" s="138">
        <f t="shared" si="34"/>
        <v>2.4305555555555691E-2</v>
      </c>
      <c r="U442" s="138">
        <f t="shared" si="34"/>
        <v>2.7777777777777679E-2</v>
      </c>
      <c r="V442" s="147">
        <v>0.79166666666666663</v>
      </c>
      <c r="W442" s="148">
        <f t="shared" si="46"/>
        <v>5.902777777777779E-2</v>
      </c>
      <c r="X442" s="81" t="s">
        <v>992</v>
      </c>
    </row>
    <row r="443" spans="1:25" s="113" customFormat="1" x14ac:dyDescent="0.25">
      <c r="A443" s="140">
        <f t="shared" si="35"/>
        <v>9</v>
      </c>
      <c r="B443" s="157">
        <v>43888</v>
      </c>
      <c r="C443" s="157">
        <v>43888</v>
      </c>
      <c r="D443" s="100" t="s">
        <v>68</v>
      </c>
      <c r="E443" s="79"/>
      <c r="F443" s="153">
        <v>540</v>
      </c>
      <c r="G443" s="137" t="s">
        <v>64</v>
      </c>
      <c r="H443" s="158" t="s">
        <v>387</v>
      </c>
      <c r="I443" s="306" t="s">
        <v>355</v>
      </c>
      <c r="J443" s="139"/>
      <c r="K443" s="139"/>
      <c r="L443" s="98" t="s">
        <v>55</v>
      </c>
      <c r="M443" s="79"/>
      <c r="N443" s="139"/>
      <c r="O443" s="139">
        <v>27</v>
      </c>
      <c r="P443" s="138">
        <v>0.79166666666666663</v>
      </c>
      <c r="Q443" s="147">
        <v>0.80555555555555547</v>
      </c>
      <c r="R443" s="147">
        <v>0.80902777777777779</v>
      </c>
      <c r="S443" s="147">
        <v>0.82638888888888884</v>
      </c>
      <c r="T443" s="138">
        <f t="shared" si="34"/>
        <v>3.4722222222223209E-3</v>
      </c>
      <c r="U443" s="138">
        <f t="shared" si="34"/>
        <v>1.7361111111111049E-2</v>
      </c>
      <c r="V443" s="147">
        <v>0.83333333333333337</v>
      </c>
      <c r="W443" s="148">
        <f t="shared" si="46"/>
        <v>2.7777777777777901E-2</v>
      </c>
      <c r="X443" s="81" t="s">
        <v>993</v>
      </c>
    </row>
    <row r="444" spans="1:25" s="113" customFormat="1" x14ac:dyDescent="0.25">
      <c r="A444" s="140">
        <f t="shared" si="35"/>
        <v>9</v>
      </c>
      <c r="B444" s="157">
        <v>43888</v>
      </c>
      <c r="C444" s="157">
        <v>43888</v>
      </c>
      <c r="D444" s="100" t="s">
        <v>68</v>
      </c>
      <c r="E444" s="79"/>
      <c r="F444" s="153">
        <v>540</v>
      </c>
      <c r="G444" s="137" t="s">
        <v>77</v>
      </c>
      <c r="H444" s="158" t="s">
        <v>62</v>
      </c>
      <c r="I444" s="306" t="s">
        <v>78</v>
      </c>
      <c r="J444" s="139"/>
      <c r="K444" s="139"/>
      <c r="L444" s="98" t="s">
        <v>55</v>
      </c>
      <c r="M444" s="79"/>
      <c r="N444" s="139"/>
      <c r="O444" s="139">
        <v>8</v>
      </c>
      <c r="P444" s="138">
        <v>0.83333333333333337</v>
      </c>
      <c r="Q444" s="147">
        <v>0.80902777777777779</v>
      </c>
      <c r="R444" s="147">
        <v>0.8125</v>
      </c>
      <c r="S444" s="147">
        <v>0.81944444444444453</v>
      </c>
      <c r="T444" s="138">
        <f t="shared" si="34"/>
        <v>3.4722222222222099E-3</v>
      </c>
      <c r="U444" s="138">
        <f t="shared" si="34"/>
        <v>6.9444444444445308E-3</v>
      </c>
      <c r="V444" s="147">
        <v>0.82291666666666663</v>
      </c>
      <c r="W444" s="148">
        <f t="shared" si="46"/>
        <v>1.388888888888884E-2</v>
      </c>
      <c r="X444" s="81"/>
    </row>
    <row r="445" spans="1:25" s="113" customFormat="1" x14ac:dyDescent="0.25">
      <c r="A445" s="140">
        <f t="shared" si="35"/>
        <v>9</v>
      </c>
      <c r="B445" s="157">
        <v>43888</v>
      </c>
      <c r="C445" s="157">
        <v>43888</v>
      </c>
      <c r="D445" s="100" t="s">
        <v>361</v>
      </c>
      <c r="E445" s="79"/>
      <c r="F445" s="153">
        <v>540</v>
      </c>
      <c r="G445" s="137" t="s">
        <v>493</v>
      </c>
      <c r="H445" s="158" t="s">
        <v>317</v>
      </c>
      <c r="I445" s="363" t="s">
        <v>72</v>
      </c>
      <c r="J445" s="139"/>
      <c r="K445" s="139"/>
      <c r="L445" s="98" t="s">
        <v>55</v>
      </c>
      <c r="M445" s="79"/>
      <c r="N445" s="139"/>
      <c r="O445" s="139">
        <v>28</v>
      </c>
      <c r="P445" s="138">
        <v>0.83333333333333337</v>
      </c>
      <c r="Q445" s="147">
        <v>0.82986111111111116</v>
      </c>
      <c r="R445" s="147">
        <v>0.83680555555555547</v>
      </c>
      <c r="S445" s="147">
        <v>0.85069444444444453</v>
      </c>
      <c r="T445" s="138">
        <f t="shared" si="34"/>
        <v>6.9444444444443088E-3</v>
      </c>
      <c r="U445" s="138">
        <f t="shared" si="34"/>
        <v>1.3888888888889062E-2</v>
      </c>
      <c r="V445" s="147">
        <v>0.85416666666666663</v>
      </c>
      <c r="W445" s="148">
        <f t="shared" si="46"/>
        <v>2.4305555555555469E-2</v>
      </c>
      <c r="X445" s="81"/>
    </row>
    <row r="446" spans="1:25" s="113" customFormat="1" x14ac:dyDescent="0.25">
      <c r="A446" s="140">
        <f t="shared" si="35"/>
        <v>9</v>
      </c>
      <c r="B446" s="157">
        <v>43888</v>
      </c>
      <c r="C446" s="157">
        <v>43888</v>
      </c>
      <c r="D446" s="100" t="s">
        <v>361</v>
      </c>
      <c r="E446" s="79"/>
      <c r="F446" s="153">
        <v>540</v>
      </c>
      <c r="G446" s="137" t="s">
        <v>736</v>
      </c>
      <c r="H446" s="158" t="s">
        <v>80</v>
      </c>
      <c r="I446" s="363" t="s">
        <v>341</v>
      </c>
      <c r="J446" s="139"/>
      <c r="K446" s="139"/>
      <c r="L446" s="98" t="s">
        <v>55</v>
      </c>
      <c r="M446" s="79"/>
      <c r="N446" s="139"/>
      <c r="O446" s="139">
        <v>29</v>
      </c>
      <c r="P446" s="138">
        <v>0.83333333333333337</v>
      </c>
      <c r="Q446" s="147">
        <v>0.82638888888888884</v>
      </c>
      <c r="R446" s="147">
        <v>0.82638888888888884</v>
      </c>
      <c r="S446" s="147">
        <v>0.84722222222222221</v>
      </c>
      <c r="T446" s="138">
        <f t="shared" si="34"/>
        <v>0</v>
      </c>
      <c r="U446" s="138">
        <f t="shared" si="34"/>
        <v>2.083333333333337E-2</v>
      </c>
      <c r="V446" s="147">
        <v>0.85069444444444453</v>
      </c>
      <c r="W446" s="148">
        <f t="shared" si="46"/>
        <v>2.4305555555555691E-2</v>
      </c>
      <c r="X446" s="81"/>
    </row>
    <row r="447" spans="1:25" s="113" customFormat="1" x14ac:dyDescent="0.25">
      <c r="A447" s="140">
        <f>WEEKNUM(B447,21)</f>
        <v>9</v>
      </c>
      <c r="B447" s="157">
        <v>43888</v>
      </c>
      <c r="C447" s="157">
        <v>43888</v>
      </c>
      <c r="D447" s="100" t="s">
        <v>361</v>
      </c>
      <c r="E447" s="79"/>
      <c r="F447" s="153">
        <v>540</v>
      </c>
      <c r="G447" s="137" t="s">
        <v>852</v>
      </c>
      <c r="H447" s="158" t="s">
        <v>330</v>
      </c>
      <c r="I447" s="340" t="s">
        <v>738</v>
      </c>
      <c r="J447" s="139"/>
      <c r="K447" s="139"/>
      <c r="L447" s="98" t="s">
        <v>55</v>
      </c>
      <c r="M447" s="79"/>
      <c r="N447" s="139"/>
      <c r="O447" s="139">
        <v>26</v>
      </c>
      <c r="P447" s="138">
        <v>0.875</v>
      </c>
      <c r="Q447" s="147">
        <v>0.86111111111111116</v>
      </c>
      <c r="R447" s="147">
        <v>0.86458333333333337</v>
      </c>
      <c r="S447" s="147">
        <v>0.875</v>
      </c>
      <c r="T447" s="138">
        <f>R447-Q447</f>
        <v>3.4722222222222099E-3</v>
      </c>
      <c r="U447" s="138">
        <f>S447-R447</f>
        <v>1.041666666666663E-2</v>
      </c>
      <c r="V447" s="147">
        <v>0.87847222222222221</v>
      </c>
      <c r="W447" s="148">
        <f t="shared" si="46"/>
        <v>1.7361111111111049E-2</v>
      </c>
      <c r="X447" s="81"/>
    </row>
    <row r="448" spans="1:25" s="113" customFormat="1" x14ac:dyDescent="0.25">
      <c r="A448" s="140">
        <f t="shared" si="35"/>
        <v>9</v>
      </c>
      <c r="B448" s="157">
        <v>43888</v>
      </c>
      <c r="C448" s="157">
        <v>43888</v>
      </c>
      <c r="D448" s="100" t="s">
        <v>337</v>
      </c>
      <c r="E448" s="79">
        <v>1000462866</v>
      </c>
      <c r="F448" s="153">
        <v>360</v>
      </c>
      <c r="G448" s="137" t="s">
        <v>339</v>
      </c>
      <c r="H448" s="158" t="s">
        <v>962</v>
      </c>
      <c r="I448" s="79" t="s">
        <v>965</v>
      </c>
      <c r="J448" s="139" t="s">
        <v>19</v>
      </c>
      <c r="K448" s="139"/>
      <c r="L448" s="98" t="s">
        <v>55</v>
      </c>
      <c r="M448" s="79">
        <v>80</v>
      </c>
      <c r="N448" s="139" t="s">
        <v>51</v>
      </c>
      <c r="O448" s="139">
        <v>37</v>
      </c>
      <c r="P448" s="138">
        <v>0.41666666666666669</v>
      </c>
      <c r="Q448" s="147">
        <v>0.4826388888888889</v>
      </c>
      <c r="R448" s="147">
        <v>0.54513888888888895</v>
      </c>
      <c r="S448" s="147">
        <v>0.57638888888888895</v>
      </c>
      <c r="T448" s="138">
        <f t="shared" si="34"/>
        <v>6.2500000000000056E-2</v>
      </c>
      <c r="U448" s="138">
        <f t="shared" si="34"/>
        <v>3.125E-2</v>
      </c>
      <c r="V448" s="147">
        <v>0.58680555555555558</v>
      </c>
      <c r="W448" s="148">
        <f t="shared" si="46"/>
        <v>0.10416666666666669</v>
      </c>
      <c r="X448" s="81" t="s">
        <v>987</v>
      </c>
    </row>
    <row r="449" spans="1:25" s="113" customFormat="1" x14ac:dyDescent="0.25">
      <c r="A449" s="140">
        <f t="shared" si="35"/>
        <v>9</v>
      </c>
      <c r="B449" s="157">
        <v>43888</v>
      </c>
      <c r="C449" s="157">
        <v>43888</v>
      </c>
      <c r="D449" s="100" t="s">
        <v>361</v>
      </c>
      <c r="E449" s="79">
        <v>1000462881</v>
      </c>
      <c r="F449" s="153">
        <v>120</v>
      </c>
      <c r="G449" s="137" t="s">
        <v>325</v>
      </c>
      <c r="H449" s="158" t="s">
        <v>746</v>
      </c>
      <c r="I449" s="79" t="s">
        <v>966</v>
      </c>
      <c r="J449" s="139" t="s">
        <v>19</v>
      </c>
      <c r="K449" s="139"/>
      <c r="L449" s="98" t="s">
        <v>55</v>
      </c>
      <c r="M449" s="79">
        <v>80</v>
      </c>
      <c r="N449" s="139" t="s">
        <v>51</v>
      </c>
      <c r="O449" s="139">
        <v>38</v>
      </c>
      <c r="P449" s="138">
        <v>0.45833333333333331</v>
      </c>
      <c r="Q449" s="147">
        <v>0.4513888888888889</v>
      </c>
      <c r="R449" s="147">
        <v>0.47916666666666669</v>
      </c>
      <c r="S449" s="147">
        <v>0.51041666666666663</v>
      </c>
      <c r="T449" s="138">
        <f t="shared" si="34"/>
        <v>2.777777777777779E-2</v>
      </c>
      <c r="U449" s="138">
        <f t="shared" si="34"/>
        <v>3.1249999999999944E-2</v>
      </c>
      <c r="V449" s="147">
        <v>0.51388888888888895</v>
      </c>
      <c r="W449" s="148">
        <f t="shared" si="46"/>
        <v>6.2500000000000056E-2</v>
      </c>
      <c r="X449" s="81"/>
    </row>
    <row r="450" spans="1:25" s="113" customFormat="1" x14ac:dyDescent="0.25">
      <c r="A450" s="140">
        <f t="shared" si="35"/>
        <v>9</v>
      </c>
      <c r="B450" s="157">
        <v>43888</v>
      </c>
      <c r="C450" s="157">
        <v>43888</v>
      </c>
      <c r="D450" s="100" t="s">
        <v>337</v>
      </c>
      <c r="E450" s="79">
        <v>1000462888</v>
      </c>
      <c r="F450" s="153">
        <v>180</v>
      </c>
      <c r="G450" s="137" t="s">
        <v>597</v>
      </c>
      <c r="H450" s="158" t="s">
        <v>963</v>
      </c>
      <c r="I450" s="79" t="s">
        <v>943</v>
      </c>
      <c r="J450" s="139" t="s">
        <v>19</v>
      </c>
      <c r="K450" s="139"/>
      <c r="L450" s="98" t="s">
        <v>55</v>
      </c>
      <c r="M450" s="79">
        <v>80</v>
      </c>
      <c r="N450" s="139" t="s">
        <v>51</v>
      </c>
      <c r="O450" s="139">
        <v>46</v>
      </c>
      <c r="P450" s="138">
        <v>0.5</v>
      </c>
      <c r="Q450" s="147">
        <v>0.59375</v>
      </c>
      <c r="R450" s="147">
        <v>0.61805555555555558</v>
      </c>
      <c r="S450" s="147">
        <v>0.63888888888888895</v>
      </c>
      <c r="T450" s="138">
        <f t="shared" si="34"/>
        <v>2.430555555555558E-2</v>
      </c>
      <c r="U450" s="138">
        <f t="shared" si="34"/>
        <v>2.083333333333337E-2</v>
      </c>
      <c r="V450" s="147">
        <v>0.6875</v>
      </c>
      <c r="W450" s="148">
        <f t="shared" si="36"/>
        <v>9.375E-2</v>
      </c>
      <c r="X450" s="81"/>
    </row>
    <row r="451" spans="1:25" s="184" customFormat="1" ht="16.5" thickBot="1" x14ac:dyDescent="0.3">
      <c r="A451" s="185">
        <f t="shared" si="35"/>
        <v>9</v>
      </c>
      <c r="B451" s="186">
        <v>43888</v>
      </c>
      <c r="C451" s="186">
        <v>43888</v>
      </c>
      <c r="D451" s="236" t="s">
        <v>337</v>
      </c>
      <c r="E451" s="172">
        <v>1000462891</v>
      </c>
      <c r="F451" s="187">
        <v>360</v>
      </c>
      <c r="G451" s="185" t="s">
        <v>342</v>
      </c>
      <c r="H451" s="188" t="s">
        <v>964</v>
      </c>
      <c r="I451" s="172" t="s">
        <v>967</v>
      </c>
      <c r="J451" s="189" t="s">
        <v>19</v>
      </c>
      <c r="K451" s="189"/>
      <c r="L451" s="172" t="s">
        <v>55</v>
      </c>
      <c r="M451" s="172">
        <v>80</v>
      </c>
      <c r="N451" s="189" t="s">
        <v>51</v>
      </c>
      <c r="O451" s="189">
        <v>40</v>
      </c>
      <c r="P451" s="190">
        <v>0.54166666666666663</v>
      </c>
      <c r="Q451" s="191">
        <v>0.4861111111111111</v>
      </c>
      <c r="R451" s="191">
        <v>0.53472222222222221</v>
      </c>
      <c r="S451" s="191">
        <v>0.55555555555555558</v>
      </c>
      <c r="T451" s="190">
        <f t="shared" si="34"/>
        <v>4.8611111111111105E-2</v>
      </c>
      <c r="U451" s="190">
        <f t="shared" si="34"/>
        <v>2.083333333333337E-2</v>
      </c>
      <c r="V451" s="191">
        <v>0.56944444444444442</v>
      </c>
      <c r="W451" s="191">
        <f t="shared" ref="W451:W454" si="47">V451-Q451</f>
        <v>8.3333333333333315E-2</v>
      </c>
      <c r="X451" s="174"/>
    </row>
    <row r="452" spans="1:25" s="134" customFormat="1" x14ac:dyDescent="0.25">
      <c r="A452" s="140">
        <f t="shared" si="35"/>
        <v>9</v>
      </c>
      <c r="B452" s="157">
        <v>43889</v>
      </c>
      <c r="C452" s="157">
        <v>43889</v>
      </c>
      <c r="D452" s="100" t="s">
        <v>337</v>
      </c>
      <c r="E452" s="98"/>
      <c r="F452" s="177">
        <v>540</v>
      </c>
      <c r="G452" s="140" t="s">
        <v>53</v>
      </c>
      <c r="H452" s="178" t="s">
        <v>62</v>
      </c>
      <c r="I452" s="143" t="s">
        <v>54</v>
      </c>
      <c r="J452" s="142"/>
      <c r="K452" s="142"/>
      <c r="L452" s="98" t="s">
        <v>55</v>
      </c>
      <c r="M452" s="98"/>
      <c r="N452" s="142"/>
      <c r="O452" s="142">
        <v>28</v>
      </c>
      <c r="P452" s="138">
        <v>0.66666666666666663</v>
      </c>
      <c r="Q452" s="148">
        <v>0.61805555555555558</v>
      </c>
      <c r="R452" s="148">
        <v>0.6875</v>
      </c>
      <c r="S452" s="148">
        <v>0.72916666666666663</v>
      </c>
      <c r="T452" s="179">
        <f t="shared" si="34"/>
        <v>6.944444444444442E-2</v>
      </c>
      <c r="U452" s="179">
        <f t="shared" si="34"/>
        <v>4.166666666666663E-2</v>
      </c>
      <c r="V452" s="148">
        <v>0.73611111111111116</v>
      </c>
      <c r="W452" s="148">
        <f t="shared" si="47"/>
        <v>0.11805555555555558</v>
      </c>
      <c r="X452" s="96" t="s">
        <v>1016</v>
      </c>
    </row>
    <row r="453" spans="1:25" s="113" customFormat="1" x14ac:dyDescent="0.25">
      <c r="A453" s="140">
        <f t="shared" si="35"/>
        <v>9</v>
      </c>
      <c r="B453" s="157">
        <v>43889</v>
      </c>
      <c r="C453" s="157">
        <v>43889</v>
      </c>
      <c r="D453" s="100"/>
      <c r="E453" s="79"/>
      <c r="F453" s="153"/>
      <c r="G453" s="137" t="s">
        <v>56</v>
      </c>
      <c r="H453" s="158" t="s">
        <v>1004</v>
      </c>
      <c r="I453" s="143" t="s">
        <v>58</v>
      </c>
      <c r="J453" s="139"/>
      <c r="K453" s="139"/>
      <c r="L453" s="98" t="s">
        <v>75</v>
      </c>
      <c r="M453" s="79"/>
      <c r="N453" s="139"/>
      <c r="O453" s="139"/>
      <c r="P453" s="138">
        <v>0.70833333333333337</v>
      </c>
      <c r="Q453" s="147"/>
      <c r="R453" s="147"/>
      <c r="S453" s="147"/>
      <c r="T453" s="138">
        <f t="shared" ref="T453:U467" si="48">R453-Q453</f>
        <v>0</v>
      </c>
      <c r="U453" s="138">
        <f t="shared" si="48"/>
        <v>0</v>
      </c>
      <c r="V453" s="147"/>
      <c r="W453" s="148">
        <f>V453-Q453</f>
        <v>0</v>
      </c>
      <c r="X453" s="81"/>
    </row>
    <row r="454" spans="1:25" s="113" customFormat="1" x14ac:dyDescent="0.25">
      <c r="A454" s="140">
        <f t="shared" si="35"/>
        <v>9</v>
      </c>
      <c r="B454" s="157">
        <v>43889</v>
      </c>
      <c r="C454" s="157">
        <v>43889</v>
      </c>
      <c r="D454" s="100" t="s">
        <v>68</v>
      </c>
      <c r="E454" s="79"/>
      <c r="F454" s="153">
        <v>540</v>
      </c>
      <c r="G454" s="137" t="s">
        <v>56</v>
      </c>
      <c r="H454" s="158" t="s">
        <v>470</v>
      </c>
      <c r="I454" s="363" t="s">
        <v>72</v>
      </c>
      <c r="J454" s="139"/>
      <c r="K454" s="139"/>
      <c r="L454" s="98" t="s">
        <v>55</v>
      </c>
      <c r="M454" s="79"/>
      <c r="N454" s="139"/>
      <c r="O454" s="139">
        <v>30</v>
      </c>
      <c r="P454" s="138">
        <v>0.79166666666666663</v>
      </c>
      <c r="Q454" s="147">
        <v>0.80208333333333337</v>
      </c>
      <c r="R454" s="147">
        <v>0.80902777777777779</v>
      </c>
      <c r="S454" s="147">
        <v>0.81597222222222221</v>
      </c>
      <c r="T454" s="138">
        <f t="shared" si="48"/>
        <v>6.9444444444444198E-3</v>
      </c>
      <c r="U454" s="138">
        <f t="shared" si="48"/>
        <v>6.9444444444444198E-3</v>
      </c>
      <c r="V454" s="147">
        <v>0.81944444444444453</v>
      </c>
      <c r="W454" s="148">
        <f>V454-Q454</f>
        <v>1.736111111111116E-2</v>
      </c>
      <c r="X454" s="81"/>
    </row>
    <row r="455" spans="1:25" s="113" customFormat="1" x14ac:dyDescent="0.25">
      <c r="A455" s="140">
        <f t="shared" ref="A455:A518" si="49">WEEKNUM(B455,21)</f>
        <v>9</v>
      </c>
      <c r="B455" s="157">
        <v>43889</v>
      </c>
      <c r="C455" s="157">
        <v>43889</v>
      </c>
      <c r="D455" s="100" t="s">
        <v>361</v>
      </c>
      <c r="E455" s="79"/>
      <c r="F455" s="153">
        <v>540</v>
      </c>
      <c r="G455" s="137" t="s">
        <v>59</v>
      </c>
      <c r="H455" s="158" t="s">
        <v>317</v>
      </c>
      <c r="I455" s="306" t="s">
        <v>63</v>
      </c>
      <c r="J455" s="139"/>
      <c r="K455" s="139"/>
      <c r="L455" s="98" t="s">
        <v>55</v>
      </c>
      <c r="M455" s="79"/>
      <c r="N455" s="139"/>
      <c r="O455" s="139">
        <v>28</v>
      </c>
      <c r="P455" s="138">
        <v>0.83333333333333337</v>
      </c>
      <c r="Q455" s="147">
        <v>0.81944444444444453</v>
      </c>
      <c r="R455" s="147">
        <v>0.82291666666666663</v>
      </c>
      <c r="S455" s="147">
        <v>0.83333333333333337</v>
      </c>
      <c r="T455" s="138">
        <f t="shared" si="48"/>
        <v>3.4722222222220989E-3</v>
      </c>
      <c r="U455" s="138">
        <f t="shared" si="48"/>
        <v>1.0416666666666741E-2</v>
      </c>
      <c r="V455" s="147">
        <v>0.83680555555555547</v>
      </c>
      <c r="W455" s="148">
        <f>V455-Q455</f>
        <v>1.7361111111110938E-2</v>
      </c>
      <c r="X455" s="81"/>
    </row>
    <row r="456" spans="1:25" s="113" customFormat="1" x14ac:dyDescent="0.25">
      <c r="A456" s="140">
        <f t="shared" si="49"/>
        <v>9</v>
      </c>
      <c r="B456" s="157">
        <v>43889</v>
      </c>
      <c r="C456" s="157">
        <v>43889</v>
      </c>
      <c r="D456" s="100" t="s">
        <v>361</v>
      </c>
      <c r="E456" s="79"/>
      <c r="F456" s="153">
        <v>540</v>
      </c>
      <c r="G456" s="137" t="s">
        <v>61</v>
      </c>
      <c r="H456" s="158" t="s">
        <v>330</v>
      </c>
      <c r="I456" s="306" t="s">
        <v>355</v>
      </c>
      <c r="J456" s="139"/>
      <c r="K456" s="139"/>
      <c r="L456" s="98" t="s">
        <v>55</v>
      </c>
      <c r="M456" s="79"/>
      <c r="N456" s="139"/>
      <c r="O456" s="139">
        <v>9</v>
      </c>
      <c r="P456" s="138">
        <v>0.875</v>
      </c>
      <c r="Q456" s="147">
        <v>0.86458333333333337</v>
      </c>
      <c r="R456" s="147">
        <v>0.86805555555555547</v>
      </c>
      <c r="S456" s="147">
        <v>0.875</v>
      </c>
      <c r="T456" s="138">
        <f t="shared" si="48"/>
        <v>3.4722222222220989E-3</v>
      </c>
      <c r="U456" s="138">
        <f t="shared" si="48"/>
        <v>6.9444444444445308E-3</v>
      </c>
      <c r="V456" s="147">
        <v>0.87847222222222221</v>
      </c>
      <c r="W456" s="148">
        <f>V456-Q456</f>
        <v>1.388888888888884E-2</v>
      </c>
      <c r="X456" s="81"/>
    </row>
    <row r="457" spans="1:25" s="113" customFormat="1" x14ac:dyDescent="0.25">
      <c r="A457" s="140">
        <f t="shared" si="49"/>
        <v>9</v>
      </c>
      <c r="B457" s="157">
        <v>43889</v>
      </c>
      <c r="C457" s="157">
        <v>43889</v>
      </c>
      <c r="D457" s="100"/>
      <c r="E457" s="79"/>
      <c r="F457" s="153"/>
      <c r="G457" s="137" t="s">
        <v>77</v>
      </c>
      <c r="H457" s="158" t="s">
        <v>330</v>
      </c>
      <c r="I457" s="363" t="s">
        <v>341</v>
      </c>
      <c r="J457" s="139"/>
      <c r="K457" s="139"/>
      <c r="L457" s="98" t="s">
        <v>75</v>
      </c>
      <c r="M457" s="79"/>
      <c r="N457" s="139"/>
      <c r="O457" s="139"/>
      <c r="P457" s="138">
        <v>0.83333333333333337</v>
      </c>
      <c r="Q457" s="147"/>
      <c r="R457" s="147"/>
      <c r="S457" s="147"/>
      <c r="T457" s="138">
        <f t="shared" si="48"/>
        <v>0</v>
      </c>
      <c r="U457" s="138">
        <f t="shared" si="48"/>
        <v>0</v>
      </c>
      <c r="V457" s="147"/>
      <c r="W457" s="148">
        <f>V457-Q457</f>
        <v>0</v>
      </c>
      <c r="X457" s="81"/>
    </row>
    <row r="458" spans="1:25" s="113" customFormat="1" x14ac:dyDescent="0.25">
      <c r="A458" s="140">
        <f t="shared" si="49"/>
        <v>9</v>
      </c>
      <c r="B458" s="157">
        <v>43889</v>
      </c>
      <c r="C458" s="157">
        <v>43889</v>
      </c>
      <c r="D458" s="100" t="s">
        <v>68</v>
      </c>
      <c r="E458" s="79"/>
      <c r="F458" s="153">
        <v>540</v>
      </c>
      <c r="G458" s="137" t="s">
        <v>64</v>
      </c>
      <c r="H458" s="158" t="s">
        <v>80</v>
      </c>
      <c r="I458" s="340" t="s">
        <v>738</v>
      </c>
      <c r="J458" s="139"/>
      <c r="K458" s="139"/>
      <c r="L458" s="98" t="s">
        <v>55</v>
      </c>
      <c r="M458" s="79"/>
      <c r="N458" s="139"/>
      <c r="O458" s="139">
        <v>8</v>
      </c>
      <c r="P458" s="138">
        <v>0.875</v>
      </c>
      <c r="Q458" s="147">
        <v>0.85069444444444453</v>
      </c>
      <c r="R458" s="147">
        <v>0.85416666666666663</v>
      </c>
      <c r="S458" s="147">
        <v>0.86111111111111116</v>
      </c>
      <c r="T458" s="138">
        <f t="shared" si="48"/>
        <v>3.4722222222220989E-3</v>
      </c>
      <c r="U458" s="138">
        <f t="shared" si="48"/>
        <v>6.9444444444445308E-3</v>
      </c>
      <c r="V458" s="147">
        <v>0.86458333333333337</v>
      </c>
      <c r="W458" s="148">
        <f t="shared" ref="W458:W521" si="50">V458-Q458</f>
        <v>1.388888888888884E-2</v>
      </c>
      <c r="X458" s="81"/>
    </row>
    <row r="459" spans="1:25" s="113" customFormat="1" x14ac:dyDescent="0.25">
      <c r="A459" s="140">
        <f t="shared" si="49"/>
        <v>9</v>
      </c>
      <c r="B459" s="157">
        <v>43889</v>
      </c>
      <c r="C459" s="157">
        <v>43889</v>
      </c>
      <c r="D459" s="100" t="s">
        <v>68</v>
      </c>
      <c r="E459" s="79">
        <v>1000462867</v>
      </c>
      <c r="F459" s="153">
        <v>600</v>
      </c>
      <c r="G459" s="137" t="s">
        <v>370</v>
      </c>
      <c r="H459" s="158" t="s">
        <v>978</v>
      </c>
      <c r="I459" s="79" t="s">
        <v>985</v>
      </c>
      <c r="J459" s="139" t="s">
        <v>19</v>
      </c>
      <c r="K459" s="139"/>
      <c r="L459" s="98" t="s">
        <v>55</v>
      </c>
      <c r="M459" s="79">
        <v>80</v>
      </c>
      <c r="N459" s="139" t="s">
        <v>51</v>
      </c>
      <c r="O459" s="139">
        <v>36</v>
      </c>
      <c r="P459" s="138">
        <v>0.41666666666666669</v>
      </c>
      <c r="Q459" s="147">
        <v>0.3444444444444445</v>
      </c>
      <c r="R459" s="147">
        <v>0.36805555555555558</v>
      </c>
      <c r="S459" s="147">
        <v>0.39930555555555558</v>
      </c>
      <c r="T459" s="138">
        <f t="shared" si="48"/>
        <v>2.3611111111111083E-2</v>
      </c>
      <c r="U459" s="138">
        <f t="shared" si="48"/>
        <v>3.125E-2</v>
      </c>
      <c r="V459" s="147">
        <v>0.40277777777777773</v>
      </c>
      <c r="W459" s="148">
        <f t="shared" si="50"/>
        <v>5.8333333333333237E-2</v>
      </c>
      <c r="X459" s="81"/>
    </row>
    <row r="460" spans="1:25" s="113" customFormat="1" x14ac:dyDescent="0.25">
      <c r="A460" s="140">
        <f t="shared" si="49"/>
        <v>9</v>
      </c>
      <c r="B460" s="157">
        <v>43889</v>
      </c>
      <c r="C460" s="157">
        <v>43889</v>
      </c>
      <c r="D460" s="100" t="s">
        <v>1000</v>
      </c>
      <c r="E460" s="79">
        <v>1000462869</v>
      </c>
      <c r="F460" s="153"/>
      <c r="G460" s="137" t="s">
        <v>371</v>
      </c>
      <c r="H460" s="158"/>
      <c r="I460" s="79"/>
      <c r="J460" s="139"/>
      <c r="K460" s="139"/>
      <c r="L460" s="98" t="s">
        <v>75</v>
      </c>
      <c r="M460" s="79"/>
      <c r="N460" s="139"/>
      <c r="O460" s="139"/>
      <c r="P460" s="138">
        <v>0.41666666666666669</v>
      </c>
      <c r="Q460" s="147"/>
      <c r="R460" s="147"/>
      <c r="S460" s="147"/>
      <c r="T460" s="138">
        <f t="shared" si="48"/>
        <v>0</v>
      </c>
      <c r="U460" s="138">
        <f t="shared" si="48"/>
        <v>0</v>
      </c>
      <c r="V460" s="147"/>
      <c r="W460" s="148">
        <f t="shared" si="50"/>
        <v>0</v>
      </c>
      <c r="X460" s="81"/>
    </row>
    <row r="461" spans="1:25" s="113" customFormat="1" ht="16.5" thickBot="1" x14ac:dyDescent="0.3">
      <c r="A461" s="185">
        <f t="shared" si="49"/>
        <v>9</v>
      </c>
      <c r="B461" s="186">
        <v>43889</v>
      </c>
      <c r="C461" s="186">
        <v>43889</v>
      </c>
      <c r="D461" s="236" t="s">
        <v>68</v>
      </c>
      <c r="E461" s="172">
        <v>1000462874</v>
      </c>
      <c r="F461" s="187">
        <v>720</v>
      </c>
      <c r="G461" s="185" t="s">
        <v>324</v>
      </c>
      <c r="H461" s="188" t="s">
        <v>590</v>
      </c>
      <c r="I461" s="172" t="s">
        <v>984</v>
      </c>
      <c r="J461" s="189" t="s">
        <v>19</v>
      </c>
      <c r="K461" s="189"/>
      <c r="L461" s="172" t="s">
        <v>55</v>
      </c>
      <c r="M461" s="172">
        <v>80</v>
      </c>
      <c r="N461" s="189" t="s">
        <v>51</v>
      </c>
      <c r="O461" s="189">
        <v>40</v>
      </c>
      <c r="P461" s="190">
        <v>0.45833333333333331</v>
      </c>
      <c r="Q461" s="191">
        <v>0.29583333333333334</v>
      </c>
      <c r="R461" s="191">
        <v>0.3125</v>
      </c>
      <c r="S461" s="191">
        <v>0.33333333333333331</v>
      </c>
      <c r="T461" s="190">
        <f t="shared" si="48"/>
        <v>1.6666666666666663E-2</v>
      </c>
      <c r="U461" s="190">
        <f t="shared" si="48"/>
        <v>2.0833333333333315E-2</v>
      </c>
      <c r="V461" s="191">
        <v>0.33680555555555558</v>
      </c>
      <c r="W461" s="191">
        <f t="shared" si="50"/>
        <v>4.0972222222222243E-2</v>
      </c>
      <c r="X461" s="174"/>
      <c r="Y461" s="268"/>
    </row>
    <row r="462" spans="1:25" s="113" customFormat="1" x14ac:dyDescent="0.25">
      <c r="A462" s="140">
        <f t="shared" si="49"/>
        <v>9</v>
      </c>
      <c r="B462" s="157">
        <v>43890</v>
      </c>
      <c r="C462" s="157">
        <v>43890</v>
      </c>
      <c r="D462" s="102"/>
      <c r="E462" s="98"/>
      <c r="F462" s="177"/>
      <c r="G462" s="140" t="s">
        <v>53</v>
      </c>
      <c r="H462" s="178" t="s">
        <v>76</v>
      </c>
      <c r="I462" s="143" t="s">
        <v>54</v>
      </c>
      <c r="J462" s="142"/>
      <c r="K462" s="142"/>
      <c r="L462" s="98"/>
      <c r="M462" s="98"/>
      <c r="N462" s="142"/>
      <c r="O462" s="142"/>
      <c r="P462" s="138">
        <v>0.66666666666666663</v>
      </c>
      <c r="Q462" s="148"/>
      <c r="R462" s="148"/>
      <c r="S462" s="148"/>
      <c r="T462" s="179">
        <f t="shared" si="48"/>
        <v>0</v>
      </c>
      <c r="U462" s="179">
        <f t="shared" si="48"/>
        <v>0</v>
      </c>
      <c r="V462" s="148"/>
      <c r="W462" s="148">
        <f t="shared" si="50"/>
        <v>0</v>
      </c>
      <c r="X462" s="96"/>
    </row>
    <row r="463" spans="1:25" s="113" customFormat="1" x14ac:dyDescent="0.25">
      <c r="A463" s="140">
        <f t="shared" si="49"/>
        <v>9</v>
      </c>
      <c r="B463" s="157">
        <v>43890</v>
      </c>
      <c r="C463" s="157">
        <v>43890</v>
      </c>
      <c r="D463" s="100"/>
      <c r="E463" s="79"/>
      <c r="F463" s="153"/>
      <c r="G463" s="137" t="s">
        <v>56</v>
      </c>
      <c r="H463" s="158" t="s">
        <v>57</v>
      </c>
      <c r="I463" s="363" t="s">
        <v>72</v>
      </c>
      <c r="J463" s="139"/>
      <c r="K463" s="139"/>
      <c r="L463" s="98"/>
      <c r="M463" s="79"/>
      <c r="N463" s="139"/>
      <c r="O463" s="139"/>
      <c r="P463" s="138">
        <v>0.66666666666666663</v>
      </c>
      <c r="Q463" s="147"/>
      <c r="R463" s="147"/>
      <c r="S463" s="147"/>
      <c r="T463" s="138">
        <f t="shared" si="48"/>
        <v>0</v>
      </c>
      <c r="U463" s="138">
        <f t="shared" si="48"/>
        <v>0</v>
      </c>
      <c r="V463" s="147"/>
      <c r="W463" s="148">
        <f t="shared" si="50"/>
        <v>0</v>
      </c>
      <c r="X463" s="81"/>
    </row>
    <row r="464" spans="1:25" s="113" customFormat="1" x14ac:dyDescent="0.25">
      <c r="A464" s="140">
        <f t="shared" si="49"/>
        <v>9</v>
      </c>
      <c r="B464" s="157">
        <v>43890</v>
      </c>
      <c r="C464" s="157">
        <v>43890</v>
      </c>
      <c r="D464" s="100"/>
      <c r="E464" s="79"/>
      <c r="F464" s="153"/>
      <c r="G464" s="137" t="s">
        <v>59</v>
      </c>
      <c r="H464" s="158" t="s">
        <v>62</v>
      </c>
      <c r="I464" s="143" t="s">
        <v>58</v>
      </c>
      <c r="J464" s="139"/>
      <c r="K464" s="139"/>
      <c r="L464" s="98"/>
      <c r="M464" s="79"/>
      <c r="N464" s="139"/>
      <c r="O464" s="139"/>
      <c r="P464" s="138">
        <v>0.70833333333333337</v>
      </c>
      <c r="Q464" s="147"/>
      <c r="R464" s="147"/>
      <c r="S464" s="147"/>
      <c r="T464" s="138">
        <f t="shared" si="48"/>
        <v>0</v>
      </c>
      <c r="U464" s="138">
        <f t="shared" si="48"/>
        <v>0</v>
      </c>
      <c r="V464" s="147"/>
      <c r="W464" s="148">
        <f t="shared" si="50"/>
        <v>0</v>
      </c>
      <c r="X464" s="81"/>
    </row>
    <row r="465" spans="1:25" s="113" customFormat="1" x14ac:dyDescent="0.25">
      <c r="A465" s="140">
        <f t="shared" si="49"/>
        <v>9</v>
      </c>
      <c r="B465" s="157">
        <v>43890</v>
      </c>
      <c r="C465" s="157">
        <v>43890</v>
      </c>
      <c r="D465" s="100"/>
      <c r="E465" s="79"/>
      <c r="F465" s="153"/>
      <c r="G465" s="137" t="s">
        <v>61</v>
      </c>
      <c r="H465" s="158" t="s">
        <v>317</v>
      </c>
      <c r="I465" s="143" t="s">
        <v>60</v>
      </c>
      <c r="J465" s="139"/>
      <c r="K465" s="139"/>
      <c r="L465" s="98"/>
      <c r="M465" s="79"/>
      <c r="N465" s="139"/>
      <c r="O465" s="139"/>
      <c r="P465" s="138">
        <v>0.70833333333333337</v>
      </c>
      <c r="Q465" s="147"/>
      <c r="R465" s="147"/>
      <c r="S465" s="147"/>
      <c r="T465" s="138">
        <f t="shared" si="48"/>
        <v>0</v>
      </c>
      <c r="U465" s="138">
        <f t="shared" si="48"/>
        <v>0</v>
      </c>
      <c r="V465" s="147"/>
      <c r="W465" s="148">
        <f t="shared" si="50"/>
        <v>0</v>
      </c>
      <c r="X465" s="81"/>
    </row>
    <row r="466" spans="1:25" s="113" customFormat="1" x14ac:dyDescent="0.25">
      <c r="A466" s="140">
        <f t="shared" si="49"/>
        <v>9</v>
      </c>
      <c r="B466" s="157">
        <v>43890</v>
      </c>
      <c r="C466" s="157">
        <v>43890</v>
      </c>
      <c r="D466" s="100"/>
      <c r="E466" s="79"/>
      <c r="F466" s="153"/>
      <c r="G466" s="137" t="s">
        <v>64</v>
      </c>
      <c r="H466" s="158" t="s">
        <v>65</v>
      </c>
      <c r="I466" s="306" t="s">
        <v>63</v>
      </c>
      <c r="J466" s="139"/>
      <c r="K466" s="139"/>
      <c r="L466" s="98"/>
      <c r="M466" s="79"/>
      <c r="N466" s="139"/>
      <c r="O466" s="139"/>
      <c r="P466" s="138">
        <v>0.75</v>
      </c>
      <c r="Q466" s="147"/>
      <c r="R466" s="147"/>
      <c r="S466" s="147"/>
      <c r="T466" s="138">
        <f t="shared" si="48"/>
        <v>0</v>
      </c>
      <c r="U466" s="138">
        <f t="shared" si="48"/>
        <v>0</v>
      </c>
      <c r="V466" s="147"/>
      <c r="W466" s="148">
        <f>U466-T466</f>
        <v>0</v>
      </c>
      <c r="X466" s="81"/>
    </row>
    <row r="467" spans="1:25" s="113" customFormat="1" x14ac:dyDescent="0.25">
      <c r="A467" s="140">
        <f t="shared" si="49"/>
        <v>9</v>
      </c>
      <c r="B467" s="157">
        <v>43890</v>
      </c>
      <c r="C467" s="157">
        <v>43890</v>
      </c>
      <c r="D467" s="100"/>
      <c r="E467" s="79"/>
      <c r="F467" s="153"/>
      <c r="G467" s="137" t="s">
        <v>77</v>
      </c>
      <c r="H467" s="158" t="s">
        <v>387</v>
      </c>
      <c r="I467" s="363" t="s">
        <v>72</v>
      </c>
      <c r="J467" s="139"/>
      <c r="K467" s="139"/>
      <c r="L467" s="98"/>
      <c r="M467" s="79"/>
      <c r="N467" s="139"/>
      <c r="O467" s="139"/>
      <c r="P467" s="138">
        <v>0.75</v>
      </c>
      <c r="Q467" s="147"/>
      <c r="R467" s="147"/>
      <c r="S467" s="147"/>
      <c r="T467" s="138">
        <f t="shared" si="48"/>
        <v>0</v>
      </c>
      <c r="U467" s="138">
        <f t="shared" si="48"/>
        <v>0</v>
      </c>
      <c r="V467" s="147"/>
      <c r="W467" s="148">
        <f>U467-T467</f>
        <v>0</v>
      </c>
      <c r="X467" s="81"/>
    </row>
    <row r="468" spans="1:25" s="113" customFormat="1" x14ac:dyDescent="0.25">
      <c r="A468" s="140">
        <f t="shared" si="49"/>
        <v>9</v>
      </c>
      <c r="B468" s="157">
        <v>43890</v>
      </c>
      <c r="C468" s="157">
        <v>43890</v>
      </c>
      <c r="D468" s="100"/>
      <c r="E468" s="79"/>
      <c r="F468" s="153"/>
      <c r="G468" s="137" t="s">
        <v>493</v>
      </c>
      <c r="H468" s="158" t="s">
        <v>470</v>
      </c>
      <c r="I468" s="306" t="s">
        <v>355</v>
      </c>
      <c r="J468" s="139"/>
      <c r="K468" s="139"/>
      <c r="L468" s="98"/>
      <c r="M468" s="79"/>
      <c r="N468" s="139"/>
      <c r="O468" s="139"/>
      <c r="P468" s="138">
        <v>0.79166666666666663</v>
      </c>
      <c r="Q468" s="147"/>
      <c r="R468" s="147"/>
      <c r="S468" s="147"/>
      <c r="T468" s="138">
        <f t="shared" ref="T468:U532" si="51">R468-Q468</f>
        <v>0</v>
      </c>
      <c r="U468" s="138">
        <f t="shared" si="51"/>
        <v>0</v>
      </c>
      <c r="V468" s="147"/>
      <c r="W468" s="148">
        <f>U468-T468</f>
        <v>0</v>
      </c>
      <c r="X468" s="81"/>
    </row>
    <row r="469" spans="1:25" s="113" customFormat="1" x14ac:dyDescent="0.25">
      <c r="A469" s="140">
        <f t="shared" si="49"/>
        <v>9</v>
      </c>
      <c r="B469" s="157">
        <v>43890</v>
      </c>
      <c r="C469" s="157">
        <v>43890</v>
      </c>
      <c r="D469" s="100"/>
      <c r="E469" s="79"/>
      <c r="F469" s="153"/>
      <c r="G469" s="137" t="s">
        <v>736</v>
      </c>
      <c r="H469" s="158" t="s">
        <v>667</v>
      </c>
      <c r="I469" s="306" t="s">
        <v>78</v>
      </c>
      <c r="J469" s="139"/>
      <c r="K469" s="139"/>
      <c r="L469" s="98"/>
      <c r="M469" s="79"/>
      <c r="N469" s="139"/>
      <c r="O469" s="139"/>
      <c r="P469" s="138">
        <v>0.83333333333333337</v>
      </c>
      <c r="Q469" s="147"/>
      <c r="R469" s="147"/>
      <c r="S469" s="147"/>
      <c r="T469" s="138">
        <f t="shared" si="51"/>
        <v>0</v>
      </c>
      <c r="U469" s="138">
        <f t="shared" si="51"/>
        <v>0</v>
      </c>
      <c r="V469" s="147"/>
      <c r="W469" s="148">
        <f t="shared" si="50"/>
        <v>0</v>
      </c>
      <c r="X469" s="81"/>
    </row>
    <row r="470" spans="1:25" s="113" customFormat="1" x14ac:dyDescent="0.25">
      <c r="A470" s="140">
        <f t="shared" si="49"/>
        <v>9</v>
      </c>
      <c r="B470" s="157">
        <v>43890</v>
      </c>
      <c r="C470" s="157">
        <v>43890</v>
      </c>
      <c r="D470" s="100"/>
      <c r="E470" s="79"/>
      <c r="F470" s="153"/>
      <c r="G470" s="137" t="s">
        <v>852</v>
      </c>
      <c r="H470" s="158" t="s">
        <v>330</v>
      </c>
      <c r="I470" s="340" t="s">
        <v>738</v>
      </c>
      <c r="J470" s="139"/>
      <c r="K470" s="139"/>
      <c r="L470" s="98"/>
      <c r="M470" s="79"/>
      <c r="N470" s="139"/>
      <c r="O470" s="139"/>
      <c r="P470" s="138">
        <v>0.875</v>
      </c>
      <c r="Q470" s="147"/>
      <c r="R470" s="147"/>
      <c r="S470" s="147"/>
      <c r="T470" s="138">
        <f t="shared" si="51"/>
        <v>0</v>
      </c>
      <c r="U470" s="138">
        <f t="shared" si="51"/>
        <v>0</v>
      </c>
      <c r="V470" s="147"/>
      <c r="W470" s="148">
        <f t="shared" si="50"/>
        <v>0</v>
      </c>
      <c r="X470" s="81"/>
    </row>
    <row r="471" spans="1:25" s="113" customFormat="1" x14ac:dyDescent="0.25">
      <c r="A471" s="140">
        <f t="shared" si="49"/>
        <v>9</v>
      </c>
      <c r="B471" s="157">
        <v>43890</v>
      </c>
      <c r="C471" s="157">
        <v>43890</v>
      </c>
      <c r="D471" s="100"/>
      <c r="E471" s="79">
        <v>1000462870</v>
      </c>
      <c r="F471" s="153"/>
      <c r="G471" s="137" t="s">
        <v>603</v>
      </c>
      <c r="H471" s="158"/>
      <c r="I471" s="79"/>
      <c r="J471" s="139"/>
      <c r="K471" s="139"/>
      <c r="L471" s="98" t="s">
        <v>75</v>
      </c>
      <c r="M471" s="79"/>
      <c r="N471" s="139"/>
      <c r="O471" s="139"/>
      <c r="P471" s="138">
        <v>0.41666666666666669</v>
      </c>
      <c r="Q471" s="147"/>
      <c r="R471" s="147"/>
      <c r="S471" s="147"/>
      <c r="T471" s="138">
        <f t="shared" si="51"/>
        <v>0</v>
      </c>
      <c r="U471" s="138">
        <f t="shared" si="51"/>
        <v>0</v>
      </c>
      <c r="V471" s="147"/>
      <c r="W471" s="148">
        <f t="shared" si="50"/>
        <v>0</v>
      </c>
      <c r="X471" s="81"/>
    </row>
    <row r="472" spans="1:25" s="113" customFormat="1" x14ac:dyDescent="0.25">
      <c r="A472" s="140">
        <f t="shared" si="49"/>
        <v>9</v>
      </c>
      <c r="B472" s="157">
        <v>43890</v>
      </c>
      <c r="C472" s="157">
        <v>43890</v>
      </c>
      <c r="D472" s="100"/>
      <c r="E472" s="79">
        <v>1000462884</v>
      </c>
      <c r="F472" s="153"/>
      <c r="G472" s="137" t="s">
        <v>373</v>
      </c>
      <c r="H472" s="158" t="s">
        <v>86</v>
      </c>
      <c r="I472" s="79" t="s">
        <v>1007</v>
      </c>
      <c r="J472" s="139" t="s">
        <v>19</v>
      </c>
      <c r="K472" s="139"/>
      <c r="L472" s="98" t="s">
        <v>109</v>
      </c>
      <c r="M472" s="79">
        <v>80</v>
      </c>
      <c r="N472" s="139"/>
      <c r="O472" s="139">
        <v>42</v>
      </c>
      <c r="P472" s="138">
        <v>0.45833333333333331</v>
      </c>
      <c r="Q472" s="147"/>
      <c r="R472" s="147"/>
      <c r="S472" s="147"/>
      <c r="T472" s="138">
        <f t="shared" si="51"/>
        <v>0</v>
      </c>
      <c r="U472" s="138">
        <f t="shared" si="51"/>
        <v>0</v>
      </c>
      <c r="V472" s="147"/>
      <c r="W472" s="148">
        <f t="shared" si="50"/>
        <v>0</v>
      </c>
      <c r="X472" s="81"/>
    </row>
    <row r="473" spans="1:25" s="113" customFormat="1" x14ac:dyDescent="0.25">
      <c r="A473" s="140">
        <f t="shared" si="49"/>
        <v>9</v>
      </c>
      <c r="B473" s="157">
        <v>43890</v>
      </c>
      <c r="C473" s="157">
        <v>43890</v>
      </c>
      <c r="D473" s="100"/>
      <c r="E473" s="79">
        <v>1000462889</v>
      </c>
      <c r="F473" s="153"/>
      <c r="G473" s="137" t="s">
        <v>628</v>
      </c>
      <c r="H473" s="158" t="s">
        <v>858</v>
      </c>
      <c r="I473" s="79" t="s">
        <v>986</v>
      </c>
      <c r="J473" s="139" t="s">
        <v>19</v>
      </c>
      <c r="K473" s="139"/>
      <c r="L473" s="98" t="s">
        <v>109</v>
      </c>
      <c r="M473" s="79">
        <v>80</v>
      </c>
      <c r="N473" s="139"/>
      <c r="O473" s="139">
        <v>46</v>
      </c>
      <c r="P473" s="138">
        <v>0.5</v>
      </c>
      <c r="Q473" s="147"/>
      <c r="R473" s="147"/>
      <c r="S473" s="147"/>
      <c r="T473" s="138">
        <f t="shared" si="51"/>
        <v>0</v>
      </c>
      <c r="U473" s="138">
        <f t="shared" si="51"/>
        <v>0</v>
      </c>
      <c r="V473" s="147"/>
      <c r="W473" s="148">
        <f t="shared" si="50"/>
        <v>0</v>
      </c>
      <c r="X473" s="81"/>
    </row>
    <row r="474" spans="1:25" s="113" customFormat="1" ht="16.5" thickBot="1" x14ac:dyDescent="0.3">
      <c r="A474" s="185">
        <f t="shared" si="49"/>
        <v>9</v>
      </c>
      <c r="B474" s="186">
        <v>43890</v>
      </c>
      <c r="C474" s="186">
        <v>43890</v>
      </c>
      <c r="D474" s="236"/>
      <c r="E474" s="172">
        <v>1000462894</v>
      </c>
      <c r="F474" s="187"/>
      <c r="G474" s="185" t="s">
        <v>510</v>
      </c>
      <c r="H474" s="188"/>
      <c r="I474" s="172"/>
      <c r="J474" s="189"/>
      <c r="K474" s="189"/>
      <c r="L474" s="172" t="s">
        <v>75</v>
      </c>
      <c r="M474" s="172"/>
      <c r="N474" s="189"/>
      <c r="O474" s="189"/>
      <c r="P474" s="190">
        <v>0.54166666666666663</v>
      </c>
      <c r="Q474" s="191"/>
      <c r="R474" s="191"/>
      <c r="S474" s="191"/>
      <c r="T474" s="190">
        <f t="shared" si="51"/>
        <v>0</v>
      </c>
      <c r="U474" s="190">
        <f t="shared" si="51"/>
        <v>0</v>
      </c>
      <c r="V474" s="191"/>
      <c r="W474" s="191">
        <f t="shared" si="50"/>
        <v>0</v>
      </c>
      <c r="X474" s="174"/>
      <c r="Y474" s="268"/>
    </row>
    <row r="475" spans="1:25" s="113" customFormat="1" x14ac:dyDescent="0.25">
      <c r="A475" s="140">
        <f t="shared" si="49"/>
        <v>10</v>
      </c>
      <c r="B475" s="157">
        <v>43893</v>
      </c>
      <c r="C475" s="157">
        <v>43893</v>
      </c>
      <c r="D475" s="102"/>
      <c r="E475" s="98"/>
      <c r="F475" s="177"/>
      <c r="G475" s="140" t="s">
        <v>53</v>
      </c>
      <c r="H475" s="178"/>
      <c r="I475" s="98"/>
      <c r="J475" s="142"/>
      <c r="K475" s="142"/>
      <c r="L475" s="98"/>
      <c r="M475" s="98"/>
      <c r="N475" s="142"/>
      <c r="O475" s="142"/>
      <c r="P475" s="179"/>
      <c r="Q475" s="148"/>
      <c r="R475" s="148"/>
      <c r="S475" s="148"/>
      <c r="T475" s="179">
        <f t="shared" si="51"/>
        <v>0</v>
      </c>
      <c r="U475" s="179">
        <f t="shared" si="51"/>
        <v>0</v>
      </c>
      <c r="V475" s="148"/>
      <c r="W475" s="148">
        <f t="shared" si="50"/>
        <v>0</v>
      </c>
      <c r="X475" s="96"/>
    </row>
    <row r="476" spans="1:25" s="113" customFormat="1" x14ac:dyDescent="0.25">
      <c r="A476" s="140">
        <f t="shared" si="49"/>
        <v>10</v>
      </c>
      <c r="B476" s="157">
        <v>43893</v>
      </c>
      <c r="C476" s="157">
        <v>43893</v>
      </c>
      <c r="D476" s="100"/>
      <c r="E476" s="79"/>
      <c r="F476" s="153"/>
      <c r="G476" s="137" t="s">
        <v>56</v>
      </c>
      <c r="H476" s="158"/>
      <c r="I476" s="79"/>
      <c r="J476" s="139"/>
      <c r="K476" s="139"/>
      <c r="L476" s="98"/>
      <c r="M476" s="79"/>
      <c r="N476" s="139"/>
      <c r="O476" s="139"/>
      <c r="P476" s="138"/>
      <c r="Q476" s="147"/>
      <c r="R476" s="147"/>
      <c r="S476" s="147"/>
      <c r="T476" s="138">
        <f t="shared" si="51"/>
        <v>0</v>
      </c>
      <c r="U476" s="138">
        <f t="shared" si="51"/>
        <v>0</v>
      </c>
      <c r="V476" s="147"/>
      <c r="W476" s="148">
        <f t="shared" si="50"/>
        <v>0</v>
      </c>
      <c r="X476" s="81"/>
    </row>
    <row r="477" spans="1:25" s="113" customFormat="1" x14ac:dyDescent="0.25">
      <c r="A477" s="140">
        <f t="shared" si="49"/>
        <v>10</v>
      </c>
      <c r="B477" s="157">
        <v>43893</v>
      </c>
      <c r="C477" s="157">
        <v>43893</v>
      </c>
      <c r="D477" s="100"/>
      <c r="E477" s="79"/>
      <c r="F477" s="153"/>
      <c r="G477" s="137" t="s">
        <v>59</v>
      </c>
      <c r="H477" s="158"/>
      <c r="I477" s="79"/>
      <c r="J477" s="139"/>
      <c r="K477" s="139"/>
      <c r="L477" s="98"/>
      <c r="M477" s="79"/>
      <c r="N477" s="139"/>
      <c r="O477" s="139"/>
      <c r="P477" s="138"/>
      <c r="Q477" s="147"/>
      <c r="R477" s="147"/>
      <c r="S477" s="147"/>
      <c r="T477" s="138">
        <f t="shared" si="51"/>
        <v>0</v>
      </c>
      <c r="U477" s="138">
        <f t="shared" si="51"/>
        <v>0</v>
      </c>
      <c r="V477" s="147"/>
      <c r="W477" s="148">
        <f t="shared" si="50"/>
        <v>0</v>
      </c>
      <c r="X477" s="81"/>
    </row>
    <row r="478" spans="1:25" s="113" customFormat="1" x14ac:dyDescent="0.25">
      <c r="A478" s="140">
        <f t="shared" si="49"/>
        <v>10</v>
      </c>
      <c r="B478" s="157">
        <v>43893</v>
      </c>
      <c r="C478" s="157">
        <v>43893</v>
      </c>
      <c r="D478" s="100"/>
      <c r="E478" s="79"/>
      <c r="F478" s="153"/>
      <c r="G478" s="137" t="s">
        <v>61</v>
      </c>
      <c r="H478" s="158"/>
      <c r="I478" s="79"/>
      <c r="J478" s="139"/>
      <c r="K478" s="139"/>
      <c r="L478" s="98"/>
      <c r="M478" s="79"/>
      <c r="N478" s="139"/>
      <c r="O478" s="139"/>
      <c r="P478" s="138"/>
      <c r="Q478" s="147"/>
      <c r="R478" s="147"/>
      <c r="S478" s="147"/>
      <c r="T478" s="138">
        <f t="shared" si="51"/>
        <v>0</v>
      </c>
      <c r="U478" s="138">
        <f t="shared" si="51"/>
        <v>0</v>
      </c>
      <c r="V478" s="147"/>
      <c r="W478" s="148">
        <f t="shared" si="50"/>
        <v>0</v>
      </c>
      <c r="X478" s="81"/>
    </row>
    <row r="479" spans="1:25" s="113" customFormat="1" x14ac:dyDescent="0.25">
      <c r="A479" s="140">
        <f t="shared" si="49"/>
        <v>10</v>
      </c>
      <c r="B479" s="157">
        <v>43893</v>
      </c>
      <c r="C479" s="157">
        <v>43893</v>
      </c>
      <c r="D479" s="100"/>
      <c r="E479" s="79"/>
      <c r="F479" s="153"/>
      <c r="G479" s="137" t="s">
        <v>64</v>
      </c>
      <c r="H479" s="158"/>
      <c r="I479" s="79"/>
      <c r="J479" s="139"/>
      <c r="K479" s="139"/>
      <c r="L479" s="98"/>
      <c r="M479" s="79"/>
      <c r="N479" s="139"/>
      <c r="O479" s="139"/>
      <c r="P479" s="138"/>
      <c r="Q479" s="147"/>
      <c r="R479" s="147"/>
      <c r="S479" s="147"/>
      <c r="T479" s="138">
        <f t="shared" si="51"/>
        <v>0</v>
      </c>
      <c r="U479" s="138">
        <f t="shared" si="51"/>
        <v>0</v>
      </c>
      <c r="V479" s="147"/>
      <c r="W479" s="148">
        <f>U479-T479</f>
        <v>0</v>
      </c>
      <c r="X479" s="81"/>
    </row>
    <row r="480" spans="1:25" s="113" customFormat="1" x14ac:dyDescent="0.25">
      <c r="A480" s="140">
        <f t="shared" si="49"/>
        <v>10</v>
      </c>
      <c r="B480" s="157">
        <v>43893</v>
      </c>
      <c r="C480" s="157">
        <v>43893</v>
      </c>
      <c r="D480" s="100"/>
      <c r="E480" s="79"/>
      <c r="F480" s="153"/>
      <c r="G480" s="137" t="s">
        <v>77</v>
      </c>
      <c r="H480" s="158"/>
      <c r="I480" s="79"/>
      <c r="J480" s="139"/>
      <c r="K480" s="139"/>
      <c r="L480" s="98"/>
      <c r="M480" s="79"/>
      <c r="N480" s="139"/>
      <c r="O480" s="139"/>
      <c r="P480" s="138"/>
      <c r="Q480" s="147"/>
      <c r="R480" s="147"/>
      <c r="S480" s="147"/>
      <c r="T480" s="138">
        <f t="shared" si="51"/>
        <v>0</v>
      </c>
      <c r="U480" s="138">
        <f t="shared" si="51"/>
        <v>0</v>
      </c>
      <c r="V480" s="147"/>
      <c r="W480" s="148">
        <f>U480-T480</f>
        <v>0</v>
      </c>
      <c r="X480" s="81"/>
    </row>
    <row r="481" spans="1:25" s="113" customFormat="1" x14ac:dyDescent="0.25">
      <c r="A481" s="140">
        <f t="shared" si="49"/>
        <v>10</v>
      </c>
      <c r="B481" s="157">
        <v>43893</v>
      </c>
      <c r="C481" s="157">
        <v>43893</v>
      </c>
      <c r="D481" s="100"/>
      <c r="E481" s="79"/>
      <c r="F481" s="153"/>
      <c r="G481" s="137" t="s">
        <v>493</v>
      </c>
      <c r="H481" s="158"/>
      <c r="I481" s="79"/>
      <c r="J481" s="139"/>
      <c r="K481" s="139"/>
      <c r="L481" s="98"/>
      <c r="M481" s="79"/>
      <c r="N481" s="139"/>
      <c r="O481" s="139"/>
      <c r="P481" s="138"/>
      <c r="Q481" s="147"/>
      <c r="R481" s="147"/>
      <c r="S481" s="147"/>
      <c r="T481" s="138">
        <f t="shared" si="51"/>
        <v>0</v>
      </c>
      <c r="U481" s="138">
        <f t="shared" si="51"/>
        <v>0</v>
      </c>
      <c r="V481" s="147"/>
      <c r="W481" s="148">
        <f>U481-T481</f>
        <v>0</v>
      </c>
      <c r="X481" s="81"/>
    </row>
    <row r="482" spans="1:25" s="113" customFormat="1" x14ac:dyDescent="0.25">
      <c r="A482" s="140">
        <f t="shared" si="49"/>
        <v>10</v>
      </c>
      <c r="B482" s="157">
        <v>43893</v>
      </c>
      <c r="C482" s="157">
        <v>43893</v>
      </c>
      <c r="D482" s="100"/>
      <c r="E482" s="79"/>
      <c r="F482" s="153"/>
      <c r="G482" s="137" t="s">
        <v>736</v>
      </c>
      <c r="H482" s="158"/>
      <c r="I482" s="79"/>
      <c r="J482" s="139"/>
      <c r="K482" s="139"/>
      <c r="L482" s="98"/>
      <c r="M482" s="79"/>
      <c r="N482" s="139"/>
      <c r="O482" s="139"/>
      <c r="P482" s="138"/>
      <c r="Q482" s="147"/>
      <c r="R482" s="147"/>
      <c r="S482" s="147"/>
      <c r="T482" s="138">
        <f t="shared" si="51"/>
        <v>0</v>
      </c>
      <c r="U482" s="138">
        <f t="shared" si="51"/>
        <v>0</v>
      </c>
      <c r="V482" s="147"/>
      <c r="W482" s="148">
        <f t="shared" si="50"/>
        <v>0</v>
      </c>
      <c r="X482" s="81"/>
    </row>
    <row r="483" spans="1:25" s="113" customFormat="1" x14ac:dyDescent="0.25">
      <c r="A483" s="140">
        <f t="shared" si="49"/>
        <v>10</v>
      </c>
      <c r="B483" s="157">
        <v>43893</v>
      </c>
      <c r="C483" s="157">
        <v>43893</v>
      </c>
      <c r="D483" s="100"/>
      <c r="E483" s="79">
        <v>1000464590</v>
      </c>
      <c r="F483" s="153"/>
      <c r="G483" s="137" t="s">
        <v>67</v>
      </c>
      <c r="H483" s="158"/>
      <c r="I483" s="79"/>
      <c r="J483" s="139"/>
      <c r="K483" s="139"/>
      <c r="L483" s="98"/>
      <c r="M483" s="79"/>
      <c r="N483" s="139"/>
      <c r="O483" s="139"/>
      <c r="P483" s="138">
        <v>0.41666666666666669</v>
      </c>
      <c r="Q483" s="147"/>
      <c r="R483" s="147"/>
      <c r="S483" s="147"/>
      <c r="T483" s="138">
        <f t="shared" si="51"/>
        <v>0</v>
      </c>
      <c r="U483" s="138">
        <f t="shared" si="51"/>
        <v>0</v>
      </c>
      <c r="V483" s="147"/>
      <c r="W483" s="148">
        <f t="shared" si="50"/>
        <v>0</v>
      </c>
      <c r="X483" s="81"/>
    </row>
    <row r="484" spans="1:25" s="113" customFormat="1" x14ac:dyDescent="0.25">
      <c r="A484" s="140">
        <f t="shared" si="49"/>
        <v>10</v>
      </c>
      <c r="B484" s="157">
        <v>43893</v>
      </c>
      <c r="C484" s="157">
        <v>43893</v>
      </c>
      <c r="D484" s="100"/>
      <c r="E484" s="79">
        <v>1000464708</v>
      </c>
      <c r="F484" s="153"/>
      <c r="G484" s="137" t="s">
        <v>70</v>
      </c>
      <c r="H484" s="158"/>
      <c r="I484" s="79"/>
      <c r="J484" s="139"/>
      <c r="K484" s="139"/>
      <c r="L484" s="98"/>
      <c r="M484" s="79"/>
      <c r="N484" s="139"/>
      <c r="O484" s="139"/>
      <c r="P484" s="138">
        <v>0.45833333333333331</v>
      </c>
      <c r="Q484" s="147"/>
      <c r="R484" s="147"/>
      <c r="S484" s="147"/>
      <c r="T484" s="138">
        <f t="shared" si="51"/>
        <v>0</v>
      </c>
      <c r="U484" s="138">
        <f t="shared" si="51"/>
        <v>0</v>
      </c>
      <c r="V484" s="147"/>
      <c r="W484" s="148">
        <f t="shared" si="50"/>
        <v>0</v>
      </c>
      <c r="X484" s="81"/>
    </row>
    <row r="485" spans="1:25" s="113" customFormat="1" x14ac:dyDescent="0.25">
      <c r="A485" s="140">
        <f t="shared" si="49"/>
        <v>10</v>
      </c>
      <c r="B485" s="157">
        <v>43893</v>
      </c>
      <c r="C485" s="157">
        <v>43893</v>
      </c>
      <c r="D485" s="100"/>
      <c r="E485" s="79">
        <v>1000464702</v>
      </c>
      <c r="F485" s="153"/>
      <c r="G485" s="137" t="s">
        <v>71</v>
      </c>
      <c r="H485" s="158"/>
      <c r="I485" s="79"/>
      <c r="J485" s="139"/>
      <c r="K485" s="139"/>
      <c r="L485" s="98"/>
      <c r="M485" s="79"/>
      <c r="N485" s="139"/>
      <c r="O485" s="139"/>
      <c r="P485" s="138">
        <v>0.45833333333333331</v>
      </c>
      <c r="Q485" s="147"/>
      <c r="R485" s="147"/>
      <c r="S485" s="147"/>
      <c r="T485" s="138">
        <f t="shared" si="51"/>
        <v>0</v>
      </c>
      <c r="U485" s="138">
        <f t="shared" si="51"/>
        <v>0</v>
      </c>
      <c r="V485" s="147"/>
      <c r="W485" s="148">
        <f t="shared" si="50"/>
        <v>0</v>
      </c>
      <c r="X485" s="81"/>
    </row>
    <row r="486" spans="1:25" s="113" customFormat="1" x14ac:dyDescent="0.25">
      <c r="A486" s="140">
        <f t="shared" si="49"/>
        <v>10</v>
      </c>
      <c r="B486" s="157">
        <v>43893</v>
      </c>
      <c r="C486" s="157">
        <v>43893</v>
      </c>
      <c r="D486" s="100"/>
      <c r="E486" s="79">
        <v>1000464717</v>
      </c>
      <c r="F486" s="153"/>
      <c r="G486" s="137" t="s">
        <v>73</v>
      </c>
      <c r="H486" s="158"/>
      <c r="I486" s="79" t="s">
        <v>1008</v>
      </c>
      <c r="J486" s="139" t="s">
        <v>19</v>
      </c>
      <c r="K486" s="139"/>
      <c r="L486" s="98" t="s">
        <v>88</v>
      </c>
      <c r="M486" s="79"/>
      <c r="N486" s="139"/>
      <c r="O486" s="139">
        <v>43</v>
      </c>
      <c r="P486" s="138">
        <v>0.5</v>
      </c>
      <c r="Q486" s="147"/>
      <c r="R486" s="147"/>
      <c r="S486" s="147"/>
      <c r="T486" s="138">
        <f t="shared" si="51"/>
        <v>0</v>
      </c>
      <c r="U486" s="138">
        <f t="shared" si="51"/>
        <v>0</v>
      </c>
      <c r="V486" s="147"/>
      <c r="W486" s="148">
        <f t="shared" si="50"/>
        <v>0</v>
      </c>
      <c r="X486" s="81"/>
    </row>
    <row r="487" spans="1:25" s="113" customFormat="1" ht="16.5" thickBot="1" x14ac:dyDescent="0.3">
      <c r="A487" s="185">
        <f t="shared" si="49"/>
        <v>10</v>
      </c>
      <c r="B487" s="186">
        <v>43893</v>
      </c>
      <c r="C487" s="186">
        <v>43893</v>
      </c>
      <c r="D487" s="236"/>
      <c r="E487" s="172">
        <v>1000464721</v>
      </c>
      <c r="F487" s="187"/>
      <c r="G487" s="185" t="s">
        <v>74</v>
      </c>
      <c r="H487" s="188"/>
      <c r="I487" s="172"/>
      <c r="J487" s="189"/>
      <c r="K487" s="189"/>
      <c r="L487" s="172"/>
      <c r="M487" s="172"/>
      <c r="N487" s="189"/>
      <c r="O487" s="189"/>
      <c r="P487" s="190">
        <v>0.54166666666666663</v>
      </c>
      <c r="Q487" s="191"/>
      <c r="R487" s="191"/>
      <c r="S487" s="191"/>
      <c r="T487" s="190">
        <f t="shared" si="51"/>
        <v>0</v>
      </c>
      <c r="U487" s="190">
        <f t="shared" si="51"/>
        <v>0</v>
      </c>
      <c r="V487" s="191"/>
      <c r="W487" s="191">
        <f t="shared" si="50"/>
        <v>0</v>
      </c>
      <c r="X487" s="174"/>
      <c r="Y487" s="268"/>
    </row>
    <row r="488" spans="1:25" s="113" customFormat="1" x14ac:dyDescent="0.25">
      <c r="A488" s="140">
        <f t="shared" si="49"/>
        <v>10</v>
      </c>
      <c r="B488" s="157">
        <v>43894</v>
      </c>
      <c r="C488" s="157">
        <v>43894</v>
      </c>
      <c r="D488" s="102"/>
      <c r="E488" s="98"/>
      <c r="F488" s="177"/>
      <c r="G488" s="140" t="s">
        <v>53</v>
      </c>
      <c r="H488" s="178"/>
      <c r="I488" s="98"/>
      <c r="J488" s="142"/>
      <c r="K488" s="142"/>
      <c r="L488" s="98"/>
      <c r="M488" s="98"/>
      <c r="N488" s="142"/>
      <c r="O488" s="142"/>
      <c r="P488" s="179"/>
      <c r="Q488" s="148"/>
      <c r="R488" s="148"/>
      <c r="S488" s="148"/>
      <c r="T488" s="179">
        <f t="shared" si="51"/>
        <v>0</v>
      </c>
      <c r="U488" s="179">
        <f t="shared" si="51"/>
        <v>0</v>
      </c>
      <c r="V488" s="148"/>
      <c r="W488" s="148">
        <f t="shared" si="50"/>
        <v>0</v>
      </c>
      <c r="X488" s="96"/>
    </row>
    <row r="489" spans="1:25" s="113" customFormat="1" x14ac:dyDescent="0.25">
      <c r="A489" s="140">
        <f t="shared" si="49"/>
        <v>10</v>
      </c>
      <c r="B489" s="157">
        <v>43894</v>
      </c>
      <c r="C489" s="157">
        <v>43894</v>
      </c>
      <c r="D489" s="100"/>
      <c r="E489" s="79"/>
      <c r="F489" s="153"/>
      <c r="G489" s="137" t="s">
        <v>56</v>
      </c>
      <c r="H489" s="158"/>
      <c r="I489" s="79"/>
      <c r="J489" s="139"/>
      <c r="K489" s="139"/>
      <c r="L489" s="98"/>
      <c r="M489" s="79"/>
      <c r="N489" s="139"/>
      <c r="O489" s="139"/>
      <c r="P489" s="138"/>
      <c r="Q489" s="147"/>
      <c r="R489" s="147"/>
      <c r="S489" s="147"/>
      <c r="T489" s="138">
        <f t="shared" si="51"/>
        <v>0</v>
      </c>
      <c r="U489" s="138">
        <f t="shared" si="51"/>
        <v>0</v>
      </c>
      <c r="V489" s="147"/>
      <c r="W489" s="148">
        <f t="shared" si="50"/>
        <v>0</v>
      </c>
      <c r="X489" s="81"/>
    </row>
    <row r="490" spans="1:25" s="113" customFormat="1" x14ac:dyDescent="0.25">
      <c r="A490" s="140">
        <f t="shared" si="49"/>
        <v>10</v>
      </c>
      <c r="B490" s="157">
        <v>43894</v>
      </c>
      <c r="C490" s="157">
        <v>43894</v>
      </c>
      <c r="D490" s="100"/>
      <c r="E490" s="79"/>
      <c r="F490" s="153"/>
      <c r="G490" s="137" t="s">
        <v>59</v>
      </c>
      <c r="H490" s="158"/>
      <c r="I490" s="79"/>
      <c r="J490" s="139"/>
      <c r="K490" s="139"/>
      <c r="L490" s="98"/>
      <c r="M490" s="79"/>
      <c r="N490" s="139"/>
      <c r="O490" s="139"/>
      <c r="P490" s="138"/>
      <c r="Q490" s="147"/>
      <c r="R490" s="147"/>
      <c r="S490" s="147"/>
      <c r="T490" s="138">
        <f t="shared" si="51"/>
        <v>0</v>
      </c>
      <c r="U490" s="138">
        <f t="shared" si="51"/>
        <v>0</v>
      </c>
      <c r="V490" s="147"/>
      <c r="W490" s="148">
        <f t="shared" si="50"/>
        <v>0</v>
      </c>
      <c r="X490" s="81"/>
    </row>
    <row r="491" spans="1:25" s="113" customFormat="1" x14ac:dyDescent="0.25">
      <c r="A491" s="140">
        <f t="shared" si="49"/>
        <v>10</v>
      </c>
      <c r="B491" s="157">
        <v>43894</v>
      </c>
      <c r="C491" s="157">
        <v>43894</v>
      </c>
      <c r="D491" s="100"/>
      <c r="E491" s="79"/>
      <c r="F491" s="153"/>
      <c r="G491" s="137" t="s">
        <v>61</v>
      </c>
      <c r="H491" s="158"/>
      <c r="I491" s="79"/>
      <c r="J491" s="139"/>
      <c r="K491" s="139"/>
      <c r="L491" s="98"/>
      <c r="M491" s="79"/>
      <c r="N491" s="139"/>
      <c r="O491" s="139"/>
      <c r="P491" s="138"/>
      <c r="Q491" s="147"/>
      <c r="R491" s="147"/>
      <c r="S491" s="147"/>
      <c r="T491" s="138">
        <f t="shared" si="51"/>
        <v>0</v>
      </c>
      <c r="U491" s="138">
        <f t="shared" si="51"/>
        <v>0</v>
      </c>
      <c r="V491" s="147"/>
      <c r="W491" s="148">
        <f t="shared" si="50"/>
        <v>0</v>
      </c>
      <c r="X491" s="81"/>
    </row>
    <row r="492" spans="1:25" s="113" customFormat="1" x14ac:dyDescent="0.25">
      <c r="A492" s="140">
        <f t="shared" si="49"/>
        <v>10</v>
      </c>
      <c r="B492" s="157">
        <v>43894</v>
      </c>
      <c r="C492" s="157">
        <v>43894</v>
      </c>
      <c r="D492" s="100"/>
      <c r="E492" s="79"/>
      <c r="F492" s="153"/>
      <c r="G492" s="137" t="s">
        <v>64</v>
      </c>
      <c r="H492" s="158"/>
      <c r="I492" s="79"/>
      <c r="J492" s="139"/>
      <c r="K492" s="139"/>
      <c r="L492" s="98"/>
      <c r="M492" s="79"/>
      <c r="N492" s="139"/>
      <c r="O492" s="139"/>
      <c r="P492" s="138"/>
      <c r="Q492" s="147"/>
      <c r="R492" s="147"/>
      <c r="S492" s="147"/>
      <c r="T492" s="138">
        <f t="shared" si="51"/>
        <v>0</v>
      </c>
      <c r="U492" s="138">
        <f t="shared" si="51"/>
        <v>0</v>
      </c>
      <c r="V492" s="147"/>
      <c r="W492" s="148">
        <f>U492-T492</f>
        <v>0</v>
      </c>
      <c r="X492" s="81"/>
    </row>
    <row r="493" spans="1:25" s="113" customFormat="1" x14ac:dyDescent="0.25">
      <c r="A493" s="140">
        <f t="shared" si="49"/>
        <v>10</v>
      </c>
      <c r="B493" s="157">
        <v>43894</v>
      </c>
      <c r="C493" s="157">
        <v>43894</v>
      </c>
      <c r="D493" s="100"/>
      <c r="E493" s="79"/>
      <c r="F493" s="153"/>
      <c r="G493" s="137" t="s">
        <v>77</v>
      </c>
      <c r="H493" s="158"/>
      <c r="I493" s="79"/>
      <c r="J493" s="139"/>
      <c r="K493" s="139"/>
      <c r="L493" s="98"/>
      <c r="M493" s="79"/>
      <c r="N493" s="139"/>
      <c r="O493" s="139"/>
      <c r="P493" s="138"/>
      <c r="Q493" s="147"/>
      <c r="R493" s="147"/>
      <c r="S493" s="147"/>
      <c r="T493" s="138">
        <f t="shared" si="51"/>
        <v>0</v>
      </c>
      <c r="U493" s="138">
        <f t="shared" si="51"/>
        <v>0</v>
      </c>
      <c r="V493" s="147"/>
      <c r="W493" s="148">
        <f>U493-T493</f>
        <v>0</v>
      </c>
      <c r="X493" s="81"/>
    </row>
    <row r="494" spans="1:25" s="113" customFormat="1" x14ac:dyDescent="0.25">
      <c r="A494" s="140">
        <f t="shared" si="49"/>
        <v>10</v>
      </c>
      <c r="B494" s="157">
        <v>43894</v>
      </c>
      <c r="C494" s="157">
        <v>43894</v>
      </c>
      <c r="D494" s="100"/>
      <c r="E494" s="79"/>
      <c r="F494" s="153"/>
      <c r="G494" s="137" t="s">
        <v>493</v>
      </c>
      <c r="H494" s="158"/>
      <c r="I494" s="79"/>
      <c r="J494" s="139"/>
      <c r="K494" s="139"/>
      <c r="L494" s="98"/>
      <c r="M494" s="79"/>
      <c r="N494" s="139"/>
      <c r="O494" s="139"/>
      <c r="P494" s="138"/>
      <c r="Q494" s="147"/>
      <c r="R494" s="147"/>
      <c r="S494" s="147"/>
      <c r="T494" s="138">
        <f t="shared" si="51"/>
        <v>0</v>
      </c>
      <c r="U494" s="138">
        <f t="shared" si="51"/>
        <v>0</v>
      </c>
      <c r="V494" s="147"/>
      <c r="W494" s="148">
        <f>U494-T494</f>
        <v>0</v>
      </c>
      <c r="X494" s="81"/>
    </row>
    <row r="495" spans="1:25" s="113" customFormat="1" x14ac:dyDescent="0.25">
      <c r="A495" s="140">
        <f t="shared" si="49"/>
        <v>10</v>
      </c>
      <c r="B495" s="157">
        <v>43894</v>
      </c>
      <c r="C495" s="157">
        <v>43894</v>
      </c>
      <c r="D495" s="100"/>
      <c r="E495" s="79"/>
      <c r="F495" s="153"/>
      <c r="G495" s="137" t="s">
        <v>736</v>
      </c>
      <c r="H495" s="158"/>
      <c r="I495" s="79"/>
      <c r="J495" s="139"/>
      <c r="K495" s="139"/>
      <c r="L495" s="98"/>
      <c r="M495" s="79"/>
      <c r="N495" s="139"/>
      <c r="O495" s="139"/>
      <c r="P495" s="138"/>
      <c r="Q495" s="147"/>
      <c r="R495" s="147"/>
      <c r="S495" s="147"/>
      <c r="T495" s="138">
        <f t="shared" si="51"/>
        <v>0</v>
      </c>
      <c r="U495" s="138">
        <f t="shared" si="51"/>
        <v>0</v>
      </c>
      <c r="V495" s="147"/>
      <c r="W495" s="148">
        <f t="shared" si="50"/>
        <v>0</v>
      </c>
      <c r="X495" s="81"/>
    </row>
    <row r="496" spans="1:25" s="113" customFormat="1" x14ac:dyDescent="0.25">
      <c r="A496" s="140">
        <f t="shared" si="49"/>
        <v>10</v>
      </c>
      <c r="B496" s="157">
        <v>43894</v>
      </c>
      <c r="C496" s="157">
        <v>43894</v>
      </c>
      <c r="D496" s="100"/>
      <c r="E496" s="79">
        <v>1000464709</v>
      </c>
      <c r="F496" s="153"/>
      <c r="G496" s="137" t="s">
        <v>325</v>
      </c>
      <c r="H496" s="158"/>
      <c r="I496" s="79"/>
      <c r="J496" s="139"/>
      <c r="K496" s="139"/>
      <c r="L496" s="98"/>
      <c r="M496" s="79"/>
      <c r="N496" s="139"/>
      <c r="O496" s="139"/>
      <c r="P496" s="138">
        <v>0.45833333333333331</v>
      </c>
      <c r="Q496" s="147"/>
      <c r="R496" s="147"/>
      <c r="S496" s="147"/>
      <c r="T496" s="138">
        <f t="shared" si="51"/>
        <v>0</v>
      </c>
      <c r="U496" s="138">
        <f t="shared" si="51"/>
        <v>0</v>
      </c>
      <c r="V496" s="147"/>
      <c r="W496" s="148">
        <f t="shared" si="50"/>
        <v>0</v>
      </c>
      <c r="X496" s="81"/>
    </row>
    <row r="497" spans="1:25" s="113" customFormat="1" ht="16.5" thickBot="1" x14ac:dyDescent="0.3">
      <c r="A497" s="185">
        <f t="shared" si="49"/>
        <v>10</v>
      </c>
      <c r="B497" s="186">
        <v>43894</v>
      </c>
      <c r="C497" s="186">
        <v>43894</v>
      </c>
      <c r="D497" s="236"/>
      <c r="E497" s="172">
        <v>1000464703</v>
      </c>
      <c r="F497" s="187"/>
      <c r="G497" s="185" t="s">
        <v>324</v>
      </c>
      <c r="H497" s="188"/>
      <c r="I497" s="172"/>
      <c r="J497" s="189"/>
      <c r="K497" s="189"/>
      <c r="L497" s="172"/>
      <c r="M497" s="172"/>
      <c r="N497" s="189"/>
      <c r="O497" s="189"/>
      <c r="P497" s="190">
        <v>0.45833333333333331</v>
      </c>
      <c r="Q497" s="191"/>
      <c r="R497" s="191"/>
      <c r="S497" s="191"/>
      <c r="T497" s="190">
        <f t="shared" si="51"/>
        <v>0</v>
      </c>
      <c r="U497" s="190">
        <f t="shared" si="51"/>
        <v>0</v>
      </c>
      <c r="V497" s="191"/>
      <c r="W497" s="191">
        <f t="shared" si="50"/>
        <v>0</v>
      </c>
      <c r="X497" s="174"/>
      <c r="Y497" s="268"/>
    </row>
    <row r="498" spans="1:25" s="113" customFormat="1" x14ac:dyDescent="0.25">
      <c r="A498" s="140">
        <f t="shared" si="49"/>
        <v>10</v>
      </c>
      <c r="B498" s="157">
        <v>43895</v>
      </c>
      <c r="C498" s="157">
        <v>43895</v>
      </c>
      <c r="D498" s="102"/>
      <c r="E498" s="98"/>
      <c r="F498" s="177"/>
      <c r="G498" s="140" t="s">
        <v>53</v>
      </c>
      <c r="H498" s="178"/>
      <c r="I498" s="98"/>
      <c r="J498" s="142"/>
      <c r="K498" s="142"/>
      <c r="L498" s="98"/>
      <c r="M498" s="98"/>
      <c r="N498" s="142"/>
      <c r="O498" s="142"/>
      <c r="P498" s="179"/>
      <c r="Q498" s="148"/>
      <c r="R498" s="148"/>
      <c r="S498" s="148"/>
      <c r="T498" s="179">
        <f t="shared" si="51"/>
        <v>0</v>
      </c>
      <c r="U498" s="179">
        <f t="shared" si="51"/>
        <v>0</v>
      </c>
      <c r="V498" s="148"/>
      <c r="W498" s="148">
        <f t="shared" si="50"/>
        <v>0</v>
      </c>
      <c r="X498" s="96"/>
    </row>
    <row r="499" spans="1:25" s="113" customFormat="1" x14ac:dyDescent="0.25">
      <c r="A499" s="140">
        <f t="shared" si="49"/>
        <v>10</v>
      </c>
      <c r="B499" s="157">
        <v>43895</v>
      </c>
      <c r="C499" s="157">
        <v>43895</v>
      </c>
      <c r="D499" s="100"/>
      <c r="E499" s="79"/>
      <c r="F499" s="153"/>
      <c r="G499" s="137" t="s">
        <v>56</v>
      </c>
      <c r="H499" s="158"/>
      <c r="I499" s="79"/>
      <c r="J499" s="139"/>
      <c r="K499" s="139"/>
      <c r="L499" s="98"/>
      <c r="M499" s="79"/>
      <c r="N499" s="139"/>
      <c r="O499" s="139"/>
      <c r="P499" s="138"/>
      <c r="Q499" s="147"/>
      <c r="R499" s="147"/>
      <c r="S499" s="147"/>
      <c r="T499" s="138">
        <f t="shared" si="51"/>
        <v>0</v>
      </c>
      <c r="U499" s="138">
        <f t="shared" si="51"/>
        <v>0</v>
      </c>
      <c r="V499" s="147"/>
      <c r="W499" s="148">
        <f t="shared" si="50"/>
        <v>0</v>
      </c>
      <c r="X499" s="81"/>
    </row>
    <row r="500" spans="1:25" s="113" customFormat="1" x14ac:dyDescent="0.25">
      <c r="A500" s="140">
        <f t="shared" si="49"/>
        <v>10</v>
      </c>
      <c r="B500" s="157">
        <v>43895</v>
      </c>
      <c r="C500" s="157">
        <v>43895</v>
      </c>
      <c r="D500" s="100"/>
      <c r="E500" s="79"/>
      <c r="F500" s="153"/>
      <c r="G500" s="137" t="s">
        <v>59</v>
      </c>
      <c r="H500" s="158"/>
      <c r="I500" s="79"/>
      <c r="J500" s="139"/>
      <c r="K500" s="139"/>
      <c r="L500" s="98"/>
      <c r="M500" s="79"/>
      <c r="N500" s="139"/>
      <c r="O500" s="139"/>
      <c r="P500" s="138"/>
      <c r="Q500" s="147"/>
      <c r="R500" s="147"/>
      <c r="S500" s="147"/>
      <c r="T500" s="138">
        <f t="shared" si="51"/>
        <v>0</v>
      </c>
      <c r="U500" s="138">
        <f t="shared" si="51"/>
        <v>0</v>
      </c>
      <c r="V500" s="147"/>
      <c r="W500" s="148">
        <f t="shared" si="50"/>
        <v>0</v>
      </c>
      <c r="X500" s="81"/>
    </row>
    <row r="501" spans="1:25" s="113" customFormat="1" x14ac:dyDescent="0.25">
      <c r="A501" s="140">
        <f t="shared" si="49"/>
        <v>10</v>
      </c>
      <c r="B501" s="157">
        <v>43895</v>
      </c>
      <c r="C501" s="157">
        <v>43895</v>
      </c>
      <c r="D501" s="100"/>
      <c r="E501" s="79"/>
      <c r="F501" s="153"/>
      <c r="G501" s="137" t="s">
        <v>61</v>
      </c>
      <c r="H501" s="158"/>
      <c r="I501" s="79"/>
      <c r="J501" s="139"/>
      <c r="K501" s="139"/>
      <c r="L501" s="98"/>
      <c r="M501" s="79"/>
      <c r="N501" s="139"/>
      <c r="O501" s="139"/>
      <c r="P501" s="138"/>
      <c r="Q501" s="147"/>
      <c r="R501" s="147"/>
      <c r="S501" s="147"/>
      <c r="T501" s="138">
        <f t="shared" si="51"/>
        <v>0</v>
      </c>
      <c r="U501" s="138">
        <f t="shared" si="51"/>
        <v>0</v>
      </c>
      <c r="V501" s="147"/>
      <c r="W501" s="148">
        <f t="shared" si="50"/>
        <v>0</v>
      </c>
      <c r="X501" s="81"/>
    </row>
    <row r="502" spans="1:25" s="113" customFormat="1" x14ac:dyDescent="0.25">
      <c r="A502" s="140">
        <f t="shared" si="49"/>
        <v>10</v>
      </c>
      <c r="B502" s="157">
        <v>43895</v>
      </c>
      <c r="C502" s="157">
        <v>43895</v>
      </c>
      <c r="D502" s="100"/>
      <c r="E502" s="79"/>
      <c r="F502" s="153"/>
      <c r="G502" s="137" t="s">
        <v>64</v>
      </c>
      <c r="H502" s="158"/>
      <c r="I502" s="79"/>
      <c r="J502" s="139"/>
      <c r="K502" s="139"/>
      <c r="L502" s="98"/>
      <c r="M502" s="79"/>
      <c r="N502" s="139"/>
      <c r="O502" s="139"/>
      <c r="P502" s="138"/>
      <c r="Q502" s="147"/>
      <c r="R502" s="147"/>
      <c r="S502" s="147"/>
      <c r="T502" s="138">
        <f t="shared" si="51"/>
        <v>0</v>
      </c>
      <c r="U502" s="138">
        <f t="shared" si="51"/>
        <v>0</v>
      </c>
      <c r="V502" s="147"/>
      <c r="W502" s="148">
        <f t="shared" si="50"/>
        <v>0</v>
      </c>
      <c r="X502" s="81"/>
    </row>
    <row r="503" spans="1:25" s="113" customFormat="1" x14ac:dyDescent="0.25">
      <c r="A503" s="140">
        <f t="shared" si="49"/>
        <v>10</v>
      </c>
      <c r="B503" s="157">
        <v>43895</v>
      </c>
      <c r="C503" s="157">
        <v>43895</v>
      </c>
      <c r="D503" s="100"/>
      <c r="E503" s="79"/>
      <c r="F503" s="153"/>
      <c r="G503" s="137" t="s">
        <v>77</v>
      </c>
      <c r="H503" s="158"/>
      <c r="I503" s="79"/>
      <c r="J503" s="139"/>
      <c r="K503" s="139"/>
      <c r="L503" s="98"/>
      <c r="M503" s="79"/>
      <c r="N503" s="139"/>
      <c r="O503" s="139"/>
      <c r="P503" s="138"/>
      <c r="Q503" s="147"/>
      <c r="R503" s="147"/>
      <c r="S503" s="147"/>
      <c r="T503" s="138">
        <f t="shared" si="51"/>
        <v>0</v>
      </c>
      <c r="U503" s="138">
        <f t="shared" si="51"/>
        <v>0</v>
      </c>
      <c r="V503" s="147"/>
      <c r="W503" s="148">
        <f t="shared" si="50"/>
        <v>0</v>
      </c>
      <c r="X503" s="81"/>
    </row>
    <row r="504" spans="1:25" s="113" customFormat="1" x14ac:dyDescent="0.25">
      <c r="A504" s="140">
        <f t="shared" si="49"/>
        <v>10</v>
      </c>
      <c r="B504" s="157">
        <v>43895</v>
      </c>
      <c r="C504" s="157">
        <v>43895</v>
      </c>
      <c r="D504" s="100"/>
      <c r="E504" s="79"/>
      <c r="F504" s="153"/>
      <c r="G504" s="137" t="s">
        <v>493</v>
      </c>
      <c r="H504" s="158"/>
      <c r="I504" s="79"/>
      <c r="J504" s="139"/>
      <c r="K504" s="139"/>
      <c r="L504" s="98"/>
      <c r="M504" s="79"/>
      <c r="N504" s="139"/>
      <c r="O504" s="139"/>
      <c r="P504" s="138"/>
      <c r="Q504" s="147"/>
      <c r="R504" s="147"/>
      <c r="S504" s="147"/>
      <c r="T504" s="138">
        <f t="shared" si="51"/>
        <v>0</v>
      </c>
      <c r="U504" s="138">
        <f t="shared" si="51"/>
        <v>0</v>
      </c>
      <c r="V504" s="147"/>
      <c r="W504" s="148">
        <f>U504-T504</f>
        <v>0</v>
      </c>
      <c r="X504" s="81"/>
    </row>
    <row r="505" spans="1:25" s="113" customFormat="1" x14ac:dyDescent="0.25">
      <c r="A505" s="140">
        <f t="shared" si="49"/>
        <v>10</v>
      </c>
      <c r="B505" s="157">
        <v>43895</v>
      </c>
      <c r="C505" s="157">
        <v>43895</v>
      </c>
      <c r="D505" s="100"/>
      <c r="E505" s="79"/>
      <c r="F505" s="153"/>
      <c r="G505" s="137" t="s">
        <v>736</v>
      </c>
      <c r="H505" s="158"/>
      <c r="I505" s="79"/>
      <c r="J505" s="139"/>
      <c r="K505" s="139"/>
      <c r="L505" s="98"/>
      <c r="M505" s="79"/>
      <c r="N505" s="139"/>
      <c r="O505" s="139"/>
      <c r="P505" s="138"/>
      <c r="Q505" s="147"/>
      <c r="R505" s="147"/>
      <c r="S505" s="147"/>
      <c r="T505" s="138">
        <f t="shared" si="51"/>
        <v>0</v>
      </c>
      <c r="U505" s="138">
        <f t="shared" si="51"/>
        <v>0</v>
      </c>
      <c r="V505" s="147"/>
      <c r="W505" s="148">
        <f>U505-T505</f>
        <v>0</v>
      </c>
      <c r="X505" s="81"/>
    </row>
    <row r="506" spans="1:25" s="113" customFormat="1" x14ac:dyDescent="0.25">
      <c r="A506" s="140">
        <f t="shared" si="49"/>
        <v>10</v>
      </c>
      <c r="B506" s="157">
        <v>43895</v>
      </c>
      <c r="C506" s="157">
        <v>43895</v>
      </c>
      <c r="D506" s="100"/>
      <c r="E506" s="79">
        <v>1000464718</v>
      </c>
      <c r="F506" s="153"/>
      <c r="G506" s="137" t="s">
        <v>340</v>
      </c>
      <c r="H506" s="158"/>
      <c r="I506" s="79"/>
      <c r="J506" s="139"/>
      <c r="K506" s="139"/>
      <c r="L506" s="98"/>
      <c r="M506" s="79"/>
      <c r="N506" s="139"/>
      <c r="O506" s="139"/>
      <c r="P506" s="138">
        <v>0.5</v>
      </c>
      <c r="Q506" s="147"/>
      <c r="R506" s="147"/>
      <c r="S506" s="147"/>
      <c r="T506" s="138">
        <f t="shared" si="51"/>
        <v>0</v>
      </c>
      <c r="U506" s="138">
        <f t="shared" si="51"/>
        <v>0</v>
      </c>
      <c r="V506" s="147"/>
      <c r="W506" s="148">
        <f>U506-T506</f>
        <v>0</v>
      </c>
      <c r="X506" s="81"/>
    </row>
    <row r="507" spans="1:25" s="113" customFormat="1" x14ac:dyDescent="0.25">
      <c r="A507" s="140">
        <f t="shared" si="49"/>
        <v>10</v>
      </c>
      <c r="B507" s="157">
        <v>43895</v>
      </c>
      <c r="C507" s="157">
        <v>43895</v>
      </c>
      <c r="D507" s="100"/>
      <c r="E507" s="79">
        <v>1000464704</v>
      </c>
      <c r="F507" s="153"/>
      <c r="G507" s="137" t="s">
        <v>372</v>
      </c>
      <c r="H507" s="158"/>
      <c r="I507" s="79"/>
      <c r="J507" s="139"/>
      <c r="K507" s="139"/>
      <c r="L507" s="98"/>
      <c r="M507" s="79"/>
      <c r="N507" s="139"/>
      <c r="O507" s="139"/>
      <c r="P507" s="138">
        <v>0.45833333333333331</v>
      </c>
      <c r="Q507" s="147"/>
      <c r="R507" s="147"/>
      <c r="S507" s="147"/>
      <c r="T507" s="138">
        <f t="shared" si="51"/>
        <v>0</v>
      </c>
      <c r="U507" s="138">
        <f t="shared" si="51"/>
        <v>0</v>
      </c>
      <c r="V507" s="147"/>
      <c r="W507" s="148">
        <f t="shared" si="50"/>
        <v>0</v>
      </c>
      <c r="X507" s="81"/>
    </row>
    <row r="508" spans="1:25" s="113" customFormat="1" x14ac:dyDescent="0.25">
      <c r="A508" s="140">
        <f t="shared" si="49"/>
        <v>10</v>
      </c>
      <c r="B508" s="157">
        <v>43895</v>
      </c>
      <c r="C508" s="157">
        <v>43895</v>
      </c>
      <c r="D508" s="100"/>
      <c r="E508" s="79">
        <v>1000464710</v>
      </c>
      <c r="F508" s="153"/>
      <c r="G508" s="137" t="s">
        <v>373</v>
      </c>
      <c r="H508" s="158"/>
      <c r="I508" s="79"/>
      <c r="J508" s="139"/>
      <c r="K508" s="139"/>
      <c r="L508" s="98"/>
      <c r="M508" s="79"/>
      <c r="N508" s="139"/>
      <c r="O508" s="139"/>
      <c r="P508" s="138">
        <v>0.45833333333333331</v>
      </c>
      <c r="Q508" s="147"/>
      <c r="R508" s="147"/>
      <c r="S508" s="147"/>
      <c r="T508" s="138">
        <f t="shared" si="51"/>
        <v>0</v>
      </c>
      <c r="U508" s="138">
        <f t="shared" si="51"/>
        <v>0</v>
      </c>
      <c r="V508" s="147"/>
      <c r="W508" s="148">
        <f t="shared" si="50"/>
        <v>0</v>
      </c>
      <c r="X508" s="81"/>
    </row>
    <row r="509" spans="1:25" s="113" customFormat="1" ht="16.5" thickBot="1" x14ac:dyDescent="0.3">
      <c r="A509" s="185">
        <f t="shared" si="49"/>
        <v>10</v>
      </c>
      <c r="B509" s="186">
        <v>43895</v>
      </c>
      <c r="C509" s="186">
        <v>43895</v>
      </c>
      <c r="D509" s="236"/>
      <c r="E509" s="172">
        <v>1000464593</v>
      </c>
      <c r="F509" s="187"/>
      <c r="G509" s="185" t="s">
        <v>69</v>
      </c>
      <c r="H509" s="188"/>
      <c r="I509" s="172"/>
      <c r="J509" s="189"/>
      <c r="K509" s="189"/>
      <c r="L509" s="172"/>
      <c r="M509" s="172"/>
      <c r="N509" s="189"/>
      <c r="O509" s="189"/>
      <c r="P509" s="190">
        <v>0.41666666666666669</v>
      </c>
      <c r="Q509" s="191"/>
      <c r="R509" s="191"/>
      <c r="S509" s="191"/>
      <c r="T509" s="190">
        <f t="shared" si="51"/>
        <v>0</v>
      </c>
      <c r="U509" s="190">
        <f t="shared" si="51"/>
        <v>0</v>
      </c>
      <c r="V509" s="191"/>
      <c r="W509" s="191">
        <f t="shared" si="50"/>
        <v>0</v>
      </c>
      <c r="X509" s="174"/>
      <c r="Y509" s="268"/>
    </row>
    <row r="510" spans="1:25" s="113" customFormat="1" x14ac:dyDescent="0.25">
      <c r="A510" s="140">
        <f t="shared" si="49"/>
        <v>53</v>
      </c>
      <c r="B510" s="157"/>
      <c r="C510" s="157"/>
      <c r="D510" s="102"/>
      <c r="E510" s="98"/>
      <c r="F510" s="177"/>
      <c r="G510" s="140"/>
      <c r="H510" s="178"/>
      <c r="I510" s="98"/>
      <c r="J510" s="142"/>
      <c r="K510" s="142"/>
      <c r="L510" s="98"/>
      <c r="M510" s="98"/>
      <c r="N510" s="142"/>
      <c r="O510" s="142"/>
      <c r="P510" s="179"/>
      <c r="Q510" s="148"/>
      <c r="R510" s="148"/>
      <c r="S510" s="148"/>
      <c r="T510" s="179">
        <f t="shared" si="51"/>
        <v>0</v>
      </c>
      <c r="U510" s="179">
        <f t="shared" si="51"/>
        <v>0</v>
      </c>
      <c r="V510" s="148"/>
      <c r="W510" s="148">
        <f t="shared" si="50"/>
        <v>0</v>
      </c>
      <c r="X510" s="96"/>
    </row>
    <row r="511" spans="1:25" s="113" customFormat="1" x14ac:dyDescent="0.25">
      <c r="A511" s="140">
        <f t="shared" si="49"/>
        <v>53</v>
      </c>
      <c r="B511" s="157"/>
      <c r="C511" s="157"/>
      <c r="D511" s="100"/>
      <c r="E511" s="79"/>
      <c r="F511" s="153"/>
      <c r="G511" s="137"/>
      <c r="H511" s="158"/>
      <c r="I511" s="79"/>
      <c r="J511" s="139"/>
      <c r="K511" s="139"/>
      <c r="L511" s="98"/>
      <c r="M511" s="79"/>
      <c r="N511" s="139"/>
      <c r="O511" s="139"/>
      <c r="P511" s="138"/>
      <c r="Q511" s="147"/>
      <c r="R511" s="147"/>
      <c r="S511" s="147"/>
      <c r="T511" s="138">
        <f t="shared" si="51"/>
        <v>0</v>
      </c>
      <c r="U511" s="138">
        <f t="shared" si="51"/>
        <v>0</v>
      </c>
      <c r="V511" s="147"/>
      <c r="W511" s="148">
        <f t="shared" si="50"/>
        <v>0</v>
      </c>
      <c r="X511" s="81"/>
    </row>
    <row r="512" spans="1:25" s="113" customFormat="1" x14ac:dyDescent="0.25">
      <c r="A512" s="140">
        <f t="shared" si="49"/>
        <v>53</v>
      </c>
      <c r="B512" s="157"/>
      <c r="C512" s="157"/>
      <c r="D512" s="100"/>
      <c r="E512" s="79"/>
      <c r="F512" s="153"/>
      <c r="G512" s="137"/>
      <c r="H512" s="158"/>
      <c r="I512" s="79"/>
      <c r="J512" s="139"/>
      <c r="K512" s="139"/>
      <c r="L512" s="98"/>
      <c r="M512" s="79"/>
      <c r="N512" s="139"/>
      <c r="O512" s="139"/>
      <c r="P512" s="138"/>
      <c r="Q512" s="147"/>
      <c r="R512" s="147"/>
      <c r="S512" s="147"/>
      <c r="T512" s="138">
        <f t="shared" si="51"/>
        <v>0</v>
      </c>
      <c r="U512" s="138">
        <f t="shared" si="51"/>
        <v>0</v>
      </c>
      <c r="V512" s="147"/>
      <c r="W512" s="148">
        <f t="shared" si="50"/>
        <v>0</v>
      </c>
      <c r="X512" s="81"/>
    </row>
    <row r="513" spans="1:24" s="113" customFormat="1" x14ac:dyDescent="0.25">
      <c r="A513" s="140">
        <f t="shared" si="49"/>
        <v>53</v>
      </c>
      <c r="B513" s="157"/>
      <c r="C513" s="157"/>
      <c r="D513" s="100"/>
      <c r="E513" s="79"/>
      <c r="F513" s="153"/>
      <c r="G513" s="137"/>
      <c r="H513" s="158"/>
      <c r="I513" s="79"/>
      <c r="J513" s="139"/>
      <c r="K513" s="139"/>
      <c r="L513" s="98"/>
      <c r="M513" s="79"/>
      <c r="N513" s="139"/>
      <c r="O513" s="139"/>
      <c r="P513" s="138"/>
      <c r="Q513" s="147"/>
      <c r="R513" s="147"/>
      <c r="S513" s="147"/>
      <c r="T513" s="138">
        <f t="shared" si="51"/>
        <v>0</v>
      </c>
      <c r="U513" s="138">
        <f t="shared" si="51"/>
        <v>0</v>
      </c>
      <c r="V513" s="147"/>
      <c r="W513" s="148">
        <f t="shared" si="50"/>
        <v>0</v>
      </c>
      <c r="X513" s="81"/>
    </row>
    <row r="514" spans="1:24" s="113" customFormat="1" x14ac:dyDescent="0.25">
      <c r="A514" s="140">
        <f t="shared" si="49"/>
        <v>53</v>
      </c>
      <c r="B514" s="157"/>
      <c r="C514" s="157"/>
      <c r="D514" s="100"/>
      <c r="E514" s="79"/>
      <c r="F514" s="153"/>
      <c r="G514" s="137"/>
      <c r="H514" s="158"/>
      <c r="I514" s="79"/>
      <c r="J514" s="139"/>
      <c r="K514" s="139"/>
      <c r="L514" s="98"/>
      <c r="M514" s="79"/>
      <c r="N514" s="139"/>
      <c r="O514" s="139"/>
      <c r="P514" s="138"/>
      <c r="Q514" s="147"/>
      <c r="R514" s="147"/>
      <c r="S514" s="147"/>
      <c r="T514" s="138">
        <f t="shared" si="51"/>
        <v>0</v>
      </c>
      <c r="U514" s="138">
        <f t="shared" si="51"/>
        <v>0</v>
      </c>
      <c r="V514" s="147"/>
      <c r="W514" s="148">
        <f t="shared" si="50"/>
        <v>0</v>
      </c>
      <c r="X514" s="81"/>
    </row>
    <row r="515" spans="1:24" s="113" customFormat="1" x14ac:dyDescent="0.25">
      <c r="A515" s="140">
        <f t="shared" si="49"/>
        <v>53</v>
      </c>
      <c r="B515" s="157"/>
      <c r="C515" s="157"/>
      <c r="D515" s="100"/>
      <c r="E515" s="79"/>
      <c r="F515" s="153"/>
      <c r="G515" s="137"/>
      <c r="H515" s="158"/>
      <c r="I515" s="79"/>
      <c r="J515" s="139"/>
      <c r="K515" s="139"/>
      <c r="L515" s="98"/>
      <c r="M515" s="79"/>
      <c r="N515" s="139"/>
      <c r="O515" s="139"/>
      <c r="P515" s="138"/>
      <c r="Q515" s="147"/>
      <c r="R515" s="147"/>
      <c r="S515" s="147"/>
      <c r="T515" s="138">
        <f t="shared" si="51"/>
        <v>0</v>
      </c>
      <c r="U515" s="138">
        <f t="shared" si="51"/>
        <v>0</v>
      </c>
      <c r="V515" s="147"/>
      <c r="W515" s="148">
        <f t="shared" si="50"/>
        <v>0</v>
      </c>
      <c r="X515" s="81"/>
    </row>
    <row r="516" spans="1:24" s="113" customFormat="1" x14ac:dyDescent="0.25">
      <c r="A516" s="140">
        <f t="shared" si="49"/>
        <v>53</v>
      </c>
      <c r="B516" s="157"/>
      <c r="C516" s="157"/>
      <c r="D516" s="100"/>
      <c r="E516" s="79"/>
      <c r="F516" s="153"/>
      <c r="G516" s="137"/>
      <c r="H516" s="158"/>
      <c r="I516" s="79"/>
      <c r="J516" s="139"/>
      <c r="K516" s="139"/>
      <c r="L516" s="98"/>
      <c r="M516" s="79"/>
      <c r="N516" s="139"/>
      <c r="O516" s="139"/>
      <c r="P516" s="138"/>
      <c r="Q516" s="147"/>
      <c r="R516" s="147"/>
      <c r="S516" s="147"/>
      <c r="T516" s="138">
        <f t="shared" si="51"/>
        <v>0</v>
      </c>
      <c r="U516" s="138">
        <f t="shared" si="51"/>
        <v>0</v>
      </c>
      <c r="V516" s="147"/>
      <c r="W516" s="148">
        <f>U516-T516</f>
        <v>0</v>
      </c>
      <c r="X516" s="81"/>
    </row>
    <row r="517" spans="1:24" s="113" customFormat="1" x14ac:dyDescent="0.25">
      <c r="A517" s="140">
        <f t="shared" si="49"/>
        <v>53</v>
      </c>
      <c r="B517" s="157"/>
      <c r="C517" s="157"/>
      <c r="D517" s="100"/>
      <c r="E517" s="79"/>
      <c r="F517" s="153"/>
      <c r="G517" s="137"/>
      <c r="H517" s="158"/>
      <c r="I517" s="79"/>
      <c r="J517" s="139"/>
      <c r="K517" s="139"/>
      <c r="L517" s="98"/>
      <c r="M517" s="79"/>
      <c r="N517" s="139"/>
      <c r="O517" s="139"/>
      <c r="P517" s="138"/>
      <c r="Q517" s="147"/>
      <c r="R517" s="147"/>
      <c r="S517" s="147"/>
      <c r="T517" s="138">
        <f t="shared" si="51"/>
        <v>0</v>
      </c>
      <c r="U517" s="138">
        <f t="shared" si="51"/>
        <v>0</v>
      </c>
      <c r="V517" s="147"/>
      <c r="W517" s="148">
        <f>U517-T517</f>
        <v>0</v>
      </c>
      <c r="X517" s="81"/>
    </row>
    <row r="518" spans="1:24" s="113" customFormat="1" x14ac:dyDescent="0.25">
      <c r="A518" s="140">
        <f t="shared" si="49"/>
        <v>53</v>
      </c>
      <c r="B518" s="157"/>
      <c r="C518" s="157"/>
      <c r="D518" s="100"/>
      <c r="E518" s="79"/>
      <c r="F518" s="153"/>
      <c r="G518" s="137"/>
      <c r="H518" s="158"/>
      <c r="I518" s="79"/>
      <c r="J518" s="139"/>
      <c r="K518" s="139"/>
      <c r="L518" s="98"/>
      <c r="M518" s="79"/>
      <c r="N518" s="139"/>
      <c r="O518" s="139"/>
      <c r="P518" s="138"/>
      <c r="Q518" s="147"/>
      <c r="R518" s="147"/>
      <c r="S518" s="147"/>
      <c r="T518" s="138">
        <f t="shared" si="51"/>
        <v>0</v>
      </c>
      <c r="U518" s="138">
        <f t="shared" si="51"/>
        <v>0</v>
      </c>
      <c r="V518" s="147"/>
      <c r="W518" s="148">
        <f>U518-T518</f>
        <v>0</v>
      </c>
      <c r="X518" s="81"/>
    </row>
    <row r="519" spans="1:24" s="113" customFormat="1" x14ac:dyDescent="0.25">
      <c r="A519" s="140">
        <f t="shared" ref="A519:A582" si="52">WEEKNUM(B519,21)</f>
        <v>53</v>
      </c>
      <c r="B519" s="157"/>
      <c r="C519" s="157"/>
      <c r="D519" s="100"/>
      <c r="E519" s="79"/>
      <c r="F519" s="153"/>
      <c r="G519" s="137"/>
      <c r="H519" s="158"/>
      <c r="I519" s="79"/>
      <c r="J519" s="139"/>
      <c r="K519" s="139"/>
      <c r="L519" s="98"/>
      <c r="M519" s="79"/>
      <c r="N519" s="139"/>
      <c r="O519" s="139"/>
      <c r="P519" s="138"/>
      <c r="Q519" s="147"/>
      <c r="R519" s="147"/>
      <c r="S519" s="147"/>
      <c r="T519" s="138">
        <f t="shared" si="51"/>
        <v>0</v>
      </c>
      <c r="U519" s="138">
        <f t="shared" si="51"/>
        <v>0</v>
      </c>
      <c r="V519" s="147"/>
      <c r="W519" s="148">
        <f t="shared" si="50"/>
        <v>0</v>
      </c>
      <c r="X519" s="81"/>
    </row>
    <row r="520" spans="1:24" s="113" customFormat="1" x14ac:dyDescent="0.25">
      <c r="A520" s="140">
        <f t="shared" si="52"/>
        <v>53</v>
      </c>
      <c r="B520" s="157"/>
      <c r="C520" s="157"/>
      <c r="D520" s="100"/>
      <c r="E520" s="79"/>
      <c r="F520" s="153"/>
      <c r="G520" s="137"/>
      <c r="H520" s="158"/>
      <c r="I520" s="79"/>
      <c r="J520" s="139"/>
      <c r="K520" s="139"/>
      <c r="L520" s="98"/>
      <c r="M520" s="79"/>
      <c r="N520" s="139"/>
      <c r="O520" s="139"/>
      <c r="P520" s="138"/>
      <c r="Q520" s="147"/>
      <c r="R520" s="147"/>
      <c r="S520" s="147"/>
      <c r="T520" s="138">
        <f t="shared" si="51"/>
        <v>0</v>
      </c>
      <c r="U520" s="138">
        <f t="shared" si="51"/>
        <v>0</v>
      </c>
      <c r="V520" s="147"/>
      <c r="W520" s="148">
        <f t="shared" si="50"/>
        <v>0</v>
      </c>
      <c r="X520" s="81"/>
    </row>
    <row r="521" spans="1:24" s="113" customFormat="1" x14ac:dyDescent="0.25">
      <c r="A521" s="140">
        <f t="shared" si="52"/>
        <v>53</v>
      </c>
      <c r="B521" s="157"/>
      <c r="C521" s="157"/>
      <c r="D521" s="100"/>
      <c r="E521" s="79"/>
      <c r="F521" s="153"/>
      <c r="G521" s="137"/>
      <c r="H521" s="158"/>
      <c r="I521" s="79"/>
      <c r="J521" s="139"/>
      <c r="K521" s="139"/>
      <c r="L521" s="98"/>
      <c r="M521" s="79"/>
      <c r="N521" s="139"/>
      <c r="O521" s="139"/>
      <c r="P521" s="138"/>
      <c r="Q521" s="147"/>
      <c r="R521" s="147"/>
      <c r="S521" s="147"/>
      <c r="T521" s="138">
        <f t="shared" si="51"/>
        <v>0</v>
      </c>
      <c r="U521" s="138">
        <f t="shared" si="51"/>
        <v>0</v>
      </c>
      <c r="V521" s="147"/>
      <c r="W521" s="148">
        <f t="shared" si="50"/>
        <v>0</v>
      </c>
      <c r="X521" s="81"/>
    </row>
    <row r="522" spans="1:24" s="113" customFormat="1" x14ac:dyDescent="0.25">
      <c r="A522" s="140">
        <f t="shared" si="52"/>
        <v>53</v>
      </c>
      <c r="B522" s="157"/>
      <c r="C522" s="157"/>
      <c r="D522" s="100"/>
      <c r="E522" s="79"/>
      <c r="F522" s="153"/>
      <c r="G522" s="137"/>
      <c r="H522" s="158"/>
      <c r="I522" s="79"/>
      <c r="J522" s="139"/>
      <c r="K522" s="139"/>
      <c r="L522" s="98"/>
      <c r="M522" s="79"/>
      <c r="N522" s="139"/>
      <c r="O522" s="139"/>
      <c r="P522" s="138"/>
      <c r="Q522" s="147"/>
      <c r="R522" s="147"/>
      <c r="S522" s="147"/>
      <c r="T522" s="138">
        <f t="shared" si="51"/>
        <v>0</v>
      </c>
      <c r="U522" s="138">
        <f t="shared" si="51"/>
        <v>0</v>
      </c>
      <c r="V522" s="147"/>
      <c r="W522" s="148">
        <f t="shared" ref="W522:W565" si="53">V522-Q522</f>
        <v>0</v>
      </c>
      <c r="X522" s="81"/>
    </row>
    <row r="523" spans="1:24" s="113" customFormat="1" x14ac:dyDescent="0.25">
      <c r="A523" s="140">
        <f t="shared" si="52"/>
        <v>53</v>
      </c>
      <c r="B523" s="157"/>
      <c r="C523" s="157"/>
      <c r="D523" s="100"/>
      <c r="E523" s="79"/>
      <c r="F523" s="153"/>
      <c r="G523" s="137"/>
      <c r="H523" s="158"/>
      <c r="I523" s="79"/>
      <c r="J523" s="139"/>
      <c r="K523" s="139"/>
      <c r="L523" s="98"/>
      <c r="M523" s="79"/>
      <c r="N523" s="139"/>
      <c r="O523" s="139"/>
      <c r="P523" s="138"/>
      <c r="Q523" s="147"/>
      <c r="R523" s="147"/>
      <c r="S523" s="147"/>
      <c r="T523" s="138">
        <f t="shared" si="51"/>
        <v>0</v>
      </c>
      <c r="U523" s="138">
        <f t="shared" si="51"/>
        <v>0</v>
      </c>
      <c r="V523" s="147"/>
      <c r="W523" s="148">
        <f t="shared" si="53"/>
        <v>0</v>
      </c>
      <c r="X523" s="81"/>
    </row>
    <row r="524" spans="1:24" s="113" customFormat="1" x14ac:dyDescent="0.25">
      <c r="A524" s="140">
        <f t="shared" si="52"/>
        <v>53</v>
      </c>
      <c r="B524" s="157"/>
      <c r="C524" s="157"/>
      <c r="D524" s="100"/>
      <c r="E524" s="79"/>
      <c r="F524" s="153"/>
      <c r="G524" s="137"/>
      <c r="H524" s="158"/>
      <c r="I524" s="79"/>
      <c r="J524" s="139"/>
      <c r="K524" s="139"/>
      <c r="L524" s="98"/>
      <c r="M524" s="79"/>
      <c r="N524" s="139"/>
      <c r="O524" s="139"/>
      <c r="P524" s="138"/>
      <c r="Q524" s="147"/>
      <c r="R524" s="147"/>
      <c r="S524" s="147"/>
      <c r="T524" s="138">
        <f t="shared" si="51"/>
        <v>0</v>
      </c>
      <c r="U524" s="138">
        <f t="shared" si="51"/>
        <v>0</v>
      </c>
      <c r="V524" s="147"/>
      <c r="W524" s="148">
        <f t="shared" si="53"/>
        <v>0</v>
      </c>
      <c r="X524" s="81"/>
    </row>
    <row r="525" spans="1:24" s="113" customFormat="1" x14ac:dyDescent="0.25">
      <c r="A525" s="140">
        <f t="shared" si="52"/>
        <v>53</v>
      </c>
      <c r="B525" s="157"/>
      <c r="C525" s="157"/>
      <c r="D525" s="100"/>
      <c r="E525" s="79"/>
      <c r="F525" s="153"/>
      <c r="G525" s="137"/>
      <c r="H525" s="158"/>
      <c r="I525" s="79"/>
      <c r="J525" s="139"/>
      <c r="K525" s="139"/>
      <c r="L525" s="98"/>
      <c r="M525" s="79"/>
      <c r="N525" s="139"/>
      <c r="O525" s="139"/>
      <c r="P525" s="138"/>
      <c r="Q525" s="147"/>
      <c r="R525" s="147"/>
      <c r="S525" s="147"/>
      <c r="T525" s="138">
        <f t="shared" si="51"/>
        <v>0</v>
      </c>
      <c r="U525" s="138">
        <f t="shared" si="51"/>
        <v>0</v>
      </c>
      <c r="V525" s="147"/>
      <c r="W525" s="148">
        <f t="shared" si="53"/>
        <v>0</v>
      </c>
      <c r="X525" s="81"/>
    </row>
    <row r="526" spans="1:24" s="113" customFormat="1" x14ac:dyDescent="0.25">
      <c r="A526" s="140">
        <f t="shared" si="52"/>
        <v>53</v>
      </c>
      <c r="B526" s="157"/>
      <c r="C526" s="157"/>
      <c r="D526" s="100"/>
      <c r="E526" s="79"/>
      <c r="F526" s="153"/>
      <c r="G526" s="137"/>
      <c r="H526" s="158"/>
      <c r="I526" s="79"/>
      <c r="J526" s="139"/>
      <c r="K526" s="139"/>
      <c r="L526" s="98"/>
      <c r="M526" s="79"/>
      <c r="N526" s="139"/>
      <c r="O526" s="139"/>
      <c r="P526" s="138"/>
      <c r="Q526" s="147"/>
      <c r="R526" s="147"/>
      <c r="S526" s="147"/>
      <c r="T526" s="138">
        <f t="shared" si="51"/>
        <v>0</v>
      </c>
      <c r="U526" s="138">
        <f t="shared" si="51"/>
        <v>0</v>
      </c>
      <c r="V526" s="147"/>
      <c r="W526" s="148">
        <f t="shared" si="53"/>
        <v>0</v>
      </c>
      <c r="X526" s="81"/>
    </row>
    <row r="527" spans="1:24" s="113" customFormat="1" x14ac:dyDescent="0.25">
      <c r="A527" s="140">
        <f t="shared" si="52"/>
        <v>53</v>
      </c>
      <c r="B527" s="157"/>
      <c r="C527" s="157"/>
      <c r="D527" s="100"/>
      <c r="E527" s="79"/>
      <c r="F527" s="153"/>
      <c r="G527" s="137"/>
      <c r="H527" s="158"/>
      <c r="I527" s="79"/>
      <c r="J527" s="139"/>
      <c r="K527" s="139"/>
      <c r="L527" s="98"/>
      <c r="M527" s="79"/>
      <c r="N527" s="139"/>
      <c r="O527" s="139"/>
      <c r="P527" s="138"/>
      <c r="Q527" s="147"/>
      <c r="R527" s="147"/>
      <c r="S527" s="147"/>
      <c r="T527" s="138">
        <f t="shared" si="51"/>
        <v>0</v>
      </c>
      <c r="U527" s="138">
        <f t="shared" si="51"/>
        <v>0</v>
      </c>
      <c r="V527" s="147"/>
      <c r="W527" s="148">
        <f t="shared" si="53"/>
        <v>0</v>
      </c>
      <c r="X527" s="81"/>
    </row>
    <row r="528" spans="1:24" s="113" customFormat="1" x14ac:dyDescent="0.25">
      <c r="A528" s="140">
        <f t="shared" si="52"/>
        <v>53</v>
      </c>
      <c r="B528" s="157"/>
      <c r="C528" s="157"/>
      <c r="D528" s="100"/>
      <c r="E528" s="79"/>
      <c r="F528" s="153"/>
      <c r="G528" s="137"/>
      <c r="H528" s="158"/>
      <c r="I528" s="79"/>
      <c r="J528" s="139"/>
      <c r="K528" s="139"/>
      <c r="L528" s="98"/>
      <c r="M528" s="79"/>
      <c r="N528" s="139"/>
      <c r="O528" s="139"/>
      <c r="P528" s="138"/>
      <c r="Q528" s="147"/>
      <c r="R528" s="147"/>
      <c r="S528" s="147"/>
      <c r="T528" s="138">
        <f t="shared" si="51"/>
        <v>0</v>
      </c>
      <c r="U528" s="138">
        <f t="shared" si="51"/>
        <v>0</v>
      </c>
      <c r="V528" s="147"/>
      <c r="W528" s="148">
        <f t="shared" si="53"/>
        <v>0</v>
      </c>
      <c r="X528" s="81"/>
    </row>
    <row r="529" spans="1:24" s="113" customFormat="1" x14ac:dyDescent="0.25">
      <c r="A529" s="140">
        <f t="shared" si="52"/>
        <v>53</v>
      </c>
      <c r="B529" s="157"/>
      <c r="C529" s="157"/>
      <c r="D529" s="100"/>
      <c r="E529" s="79"/>
      <c r="F529" s="153"/>
      <c r="G529" s="137"/>
      <c r="H529" s="158"/>
      <c r="I529" s="79"/>
      <c r="J529" s="139"/>
      <c r="K529" s="139"/>
      <c r="L529" s="98"/>
      <c r="M529" s="79"/>
      <c r="N529" s="139"/>
      <c r="O529" s="139"/>
      <c r="P529" s="138"/>
      <c r="Q529" s="147"/>
      <c r="R529" s="147"/>
      <c r="S529" s="147"/>
      <c r="T529" s="138">
        <f t="shared" si="51"/>
        <v>0</v>
      </c>
      <c r="U529" s="138">
        <f t="shared" si="51"/>
        <v>0</v>
      </c>
      <c r="V529" s="147"/>
      <c r="W529" s="148">
        <f>U529-T529</f>
        <v>0</v>
      </c>
      <c r="X529" s="81"/>
    </row>
    <row r="530" spans="1:24" s="113" customFormat="1" x14ac:dyDescent="0.25">
      <c r="A530" s="140">
        <f t="shared" si="52"/>
        <v>53</v>
      </c>
      <c r="B530" s="157"/>
      <c r="C530" s="157"/>
      <c r="D530" s="100"/>
      <c r="E530" s="79"/>
      <c r="F530" s="153"/>
      <c r="G530" s="137"/>
      <c r="H530" s="158"/>
      <c r="I530" s="79"/>
      <c r="J530" s="139"/>
      <c r="K530" s="139"/>
      <c r="L530" s="98"/>
      <c r="M530" s="79"/>
      <c r="N530" s="139"/>
      <c r="O530" s="139"/>
      <c r="P530" s="138"/>
      <c r="Q530" s="147"/>
      <c r="R530" s="147"/>
      <c r="S530" s="147"/>
      <c r="T530" s="138">
        <f t="shared" si="51"/>
        <v>0</v>
      </c>
      <c r="U530" s="138">
        <f t="shared" si="51"/>
        <v>0</v>
      </c>
      <c r="V530" s="147"/>
      <c r="W530" s="148">
        <f>U530-T530</f>
        <v>0</v>
      </c>
      <c r="X530" s="81"/>
    </row>
    <row r="531" spans="1:24" s="113" customFormat="1" x14ac:dyDescent="0.25">
      <c r="A531" s="140">
        <f t="shared" si="52"/>
        <v>53</v>
      </c>
      <c r="B531" s="157"/>
      <c r="C531" s="157"/>
      <c r="D531" s="100"/>
      <c r="E531" s="79"/>
      <c r="F531" s="153"/>
      <c r="G531" s="137"/>
      <c r="H531" s="158"/>
      <c r="I531" s="79"/>
      <c r="J531" s="139"/>
      <c r="K531" s="139"/>
      <c r="L531" s="98"/>
      <c r="M531" s="79"/>
      <c r="N531" s="139"/>
      <c r="O531" s="139"/>
      <c r="P531" s="138"/>
      <c r="Q531" s="147"/>
      <c r="R531" s="147"/>
      <c r="S531" s="147"/>
      <c r="T531" s="138">
        <f t="shared" si="51"/>
        <v>0</v>
      </c>
      <c r="U531" s="138">
        <f t="shared" si="51"/>
        <v>0</v>
      </c>
      <c r="V531" s="147"/>
      <c r="W531" s="148">
        <f>U531-T531</f>
        <v>0</v>
      </c>
      <c r="X531" s="81"/>
    </row>
    <row r="532" spans="1:24" s="113" customFormat="1" x14ac:dyDescent="0.25">
      <c r="A532" s="140">
        <f t="shared" si="52"/>
        <v>53</v>
      </c>
      <c r="B532" s="157"/>
      <c r="C532" s="157"/>
      <c r="D532" s="100"/>
      <c r="E532" s="79"/>
      <c r="F532" s="153"/>
      <c r="G532" s="137"/>
      <c r="H532" s="158"/>
      <c r="I532" s="79"/>
      <c r="J532" s="139"/>
      <c r="K532" s="139"/>
      <c r="L532" s="98"/>
      <c r="M532" s="79"/>
      <c r="N532" s="139"/>
      <c r="O532" s="139"/>
      <c r="P532" s="138"/>
      <c r="Q532" s="147"/>
      <c r="R532" s="147"/>
      <c r="S532" s="147"/>
      <c r="T532" s="138">
        <f t="shared" si="51"/>
        <v>0</v>
      </c>
      <c r="U532" s="138">
        <f t="shared" si="51"/>
        <v>0</v>
      </c>
      <c r="V532" s="147"/>
      <c r="W532" s="148">
        <f t="shared" si="53"/>
        <v>0</v>
      </c>
      <c r="X532" s="81"/>
    </row>
    <row r="533" spans="1:24" s="113" customFormat="1" x14ac:dyDescent="0.25">
      <c r="A533" s="140">
        <f t="shared" si="52"/>
        <v>53</v>
      </c>
      <c r="B533" s="157"/>
      <c r="C533" s="157"/>
      <c r="D533" s="100"/>
      <c r="E533" s="79"/>
      <c r="F533" s="153"/>
      <c r="G533" s="137"/>
      <c r="H533" s="158"/>
      <c r="I533" s="79"/>
      <c r="J533" s="139"/>
      <c r="K533" s="139"/>
      <c r="L533" s="98"/>
      <c r="M533" s="79"/>
      <c r="N533" s="139"/>
      <c r="O533" s="139"/>
      <c r="P533" s="138"/>
      <c r="Q533" s="147"/>
      <c r="R533" s="147"/>
      <c r="S533" s="147"/>
      <c r="T533" s="138">
        <f t="shared" ref="T533:U596" si="54">R533-Q533</f>
        <v>0</v>
      </c>
      <c r="U533" s="138">
        <f t="shared" si="54"/>
        <v>0</v>
      </c>
      <c r="V533" s="147"/>
      <c r="W533" s="148">
        <f t="shared" si="53"/>
        <v>0</v>
      </c>
      <c r="X533" s="81"/>
    </row>
    <row r="534" spans="1:24" s="113" customFormat="1" x14ac:dyDescent="0.25">
      <c r="A534" s="140">
        <f t="shared" si="52"/>
        <v>53</v>
      </c>
      <c r="B534" s="157"/>
      <c r="C534" s="157"/>
      <c r="D534" s="100"/>
      <c r="E534" s="79"/>
      <c r="F534" s="153"/>
      <c r="G534" s="137"/>
      <c r="H534" s="158"/>
      <c r="I534" s="79"/>
      <c r="J534" s="139"/>
      <c r="K534" s="139"/>
      <c r="L534" s="98"/>
      <c r="M534" s="79"/>
      <c r="N534" s="139"/>
      <c r="O534" s="139"/>
      <c r="P534" s="138"/>
      <c r="Q534" s="147"/>
      <c r="R534" s="147"/>
      <c r="S534" s="147"/>
      <c r="T534" s="138">
        <f t="shared" si="54"/>
        <v>0</v>
      </c>
      <c r="U534" s="138">
        <f t="shared" si="54"/>
        <v>0</v>
      </c>
      <c r="V534" s="147"/>
      <c r="W534" s="148">
        <f t="shared" si="53"/>
        <v>0</v>
      </c>
      <c r="X534" s="81"/>
    </row>
    <row r="535" spans="1:24" s="113" customFormat="1" x14ac:dyDescent="0.25">
      <c r="A535" s="140">
        <f t="shared" si="52"/>
        <v>53</v>
      </c>
      <c r="B535" s="157"/>
      <c r="C535" s="157"/>
      <c r="D535" s="100"/>
      <c r="E535" s="79"/>
      <c r="F535" s="153"/>
      <c r="G535" s="137"/>
      <c r="H535" s="158"/>
      <c r="I535" s="79"/>
      <c r="J535" s="139"/>
      <c r="K535" s="139"/>
      <c r="L535" s="98"/>
      <c r="M535" s="79"/>
      <c r="N535" s="139"/>
      <c r="O535" s="139"/>
      <c r="P535" s="138"/>
      <c r="Q535" s="147"/>
      <c r="R535" s="147"/>
      <c r="S535" s="147"/>
      <c r="T535" s="138">
        <f t="shared" si="54"/>
        <v>0</v>
      </c>
      <c r="U535" s="138">
        <f t="shared" si="54"/>
        <v>0</v>
      </c>
      <c r="V535" s="147"/>
      <c r="W535" s="148">
        <f t="shared" si="53"/>
        <v>0</v>
      </c>
      <c r="X535" s="81"/>
    </row>
    <row r="536" spans="1:24" s="113" customFormat="1" x14ac:dyDescent="0.25">
      <c r="A536" s="140">
        <f t="shared" si="52"/>
        <v>53</v>
      </c>
      <c r="B536" s="157"/>
      <c r="C536" s="157"/>
      <c r="D536" s="100"/>
      <c r="E536" s="79"/>
      <c r="F536" s="153"/>
      <c r="G536" s="137"/>
      <c r="H536" s="158"/>
      <c r="I536" s="79"/>
      <c r="J536" s="139"/>
      <c r="K536" s="139"/>
      <c r="L536" s="98"/>
      <c r="M536" s="79"/>
      <c r="N536" s="139"/>
      <c r="O536" s="139"/>
      <c r="P536" s="138"/>
      <c r="Q536" s="147"/>
      <c r="R536" s="147"/>
      <c r="S536" s="147"/>
      <c r="T536" s="138">
        <f t="shared" si="54"/>
        <v>0</v>
      </c>
      <c r="U536" s="138">
        <f t="shared" si="54"/>
        <v>0</v>
      </c>
      <c r="V536" s="147"/>
      <c r="W536" s="148">
        <f t="shared" si="53"/>
        <v>0</v>
      </c>
      <c r="X536" s="81"/>
    </row>
    <row r="537" spans="1:24" s="113" customFormat="1" x14ac:dyDescent="0.25">
      <c r="A537" s="140">
        <f t="shared" si="52"/>
        <v>53</v>
      </c>
      <c r="B537" s="157"/>
      <c r="C537" s="157"/>
      <c r="D537" s="100"/>
      <c r="E537" s="79"/>
      <c r="F537" s="153"/>
      <c r="G537" s="137"/>
      <c r="H537" s="158"/>
      <c r="I537" s="79"/>
      <c r="J537" s="139"/>
      <c r="K537" s="139"/>
      <c r="L537" s="98"/>
      <c r="M537" s="79"/>
      <c r="N537" s="139"/>
      <c r="O537" s="139"/>
      <c r="P537" s="138"/>
      <c r="Q537" s="147"/>
      <c r="R537" s="147"/>
      <c r="S537" s="147"/>
      <c r="T537" s="138">
        <f t="shared" si="54"/>
        <v>0</v>
      </c>
      <c r="U537" s="138">
        <f t="shared" si="54"/>
        <v>0</v>
      </c>
      <c r="V537" s="147"/>
      <c r="W537" s="148">
        <f t="shared" si="53"/>
        <v>0</v>
      </c>
      <c r="X537" s="81"/>
    </row>
    <row r="538" spans="1:24" s="113" customFormat="1" x14ac:dyDescent="0.25">
      <c r="A538" s="140">
        <f t="shared" si="52"/>
        <v>53</v>
      </c>
      <c r="B538" s="157"/>
      <c r="C538" s="157"/>
      <c r="D538" s="100"/>
      <c r="E538" s="79"/>
      <c r="F538" s="153"/>
      <c r="G538" s="137"/>
      <c r="H538" s="158"/>
      <c r="I538" s="79"/>
      <c r="J538" s="139"/>
      <c r="K538" s="139"/>
      <c r="L538" s="98"/>
      <c r="M538" s="79"/>
      <c r="N538" s="139"/>
      <c r="O538" s="139"/>
      <c r="P538" s="138"/>
      <c r="Q538" s="147"/>
      <c r="R538" s="147"/>
      <c r="S538" s="147"/>
      <c r="T538" s="138">
        <f t="shared" si="54"/>
        <v>0</v>
      </c>
      <c r="U538" s="138">
        <f t="shared" si="54"/>
        <v>0</v>
      </c>
      <c r="V538" s="147"/>
      <c r="W538" s="148">
        <f t="shared" si="53"/>
        <v>0</v>
      </c>
      <c r="X538" s="81"/>
    </row>
    <row r="539" spans="1:24" s="113" customFormat="1" x14ac:dyDescent="0.25">
      <c r="A539" s="140">
        <f t="shared" si="52"/>
        <v>53</v>
      </c>
      <c r="B539" s="157"/>
      <c r="C539" s="157"/>
      <c r="D539" s="100"/>
      <c r="E539" s="79"/>
      <c r="F539" s="153"/>
      <c r="G539" s="137"/>
      <c r="H539" s="158"/>
      <c r="I539" s="79"/>
      <c r="J539" s="139"/>
      <c r="K539" s="139"/>
      <c r="L539" s="98"/>
      <c r="M539" s="79"/>
      <c r="N539" s="139"/>
      <c r="O539" s="139"/>
      <c r="P539" s="138"/>
      <c r="Q539" s="147"/>
      <c r="R539" s="147"/>
      <c r="S539" s="147"/>
      <c r="T539" s="138">
        <f t="shared" si="54"/>
        <v>0</v>
      </c>
      <c r="U539" s="138">
        <f t="shared" si="54"/>
        <v>0</v>
      </c>
      <c r="V539" s="147"/>
      <c r="W539" s="148">
        <f t="shared" si="53"/>
        <v>0</v>
      </c>
      <c r="X539" s="81"/>
    </row>
    <row r="540" spans="1:24" s="113" customFormat="1" x14ac:dyDescent="0.25">
      <c r="A540" s="140">
        <f t="shared" si="52"/>
        <v>53</v>
      </c>
      <c r="B540" s="157"/>
      <c r="C540" s="157"/>
      <c r="D540" s="100"/>
      <c r="E540" s="79"/>
      <c r="F540" s="153"/>
      <c r="G540" s="137"/>
      <c r="H540" s="158"/>
      <c r="I540" s="79"/>
      <c r="J540" s="139"/>
      <c r="K540" s="139"/>
      <c r="L540" s="98"/>
      <c r="M540" s="79"/>
      <c r="N540" s="139"/>
      <c r="O540" s="139"/>
      <c r="P540" s="138"/>
      <c r="Q540" s="147"/>
      <c r="R540" s="147"/>
      <c r="S540" s="147"/>
      <c r="T540" s="138">
        <f t="shared" si="54"/>
        <v>0</v>
      </c>
      <c r="U540" s="138">
        <f t="shared" si="54"/>
        <v>0</v>
      </c>
      <c r="V540" s="147"/>
      <c r="W540" s="148">
        <f t="shared" si="53"/>
        <v>0</v>
      </c>
      <c r="X540" s="81"/>
    </row>
    <row r="541" spans="1:24" s="113" customFormat="1" x14ac:dyDescent="0.25">
      <c r="A541" s="140">
        <f t="shared" si="52"/>
        <v>53</v>
      </c>
      <c r="B541" s="157"/>
      <c r="C541" s="157"/>
      <c r="D541" s="100"/>
      <c r="E541" s="79"/>
      <c r="F541" s="153"/>
      <c r="G541" s="137"/>
      <c r="H541" s="158"/>
      <c r="I541" s="79"/>
      <c r="J541" s="139"/>
      <c r="K541" s="139"/>
      <c r="L541" s="98"/>
      <c r="M541" s="79"/>
      <c r="N541" s="139"/>
      <c r="O541" s="139"/>
      <c r="P541" s="138"/>
      <c r="Q541" s="147"/>
      <c r="R541" s="147"/>
      <c r="S541" s="147"/>
      <c r="T541" s="138">
        <f t="shared" si="54"/>
        <v>0</v>
      </c>
      <c r="U541" s="138">
        <f t="shared" si="54"/>
        <v>0</v>
      </c>
      <c r="V541" s="147"/>
      <c r="W541" s="148">
        <f>U541-T541</f>
        <v>0</v>
      </c>
      <c r="X541" s="81"/>
    </row>
    <row r="542" spans="1:24" s="113" customFormat="1" x14ac:dyDescent="0.25">
      <c r="A542" s="140">
        <f t="shared" si="52"/>
        <v>53</v>
      </c>
      <c r="B542" s="157"/>
      <c r="C542" s="157"/>
      <c r="D542" s="100"/>
      <c r="E542" s="79"/>
      <c r="F542" s="153"/>
      <c r="G542" s="137"/>
      <c r="H542" s="158"/>
      <c r="I542" s="79"/>
      <c r="J542" s="139"/>
      <c r="K542" s="139"/>
      <c r="L542" s="98"/>
      <c r="M542" s="79"/>
      <c r="N542" s="139"/>
      <c r="O542" s="139"/>
      <c r="P542" s="138"/>
      <c r="Q542" s="147"/>
      <c r="R542" s="147"/>
      <c r="S542" s="147"/>
      <c r="T542" s="138">
        <f t="shared" si="54"/>
        <v>0</v>
      </c>
      <c r="U542" s="138">
        <f t="shared" si="54"/>
        <v>0</v>
      </c>
      <c r="V542" s="147"/>
      <c r="W542" s="148">
        <f>U542-T542</f>
        <v>0</v>
      </c>
      <c r="X542" s="81"/>
    </row>
    <row r="543" spans="1:24" s="113" customFormat="1" x14ac:dyDescent="0.25">
      <c r="A543" s="140">
        <f t="shared" si="52"/>
        <v>53</v>
      </c>
      <c r="B543" s="157"/>
      <c r="C543" s="157"/>
      <c r="D543" s="100"/>
      <c r="E543" s="79"/>
      <c r="F543" s="153"/>
      <c r="G543" s="137"/>
      <c r="H543" s="158"/>
      <c r="I543" s="79"/>
      <c r="J543" s="139"/>
      <c r="K543" s="139"/>
      <c r="L543" s="98"/>
      <c r="M543" s="79"/>
      <c r="N543" s="139"/>
      <c r="O543" s="139"/>
      <c r="P543" s="138"/>
      <c r="Q543" s="147"/>
      <c r="R543" s="147"/>
      <c r="S543" s="147"/>
      <c r="T543" s="138">
        <f t="shared" si="54"/>
        <v>0</v>
      </c>
      <c r="U543" s="138">
        <f t="shared" si="54"/>
        <v>0</v>
      </c>
      <c r="V543" s="147"/>
      <c r="W543" s="148">
        <f>U543-T543</f>
        <v>0</v>
      </c>
      <c r="X543" s="81"/>
    </row>
    <row r="544" spans="1:24" s="113" customFormat="1" x14ac:dyDescent="0.25">
      <c r="A544" s="140">
        <f t="shared" si="52"/>
        <v>53</v>
      </c>
      <c r="B544" s="157"/>
      <c r="C544" s="157"/>
      <c r="D544" s="100"/>
      <c r="E544" s="79"/>
      <c r="F544" s="153"/>
      <c r="G544" s="137"/>
      <c r="H544" s="158"/>
      <c r="I544" s="79"/>
      <c r="J544" s="139"/>
      <c r="K544" s="139"/>
      <c r="L544" s="98"/>
      <c r="M544" s="79"/>
      <c r="N544" s="139"/>
      <c r="O544" s="139"/>
      <c r="P544" s="138"/>
      <c r="Q544" s="147"/>
      <c r="R544" s="147"/>
      <c r="S544" s="147"/>
      <c r="T544" s="138">
        <f t="shared" si="54"/>
        <v>0</v>
      </c>
      <c r="U544" s="138">
        <f t="shared" si="54"/>
        <v>0</v>
      </c>
      <c r="V544" s="147"/>
      <c r="W544" s="148">
        <f t="shared" si="53"/>
        <v>0</v>
      </c>
      <c r="X544" s="81"/>
    </row>
    <row r="545" spans="1:24" s="113" customFormat="1" x14ac:dyDescent="0.25">
      <c r="A545" s="140">
        <f t="shared" si="52"/>
        <v>53</v>
      </c>
      <c r="B545" s="157"/>
      <c r="C545" s="157"/>
      <c r="D545" s="100"/>
      <c r="E545" s="79"/>
      <c r="F545" s="153"/>
      <c r="G545" s="137"/>
      <c r="H545" s="158"/>
      <c r="I545" s="79"/>
      <c r="J545" s="139"/>
      <c r="K545" s="139"/>
      <c r="L545" s="98"/>
      <c r="M545" s="79"/>
      <c r="N545" s="139"/>
      <c r="O545" s="139"/>
      <c r="P545" s="138"/>
      <c r="Q545" s="147"/>
      <c r="R545" s="147"/>
      <c r="S545" s="147"/>
      <c r="T545" s="138">
        <f t="shared" si="54"/>
        <v>0</v>
      </c>
      <c r="U545" s="138">
        <f t="shared" si="54"/>
        <v>0</v>
      </c>
      <c r="V545" s="147"/>
      <c r="W545" s="148">
        <f t="shared" si="53"/>
        <v>0</v>
      </c>
      <c r="X545" s="81"/>
    </row>
    <row r="546" spans="1:24" s="113" customFormat="1" x14ac:dyDescent="0.25">
      <c r="A546" s="140">
        <f t="shared" si="52"/>
        <v>53</v>
      </c>
      <c r="B546" s="157"/>
      <c r="C546" s="157"/>
      <c r="D546" s="100"/>
      <c r="E546" s="79"/>
      <c r="F546" s="153"/>
      <c r="G546" s="137"/>
      <c r="H546" s="158"/>
      <c r="I546" s="79"/>
      <c r="J546" s="139"/>
      <c r="K546" s="139"/>
      <c r="L546" s="98"/>
      <c r="M546" s="79"/>
      <c r="N546" s="139"/>
      <c r="O546" s="139"/>
      <c r="P546" s="138"/>
      <c r="Q546" s="147"/>
      <c r="R546" s="147"/>
      <c r="S546" s="147"/>
      <c r="T546" s="138">
        <f t="shared" si="54"/>
        <v>0</v>
      </c>
      <c r="U546" s="138">
        <f t="shared" si="54"/>
        <v>0</v>
      </c>
      <c r="V546" s="147"/>
      <c r="W546" s="148">
        <f t="shared" si="53"/>
        <v>0</v>
      </c>
      <c r="X546" s="81"/>
    </row>
    <row r="547" spans="1:24" s="113" customFormat="1" x14ac:dyDescent="0.25">
      <c r="A547" s="140">
        <f t="shared" si="52"/>
        <v>53</v>
      </c>
      <c r="B547" s="157"/>
      <c r="C547" s="157"/>
      <c r="D547" s="100"/>
      <c r="E547" s="79"/>
      <c r="F547" s="153"/>
      <c r="G547" s="137"/>
      <c r="H547" s="158"/>
      <c r="I547" s="79"/>
      <c r="J547" s="139"/>
      <c r="K547" s="139"/>
      <c r="L547" s="98"/>
      <c r="M547" s="79"/>
      <c r="N547" s="139"/>
      <c r="O547" s="139"/>
      <c r="P547" s="138"/>
      <c r="Q547" s="147"/>
      <c r="R547" s="147"/>
      <c r="S547" s="147"/>
      <c r="T547" s="138">
        <f t="shared" si="54"/>
        <v>0</v>
      </c>
      <c r="U547" s="138">
        <f t="shared" si="54"/>
        <v>0</v>
      </c>
      <c r="V547" s="147"/>
      <c r="W547" s="148">
        <f t="shared" si="53"/>
        <v>0</v>
      </c>
      <c r="X547" s="81"/>
    </row>
    <row r="548" spans="1:24" s="113" customFormat="1" x14ac:dyDescent="0.25">
      <c r="A548" s="140">
        <f t="shared" si="52"/>
        <v>53</v>
      </c>
      <c r="B548" s="157"/>
      <c r="C548" s="157"/>
      <c r="D548" s="100"/>
      <c r="E548" s="79"/>
      <c r="F548" s="153"/>
      <c r="G548" s="137"/>
      <c r="H548" s="158"/>
      <c r="I548" s="79"/>
      <c r="J548" s="139"/>
      <c r="K548" s="139"/>
      <c r="L548" s="98"/>
      <c r="M548" s="79"/>
      <c r="N548" s="139"/>
      <c r="O548" s="139"/>
      <c r="P548" s="138"/>
      <c r="Q548" s="147"/>
      <c r="R548" s="147"/>
      <c r="S548" s="147"/>
      <c r="T548" s="138">
        <f t="shared" si="54"/>
        <v>0</v>
      </c>
      <c r="U548" s="138">
        <f t="shared" si="54"/>
        <v>0</v>
      </c>
      <c r="V548" s="147"/>
      <c r="W548" s="148">
        <f t="shared" si="53"/>
        <v>0</v>
      </c>
      <c r="X548" s="81"/>
    </row>
    <row r="549" spans="1:24" s="113" customFormat="1" x14ac:dyDescent="0.25">
      <c r="A549" s="140">
        <f t="shared" si="52"/>
        <v>53</v>
      </c>
      <c r="B549" s="157"/>
      <c r="C549" s="157"/>
      <c r="D549" s="100"/>
      <c r="E549" s="79"/>
      <c r="F549" s="153"/>
      <c r="G549" s="137"/>
      <c r="H549" s="158"/>
      <c r="I549" s="79"/>
      <c r="J549" s="139"/>
      <c r="K549" s="139"/>
      <c r="L549" s="98"/>
      <c r="M549" s="79"/>
      <c r="N549" s="139"/>
      <c r="O549" s="139"/>
      <c r="P549" s="138"/>
      <c r="Q549" s="147"/>
      <c r="R549" s="147"/>
      <c r="S549" s="147"/>
      <c r="T549" s="138">
        <f t="shared" si="54"/>
        <v>0</v>
      </c>
      <c r="U549" s="138">
        <f t="shared" si="54"/>
        <v>0</v>
      </c>
      <c r="V549" s="147"/>
      <c r="W549" s="148">
        <f t="shared" si="53"/>
        <v>0</v>
      </c>
      <c r="X549" s="81"/>
    </row>
    <row r="550" spans="1:24" s="113" customFormat="1" x14ac:dyDescent="0.25">
      <c r="A550" s="140">
        <f t="shared" si="52"/>
        <v>53</v>
      </c>
      <c r="B550" s="157"/>
      <c r="C550" s="157"/>
      <c r="D550" s="100"/>
      <c r="E550" s="79"/>
      <c r="F550" s="153"/>
      <c r="G550" s="137"/>
      <c r="H550" s="158"/>
      <c r="I550" s="79"/>
      <c r="J550" s="139"/>
      <c r="K550" s="139"/>
      <c r="L550" s="98"/>
      <c r="M550" s="79"/>
      <c r="N550" s="139"/>
      <c r="O550" s="139"/>
      <c r="P550" s="138"/>
      <c r="Q550" s="147"/>
      <c r="R550" s="147"/>
      <c r="S550" s="147"/>
      <c r="T550" s="138">
        <f t="shared" si="54"/>
        <v>0</v>
      </c>
      <c r="U550" s="138">
        <f t="shared" si="54"/>
        <v>0</v>
      </c>
      <c r="V550" s="147"/>
      <c r="W550" s="148">
        <f t="shared" si="53"/>
        <v>0</v>
      </c>
      <c r="X550" s="81"/>
    </row>
    <row r="551" spans="1:24" s="113" customFormat="1" x14ac:dyDescent="0.25">
      <c r="A551" s="140">
        <f t="shared" si="52"/>
        <v>53</v>
      </c>
      <c r="B551" s="157"/>
      <c r="C551" s="157"/>
      <c r="D551" s="100"/>
      <c r="E551" s="79"/>
      <c r="F551" s="153"/>
      <c r="G551" s="137"/>
      <c r="H551" s="158"/>
      <c r="I551" s="79"/>
      <c r="J551" s="139"/>
      <c r="K551" s="139"/>
      <c r="L551" s="98"/>
      <c r="M551" s="79"/>
      <c r="N551" s="139"/>
      <c r="O551" s="139"/>
      <c r="P551" s="138"/>
      <c r="Q551" s="147"/>
      <c r="R551" s="147"/>
      <c r="S551" s="147"/>
      <c r="T551" s="138">
        <f t="shared" si="54"/>
        <v>0</v>
      </c>
      <c r="U551" s="138">
        <f t="shared" si="54"/>
        <v>0</v>
      </c>
      <c r="V551" s="147"/>
      <c r="W551" s="148">
        <f t="shared" si="53"/>
        <v>0</v>
      </c>
      <c r="X551" s="81"/>
    </row>
    <row r="552" spans="1:24" s="113" customFormat="1" x14ac:dyDescent="0.25">
      <c r="A552" s="140">
        <f t="shared" si="52"/>
        <v>53</v>
      </c>
      <c r="B552" s="157"/>
      <c r="C552" s="157"/>
      <c r="D552" s="100"/>
      <c r="E552" s="79"/>
      <c r="F552" s="153"/>
      <c r="G552" s="137"/>
      <c r="H552" s="158"/>
      <c r="I552" s="79"/>
      <c r="J552" s="139"/>
      <c r="K552" s="139"/>
      <c r="L552" s="98"/>
      <c r="M552" s="79"/>
      <c r="N552" s="139"/>
      <c r="O552" s="139"/>
      <c r="P552" s="138"/>
      <c r="Q552" s="147"/>
      <c r="R552" s="147"/>
      <c r="S552" s="147"/>
      <c r="T552" s="138">
        <f t="shared" si="54"/>
        <v>0</v>
      </c>
      <c r="U552" s="138">
        <f t="shared" si="54"/>
        <v>0</v>
      </c>
      <c r="V552" s="147"/>
      <c r="W552" s="148">
        <f t="shared" si="53"/>
        <v>0</v>
      </c>
      <c r="X552" s="81"/>
    </row>
    <row r="553" spans="1:24" s="113" customFormat="1" x14ac:dyDescent="0.25">
      <c r="A553" s="140">
        <f t="shared" si="52"/>
        <v>53</v>
      </c>
      <c r="B553" s="157"/>
      <c r="C553" s="157"/>
      <c r="D553" s="100"/>
      <c r="E553" s="79"/>
      <c r="F553" s="153"/>
      <c r="G553" s="137"/>
      <c r="H553" s="158"/>
      <c r="I553" s="79"/>
      <c r="J553" s="139"/>
      <c r="K553" s="139"/>
      <c r="L553" s="98"/>
      <c r="M553" s="79"/>
      <c r="N553" s="139"/>
      <c r="O553" s="139"/>
      <c r="P553" s="138"/>
      <c r="Q553" s="147"/>
      <c r="R553" s="147"/>
      <c r="S553" s="147"/>
      <c r="T553" s="138">
        <f t="shared" si="54"/>
        <v>0</v>
      </c>
      <c r="U553" s="138">
        <f t="shared" si="54"/>
        <v>0</v>
      </c>
      <c r="V553" s="147"/>
      <c r="W553" s="148">
        <f>U553-T553</f>
        <v>0</v>
      </c>
      <c r="X553" s="81"/>
    </row>
    <row r="554" spans="1:24" s="113" customFormat="1" x14ac:dyDescent="0.25">
      <c r="A554" s="140">
        <f t="shared" si="52"/>
        <v>53</v>
      </c>
      <c r="B554" s="157"/>
      <c r="C554" s="157"/>
      <c r="D554" s="100"/>
      <c r="E554" s="79"/>
      <c r="F554" s="153"/>
      <c r="G554" s="137"/>
      <c r="H554" s="158"/>
      <c r="I554" s="79"/>
      <c r="J554" s="139"/>
      <c r="K554" s="139"/>
      <c r="L554" s="98"/>
      <c r="M554" s="79"/>
      <c r="N554" s="139"/>
      <c r="O554" s="139"/>
      <c r="P554" s="138"/>
      <c r="Q554" s="147"/>
      <c r="R554" s="147"/>
      <c r="S554" s="147"/>
      <c r="T554" s="138">
        <f t="shared" si="54"/>
        <v>0</v>
      </c>
      <c r="U554" s="138">
        <f t="shared" si="54"/>
        <v>0</v>
      </c>
      <c r="V554" s="147"/>
      <c r="W554" s="148">
        <f>U554-T554</f>
        <v>0</v>
      </c>
      <c r="X554" s="81"/>
    </row>
    <row r="555" spans="1:24" s="113" customFormat="1" x14ac:dyDescent="0.25">
      <c r="A555" s="140">
        <f t="shared" si="52"/>
        <v>53</v>
      </c>
      <c r="B555" s="157"/>
      <c r="C555" s="157"/>
      <c r="D555" s="100"/>
      <c r="E555" s="79"/>
      <c r="F555" s="153"/>
      <c r="G555" s="137"/>
      <c r="H555" s="158"/>
      <c r="I555" s="79"/>
      <c r="J555" s="139"/>
      <c r="K555" s="139"/>
      <c r="L555" s="98"/>
      <c r="M555" s="79"/>
      <c r="N555" s="139"/>
      <c r="O555" s="139"/>
      <c r="P555" s="138"/>
      <c r="Q555" s="147"/>
      <c r="R555" s="147"/>
      <c r="S555" s="147"/>
      <c r="T555" s="138">
        <f t="shared" si="54"/>
        <v>0</v>
      </c>
      <c r="U555" s="138">
        <f t="shared" si="54"/>
        <v>0</v>
      </c>
      <c r="V555" s="147"/>
      <c r="W555" s="148">
        <f>U555-T555</f>
        <v>0</v>
      </c>
      <c r="X555" s="81"/>
    </row>
    <row r="556" spans="1:24" s="113" customFormat="1" x14ac:dyDescent="0.25">
      <c r="A556" s="140">
        <f t="shared" si="52"/>
        <v>53</v>
      </c>
      <c r="B556" s="157"/>
      <c r="C556" s="157"/>
      <c r="D556" s="100"/>
      <c r="E556" s="79"/>
      <c r="F556" s="153"/>
      <c r="G556" s="137"/>
      <c r="H556" s="158"/>
      <c r="I556" s="79"/>
      <c r="J556" s="139"/>
      <c r="K556" s="139"/>
      <c r="L556" s="98"/>
      <c r="M556" s="79"/>
      <c r="N556" s="139"/>
      <c r="O556" s="139"/>
      <c r="P556" s="138"/>
      <c r="Q556" s="147"/>
      <c r="R556" s="147"/>
      <c r="S556" s="147"/>
      <c r="T556" s="138">
        <f t="shared" si="54"/>
        <v>0</v>
      </c>
      <c r="U556" s="138">
        <f t="shared" si="54"/>
        <v>0</v>
      </c>
      <c r="V556" s="147"/>
      <c r="W556" s="148">
        <f t="shared" si="53"/>
        <v>0</v>
      </c>
      <c r="X556" s="81"/>
    </row>
    <row r="557" spans="1:24" s="113" customFormat="1" x14ac:dyDescent="0.25">
      <c r="A557" s="140">
        <f t="shared" si="52"/>
        <v>53</v>
      </c>
      <c r="B557" s="157"/>
      <c r="C557" s="157"/>
      <c r="D557" s="100"/>
      <c r="E557" s="79"/>
      <c r="F557" s="153"/>
      <c r="G557" s="137"/>
      <c r="H557" s="158"/>
      <c r="I557" s="79"/>
      <c r="J557" s="139"/>
      <c r="K557" s="139"/>
      <c r="L557" s="98"/>
      <c r="M557" s="79"/>
      <c r="N557" s="139"/>
      <c r="O557" s="139"/>
      <c r="P557" s="138"/>
      <c r="Q557" s="147"/>
      <c r="R557" s="147"/>
      <c r="S557" s="147"/>
      <c r="T557" s="138">
        <f t="shared" si="54"/>
        <v>0</v>
      </c>
      <c r="U557" s="138">
        <f t="shared" si="54"/>
        <v>0</v>
      </c>
      <c r="V557" s="147"/>
      <c r="W557" s="148">
        <f t="shared" si="53"/>
        <v>0</v>
      </c>
      <c r="X557" s="81"/>
    </row>
    <row r="558" spans="1:24" s="113" customFormat="1" x14ac:dyDescent="0.25">
      <c r="A558" s="140">
        <f t="shared" si="52"/>
        <v>53</v>
      </c>
      <c r="B558" s="157"/>
      <c r="C558" s="157"/>
      <c r="D558" s="100"/>
      <c r="E558" s="79"/>
      <c r="F558" s="153"/>
      <c r="G558" s="137"/>
      <c r="H558" s="158"/>
      <c r="I558" s="79"/>
      <c r="J558" s="139"/>
      <c r="K558" s="139"/>
      <c r="L558" s="98"/>
      <c r="M558" s="79"/>
      <c r="N558" s="139"/>
      <c r="O558" s="139"/>
      <c r="P558" s="138"/>
      <c r="Q558" s="147"/>
      <c r="R558" s="147"/>
      <c r="S558" s="147"/>
      <c r="T558" s="138">
        <f t="shared" si="54"/>
        <v>0</v>
      </c>
      <c r="U558" s="138">
        <f t="shared" si="54"/>
        <v>0</v>
      </c>
      <c r="V558" s="147"/>
      <c r="W558" s="148">
        <f t="shared" si="53"/>
        <v>0</v>
      </c>
      <c r="X558" s="81"/>
    </row>
    <row r="559" spans="1:24" s="113" customFormat="1" x14ac:dyDescent="0.25">
      <c r="A559" s="140">
        <f t="shared" si="52"/>
        <v>53</v>
      </c>
      <c r="B559" s="157"/>
      <c r="C559" s="157"/>
      <c r="D559" s="100"/>
      <c r="E559" s="79"/>
      <c r="F559" s="153"/>
      <c r="G559" s="137"/>
      <c r="H559" s="158"/>
      <c r="I559" s="79"/>
      <c r="J559" s="139"/>
      <c r="K559" s="139"/>
      <c r="L559" s="98"/>
      <c r="M559" s="79"/>
      <c r="N559" s="139"/>
      <c r="O559" s="139"/>
      <c r="P559" s="138"/>
      <c r="Q559" s="147"/>
      <c r="R559" s="147"/>
      <c r="S559" s="147"/>
      <c r="T559" s="138">
        <f t="shared" si="54"/>
        <v>0</v>
      </c>
      <c r="U559" s="138">
        <f t="shared" si="54"/>
        <v>0</v>
      </c>
      <c r="V559" s="147"/>
      <c r="W559" s="148">
        <f t="shared" si="53"/>
        <v>0</v>
      </c>
      <c r="X559" s="81"/>
    </row>
    <row r="560" spans="1:24" s="113" customFormat="1" x14ac:dyDescent="0.25">
      <c r="A560" s="140">
        <f t="shared" si="52"/>
        <v>53</v>
      </c>
      <c r="B560" s="157"/>
      <c r="C560" s="157"/>
      <c r="D560" s="100"/>
      <c r="E560" s="79"/>
      <c r="F560" s="153"/>
      <c r="G560" s="137"/>
      <c r="H560" s="158"/>
      <c r="I560" s="79"/>
      <c r="J560" s="139"/>
      <c r="K560" s="139"/>
      <c r="L560" s="98"/>
      <c r="M560" s="79"/>
      <c r="N560" s="139"/>
      <c r="O560" s="139"/>
      <c r="P560" s="138"/>
      <c r="Q560" s="147"/>
      <c r="R560" s="147"/>
      <c r="S560" s="147"/>
      <c r="T560" s="138">
        <f t="shared" si="54"/>
        <v>0</v>
      </c>
      <c r="U560" s="138">
        <f t="shared" si="54"/>
        <v>0</v>
      </c>
      <c r="V560" s="147"/>
      <c r="W560" s="148">
        <f t="shared" si="53"/>
        <v>0</v>
      </c>
      <c r="X560" s="81"/>
    </row>
    <row r="561" spans="1:24" s="113" customFormat="1" x14ac:dyDescent="0.25">
      <c r="A561" s="140">
        <f t="shared" si="52"/>
        <v>53</v>
      </c>
      <c r="B561" s="157"/>
      <c r="C561" s="157"/>
      <c r="D561" s="100"/>
      <c r="E561" s="79"/>
      <c r="F561" s="153"/>
      <c r="G561" s="137"/>
      <c r="H561" s="158"/>
      <c r="I561" s="79"/>
      <c r="J561" s="139"/>
      <c r="K561" s="139"/>
      <c r="L561" s="98"/>
      <c r="M561" s="79"/>
      <c r="N561" s="139"/>
      <c r="O561" s="139"/>
      <c r="P561" s="138"/>
      <c r="Q561" s="147"/>
      <c r="R561" s="147"/>
      <c r="S561" s="147"/>
      <c r="T561" s="138">
        <f t="shared" si="54"/>
        <v>0</v>
      </c>
      <c r="U561" s="138">
        <f t="shared" si="54"/>
        <v>0</v>
      </c>
      <c r="V561" s="147"/>
      <c r="W561" s="148">
        <f t="shared" si="53"/>
        <v>0</v>
      </c>
      <c r="X561" s="81"/>
    </row>
    <row r="562" spans="1:24" s="113" customFormat="1" x14ac:dyDescent="0.25">
      <c r="A562" s="140">
        <f t="shared" si="52"/>
        <v>53</v>
      </c>
      <c r="B562" s="157"/>
      <c r="C562" s="157"/>
      <c r="D562" s="100"/>
      <c r="E562" s="79"/>
      <c r="F562" s="153"/>
      <c r="G562" s="137"/>
      <c r="H562" s="158"/>
      <c r="I562" s="79"/>
      <c r="J562" s="139"/>
      <c r="K562" s="139"/>
      <c r="L562" s="98"/>
      <c r="M562" s="79"/>
      <c r="N562" s="139"/>
      <c r="O562" s="139"/>
      <c r="P562" s="138"/>
      <c r="Q562" s="147"/>
      <c r="R562" s="147"/>
      <c r="S562" s="147"/>
      <c r="T562" s="138">
        <f t="shared" si="54"/>
        <v>0</v>
      </c>
      <c r="U562" s="138">
        <f t="shared" si="54"/>
        <v>0</v>
      </c>
      <c r="V562" s="147"/>
      <c r="W562" s="148">
        <f t="shared" si="53"/>
        <v>0</v>
      </c>
      <c r="X562" s="81"/>
    </row>
    <row r="563" spans="1:24" s="113" customFormat="1" x14ac:dyDescent="0.25">
      <c r="A563" s="140">
        <f t="shared" si="52"/>
        <v>53</v>
      </c>
      <c r="B563" s="157"/>
      <c r="C563" s="157"/>
      <c r="D563" s="100"/>
      <c r="E563" s="79"/>
      <c r="F563" s="153"/>
      <c r="G563" s="137"/>
      <c r="H563" s="158"/>
      <c r="I563" s="79"/>
      <c r="J563" s="139"/>
      <c r="K563" s="139"/>
      <c r="L563" s="98"/>
      <c r="M563" s="79"/>
      <c r="N563" s="139"/>
      <c r="O563" s="139"/>
      <c r="P563" s="138"/>
      <c r="Q563" s="147"/>
      <c r="R563" s="147"/>
      <c r="S563" s="147"/>
      <c r="T563" s="138">
        <f t="shared" si="54"/>
        <v>0</v>
      </c>
      <c r="U563" s="138">
        <f t="shared" si="54"/>
        <v>0</v>
      </c>
      <c r="V563" s="147"/>
      <c r="W563" s="148">
        <f t="shared" si="53"/>
        <v>0</v>
      </c>
      <c r="X563" s="81"/>
    </row>
    <row r="564" spans="1:24" s="113" customFormat="1" x14ac:dyDescent="0.25">
      <c r="A564" s="140">
        <f t="shared" si="52"/>
        <v>53</v>
      </c>
      <c r="B564" s="157"/>
      <c r="C564" s="157"/>
      <c r="D564" s="100"/>
      <c r="E564" s="79"/>
      <c r="F564" s="153"/>
      <c r="G564" s="137"/>
      <c r="H564" s="158"/>
      <c r="I564" s="79"/>
      <c r="J564" s="139"/>
      <c r="K564" s="139"/>
      <c r="L564" s="98"/>
      <c r="M564" s="79"/>
      <c r="N564" s="139"/>
      <c r="O564" s="139"/>
      <c r="P564" s="138"/>
      <c r="Q564" s="147"/>
      <c r="R564" s="147"/>
      <c r="S564" s="147"/>
      <c r="T564" s="138">
        <f t="shared" si="54"/>
        <v>0</v>
      </c>
      <c r="U564" s="138">
        <f t="shared" si="54"/>
        <v>0</v>
      </c>
      <c r="V564" s="147"/>
      <c r="W564" s="148">
        <f t="shared" si="53"/>
        <v>0</v>
      </c>
      <c r="X564" s="81"/>
    </row>
    <row r="565" spans="1:24" s="113" customFormat="1" x14ac:dyDescent="0.25">
      <c r="A565" s="140">
        <f t="shared" si="52"/>
        <v>53</v>
      </c>
      <c r="B565" s="157"/>
      <c r="C565" s="157"/>
      <c r="D565" s="100"/>
      <c r="E565" s="79"/>
      <c r="F565" s="153"/>
      <c r="G565" s="137"/>
      <c r="H565" s="158"/>
      <c r="I565" s="79"/>
      <c r="J565" s="139"/>
      <c r="K565" s="139"/>
      <c r="L565" s="98"/>
      <c r="M565" s="79"/>
      <c r="N565" s="139"/>
      <c r="O565" s="139"/>
      <c r="P565" s="138"/>
      <c r="Q565" s="147"/>
      <c r="R565" s="147"/>
      <c r="S565" s="147"/>
      <c r="T565" s="138">
        <f t="shared" si="54"/>
        <v>0</v>
      </c>
      <c r="U565" s="138">
        <f t="shared" si="54"/>
        <v>0</v>
      </c>
      <c r="V565" s="147"/>
      <c r="W565" s="148">
        <f t="shared" si="53"/>
        <v>0</v>
      </c>
      <c r="X565" s="81"/>
    </row>
    <row r="566" spans="1:24" s="113" customFormat="1" x14ac:dyDescent="0.25">
      <c r="A566" s="140">
        <f t="shared" si="52"/>
        <v>53</v>
      </c>
      <c r="B566" s="157"/>
      <c r="C566" s="157"/>
      <c r="D566" s="100"/>
      <c r="E566" s="79"/>
      <c r="F566" s="153"/>
      <c r="G566" s="137"/>
      <c r="H566" s="158"/>
      <c r="I566" s="79"/>
      <c r="J566" s="139"/>
      <c r="K566" s="139"/>
      <c r="L566" s="98"/>
      <c r="M566" s="79"/>
      <c r="N566" s="139"/>
      <c r="O566" s="139"/>
      <c r="P566" s="138"/>
      <c r="Q566" s="147"/>
      <c r="R566" s="147"/>
      <c r="S566" s="147"/>
      <c r="T566" s="138">
        <f t="shared" si="54"/>
        <v>0</v>
      </c>
      <c r="U566" s="138">
        <f t="shared" si="54"/>
        <v>0</v>
      </c>
      <c r="V566" s="147"/>
      <c r="W566" s="148">
        <f>U566-T566</f>
        <v>0</v>
      </c>
      <c r="X566" s="81"/>
    </row>
    <row r="567" spans="1:24" s="113" customFormat="1" x14ac:dyDescent="0.25">
      <c r="A567" s="140">
        <f t="shared" si="52"/>
        <v>53</v>
      </c>
      <c r="B567" s="157"/>
      <c r="C567" s="157"/>
      <c r="D567" s="100"/>
      <c r="E567" s="79"/>
      <c r="F567" s="153"/>
      <c r="G567" s="137"/>
      <c r="H567" s="158"/>
      <c r="I567" s="79"/>
      <c r="J567" s="139"/>
      <c r="K567" s="139"/>
      <c r="L567" s="98"/>
      <c r="M567" s="79"/>
      <c r="N567" s="139"/>
      <c r="O567" s="139"/>
      <c r="P567" s="138"/>
      <c r="Q567" s="147"/>
      <c r="R567" s="147"/>
      <c r="S567" s="147"/>
      <c r="T567" s="138">
        <f t="shared" si="54"/>
        <v>0</v>
      </c>
      <c r="U567" s="138">
        <f t="shared" si="54"/>
        <v>0</v>
      </c>
      <c r="V567" s="147"/>
      <c r="W567" s="148">
        <f>U567-T567</f>
        <v>0</v>
      </c>
      <c r="X567" s="81"/>
    </row>
    <row r="568" spans="1:24" s="113" customFormat="1" x14ac:dyDescent="0.25">
      <c r="A568" s="140">
        <f t="shared" si="52"/>
        <v>53</v>
      </c>
      <c r="B568" s="157"/>
      <c r="C568" s="157"/>
      <c r="D568" s="100"/>
      <c r="E568" s="79"/>
      <c r="F568" s="153"/>
      <c r="G568" s="137"/>
      <c r="H568" s="158"/>
      <c r="I568" s="79"/>
      <c r="J568" s="139"/>
      <c r="K568" s="139"/>
      <c r="L568" s="98"/>
      <c r="M568" s="79"/>
      <c r="N568" s="139"/>
      <c r="O568" s="139"/>
      <c r="P568" s="138"/>
      <c r="Q568" s="147"/>
      <c r="R568" s="147"/>
      <c r="S568" s="147"/>
      <c r="T568" s="138">
        <f t="shared" si="54"/>
        <v>0</v>
      </c>
      <c r="U568" s="138">
        <f t="shared" si="54"/>
        <v>0</v>
      </c>
      <c r="V568" s="147"/>
      <c r="W568" s="148">
        <f>U568-T568</f>
        <v>0</v>
      </c>
      <c r="X568" s="81"/>
    </row>
    <row r="569" spans="1:24" s="113" customFormat="1" x14ac:dyDescent="0.25">
      <c r="A569" s="140">
        <f t="shared" si="52"/>
        <v>53</v>
      </c>
      <c r="B569" s="157"/>
      <c r="C569" s="157"/>
      <c r="D569" s="100"/>
      <c r="E569" s="79"/>
      <c r="F569" s="153"/>
      <c r="G569" s="137"/>
      <c r="H569" s="158"/>
      <c r="I569" s="79"/>
      <c r="J569" s="139"/>
      <c r="K569" s="139"/>
      <c r="L569" s="98"/>
      <c r="M569" s="79"/>
      <c r="N569" s="139"/>
      <c r="O569" s="139"/>
      <c r="P569" s="138"/>
      <c r="Q569" s="147"/>
      <c r="R569" s="147"/>
      <c r="S569" s="147"/>
      <c r="T569" s="138">
        <f t="shared" si="54"/>
        <v>0</v>
      </c>
      <c r="U569" s="138">
        <f t="shared" si="54"/>
        <v>0</v>
      </c>
      <c r="V569" s="147"/>
      <c r="W569" s="148">
        <f t="shared" ref="W569:W632" si="55">V569-Q569</f>
        <v>0</v>
      </c>
      <c r="X569" s="81"/>
    </row>
    <row r="570" spans="1:24" s="113" customFormat="1" x14ac:dyDescent="0.25">
      <c r="A570" s="140">
        <f t="shared" si="52"/>
        <v>53</v>
      </c>
      <c r="B570" s="157"/>
      <c r="C570" s="157"/>
      <c r="D570" s="100"/>
      <c r="E570" s="79"/>
      <c r="F570" s="153"/>
      <c r="G570" s="137"/>
      <c r="H570" s="158"/>
      <c r="I570" s="79"/>
      <c r="J570" s="139"/>
      <c r="K570" s="139"/>
      <c r="L570" s="98"/>
      <c r="M570" s="79"/>
      <c r="N570" s="139"/>
      <c r="O570" s="139"/>
      <c r="P570" s="138"/>
      <c r="Q570" s="147"/>
      <c r="R570" s="147"/>
      <c r="S570" s="147"/>
      <c r="T570" s="138">
        <f t="shared" si="54"/>
        <v>0</v>
      </c>
      <c r="U570" s="138">
        <f t="shared" si="54"/>
        <v>0</v>
      </c>
      <c r="V570" s="147"/>
      <c r="W570" s="148">
        <f t="shared" si="55"/>
        <v>0</v>
      </c>
      <c r="X570" s="81"/>
    </row>
    <row r="571" spans="1:24" s="113" customFormat="1" x14ac:dyDescent="0.25">
      <c r="A571" s="140">
        <f t="shared" si="52"/>
        <v>53</v>
      </c>
      <c r="B571" s="157"/>
      <c r="C571" s="157"/>
      <c r="D571" s="100"/>
      <c r="E571" s="79"/>
      <c r="F571" s="153"/>
      <c r="G571" s="137"/>
      <c r="H571" s="158"/>
      <c r="I571" s="79"/>
      <c r="J571" s="139"/>
      <c r="K571" s="139"/>
      <c r="L571" s="98"/>
      <c r="M571" s="79"/>
      <c r="N571" s="139"/>
      <c r="O571" s="139"/>
      <c r="P571" s="138"/>
      <c r="Q571" s="147"/>
      <c r="R571" s="147"/>
      <c r="S571" s="147"/>
      <c r="T571" s="138">
        <f t="shared" si="54"/>
        <v>0</v>
      </c>
      <c r="U571" s="138">
        <f t="shared" si="54"/>
        <v>0</v>
      </c>
      <c r="V571" s="147"/>
      <c r="W571" s="148">
        <f t="shared" si="55"/>
        <v>0</v>
      </c>
      <c r="X571" s="81"/>
    </row>
    <row r="572" spans="1:24" s="113" customFormat="1" x14ac:dyDescent="0.25">
      <c r="A572" s="140">
        <f t="shared" si="52"/>
        <v>53</v>
      </c>
      <c r="B572" s="157"/>
      <c r="C572" s="157"/>
      <c r="D572" s="100"/>
      <c r="E572" s="79"/>
      <c r="F572" s="153"/>
      <c r="G572" s="137"/>
      <c r="H572" s="158"/>
      <c r="I572" s="79"/>
      <c r="J572" s="139"/>
      <c r="K572" s="139"/>
      <c r="L572" s="98"/>
      <c r="M572" s="79"/>
      <c r="N572" s="139"/>
      <c r="O572" s="139"/>
      <c r="P572" s="138"/>
      <c r="Q572" s="147"/>
      <c r="R572" s="147"/>
      <c r="S572" s="147"/>
      <c r="T572" s="138">
        <f t="shared" si="54"/>
        <v>0</v>
      </c>
      <c r="U572" s="138">
        <f t="shared" si="54"/>
        <v>0</v>
      </c>
      <c r="V572" s="147"/>
      <c r="W572" s="148">
        <f t="shared" si="55"/>
        <v>0</v>
      </c>
      <c r="X572" s="81"/>
    </row>
    <row r="573" spans="1:24" s="113" customFormat="1" x14ac:dyDescent="0.25">
      <c r="A573" s="140">
        <f t="shared" si="52"/>
        <v>53</v>
      </c>
      <c r="B573" s="157"/>
      <c r="C573" s="157"/>
      <c r="D573" s="100"/>
      <c r="E573" s="79"/>
      <c r="F573" s="153"/>
      <c r="G573" s="137"/>
      <c r="H573" s="158"/>
      <c r="I573" s="79"/>
      <c r="J573" s="139"/>
      <c r="K573" s="139"/>
      <c r="L573" s="98"/>
      <c r="M573" s="79"/>
      <c r="N573" s="139"/>
      <c r="O573" s="139"/>
      <c r="P573" s="138"/>
      <c r="Q573" s="147"/>
      <c r="R573" s="147"/>
      <c r="S573" s="147"/>
      <c r="T573" s="138">
        <f t="shared" si="54"/>
        <v>0</v>
      </c>
      <c r="U573" s="138">
        <f t="shared" si="54"/>
        <v>0</v>
      </c>
      <c r="V573" s="147"/>
      <c r="W573" s="148">
        <f t="shared" si="55"/>
        <v>0</v>
      </c>
      <c r="X573" s="81"/>
    </row>
    <row r="574" spans="1:24" s="113" customFormat="1" x14ac:dyDescent="0.25">
      <c r="A574" s="140">
        <f t="shared" si="52"/>
        <v>53</v>
      </c>
      <c r="B574" s="157"/>
      <c r="C574" s="157"/>
      <c r="D574" s="100"/>
      <c r="E574" s="79"/>
      <c r="F574" s="153"/>
      <c r="G574" s="137"/>
      <c r="H574" s="158"/>
      <c r="I574" s="79"/>
      <c r="J574" s="139"/>
      <c r="K574" s="139"/>
      <c r="L574" s="98"/>
      <c r="M574" s="79"/>
      <c r="N574" s="139"/>
      <c r="O574" s="139"/>
      <c r="P574" s="138"/>
      <c r="Q574" s="147"/>
      <c r="R574" s="147"/>
      <c r="S574" s="147"/>
      <c r="T574" s="138">
        <f t="shared" si="54"/>
        <v>0</v>
      </c>
      <c r="U574" s="138">
        <f t="shared" si="54"/>
        <v>0</v>
      </c>
      <c r="V574" s="147"/>
      <c r="W574" s="148">
        <f t="shared" si="55"/>
        <v>0</v>
      </c>
      <c r="X574" s="81"/>
    </row>
    <row r="575" spans="1:24" s="113" customFormat="1" x14ac:dyDescent="0.25">
      <c r="A575" s="140">
        <f t="shared" si="52"/>
        <v>53</v>
      </c>
      <c r="B575" s="157"/>
      <c r="C575" s="157"/>
      <c r="D575" s="100"/>
      <c r="E575" s="79"/>
      <c r="F575" s="153"/>
      <c r="G575" s="137"/>
      <c r="H575" s="158"/>
      <c r="I575" s="79"/>
      <c r="J575" s="139"/>
      <c r="K575" s="139"/>
      <c r="L575" s="98"/>
      <c r="M575" s="79"/>
      <c r="N575" s="139"/>
      <c r="O575" s="139"/>
      <c r="P575" s="138"/>
      <c r="Q575" s="147"/>
      <c r="R575" s="147"/>
      <c r="S575" s="147"/>
      <c r="T575" s="138">
        <f t="shared" si="54"/>
        <v>0</v>
      </c>
      <c r="U575" s="138">
        <f t="shared" si="54"/>
        <v>0</v>
      </c>
      <c r="V575" s="147"/>
      <c r="W575" s="148">
        <f t="shared" si="55"/>
        <v>0</v>
      </c>
      <c r="X575" s="81"/>
    </row>
    <row r="576" spans="1:24" s="113" customFormat="1" x14ac:dyDescent="0.25">
      <c r="A576" s="140">
        <f t="shared" si="52"/>
        <v>53</v>
      </c>
      <c r="B576" s="157"/>
      <c r="C576" s="157"/>
      <c r="D576" s="100"/>
      <c r="E576" s="79"/>
      <c r="F576" s="153"/>
      <c r="G576" s="137"/>
      <c r="H576" s="158"/>
      <c r="I576" s="79"/>
      <c r="J576" s="139"/>
      <c r="K576" s="139"/>
      <c r="L576" s="98"/>
      <c r="M576" s="79"/>
      <c r="N576" s="139"/>
      <c r="O576" s="139"/>
      <c r="P576" s="138"/>
      <c r="Q576" s="147"/>
      <c r="R576" s="147"/>
      <c r="S576" s="147"/>
      <c r="T576" s="138">
        <f t="shared" si="54"/>
        <v>0</v>
      </c>
      <c r="U576" s="138">
        <f t="shared" si="54"/>
        <v>0</v>
      </c>
      <c r="V576" s="147"/>
      <c r="W576" s="148">
        <f t="shared" si="55"/>
        <v>0</v>
      </c>
      <c r="X576" s="81"/>
    </row>
    <row r="577" spans="1:24" s="113" customFormat="1" x14ac:dyDescent="0.25">
      <c r="A577" s="140">
        <f t="shared" si="52"/>
        <v>53</v>
      </c>
      <c r="B577" s="157"/>
      <c r="C577" s="157"/>
      <c r="D577" s="100"/>
      <c r="E577" s="79"/>
      <c r="F577" s="153"/>
      <c r="G577" s="137"/>
      <c r="H577" s="158"/>
      <c r="I577" s="79"/>
      <c r="J577" s="139"/>
      <c r="K577" s="139"/>
      <c r="L577" s="98"/>
      <c r="M577" s="79"/>
      <c r="N577" s="139"/>
      <c r="O577" s="139"/>
      <c r="P577" s="138"/>
      <c r="Q577" s="147"/>
      <c r="R577" s="147"/>
      <c r="S577" s="147"/>
      <c r="T577" s="138">
        <f t="shared" si="54"/>
        <v>0</v>
      </c>
      <c r="U577" s="138">
        <f t="shared" si="54"/>
        <v>0</v>
      </c>
      <c r="V577" s="147"/>
      <c r="W577" s="148">
        <f t="shared" si="55"/>
        <v>0</v>
      </c>
      <c r="X577" s="81"/>
    </row>
    <row r="578" spans="1:24" s="113" customFormat="1" x14ac:dyDescent="0.25">
      <c r="A578" s="140">
        <f t="shared" si="52"/>
        <v>53</v>
      </c>
      <c r="B578" s="157"/>
      <c r="C578" s="157"/>
      <c r="D578" s="100"/>
      <c r="E578" s="79"/>
      <c r="F578" s="153"/>
      <c r="G578" s="137"/>
      <c r="H578" s="158"/>
      <c r="I578" s="79"/>
      <c r="J578" s="139"/>
      <c r="K578" s="139"/>
      <c r="L578" s="98"/>
      <c r="M578" s="79"/>
      <c r="N578" s="139"/>
      <c r="O578" s="139"/>
      <c r="P578" s="138"/>
      <c r="Q578" s="147"/>
      <c r="R578" s="147"/>
      <c r="S578" s="147"/>
      <c r="T578" s="138">
        <f t="shared" si="54"/>
        <v>0</v>
      </c>
      <c r="U578" s="138">
        <f t="shared" si="54"/>
        <v>0</v>
      </c>
      <c r="V578" s="147"/>
      <c r="W578" s="148">
        <f>U578-T578</f>
        <v>0</v>
      </c>
      <c r="X578" s="81"/>
    </row>
    <row r="579" spans="1:24" s="113" customFormat="1" x14ac:dyDescent="0.25">
      <c r="A579" s="140">
        <f t="shared" si="52"/>
        <v>53</v>
      </c>
      <c r="B579" s="157"/>
      <c r="C579" s="157"/>
      <c r="D579" s="100"/>
      <c r="E579" s="79"/>
      <c r="F579" s="153"/>
      <c r="G579" s="137"/>
      <c r="H579" s="158"/>
      <c r="I579" s="79"/>
      <c r="J579" s="139"/>
      <c r="K579" s="139"/>
      <c r="L579" s="98"/>
      <c r="M579" s="79"/>
      <c r="N579" s="139"/>
      <c r="O579" s="139"/>
      <c r="P579" s="138"/>
      <c r="Q579" s="147"/>
      <c r="R579" s="147"/>
      <c r="S579" s="147"/>
      <c r="T579" s="138">
        <f t="shared" si="54"/>
        <v>0</v>
      </c>
      <c r="U579" s="138">
        <f t="shared" si="54"/>
        <v>0</v>
      </c>
      <c r="V579" s="147"/>
      <c r="W579" s="148">
        <f>U579-T579</f>
        <v>0</v>
      </c>
      <c r="X579" s="81"/>
    </row>
    <row r="580" spans="1:24" s="113" customFormat="1" x14ac:dyDescent="0.25">
      <c r="A580" s="140">
        <f t="shared" si="52"/>
        <v>53</v>
      </c>
      <c r="B580" s="157"/>
      <c r="C580" s="157"/>
      <c r="D580" s="100"/>
      <c r="E580" s="79"/>
      <c r="F580" s="153"/>
      <c r="G580" s="137"/>
      <c r="H580" s="158"/>
      <c r="I580" s="79"/>
      <c r="J580" s="139"/>
      <c r="K580" s="139"/>
      <c r="L580" s="98"/>
      <c r="M580" s="79"/>
      <c r="N580" s="139"/>
      <c r="O580" s="139"/>
      <c r="P580" s="138"/>
      <c r="Q580" s="147"/>
      <c r="R580" s="147"/>
      <c r="S580" s="147"/>
      <c r="T580" s="138">
        <f t="shared" si="54"/>
        <v>0</v>
      </c>
      <c r="U580" s="138">
        <f t="shared" si="54"/>
        <v>0</v>
      </c>
      <c r="V580" s="147"/>
      <c r="W580" s="148">
        <f>U580-T580</f>
        <v>0</v>
      </c>
      <c r="X580" s="81"/>
    </row>
    <row r="581" spans="1:24" s="113" customFormat="1" x14ac:dyDescent="0.25">
      <c r="A581" s="140">
        <f t="shared" si="52"/>
        <v>53</v>
      </c>
      <c r="B581" s="157"/>
      <c r="C581" s="157"/>
      <c r="D581" s="100"/>
      <c r="E581" s="79"/>
      <c r="F581" s="153"/>
      <c r="G581" s="137"/>
      <c r="H581" s="158"/>
      <c r="I581" s="79"/>
      <c r="J581" s="139"/>
      <c r="K581" s="139"/>
      <c r="L581" s="98"/>
      <c r="M581" s="79"/>
      <c r="N581" s="139"/>
      <c r="O581" s="139"/>
      <c r="P581" s="138"/>
      <c r="Q581" s="147"/>
      <c r="R581" s="147"/>
      <c r="S581" s="147"/>
      <c r="T581" s="138">
        <f t="shared" si="54"/>
        <v>0</v>
      </c>
      <c r="U581" s="138">
        <f t="shared" si="54"/>
        <v>0</v>
      </c>
      <c r="V581" s="147"/>
      <c r="W581" s="148">
        <f t="shared" si="55"/>
        <v>0</v>
      </c>
      <c r="X581" s="81"/>
    </row>
    <row r="582" spans="1:24" s="113" customFormat="1" x14ac:dyDescent="0.25">
      <c r="A582" s="140">
        <f t="shared" si="52"/>
        <v>53</v>
      </c>
      <c r="B582" s="157"/>
      <c r="C582" s="157"/>
      <c r="D582" s="100"/>
      <c r="E582" s="79"/>
      <c r="F582" s="153"/>
      <c r="G582" s="137"/>
      <c r="H582" s="158"/>
      <c r="I582" s="79"/>
      <c r="J582" s="139"/>
      <c r="K582" s="139"/>
      <c r="L582" s="98"/>
      <c r="M582" s="79"/>
      <c r="N582" s="139"/>
      <c r="O582" s="139"/>
      <c r="P582" s="138"/>
      <c r="Q582" s="147"/>
      <c r="R582" s="147"/>
      <c r="S582" s="147"/>
      <c r="T582" s="138">
        <f t="shared" si="54"/>
        <v>0</v>
      </c>
      <c r="U582" s="138">
        <f t="shared" si="54"/>
        <v>0</v>
      </c>
      <c r="V582" s="147"/>
      <c r="W582" s="148">
        <f t="shared" si="55"/>
        <v>0</v>
      </c>
      <c r="X582" s="81"/>
    </row>
    <row r="583" spans="1:24" s="113" customFormat="1" x14ac:dyDescent="0.25">
      <c r="A583" s="140">
        <f t="shared" ref="A583:A646" si="56">WEEKNUM(B583,21)</f>
        <v>53</v>
      </c>
      <c r="B583" s="157"/>
      <c r="C583" s="157"/>
      <c r="D583" s="100"/>
      <c r="E583" s="79"/>
      <c r="F583" s="153"/>
      <c r="G583" s="137"/>
      <c r="H583" s="158"/>
      <c r="I583" s="79"/>
      <c r="J583" s="139"/>
      <c r="K583" s="139"/>
      <c r="L583" s="98"/>
      <c r="M583" s="79"/>
      <c r="N583" s="139"/>
      <c r="O583" s="139"/>
      <c r="P583" s="138"/>
      <c r="Q583" s="147"/>
      <c r="R583" s="147"/>
      <c r="S583" s="147"/>
      <c r="T583" s="138">
        <f t="shared" si="54"/>
        <v>0</v>
      </c>
      <c r="U583" s="138">
        <f t="shared" si="54"/>
        <v>0</v>
      </c>
      <c r="V583" s="147"/>
      <c r="W583" s="148">
        <f t="shared" si="55"/>
        <v>0</v>
      </c>
      <c r="X583" s="81"/>
    </row>
    <row r="584" spans="1:24" s="113" customFormat="1" x14ac:dyDescent="0.25">
      <c r="A584" s="140">
        <f t="shared" si="56"/>
        <v>53</v>
      </c>
      <c r="B584" s="157"/>
      <c r="C584" s="157"/>
      <c r="D584" s="100"/>
      <c r="E584" s="79"/>
      <c r="F584" s="153"/>
      <c r="G584" s="137"/>
      <c r="H584" s="158"/>
      <c r="I584" s="79"/>
      <c r="J584" s="139"/>
      <c r="K584" s="139"/>
      <c r="L584" s="98"/>
      <c r="M584" s="79"/>
      <c r="N584" s="139"/>
      <c r="O584" s="139"/>
      <c r="P584" s="138"/>
      <c r="Q584" s="147"/>
      <c r="R584" s="147"/>
      <c r="S584" s="147"/>
      <c r="T584" s="138">
        <f t="shared" si="54"/>
        <v>0</v>
      </c>
      <c r="U584" s="138">
        <f t="shared" si="54"/>
        <v>0</v>
      </c>
      <c r="V584" s="147"/>
      <c r="W584" s="148">
        <f t="shared" si="55"/>
        <v>0</v>
      </c>
      <c r="X584" s="81"/>
    </row>
    <row r="585" spans="1:24" s="113" customFormat="1" x14ac:dyDescent="0.25">
      <c r="A585" s="140">
        <f t="shared" si="56"/>
        <v>53</v>
      </c>
      <c r="B585" s="157"/>
      <c r="C585" s="157"/>
      <c r="D585" s="100"/>
      <c r="E585" s="79"/>
      <c r="F585" s="153"/>
      <c r="G585" s="137"/>
      <c r="H585" s="158"/>
      <c r="I585" s="79"/>
      <c r="J585" s="139"/>
      <c r="K585" s="139"/>
      <c r="L585" s="98"/>
      <c r="M585" s="79"/>
      <c r="N585" s="139"/>
      <c r="O585" s="139"/>
      <c r="P585" s="138"/>
      <c r="Q585" s="147"/>
      <c r="R585" s="147"/>
      <c r="S585" s="147"/>
      <c r="T585" s="138">
        <f t="shared" si="54"/>
        <v>0</v>
      </c>
      <c r="U585" s="138">
        <f t="shared" si="54"/>
        <v>0</v>
      </c>
      <c r="V585" s="147"/>
      <c r="W585" s="148">
        <f t="shared" si="55"/>
        <v>0</v>
      </c>
      <c r="X585" s="81"/>
    </row>
    <row r="586" spans="1:24" s="113" customFormat="1" x14ac:dyDescent="0.25">
      <c r="A586" s="140">
        <f t="shared" si="56"/>
        <v>53</v>
      </c>
      <c r="B586" s="157"/>
      <c r="C586" s="157"/>
      <c r="D586" s="100"/>
      <c r="E586" s="79"/>
      <c r="F586" s="153"/>
      <c r="G586" s="137"/>
      <c r="H586" s="158"/>
      <c r="I586" s="79"/>
      <c r="J586" s="139"/>
      <c r="K586" s="139"/>
      <c r="L586" s="98"/>
      <c r="M586" s="79"/>
      <c r="N586" s="139"/>
      <c r="O586" s="139"/>
      <c r="P586" s="138"/>
      <c r="Q586" s="147"/>
      <c r="R586" s="147"/>
      <c r="S586" s="147"/>
      <c r="T586" s="138">
        <f t="shared" si="54"/>
        <v>0</v>
      </c>
      <c r="U586" s="138">
        <f t="shared" si="54"/>
        <v>0</v>
      </c>
      <c r="V586" s="147"/>
      <c r="W586" s="148">
        <f t="shared" si="55"/>
        <v>0</v>
      </c>
      <c r="X586" s="81"/>
    </row>
    <row r="587" spans="1:24" s="113" customFormat="1" x14ac:dyDescent="0.25">
      <c r="A587" s="140">
        <f t="shared" si="56"/>
        <v>53</v>
      </c>
      <c r="B587" s="157"/>
      <c r="C587" s="157"/>
      <c r="D587" s="100"/>
      <c r="E587" s="79"/>
      <c r="F587" s="153"/>
      <c r="G587" s="137"/>
      <c r="H587" s="158"/>
      <c r="I587" s="79"/>
      <c r="J587" s="139"/>
      <c r="K587" s="139"/>
      <c r="L587" s="98"/>
      <c r="M587" s="79"/>
      <c r="N587" s="139"/>
      <c r="O587" s="139"/>
      <c r="P587" s="138"/>
      <c r="Q587" s="147"/>
      <c r="R587" s="147"/>
      <c r="S587" s="147"/>
      <c r="T587" s="138">
        <f t="shared" si="54"/>
        <v>0</v>
      </c>
      <c r="U587" s="138">
        <f t="shared" si="54"/>
        <v>0</v>
      </c>
      <c r="V587" s="147"/>
      <c r="W587" s="148">
        <f t="shared" si="55"/>
        <v>0</v>
      </c>
      <c r="X587" s="81"/>
    </row>
    <row r="588" spans="1:24" s="113" customFormat="1" x14ac:dyDescent="0.25">
      <c r="A588" s="140">
        <f t="shared" si="56"/>
        <v>53</v>
      </c>
      <c r="B588" s="157"/>
      <c r="C588" s="157"/>
      <c r="D588" s="100"/>
      <c r="E588" s="79"/>
      <c r="F588" s="153"/>
      <c r="G588" s="137"/>
      <c r="H588" s="158"/>
      <c r="I588" s="79"/>
      <c r="J588" s="139"/>
      <c r="K588" s="139"/>
      <c r="L588" s="98"/>
      <c r="M588" s="79"/>
      <c r="N588" s="139"/>
      <c r="O588" s="139"/>
      <c r="P588" s="138"/>
      <c r="Q588" s="147"/>
      <c r="R588" s="147"/>
      <c r="S588" s="147"/>
      <c r="T588" s="138">
        <f t="shared" si="54"/>
        <v>0</v>
      </c>
      <c r="U588" s="138">
        <f t="shared" si="54"/>
        <v>0</v>
      </c>
      <c r="V588" s="147"/>
      <c r="W588" s="148">
        <f t="shared" si="55"/>
        <v>0</v>
      </c>
      <c r="X588" s="81"/>
    </row>
    <row r="589" spans="1:24" s="113" customFormat="1" x14ac:dyDescent="0.25">
      <c r="A589" s="140">
        <f t="shared" si="56"/>
        <v>53</v>
      </c>
      <c r="B589" s="157"/>
      <c r="C589" s="157"/>
      <c r="D589" s="100"/>
      <c r="E589" s="79"/>
      <c r="F589" s="153"/>
      <c r="G589" s="137"/>
      <c r="H589" s="158"/>
      <c r="I589" s="79"/>
      <c r="J589" s="139"/>
      <c r="K589" s="139"/>
      <c r="L589" s="98"/>
      <c r="M589" s="79"/>
      <c r="N589" s="139"/>
      <c r="O589" s="139"/>
      <c r="P589" s="138"/>
      <c r="Q589" s="147"/>
      <c r="R589" s="147"/>
      <c r="S589" s="147"/>
      <c r="T589" s="138">
        <f t="shared" si="54"/>
        <v>0</v>
      </c>
      <c r="U589" s="138">
        <f t="shared" si="54"/>
        <v>0</v>
      </c>
      <c r="V589" s="147"/>
      <c r="W589" s="148">
        <f t="shared" si="55"/>
        <v>0</v>
      </c>
      <c r="X589" s="81"/>
    </row>
    <row r="590" spans="1:24" s="113" customFormat="1" x14ac:dyDescent="0.25">
      <c r="A590" s="140">
        <f t="shared" si="56"/>
        <v>53</v>
      </c>
      <c r="B590" s="157"/>
      <c r="C590" s="157"/>
      <c r="D590" s="100"/>
      <c r="E590" s="79"/>
      <c r="F590" s="153"/>
      <c r="G590" s="137"/>
      <c r="H590" s="158"/>
      <c r="I590" s="79"/>
      <c r="J590" s="139"/>
      <c r="K590" s="139"/>
      <c r="L590" s="98"/>
      <c r="M590" s="79"/>
      <c r="N590" s="139"/>
      <c r="O590" s="139"/>
      <c r="P590" s="138"/>
      <c r="Q590" s="147"/>
      <c r="R590" s="147"/>
      <c r="S590" s="147"/>
      <c r="T590" s="138">
        <f t="shared" si="54"/>
        <v>0</v>
      </c>
      <c r="U590" s="138">
        <f t="shared" si="54"/>
        <v>0</v>
      </c>
      <c r="V590" s="147"/>
      <c r="W590" s="148">
        <f>U590-T590</f>
        <v>0</v>
      </c>
      <c r="X590" s="81"/>
    </row>
    <row r="591" spans="1:24" s="113" customFormat="1" x14ac:dyDescent="0.25">
      <c r="A591" s="140">
        <f t="shared" si="56"/>
        <v>53</v>
      </c>
      <c r="B591" s="157"/>
      <c r="C591" s="157"/>
      <c r="D591" s="100"/>
      <c r="E591" s="79"/>
      <c r="F591" s="153"/>
      <c r="G591" s="137"/>
      <c r="H591" s="158"/>
      <c r="I591" s="79"/>
      <c r="J591" s="139"/>
      <c r="K591" s="139"/>
      <c r="L591" s="98"/>
      <c r="M591" s="79"/>
      <c r="N591" s="139"/>
      <c r="O591" s="139"/>
      <c r="P591" s="138"/>
      <c r="Q591" s="147"/>
      <c r="R591" s="147"/>
      <c r="S591" s="147"/>
      <c r="T591" s="138">
        <f t="shared" si="54"/>
        <v>0</v>
      </c>
      <c r="U591" s="138">
        <f t="shared" si="54"/>
        <v>0</v>
      </c>
      <c r="V591" s="147"/>
      <c r="W591" s="148">
        <f>U591-T591</f>
        <v>0</v>
      </c>
      <c r="X591" s="81"/>
    </row>
    <row r="592" spans="1:24" s="113" customFormat="1" x14ac:dyDescent="0.25">
      <c r="A592" s="140">
        <f t="shared" si="56"/>
        <v>53</v>
      </c>
      <c r="B592" s="157"/>
      <c r="C592" s="157"/>
      <c r="D592" s="100"/>
      <c r="E592" s="79"/>
      <c r="F592" s="153"/>
      <c r="G592" s="137"/>
      <c r="H592" s="158"/>
      <c r="I592" s="79"/>
      <c r="J592" s="139"/>
      <c r="K592" s="139"/>
      <c r="L592" s="98"/>
      <c r="M592" s="79"/>
      <c r="N592" s="139"/>
      <c r="O592" s="139"/>
      <c r="P592" s="138"/>
      <c r="Q592" s="147"/>
      <c r="R592" s="147"/>
      <c r="S592" s="147"/>
      <c r="T592" s="138">
        <f t="shared" si="54"/>
        <v>0</v>
      </c>
      <c r="U592" s="138">
        <f t="shared" si="54"/>
        <v>0</v>
      </c>
      <c r="V592" s="147"/>
      <c r="W592" s="148">
        <f>U592-T592</f>
        <v>0</v>
      </c>
      <c r="X592" s="81"/>
    </row>
    <row r="593" spans="1:24" s="113" customFormat="1" x14ac:dyDescent="0.25">
      <c r="A593" s="140">
        <f t="shared" si="56"/>
        <v>53</v>
      </c>
      <c r="B593" s="157"/>
      <c r="C593" s="157"/>
      <c r="D593" s="100"/>
      <c r="E593" s="79"/>
      <c r="F593" s="153"/>
      <c r="G593" s="137"/>
      <c r="H593" s="158"/>
      <c r="I593" s="79"/>
      <c r="J593" s="139"/>
      <c r="K593" s="139"/>
      <c r="L593" s="98"/>
      <c r="M593" s="79"/>
      <c r="N593" s="139"/>
      <c r="O593" s="139"/>
      <c r="P593" s="138"/>
      <c r="Q593" s="147"/>
      <c r="R593" s="147"/>
      <c r="S593" s="147"/>
      <c r="T593" s="138">
        <f t="shared" si="54"/>
        <v>0</v>
      </c>
      <c r="U593" s="138">
        <f t="shared" si="54"/>
        <v>0</v>
      </c>
      <c r="V593" s="147"/>
      <c r="W593" s="148">
        <f t="shared" si="55"/>
        <v>0</v>
      </c>
      <c r="X593" s="81"/>
    </row>
    <row r="594" spans="1:24" s="113" customFormat="1" x14ac:dyDescent="0.25">
      <c r="A594" s="140">
        <f t="shared" si="56"/>
        <v>53</v>
      </c>
      <c r="B594" s="157"/>
      <c r="C594" s="157"/>
      <c r="D594" s="100"/>
      <c r="E594" s="79"/>
      <c r="F594" s="153"/>
      <c r="G594" s="137"/>
      <c r="H594" s="158"/>
      <c r="I594" s="79"/>
      <c r="J594" s="139"/>
      <c r="K594" s="139"/>
      <c r="L594" s="98"/>
      <c r="M594" s="79"/>
      <c r="N594" s="139"/>
      <c r="O594" s="139"/>
      <c r="P594" s="138"/>
      <c r="Q594" s="147"/>
      <c r="R594" s="147"/>
      <c r="S594" s="147"/>
      <c r="T594" s="138">
        <f t="shared" si="54"/>
        <v>0</v>
      </c>
      <c r="U594" s="138">
        <f t="shared" si="54"/>
        <v>0</v>
      </c>
      <c r="V594" s="147"/>
      <c r="W594" s="148">
        <f t="shared" si="55"/>
        <v>0</v>
      </c>
      <c r="X594" s="81"/>
    </row>
    <row r="595" spans="1:24" s="113" customFormat="1" x14ac:dyDescent="0.25">
      <c r="A595" s="140">
        <f t="shared" si="56"/>
        <v>53</v>
      </c>
      <c r="B595" s="157"/>
      <c r="C595" s="157"/>
      <c r="D595" s="100"/>
      <c r="E595" s="79"/>
      <c r="F595" s="153"/>
      <c r="G595" s="137"/>
      <c r="H595" s="158"/>
      <c r="I595" s="79"/>
      <c r="J595" s="139"/>
      <c r="K595" s="139"/>
      <c r="L595" s="98"/>
      <c r="M595" s="79"/>
      <c r="N595" s="139"/>
      <c r="O595" s="139"/>
      <c r="P595" s="138"/>
      <c r="Q595" s="147"/>
      <c r="R595" s="147"/>
      <c r="S595" s="147"/>
      <c r="T595" s="138">
        <f t="shared" si="54"/>
        <v>0</v>
      </c>
      <c r="U595" s="138">
        <f t="shared" si="54"/>
        <v>0</v>
      </c>
      <c r="V595" s="147"/>
      <c r="W595" s="148">
        <f t="shared" si="55"/>
        <v>0</v>
      </c>
      <c r="X595" s="81"/>
    </row>
    <row r="596" spans="1:24" s="113" customFormat="1" x14ac:dyDescent="0.25">
      <c r="A596" s="140">
        <f t="shared" si="56"/>
        <v>53</v>
      </c>
      <c r="B596" s="157"/>
      <c r="C596" s="157"/>
      <c r="D596" s="100"/>
      <c r="E596" s="79"/>
      <c r="F596" s="153"/>
      <c r="G596" s="137"/>
      <c r="H596" s="158"/>
      <c r="I596" s="79"/>
      <c r="J596" s="139"/>
      <c r="K596" s="139"/>
      <c r="L596" s="98"/>
      <c r="M596" s="79"/>
      <c r="N596" s="139"/>
      <c r="O596" s="139"/>
      <c r="P596" s="138"/>
      <c r="Q596" s="147"/>
      <c r="R596" s="147"/>
      <c r="S596" s="147"/>
      <c r="T596" s="138">
        <f t="shared" si="54"/>
        <v>0</v>
      </c>
      <c r="U596" s="138">
        <f t="shared" si="54"/>
        <v>0</v>
      </c>
      <c r="V596" s="147"/>
      <c r="W596" s="148">
        <f t="shared" si="55"/>
        <v>0</v>
      </c>
      <c r="X596" s="81"/>
    </row>
    <row r="597" spans="1:24" s="113" customFormat="1" x14ac:dyDescent="0.25">
      <c r="A597" s="140">
        <f t="shared" si="56"/>
        <v>53</v>
      </c>
      <c r="B597" s="157"/>
      <c r="C597" s="157"/>
      <c r="D597" s="100"/>
      <c r="E597" s="79"/>
      <c r="F597" s="153"/>
      <c r="G597" s="137"/>
      <c r="H597" s="158"/>
      <c r="I597" s="79"/>
      <c r="J597" s="139"/>
      <c r="K597" s="139"/>
      <c r="L597" s="98"/>
      <c r="M597" s="79"/>
      <c r="N597" s="139"/>
      <c r="O597" s="139"/>
      <c r="P597" s="138"/>
      <c r="Q597" s="147"/>
      <c r="R597" s="147"/>
      <c r="S597" s="147"/>
      <c r="T597" s="138">
        <f t="shared" ref="T597:U660" si="57">R597-Q597</f>
        <v>0</v>
      </c>
      <c r="U597" s="138">
        <f t="shared" si="57"/>
        <v>0</v>
      </c>
      <c r="V597" s="147"/>
      <c r="W597" s="148">
        <f t="shared" si="55"/>
        <v>0</v>
      </c>
      <c r="X597" s="81"/>
    </row>
    <row r="598" spans="1:24" s="113" customFormat="1" x14ac:dyDescent="0.25">
      <c r="A598" s="140">
        <f t="shared" si="56"/>
        <v>53</v>
      </c>
      <c r="B598" s="157"/>
      <c r="C598" s="157"/>
      <c r="D598" s="100"/>
      <c r="E598" s="79"/>
      <c r="F598" s="153"/>
      <c r="G598" s="137"/>
      <c r="H598" s="158"/>
      <c r="I598" s="79"/>
      <c r="J598" s="139"/>
      <c r="K598" s="139"/>
      <c r="L598" s="98"/>
      <c r="M598" s="79"/>
      <c r="N598" s="139"/>
      <c r="O598" s="139"/>
      <c r="P598" s="138"/>
      <c r="Q598" s="147"/>
      <c r="R598" s="147"/>
      <c r="S598" s="147"/>
      <c r="T598" s="138">
        <f t="shared" si="57"/>
        <v>0</v>
      </c>
      <c r="U598" s="138">
        <f t="shared" si="57"/>
        <v>0</v>
      </c>
      <c r="V598" s="147"/>
      <c r="W598" s="148">
        <f t="shared" si="55"/>
        <v>0</v>
      </c>
      <c r="X598" s="81"/>
    </row>
    <row r="599" spans="1:24" s="113" customFormat="1" x14ac:dyDescent="0.25">
      <c r="A599" s="140">
        <f t="shared" si="56"/>
        <v>53</v>
      </c>
      <c r="B599" s="157"/>
      <c r="C599" s="157"/>
      <c r="D599" s="100"/>
      <c r="E599" s="79"/>
      <c r="F599" s="153"/>
      <c r="G599" s="137"/>
      <c r="H599" s="158"/>
      <c r="I599" s="79"/>
      <c r="J599" s="139"/>
      <c r="K599" s="139"/>
      <c r="L599" s="98"/>
      <c r="M599" s="79"/>
      <c r="N599" s="139"/>
      <c r="O599" s="139"/>
      <c r="P599" s="138"/>
      <c r="Q599" s="147"/>
      <c r="R599" s="147"/>
      <c r="S599" s="147"/>
      <c r="T599" s="138">
        <f t="shared" si="57"/>
        <v>0</v>
      </c>
      <c r="U599" s="138">
        <f t="shared" si="57"/>
        <v>0</v>
      </c>
      <c r="V599" s="147"/>
      <c r="W599" s="148">
        <f t="shared" si="55"/>
        <v>0</v>
      </c>
      <c r="X599" s="81"/>
    </row>
    <row r="600" spans="1:24" s="113" customFormat="1" x14ac:dyDescent="0.25">
      <c r="A600" s="140">
        <f t="shared" si="56"/>
        <v>53</v>
      </c>
      <c r="B600" s="157"/>
      <c r="C600" s="157"/>
      <c r="D600" s="100"/>
      <c r="E600" s="79"/>
      <c r="F600" s="153"/>
      <c r="G600" s="137"/>
      <c r="H600" s="158"/>
      <c r="I600" s="79"/>
      <c r="J600" s="139"/>
      <c r="K600" s="139"/>
      <c r="L600" s="98"/>
      <c r="M600" s="79"/>
      <c r="N600" s="139"/>
      <c r="O600" s="139"/>
      <c r="P600" s="138"/>
      <c r="Q600" s="147"/>
      <c r="R600" s="147"/>
      <c r="S600" s="147"/>
      <c r="T600" s="138">
        <f t="shared" si="57"/>
        <v>0</v>
      </c>
      <c r="U600" s="138">
        <f t="shared" si="57"/>
        <v>0</v>
      </c>
      <c r="V600" s="147"/>
      <c r="W600" s="148">
        <f t="shared" si="55"/>
        <v>0</v>
      </c>
      <c r="X600" s="81"/>
    </row>
    <row r="601" spans="1:24" s="113" customFormat="1" x14ac:dyDescent="0.25">
      <c r="A601" s="140">
        <f t="shared" si="56"/>
        <v>53</v>
      </c>
      <c r="B601" s="157"/>
      <c r="C601" s="157"/>
      <c r="D601" s="100"/>
      <c r="E601" s="79"/>
      <c r="F601" s="153"/>
      <c r="G601" s="137"/>
      <c r="H601" s="158"/>
      <c r="I601" s="79"/>
      <c r="J601" s="139"/>
      <c r="K601" s="139"/>
      <c r="L601" s="98"/>
      <c r="M601" s="79"/>
      <c r="N601" s="139"/>
      <c r="O601" s="139"/>
      <c r="P601" s="138"/>
      <c r="Q601" s="147"/>
      <c r="R601" s="147"/>
      <c r="S601" s="147"/>
      <c r="T601" s="138">
        <f t="shared" si="57"/>
        <v>0</v>
      </c>
      <c r="U601" s="138">
        <f t="shared" si="57"/>
        <v>0</v>
      </c>
      <c r="V601" s="147"/>
      <c r="W601" s="148">
        <f t="shared" si="55"/>
        <v>0</v>
      </c>
      <c r="X601" s="81"/>
    </row>
    <row r="602" spans="1:24" s="113" customFormat="1" x14ac:dyDescent="0.25">
      <c r="A602" s="140">
        <f t="shared" si="56"/>
        <v>53</v>
      </c>
      <c r="B602" s="157"/>
      <c r="C602" s="157"/>
      <c r="D602" s="100"/>
      <c r="E602" s="79"/>
      <c r="F602" s="153"/>
      <c r="G602" s="137"/>
      <c r="H602" s="158"/>
      <c r="I602" s="79"/>
      <c r="J602" s="139"/>
      <c r="K602" s="139"/>
      <c r="L602" s="98"/>
      <c r="M602" s="79"/>
      <c r="N602" s="139"/>
      <c r="O602" s="139"/>
      <c r="P602" s="138"/>
      <c r="Q602" s="147"/>
      <c r="R602" s="147"/>
      <c r="S602" s="147"/>
      <c r="T602" s="138">
        <f t="shared" si="57"/>
        <v>0</v>
      </c>
      <c r="U602" s="138">
        <f t="shared" si="57"/>
        <v>0</v>
      </c>
      <c r="V602" s="147"/>
      <c r="W602" s="148">
        <f t="shared" si="55"/>
        <v>0</v>
      </c>
      <c r="X602" s="81"/>
    </row>
    <row r="603" spans="1:24" s="113" customFormat="1" x14ac:dyDescent="0.25">
      <c r="A603" s="140">
        <f t="shared" si="56"/>
        <v>53</v>
      </c>
      <c r="B603" s="157"/>
      <c r="C603" s="157"/>
      <c r="D603" s="100"/>
      <c r="E603" s="79"/>
      <c r="F603" s="153"/>
      <c r="G603" s="137"/>
      <c r="H603" s="158"/>
      <c r="I603" s="79"/>
      <c r="J603" s="139"/>
      <c r="K603" s="139"/>
      <c r="L603" s="98"/>
      <c r="M603" s="79"/>
      <c r="N603" s="139"/>
      <c r="O603" s="139"/>
      <c r="P603" s="138"/>
      <c r="Q603" s="147"/>
      <c r="R603" s="147"/>
      <c r="S603" s="147"/>
      <c r="T603" s="138">
        <f t="shared" si="57"/>
        <v>0</v>
      </c>
      <c r="U603" s="138">
        <f t="shared" si="57"/>
        <v>0</v>
      </c>
      <c r="V603" s="147"/>
      <c r="W603" s="148">
        <f>U603-T603</f>
        <v>0</v>
      </c>
      <c r="X603" s="81"/>
    </row>
    <row r="604" spans="1:24" s="113" customFormat="1" x14ac:dyDescent="0.25">
      <c r="A604" s="140">
        <f t="shared" si="56"/>
        <v>53</v>
      </c>
      <c r="B604" s="157"/>
      <c r="C604" s="157"/>
      <c r="D604" s="100"/>
      <c r="E604" s="79"/>
      <c r="F604" s="153"/>
      <c r="G604" s="137"/>
      <c r="H604" s="158"/>
      <c r="I604" s="79"/>
      <c r="J604" s="139"/>
      <c r="K604" s="139"/>
      <c r="L604" s="98"/>
      <c r="M604" s="79"/>
      <c r="N604" s="139"/>
      <c r="O604" s="139"/>
      <c r="P604" s="138"/>
      <c r="Q604" s="147"/>
      <c r="R604" s="147"/>
      <c r="S604" s="147"/>
      <c r="T604" s="138">
        <f t="shared" si="57"/>
        <v>0</v>
      </c>
      <c r="U604" s="138">
        <f t="shared" si="57"/>
        <v>0</v>
      </c>
      <c r="V604" s="147"/>
      <c r="W604" s="148">
        <f>U604-T604</f>
        <v>0</v>
      </c>
      <c r="X604" s="81"/>
    </row>
    <row r="605" spans="1:24" s="113" customFormat="1" x14ac:dyDescent="0.25">
      <c r="A605" s="140">
        <f t="shared" si="56"/>
        <v>53</v>
      </c>
      <c r="B605" s="157"/>
      <c r="C605" s="157"/>
      <c r="D605" s="100"/>
      <c r="E605" s="79"/>
      <c r="F605" s="153"/>
      <c r="G605" s="137"/>
      <c r="H605" s="158"/>
      <c r="I605" s="79"/>
      <c r="J605" s="139"/>
      <c r="K605" s="139"/>
      <c r="L605" s="98"/>
      <c r="M605" s="79"/>
      <c r="N605" s="139"/>
      <c r="O605" s="139"/>
      <c r="P605" s="138"/>
      <c r="Q605" s="147"/>
      <c r="R605" s="147"/>
      <c r="S605" s="147"/>
      <c r="T605" s="138">
        <f t="shared" si="57"/>
        <v>0</v>
      </c>
      <c r="U605" s="138">
        <f t="shared" si="57"/>
        <v>0</v>
      </c>
      <c r="V605" s="147"/>
      <c r="W605" s="148">
        <f>U605-T605</f>
        <v>0</v>
      </c>
      <c r="X605" s="81"/>
    </row>
    <row r="606" spans="1:24" s="113" customFormat="1" x14ac:dyDescent="0.25">
      <c r="A606" s="140">
        <f t="shared" si="56"/>
        <v>53</v>
      </c>
      <c r="B606" s="157"/>
      <c r="C606" s="157"/>
      <c r="D606" s="100"/>
      <c r="E606" s="79"/>
      <c r="F606" s="153"/>
      <c r="G606" s="137"/>
      <c r="H606" s="158"/>
      <c r="I606" s="79"/>
      <c r="J606" s="139"/>
      <c r="K606" s="139"/>
      <c r="L606" s="98"/>
      <c r="M606" s="79"/>
      <c r="N606" s="139"/>
      <c r="O606" s="139"/>
      <c r="P606" s="138"/>
      <c r="Q606" s="147"/>
      <c r="R606" s="147"/>
      <c r="S606" s="147"/>
      <c r="T606" s="138">
        <f t="shared" si="57"/>
        <v>0</v>
      </c>
      <c r="U606" s="138">
        <f t="shared" si="57"/>
        <v>0</v>
      </c>
      <c r="V606" s="147"/>
      <c r="W606" s="148">
        <f t="shared" si="55"/>
        <v>0</v>
      </c>
      <c r="X606" s="81"/>
    </row>
    <row r="607" spans="1:24" s="113" customFormat="1" x14ac:dyDescent="0.25">
      <c r="A607" s="140">
        <f t="shared" si="56"/>
        <v>53</v>
      </c>
      <c r="B607" s="157"/>
      <c r="C607" s="157"/>
      <c r="D607" s="100"/>
      <c r="E607" s="79"/>
      <c r="F607" s="153"/>
      <c r="G607" s="137"/>
      <c r="H607" s="158"/>
      <c r="I607" s="79"/>
      <c r="J607" s="139"/>
      <c r="K607" s="139"/>
      <c r="L607" s="98"/>
      <c r="M607" s="79"/>
      <c r="N607" s="139"/>
      <c r="O607" s="139"/>
      <c r="P607" s="138"/>
      <c r="Q607" s="147"/>
      <c r="R607" s="147"/>
      <c r="S607" s="147"/>
      <c r="T607" s="138">
        <f t="shared" si="57"/>
        <v>0</v>
      </c>
      <c r="U607" s="138">
        <f t="shared" si="57"/>
        <v>0</v>
      </c>
      <c r="V607" s="147"/>
      <c r="W607" s="148">
        <f t="shared" si="55"/>
        <v>0</v>
      </c>
      <c r="X607" s="81"/>
    </row>
    <row r="608" spans="1:24" s="113" customFormat="1" x14ac:dyDescent="0.25">
      <c r="A608" s="140">
        <f t="shared" si="56"/>
        <v>53</v>
      </c>
      <c r="B608" s="157"/>
      <c r="C608" s="157"/>
      <c r="D608" s="100"/>
      <c r="E608" s="79"/>
      <c r="F608" s="153"/>
      <c r="G608" s="137"/>
      <c r="H608" s="158"/>
      <c r="I608" s="79"/>
      <c r="J608" s="139"/>
      <c r="K608" s="139"/>
      <c r="L608" s="98"/>
      <c r="M608" s="79"/>
      <c r="N608" s="139"/>
      <c r="O608" s="139"/>
      <c r="P608" s="138"/>
      <c r="Q608" s="147"/>
      <c r="R608" s="147"/>
      <c r="S608" s="147"/>
      <c r="T608" s="138">
        <f t="shared" si="57"/>
        <v>0</v>
      </c>
      <c r="U608" s="138">
        <f t="shared" si="57"/>
        <v>0</v>
      </c>
      <c r="V608" s="147"/>
      <c r="W608" s="148">
        <f t="shared" si="55"/>
        <v>0</v>
      </c>
      <c r="X608" s="81"/>
    </row>
    <row r="609" spans="1:24" s="113" customFormat="1" x14ac:dyDescent="0.25">
      <c r="A609" s="140">
        <f t="shared" si="56"/>
        <v>53</v>
      </c>
      <c r="B609" s="157"/>
      <c r="C609" s="157"/>
      <c r="D609" s="100"/>
      <c r="E609" s="79"/>
      <c r="F609" s="153"/>
      <c r="G609" s="137"/>
      <c r="H609" s="158"/>
      <c r="I609" s="79"/>
      <c r="J609" s="139"/>
      <c r="K609" s="139"/>
      <c r="L609" s="98"/>
      <c r="M609" s="79"/>
      <c r="N609" s="139"/>
      <c r="O609" s="139"/>
      <c r="P609" s="138"/>
      <c r="Q609" s="147"/>
      <c r="R609" s="147"/>
      <c r="S609" s="147"/>
      <c r="T609" s="138">
        <f t="shared" si="57"/>
        <v>0</v>
      </c>
      <c r="U609" s="138">
        <f t="shared" si="57"/>
        <v>0</v>
      </c>
      <c r="V609" s="147"/>
      <c r="W609" s="148">
        <f t="shared" si="55"/>
        <v>0</v>
      </c>
      <c r="X609" s="81"/>
    </row>
    <row r="610" spans="1:24" s="113" customFormat="1" x14ac:dyDescent="0.25">
      <c r="A610" s="140">
        <f t="shared" si="56"/>
        <v>53</v>
      </c>
      <c r="B610" s="157"/>
      <c r="C610" s="157"/>
      <c r="D610" s="100"/>
      <c r="E610" s="79"/>
      <c r="F610" s="153"/>
      <c r="G610" s="137"/>
      <c r="H610" s="158"/>
      <c r="I610" s="79"/>
      <c r="J610" s="139"/>
      <c r="K610" s="139"/>
      <c r="L610" s="98"/>
      <c r="M610" s="79"/>
      <c r="N610" s="139"/>
      <c r="O610" s="139"/>
      <c r="P610" s="138"/>
      <c r="Q610" s="147"/>
      <c r="R610" s="147"/>
      <c r="S610" s="147"/>
      <c r="T610" s="138">
        <f t="shared" si="57"/>
        <v>0</v>
      </c>
      <c r="U610" s="138">
        <f t="shared" si="57"/>
        <v>0</v>
      </c>
      <c r="V610" s="147"/>
      <c r="W610" s="148">
        <f t="shared" si="55"/>
        <v>0</v>
      </c>
      <c r="X610" s="81"/>
    </row>
    <row r="611" spans="1:24" s="113" customFormat="1" x14ac:dyDescent="0.25">
      <c r="A611" s="140">
        <f t="shared" si="56"/>
        <v>53</v>
      </c>
      <c r="B611" s="157"/>
      <c r="C611" s="157"/>
      <c r="D611" s="100"/>
      <c r="E611" s="79"/>
      <c r="F611" s="153"/>
      <c r="G611" s="137"/>
      <c r="H611" s="158"/>
      <c r="I611" s="79"/>
      <c r="J611" s="139"/>
      <c r="K611" s="139"/>
      <c r="L611" s="98"/>
      <c r="M611" s="79"/>
      <c r="N611" s="139"/>
      <c r="O611" s="139"/>
      <c r="P611" s="138"/>
      <c r="Q611" s="147"/>
      <c r="R611" s="147"/>
      <c r="S611" s="147"/>
      <c r="T611" s="138">
        <f t="shared" si="57"/>
        <v>0</v>
      </c>
      <c r="U611" s="138">
        <f t="shared" si="57"/>
        <v>0</v>
      </c>
      <c r="V611" s="147"/>
      <c r="W611" s="148">
        <f t="shared" si="55"/>
        <v>0</v>
      </c>
      <c r="X611" s="81"/>
    </row>
    <row r="612" spans="1:24" s="113" customFormat="1" x14ac:dyDescent="0.25">
      <c r="A612" s="140">
        <f t="shared" si="56"/>
        <v>53</v>
      </c>
      <c r="B612" s="157"/>
      <c r="C612" s="157"/>
      <c r="D612" s="100"/>
      <c r="E612" s="79"/>
      <c r="F612" s="153"/>
      <c r="G612" s="137"/>
      <c r="H612" s="158"/>
      <c r="I612" s="79"/>
      <c r="J612" s="139"/>
      <c r="K612" s="139"/>
      <c r="L612" s="98"/>
      <c r="M612" s="79"/>
      <c r="N612" s="139"/>
      <c r="O612" s="139"/>
      <c r="P612" s="138"/>
      <c r="Q612" s="147"/>
      <c r="R612" s="147"/>
      <c r="S612" s="147"/>
      <c r="T612" s="138">
        <f t="shared" si="57"/>
        <v>0</v>
      </c>
      <c r="U612" s="138">
        <f t="shared" si="57"/>
        <v>0</v>
      </c>
      <c r="V612" s="147"/>
      <c r="W612" s="148">
        <f t="shared" si="55"/>
        <v>0</v>
      </c>
      <c r="X612" s="81"/>
    </row>
    <row r="613" spans="1:24" s="113" customFormat="1" x14ac:dyDescent="0.25">
      <c r="A613" s="140">
        <f t="shared" si="56"/>
        <v>53</v>
      </c>
      <c r="B613" s="157"/>
      <c r="C613" s="157"/>
      <c r="D613" s="100"/>
      <c r="E613" s="79"/>
      <c r="F613" s="153"/>
      <c r="G613" s="137"/>
      <c r="H613" s="158"/>
      <c r="I613" s="79"/>
      <c r="J613" s="139"/>
      <c r="K613" s="139"/>
      <c r="L613" s="98"/>
      <c r="M613" s="79"/>
      <c r="N613" s="139"/>
      <c r="O613" s="139"/>
      <c r="P613" s="138"/>
      <c r="Q613" s="147"/>
      <c r="R613" s="147"/>
      <c r="S613" s="147"/>
      <c r="T613" s="138">
        <f t="shared" si="57"/>
        <v>0</v>
      </c>
      <c r="U613" s="138">
        <f t="shared" si="57"/>
        <v>0</v>
      </c>
      <c r="V613" s="147"/>
      <c r="W613" s="148">
        <f t="shared" si="55"/>
        <v>0</v>
      </c>
      <c r="X613" s="81"/>
    </row>
    <row r="614" spans="1:24" s="113" customFormat="1" x14ac:dyDescent="0.25">
      <c r="A614" s="140">
        <f t="shared" si="56"/>
        <v>53</v>
      </c>
      <c r="B614" s="157"/>
      <c r="C614" s="157"/>
      <c r="D614" s="100"/>
      <c r="E614" s="79"/>
      <c r="F614" s="153"/>
      <c r="G614" s="137"/>
      <c r="H614" s="158"/>
      <c r="I614" s="79"/>
      <c r="J614" s="139"/>
      <c r="K614" s="139"/>
      <c r="L614" s="98"/>
      <c r="M614" s="79"/>
      <c r="N614" s="139"/>
      <c r="O614" s="139"/>
      <c r="P614" s="138"/>
      <c r="Q614" s="147"/>
      <c r="R614" s="147"/>
      <c r="S614" s="147"/>
      <c r="T614" s="138">
        <f t="shared" si="57"/>
        <v>0</v>
      </c>
      <c r="U614" s="138">
        <f t="shared" si="57"/>
        <v>0</v>
      </c>
      <c r="V614" s="147"/>
      <c r="W614" s="148">
        <f t="shared" si="55"/>
        <v>0</v>
      </c>
      <c r="X614" s="81"/>
    </row>
    <row r="615" spans="1:24" s="113" customFormat="1" x14ac:dyDescent="0.25">
      <c r="A615" s="140">
        <f t="shared" si="56"/>
        <v>53</v>
      </c>
      <c r="B615" s="157"/>
      <c r="C615" s="157"/>
      <c r="D615" s="100"/>
      <c r="E615" s="79"/>
      <c r="F615" s="153"/>
      <c r="G615" s="137"/>
      <c r="H615" s="158"/>
      <c r="I615" s="79"/>
      <c r="J615" s="139"/>
      <c r="K615" s="139"/>
      <c r="L615" s="98"/>
      <c r="M615" s="79"/>
      <c r="N615" s="139"/>
      <c r="O615" s="139"/>
      <c r="P615" s="138"/>
      <c r="Q615" s="147"/>
      <c r="R615" s="147"/>
      <c r="S615" s="147"/>
      <c r="T615" s="138">
        <f t="shared" si="57"/>
        <v>0</v>
      </c>
      <c r="U615" s="138">
        <f t="shared" si="57"/>
        <v>0</v>
      </c>
      <c r="V615" s="147"/>
      <c r="W615" s="148">
        <f>U615-T615</f>
        <v>0</v>
      </c>
      <c r="X615" s="81"/>
    </row>
    <row r="616" spans="1:24" s="113" customFormat="1" x14ac:dyDescent="0.25">
      <c r="A616" s="140">
        <f t="shared" si="56"/>
        <v>53</v>
      </c>
      <c r="B616" s="157"/>
      <c r="C616" s="157"/>
      <c r="D616" s="100"/>
      <c r="E616" s="79"/>
      <c r="F616" s="153"/>
      <c r="G616" s="137"/>
      <c r="H616" s="158"/>
      <c r="I616" s="79"/>
      <c r="J616" s="139"/>
      <c r="K616" s="139"/>
      <c r="L616" s="98"/>
      <c r="M616" s="79"/>
      <c r="N616" s="139"/>
      <c r="O616" s="139"/>
      <c r="P616" s="138"/>
      <c r="Q616" s="147"/>
      <c r="R616" s="147"/>
      <c r="S616" s="147"/>
      <c r="T616" s="138">
        <f t="shared" si="57"/>
        <v>0</v>
      </c>
      <c r="U616" s="138">
        <f t="shared" si="57"/>
        <v>0</v>
      </c>
      <c r="V616" s="147"/>
      <c r="W616" s="148">
        <f>U616-T616</f>
        <v>0</v>
      </c>
      <c r="X616" s="81"/>
    </row>
    <row r="617" spans="1:24" s="113" customFormat="1" x14ac:dyDescent="0.25">
      <c r="A617" s="140">
        <f t="shared" si="56"/>
        <v>53</v>
      </c>
      <c r="B617" s="157"/>
      <c r="C617" s="157"/>
      <c r="D617" s="100"/>
      <c r="E617" s="79"/>
      <c r="F617" s="153"/>
      <c r="G617" s="137"/>
      <c r="H617" s="158"/>
      <c r="I617" s="79"/>
      <c r="J617" s="139"/>
      <c r="K617" s="139"/>
      <c r="L617" s="98"/>
      <c r="M617" s="79"/>
      <c r="N617" s="139"/>
      <c r="O617" s="139"/>
      <c r="P617" s="138"/>
      <c r="Q617" s="147"/>
      <c r="R617" s="147"/>
      <c r="S617" s="147"/>
      <c r="T617" s="138">
        <f t="shared" si="57"/>
        <v>0</v>
      </c>
      <c r="U617" s="138">
        <f t="shared" si="57"/>
        <v>0</v>
      </c>
      <c r="V617" s="147"/>
      <c r="W617" s="148">
        <f>U617-T617</f>
        <v>0</v>
      </c>
      <c r="X617" s="81"/>
    </row>
    <row r="618" spans="1:24" s="113" customFormat="1" x14ac:dyDescent="0.25">
      <c r="A618" s="140">
        <f t="shared" si="56"/>
        <v>53</v>
      </c>
      <c r="B618" s="157"/>
      <c r="C618" s="157"/>
      <c r="D618" s="100"/>
      <c r="E618" s="79"/>
      <c r="F618" s="153"/>
      <c r="G618" s="137"/>
      <c r="H618" s="158"/>
      <c r="I618" s="79"/>
      <c r="J618" s="139"/>
      <c r="K618" s="139"/>
      <c r="L618" s="98"/>
      <c r="M618" s="79"/>
      <c r="N618" s="139"/>
      <c r="O618" s="139"/>
      <c r="P618" s="138"/>
      <c r="Q618" s="147"/>
      <c r="R618" s="147"/>
      <c r="S618" s="147"/>
      <c r="T618" s="138">
        <f t="shared" si="57"/>
        <v>0</v>
      </c>
      <c r="U618" s="138">
        <f t="shared" si="57"/>
        <v>0</v>
      </c>
      <c r="V618" s="147"/>
      <c r="W618" s="148">
        <f t="shared" si="55"/>
        <v>0</v>
      </c>
      <c r="X618" s="81"/>
    </row>
    <row r="619" spans="1:24" s="113" customFormat="1" x14ac:dyDescent="0.25">
      <c r="A619" s="140">
        <f t="shared" si="56"/>
        <v>53</v>
      </c>
      <c r="B619" s="157"/>
      <c r="C619" s="157"/>
      <c r="D619" s="100"/>
      <c r="E619" s="79"/>
      <c r="F619" s="153"/>
      <c r="G619" s="137"/>
      <c r="H619" s="158"/>
      <c r="I619" s="79"/>
      <c r="J619" s="139"/>
      <c r="K619" s="139"/>
      <c r="L619" s="98"/>
      <c r="M619" s="79"/>
      <c r="N619" s="139"/>
      <c r="O619" s="139"/>
      <c r="P619" s="138"/>
      <c r="Q619" s="147"/>
      <c r="R619" s="147"/>
      <c r="S619" s="147"/>
      <c r="T619" s="138">
        <f t="shared" si="57"/>
        <v>0</v>
      </c>
      <c r="U619" s="138">
        <f t="shared" si="57"/>
        <v>0</v>
      </c>
      <c r="V619" s="147"/>
      <c r="W619" s="148">
        <f t="shared" si="55"/>
        <v>0</v>
      </c>
      <c r="X619" s="81"/>
    </row>
    <row r="620" spans="1:24" s="113" customFormat="1" x14ac:dyDescent="0.25">
      <c r="A620" s="140">
        <f t="shared" si="56"/>
        <v>53</v>
      </c>
      <c r="B620" s="157"/>
      <c r="C620" s="157"/>
      <c r="D620" s="100"/>
      <c r="E620" s="79"/>
      <c r="F620" s="153"/>
      <c r="G620" s="137"/>
      <c r="H620" s="158"/>
      <c r="I620" s="79"/>
      <c r="J620" s="139"/>
      <c r="K620" s="139"/>
      <c r="L620" s="98"/>
      <c r="M620" s="79"/>
      <c r="N620" s="139"/>
      <c r="O620" s="139"/>
      <c r="P620" s="138"/>
      <c r="Q620" s="147"/>
      <c r="R620" s="147"/>
      <c r="S620" s="147"/>
      <c r="T620" s="138">
        <f t="shared" si="57"/>
        <v>0</v>
      </c>
      <c r="U620" s="138">
        <f t="shared" si="57"/>
        <v>0</v>
      </c>
      <c r="V620" s="147"/>
      <c r="W620" s="148">
        <f t="shared" si="55"/>
        <v>0</v>
      </c>
      <c r="X620" s="81"/>
    </row>
    <row r="621" spans="1:24" s="113" customFormat="1" x14ac:dyDescent="0.25">
      <c r="A621" s="140">
        <f t="shared" si="56"/>
        <v>53</v>
      </c>
      <c r="B621" s="157"/>
      <c r="C621" s="157"/>
      <c r="D621" s="100"/>
      <c r="E621" s="79"/>
      <c r="F621" s="153"/>
      <c r="G621" s="137"/>
      <c r="H621" s="158"/>
      <c r="I621" s="79"/>
      <c r="J621" s="139"/>
      <c r="K621" s="139"/>
      <c r="L621" s="98"/>
      <c r="M621" s="79"/>
      <c r="N621" s="139"/>
      <c r="O621" s="139"/>
      <c r="P621" s="138"/>
      <c r="Q621" s="147"/>
      <c r="R621" s="147"/>
      <c r="S621" s="147"/>
      <c r="T621" s="138">
        <f t="shared" si="57"/>
        <v>0</v>
      </c>
      <c r="U621" s="138">
        <f t="shared" si="57"/>
        <v>0</v>
      </c>
      <c r="V621" s="147"/>
      <c r="W621" s="148">
        <f t="shared" si="55"/>
        <v>0</v>
      </c>
      <c r="X621" s="81"/>
    </row>
    <row r="622" spans="1:24" s="113" customFormat="1" x14ac:dyDescent="0.25">
      <c r="A622" s="140">
        <f t="shared" si="56"/>
        <v>53</v>
      </c>
      <c r="B622" s="157"/>
      <c r="C622" s="157"/>
      <c r="D622" s="100"/>
      <c r="E622" s="79"/>
      <c r="F622" s="153"/>
      <c r="G622" s="137"/>
      <c r="H622" s="158"/>
      <c r="I622" s="79"/>
      <c r="J622" s="139"/>
      <c r="K622" s="139"/>
      <c r="L622" s="98"/>
      <c r="M622" s="79"/>
      <c r="N622" s="139"/>
      <c r="O622" s="139"/>
      <c r="P622" s="138"/>
      <c r="Q622" s="147"/>
      <c r="R622" s="147"/>
      <c r="S622" s="147"/>
      <c r="T622" s="138">
        <f t="shared" si="57"/>
        <v>0</v>
      </c>
      <c r="U622" s="138">
        <f t="shared" si="57"/>
        <v>0</v>
      </c>
      <c r="V622" s="147"/>
      <c r="W622" s="148">
        <f t="shared" si="55"/>
        <v>0</v>
      </c>
      <c r="X622" s="81"/>
    </row>
    <row r="623" spans="1:24" s="113" customFormat="1" x14ac:dyDescent="0.25">
      <c r="A623" s="140">
        <f t="shared" si="56"/>
        <v>53</v>
      </c>
      <c r="B623" s="157"/>
      <c r="C623" s="157"/>
      <c r="D623" s="100"/>
      <c r="E623" s="79"/>
      <c r="F623" s="153"/>
      <c r="G623" s="137"/>
      <c r="H623" s="158"/>
      <c r="I623" s="79"/>
      <c r="J623" s="139"/>
      <c r="K623" s="139"/>
      <c r="L623" s="98"/>
      <c r="M623" s="79"/>
      <c r="N623" s="139"/>
      <c r="O623" s="139"/>
      <c r="P623" s="138"/>
      <c r="Q623" s="147"/>
      <c r="R623" s="147"/>
      <c r="S623" s="147"/>
      <c r="T623" s="138">
        <f t="shared" si="57"/>
        <v>0</v>
      </c>
      <c r="U623" s="138">
        <f t="shared" si="57"/>
        <v>0</v>
      </c>
      <c r="V623" s="147"/>
      <c r="W623" s="148">
        <f t="shared" si="55"/>
        <v>0</v>
      </c>
      <c r="X623" s="81"/>
    </row>
    <row r="624" spans="1:24" s="113" customFormat="1" x14ac:dyDescent="0.25">
      <c r="A624" s="140">
        <f t="shared" si="56"/>
        <v>53</v>
      </c>
      <c r="B624" s="157"/>
      <c r="C624" s="157"/>
      <c r="D624" s="100"/>
      <c r="E624" s="79"/>
      <c r="F624" s="153"/>
      <c r="G624" s="137"/>
      <c r="H624" s="158"/>
      <c r="I624" s="79"/>
      <c r="J624" s="139"/>
      <c r="K624" s="139"/>
      <c r="L624" s="98"/>
      <c r="M624" s="79"/>
      <c r="N624" s="139"/>
      <c r="O624" s="139"/>
      <c r="P624" s="138"/>
      <c r="Q624" s="147"/>
      <c r="R624" s="147"/>
      <c r="S624" s="147"/>
      <c r="T624" s="138">
        <f t="shared" si="57"/>
        <v>0</v>
      </c>
      <c r="U624" s="138">
        <f t="shared" si="57"/>
        <v>0</v>
      </c>
      <c r="V624" s="147"/>
      <c r="W624" s="148">
        <f t="shared" si="55"/>
        <v>0</v>
      </c>
      <c r="X624" s="81"/>
    </row>
    <row r="625" spans="1:24" s="113" customFormat="1" x14ac:dyDescent="0.25">
      <c r="A625" s="140">
        <f t="shared" si="56"/>
        <v>53</v>
      </c>
      <c r="B625" s="157"/>
      <c r="C625" s="157"/>
      <c r="D625" s="100"/>
      <c r="E625" s="79"/>
      <c r="F625" s="153"/>
      <c r="G625" s="137"/>
      <c r="H625" s="158"/>
      <c r="I625" s="79"/>
      <c r="J625" s="139"/>
      <c r="K625" s="139"/>
      <c r="L625" s="98"/>
      <c r="M625" s="79"/>
      <c r="N625" s="139"/>
      <c r="O625" s="139"/>
      <c r="P625" s="138"/>
      <c r="Q625" s="147"/>
      <c r="R625" s="147"/>
      <c r="S625" s="147"/>
      <c r="T625" s="138">
        <f t="shared" si="57"/>
        <v>0</v>
      </c>
      <c r="U625" s="138">
        <f t="shared" si="57"/>
        <v>0</v>
      </c>
      <c r="V625" s="147"/>
      <c r="W625" s="148">
        <f t="shared" si="55"/>
        <v>0</v>
      </c>
      <c r="X625" s="81"/>
    </row>
    <row r="626" spans="1:24" s="113" customFormat="1" x14ac:dyDescent="0.25">
      <c r="A626" s="140">
        <f t="shared" si="56"/>
        <v>53</v>
      </c>
      <c r="B626" s="157"/>
      <c r="C626" s="157"/>
      <c r="D626" s="100"/>
      <c r="E626" s="79"/>
      <c r="F626" s="153"/>
      <c r="G626" s="137"/>
      <c r="H626" s="158"/>
      <c r="I626" s="79"/>
      <c r="J626" s="139"/>
      <c r="K626" s="139"/>
      <c r="L626" s="98"/>
      <c r="M626" s="79"/>
      <c r="N626" s="139"/>
      <c r="O626" s="139"/>
      <c r="P626" s="138"/>
      <c r="Q626" s="147"/>
      <c r="R626" s="147"/>
      <c r="S626" s="147"/>
      <c r="T626" s="138">
        <f t="shared" si="57"/>
        <v>0</v>
      </c>
      <c r="U626" s="138">
        <f t="shared" si="57"/>
        <v>0</v>
      </c>
      <c r="V626" s="147"/>
      <c r="W626" s="148">
        <f t="shared" si="55"/>
        <v>0</v>
      </c>
      <c r="X626" s="81"/>
    </row>
    <row r="627" spans="1:24" s="113" customFormat="1" x14ac:dyDescent="0.25">
      <c r="A627" s="140">
        <f t="shared" si="56"/>
        <v>53</v>
      </c>
      <c r="B627" s="157"/>
      <c r="C627" s="157"/>
      <c r="D627" s="100"/>
      <c r="E627" s="79"/>
      <c r="F627" s="153"/>
      <c r="G627" s="137"/>
      <c r="H627" s="158"/>
      <c r="I627" s="79"/>
      <c r="J627" s="139"/>
      <c r="K627" s="139"/>
      <c r="L627" s="98"/>
      <c r="M627" s="79"/>
      <c r="N627" s="139"/>
      <c r="O627" s="139"/>
      <c r="P627" s="138"/>
      <c r="Q627" s="147"/>
      <c r="R627" s="147"/>
      <c r="S627" s="147"/>
      <c r="T627" s="138">
        <f t="shared" si="57"/>
        <v>0</v>
      </c>
      <c r="U627" s="138">
        <f t="shared" si="57"/>
        <v>0</v>
      </c>
      <c r="V627" s="147"/>
      <c r="W627" s="148">
        <f>U627-T627</f>
        <v>0</v>
      </c>
      <c r="X627" s="81"/>
    </row>
    <row r="628" spans="1:24" s="113" customFormat="1" x14ac:dyDescent="0.25">
      <c r="A628" s="140">
        <f t="shared" si="56"/>
        <v>53</v>
      </c>
      <c r="B628" s="157"/>
      <c r="C628" s="157"/>
      <c r="D628" s="100"/>
      <c r="E628" s="79"/>
      <c r="F628" s="153"/>
      <c r="G628" s="137"/>
      <c r="H628" s="158"/>
      <c r="I628" s="79"/>
      <c r="J628" s="139"/>
      <c r="K628" s="139"/>
      <c r="L628" s="98"/>
      <c r="M628" s="79"/>
      <c r="N628" s="139"/>
      <c r="O628" s="139"/>
      <c r="P628" s="138"/>
      <c r="Q628" s="147"/>
      <c r="R628" s="147"/>
      <c r="S628" s="147"/>
      <c r="T628" s="138">
        <f t="shared" si="57"/>
        <v>0</v>
      </c>
      <c r="U628" s="138">
        <f t="shared" si="57"/>
        <v>0</v>
      </c>
      <c r="V628" s="147"/>
      <c r="W628" s="148">
        <f>U628-T628</f>
        <v>0</v>
      </c>
      <c r="X628" s="81"/>
    </row>
    <row r="629" spans="1:24" s="113" customFormat="1" x14ac:dyDescent="0.25">
      <c r="A629" s="140">
        <f t="shared" si="56"/>
        <v>53</v>
      </c>
      <c r="B629" s="157"/>
      <c r="C629" s="157"/>
      <c r="D629" s="100"/>
      <c r="E629" s="79"/>
      <c r="F629" s="153"/>
      <c r="G629" s="137"/>
      <c r="H629" s="158"/>
      <c r="I629" s="79"/>
      <c r="J629" s="139"/>
      <c r="K629" s="139"/>
      <c r="L629" s="98"/>
      <c r="M629" s="79"/>
      <c r="N629" s="139"/>
      <c r="O629" s="139"/>
      <c r="P629" s="138"/>
      <c r="Q629" s="147"/>
      <c r="R629" s="147"/>
      <c r="S629" s="147"/>
      <c r="T629" s="138">
        <f t="shared" si="57"/>
        <v>0</v>
      </c>
      <c r="U629" s="138">
        <f t="shared" si="57"/>
        <v>0</v>
      </c>
      <c r="V629" s="147"/>
      <c r="W629" s="148">
        <f>U629-T629</f>
        <v>0</v>
      </c>
      <c r="X629" s="81"/>
    </row>
    <row r="630" spans="1:24" s="113" customFormat="1" x14ac:dyDescent="0.25">
      <c r="A630" s="140">
        <f t="shared" si="56"/>
        <v>53</v>
      </c>
      <c r="B630" s="157"/>
      <c r="C630" s="157"/>
      <c r="D630" s="100"/>
      <c r="E630" s="79"/>
      <c r="F630" s="153"/>
      <c r="G630" s="137"/>
      <c r="H630" s="158"/>
      <c r="I630" s="79"/>
      <c r="J630" s="139"/>
      <c r="K630" s="139"/>
      <c r="L630" s="98"/>
      <c r="M630" s="79"/>
      <c r="N630" s="139"/>
      <c r="O630" s="139"/>
      <c r="P630" s="138"/>
      <c r="Q630" s="147"/>
      <c r="R630" s="147"/>
      <c r="S630" s="147"/>
      <c r="T630" s="138">
        <f t="shared" si="57"/>
        <v>0</v>
      </c>
      <c r="U630" s="138">
        <f t="shared" si="57"/>
        <v>0</v>
      </c>
      <c r="V630" s="147"/>
      <c r="W630" s="148">
        <f t="shared" si="55"/>
        <v>0</v>
      </c>
      <c r="X630" s="81"/>
    </row>
    <row r="631" spans="1:24" s="113" customFormat="1" x14ac:dyDescent="0.25">
      <c r="A631" s="140">
        <f t="shared" si="56"/>
        <v>53</v>
      </c>
      <c r="B631" s="157"/>
      <c r="C631" s="157"/>
      <c r="D631" s="100"/>
      <c r="E631" s="79"/>
      <c r="F631" s="153"/>
      <c r="G631" s="137"/>
      <c r="H631" s="158"/>
      <c r="I631" s="79"/>
      <c r="J631" s="139"/>
      <c r="K631" s="139"/>
      <c r="L631" s="98"/>
      <c r="M631" s="79"/>
      <c r="N631" s="139"/>
      <c r="O631" s="139"/>
      <c r="P631" s="138"/>
      <c r="Q631" s="147"/>
      <c r="R631" s="147"/>
      <c r="S631" s="147"/>
      <c r="T631" s="138">
        <f t="shared" si="57"/>
        <v>0</v>
      </c>
      <c r="U631" s="138">
        <f t="shared" si="57"/>
        <v>0</v>
      </c>
      <c r="V631" s="147"/>
      <c r="W631" s="148">
        <f t="shared" si="55"/>
        <v>0</v>
      </c>
      <c r="X631" s="81"/>
    </row>
    <row r="632" spans="1:24" s="113" customFormat="1" x14ac:dyDescent="0.25">
      <c r="A632" s="140">
        <f t="shared" si="56"/>
        <v>53</v>
      </c>
      <c r="B632" s="157"/>
      <c r="C632" s="157"/>
      <c r="D632" s="100"/>
      <c r="E632" s="79"/>
      <c r="F632" s="153"/>
      <c r="G632" s="137"/>
      <c r="H632" s="158"/>
      <c r="I632" s="79"/>
      <c r="J632" s="139"/>
      <c r="K632" s="139"/>
      <c r="L632" s="98"/>
      <c r="M632" s="79"/>
      <c r="N632" s="139"/>
      <c r="O632" s="139"/>
      <c r="P632" s="138"/>
      <c r="Q632" s="147"/>
      <c r="R632" s="147"/>
      <c r="S632" s="147"/>
      <c r="T632" s="138">
        <f t="shared" si="57"/>
        <v>0</v>
      </c>
      <c r="U632" s="138">
        <f t="shared" si="57"/>
        <v>0</v>
      </c>
      <c r="V632" s="147"/>
      <c r="W632" s="148">
        <f t="shared" si="55"/>
        <v>0</v>
      </c>
      <c r="X632" s="81"/>
    </row>
    <row r="633" spans="1:24" s="113" customFormat="1" x14ac:dyDescent="0.25">
      <c r="A633" s="140">
        <f t="shared" si="56"/>
        <v>53</v>
      </c>
      <c r="B633" s="157"/>
      <c r="C633" s="157"/>
      <c r="D633" s="100"/>
      <c r="E633" s="79"/>
      <c r="F633" s="153"/>
      <c r="G633" s="137"/>
      <c r="H633" s="158"/>
      <c r="I633" s="79"/>
      <c r="J633" s="139"/>
      <c r="K633" s="139"/>
      <c r="L633" s="98"/>
      <c r="M633" s="79"/>
      <c r="N633" s="139"/>
      <c r="O633" s="139"/>
      <c r="P633" s="138"/>
      <c r="Q633" s="147"/>
      <c r="R633" s="147"/>
      <c r="S633" s="147"/>
      <c r="T633" s="138">
        <f t="shared" si="57"/>
        <v>0</v>
      </c>
      <c r="U633" s="138">
        <f t="shared" si="57"/>
        <v>0</v>
      </c>
      <c r="V633" s="147"/>
      <c r="W633" s="148">
        <f t="shared" ref="W633:W696" si="58">V633-Q633</f>
        <v>0</v>
      </c>
      <c r="X633" s="81"/>
    </row>
    <row r="634" spans="1:24" s="113" customFormat="1" x14ac:dyDescent="0.25">
      <c r="A634" s="140">
        <f t="shared" si="56"/>
        <v>53</v>
      </c>
      <c r="B634" s="157"/>
      <c r="C634" s="157"/>
      <c r="D634" s="100"/>
      <c r="E634" s="79"/>
      <c r="F634" s="153"/>
      <c r="G634" s="137"/>
      <c r="H634" s="158"/>
      <c r="I634" s="79"/>
      <c r="J634" s="139"/>
      <c r="K634" s="139"/>
      <c r="L634" s="98"/>
      <c r="M634" s="79"/>
      <c r="N634" s="139"/>
      <c r="O634" s="139"/>
      <c r="P634" s="138"/>
      <c r="Q634" s="147"/>
      <c r="R634" s="147"/>
      <c r="S634" s="147"/>
      <c r="T634" s="138">
        <f t="shared" si="57"/>
        <v>0</v>
      </c>
      <c r="U634" s="138">
        <f t="shared" si="57"/>
        <v>0</v>
      </c>
      <c r="V634" s="147"/>
      <c r="W634" s="148">
        <f t="shared" si="58"/>
        <v>0</v>
      </c>
      <c r="X634" s="81"/>
    </row>
    <row r="635" spans="1:24" s="113" customFormat="1" x14ac:dyDescent="0.25">
      <c r="A635" s="140">
        <f t="shared" si="56"/>
        <v>53</v>
      </c>
      <c r="B635" s="157"/>
      <c r="C635" s="157"/>
      <c r="D635" s="100"/>
      <c r="E635" s="79"/>
      <c r="F635" s="153"/>
      <c r="G635" s="137"/>
      <c r="H635" s="158"/>
      <c r="I635" s="79"/>
      <c r="J635" s="139"/>
      <c r="K635" s="139"/>
      <c r="L635" s="98"/>
      <c r="M635" s="79"/>
      <c r="N635" s="139"/>
      <c r="O635" s="139"/>
      <c r="P635" s="138"/>
      <c r="Q635" s="147"/>
      <c r="R635" s="147"/>
      <c r="S635" s="147"/>
      <c r="T635" s="138">
        <f t="shared" si="57"/>
        <v>0</v>
      </c>
      <c r="U635" s="138">
        <f t="shared" si="57"/>
        <v>0</v>
      </c>
      <c r="V635" s="147"/>
      <c r="W635" s="148">
        <f t="shared" si="58"/>
        <v>0</v>
      </c>
      <c r="X635" s="81"/>
    </row>
    <row r="636" spans="1:24" s="113" customFormat="1" x14ac:dyDescent="0.25">
      <c r="A636" s="140">
        <f t="shared" si="56"/>
        <v>53</v>
      </c>
      <c r="B636" s="157"/>
      <c r="C636" s="157"/>
      <c r="D636" s="100"/>
      <c r="E636" s="79"/>
      <c r="F636" s="153"/>
      <c r="G636" s="137"/>
      <c r="H636" s="158"/>
      <c r="I636" s="79"/>
      <c r="J636" s="139"/>
      <c r="K636" s="139"/>
      <c r="L636" s="98"/>
      <c r="M636" s="79"/>
      <c r="N636" s="139"/>
      <c r="O636" s="139"/>
      <c r="P636" s="138"/>
      <c r="Q636" s="147"/>
      <c r="R636" s="147"/>
      <c r="S636" s="147"/>
      <c r="T636" s="138">
        <f t="shared" si="57"/>
        <v>0</v>
      </c>
      <c r="U636" s="138">
        <f t="shared" si="57"/>
        <v>0</v>
      </c>
      <c r="V636" s="147"/>
      <c r="W636" s="148">
        <f t="shared" si="58"/>
        <v>0</v>
      </c>
      <c r="X636" s="81"/>
    </row>
    <row r="637" spans="1:24" s="113" customFormat="1" x14ac:dyDescent="0.25">
      <c r="A637" s="140">
        <f t="shared" si="56"/>
        <v>53</v>
      </c>
      <c r="B637" s="157"/>
      <c r="C637" s="157"/>
      <c r="D637" s="100"/>
      <c r="E637" s="79"/>
      <c r="F637" s="153"/>
      <c r="G637" s="137"/>
      <c r="H637" s="158"/>
      <c r="I637" s="79"/>
      <c r="J637" s="139"/>
      <c r="K637" s="139"/>
      <c r="L637" s="98"/>
      <c r="M637" s="79"/>
      <c r="N637" s="139"/>
      <c r="O637" s="139"/>
      <c r="P637" s="138"/>
      <c r="Q637" s="147"/>
      <c r="R637" s="147"/>
      <c r="S637" s="147"/>
      <c r="T637" s="138">
        <f t="shared" si="57"/>
        <v>0</v>
      </c>
      <c r="U637" s="138">
        <f t="shared" si="57"/>
        <v>0</v>
      </c>
      <c r="V637" s="147"/>
      <c r="W637" s="148">
        <f t="shared" si="58"/>
        <v>0</v>
      </c>
      <c r="X637" s="81"/>
    </row>
    <row r="638" spans="1:24" s="113" customFormat="1" x14ac:dyDescent="0.25">
      <c r="A638" s="140">
        <f t="shared" si="56"/>
        <v>53</v>
      </c>
      <c r="B638" s="157"/>
      <c r="C638" s="157"/>
      <c r="D638" s="100"/>
      <c r="E638" s="79"/>
      <c r="F638" s="153"/>
      <c r="G638" s="137"/>
      <c r="H638" s="158"/>
      <c r="I638" s="79"/>
      <c r="J638" s="139"/>
      <c r="K638" s="139"/>
      <c r="L638" s="98"/>
      <c r="M638" s="79"/>
      <c r="N638" s="139"/>
      <c r="O638" s="139"/>
      <c r="P638" s="138"/>
      <c r="Q638" s="147"/>
      <c r="R638" s="147"/>
      <c r="S638" s="147"/>
      <c r="T638" s="138">
        <f t="shared" si="57"/>
        <v>0</v>
      </c>
      <c r="U638" s="138">
        <f t="shared" si="57"/>
        <v>0</v>
      </c>
      <c r="V638" s="147"/>
      <c r="W638" s="148">
        <f t="shared" si="58"/>
        <v>0</v>
      </c>
      <c r="X638" s="81"/>
    </row>
    <row r="639" spans="1:24" s="113" customFormat="1" x14ac:dyDescent="0.25">
      <c r="A639" s="140">
        <f t="shared" si="56"/>
        <v>53</v>
      </c>
      <c r="B639" s="157"/>
      <c r="C639" s="157"/>
      <c r="D639" s="100"/>
      <c r="E639" s="79"/>
      <c r="F639" s="153"/>
      <c r="G639" s="137"/>
      <c r="H639" s="158"/>
      <c r="I639" s="79"/>
      <c r="J639" s="139"/>
      <c r="K639" s="139"/>
      <c r="L639" s="98"/>
      <c r="M639" s="79"/>
      <c r="N639" s="139"/>
      <c r="O639" s="139"/>
      <c r="P639" s="138"/>
      <c r="Q639" s="147"/>
      <c r="R639" s="147"/>
      <c r="S639" s="147"/>
      <c r="T639" s="138">
        <f t="shared" si="57"/>
        <v>0</v>
      </c>
      <c r="U639" s="138">
        <f t="shared" si="57"/>
        <v>0</v>
      </c>
      <c r="V639" s="147"/>
      <c r="W639" s="148">
        <f t="shared" si="58"/>
        <v>0</v>
      </c>
      <c r="X639" s="81"/>
    </row>
    <row r="640" spans="1:24" s="113" customFormat="1" x14ac:dyDescent="0.25">
      <c r="A640" s="140">
        <f t="shared" si="56"/>
        <v>53</v>
      </c>
      <c r="B640" s="157"/>
      <c r="C640" s="157"/>
      <c r="D640" s="100"/>
      <c r="E640" s="79"/>
      <c r="F640" s="153"/>
      <c r="G640" s="137"/>
      <c r="H640" s="158"/>
      <c r="I640" s="79"/>
      <c r="J640" s="139"/>
      <c r="K640" s="139"/>
      <c r="L640" s="98"/>
      <c r="M640" s="79"/>
      <c r="N640" s="139"/>
      <c r="O640" s="139"/>
      <c r="P640" s="138"/>
      <c r="Q640" s="147"/>
      <c r="R640" s="147"/>
      <c r="S640" s="147"/>
      <c r="T640" s="138">
        <f t="shared" si="57"/>
        <v>0</v>
      </c>
      <c r="U640" s="138">
        <f t="shared" si="57"/>
        <v>0</v>
      </c>
      <c r="V640" s="147"/>
      <c r="W640" s="148">
        <f>U640-T640</f>
        <v>0</v>
      </c>
      <c r="X640" s="81"/>
    </row>
    <row r="641" spans="1:24" s="113" customFormat="1" x14ac:dyDescent="0.25">
      <c r="A641" s="140">
        <f t="shared" si="56"/>
        <v>53</v>
      </c>
      <c r="B641" s="157"/>
      <c r="C641" s="157"/>
      <c r="D641" s="100"/>
      <c r="E641" s="79"/>
      <c r="F641" s="153"/>
      <c r="G641" s="137"/>
      <c r="H641" s="158"/>
      <c r="I641" s="79"/>
      <c r="J641" s="139"/>
      <c r="K641" s="139"/>
      <c r="L641" s="98"/>
      <c r="M641" s="79"/>
      <c r="N641" s="139"/>
      <c r="O641" s="139"/>
      <c r="P641" s="138"/>
      <c r="Q641" s="147"/>
      <c r="R641" s="147"/>
      <c r="S641" s="147"/>
      <c r="T641" s="138">
        <f t="shared" si="57"/>
        <v>0</v>
      </c>
      <c r="U641" s="138">
        <f t="shared" si="57"/>
        <v>0</v>
      </c>
      <c r="V641" s="147"/>
      <c r="W641" s="148">
        <f>U641-T641</f>
        <v>0</v>
      </c>
      <c r="X641" s="81"/>
    </row>
    <row r="642" spans="1:24" s="113" customFormat="1" x14ac:dyDescent="0.25">
      <c r="A642" s="140">
        <f t="shared" si="56"/>
        <v>53</v>
      </c>
      <c r="B642" s="157"/>
      <c r="C642" s="157"/>
      <c r="D642" s="100"/>
      <c r="E642" s="79"/>
      <c r="F642" s="153"/>
      <c r="G642" s="137"/>
      <c r="H642" s="158"/>
      <c r="I642" s="79"/>
      <c r="J642" s="139"/>
      <c r="K642" s="139"/>
      <c r="L642" s="98"/>
      <c r="M642" s="79"/>
      <c r="N642" s="139"/>
      <c r="O642" s="139"/>
      <c r="P642" s="138"/>
      <c r="Q642" s="147"/>
      <c r="R642" s="147"/>
      <c r="S642" s="147"/>
      <c r="T642" s="138">
        <f t="shared" si="57"/>
        <v>0</v>
      </c>
      <c r="U642" s="138">
        <f t="shared" si="57"/>
        <v>0</v>
      </c>
      <c r="V642" s="147"/>
      <c r="W642" s="148">
        <f>U642-T642</f>
        <v>0</v>
      </c>
      <c r="X642" s="81"/>
    </row>
    <row r="643" spans="1:24" s="113" customFormat="1" x14ac:dyDescent="0.25">
      <c r="A643" s="140">
        <f t="shared" si="56"/>
        <v>53</v>
      </c>
      <c r="B643" s="157"/>
      <c r="C643" s="157"/>
      <c r="D643" s="100"/>
      <c r="E643" s="79"/>
      <c r="F643" s="153"/>
      <c r="G643" s="137"/>
      <c r="H643" s="158"/>
      <c r="I643" s="79"/>
      <c r="J643" s="139"/>
      <c r="K643" s="139"/>
      <c r="L643" s="98"/>
      <c r="M643" s="79"/>
      <c r="N643" s="139"/>
      <c r="O643" s="139"/>
      <c r="P643" s="138"/>
      <c r="Q643" s="147"/>
      <c r="R643" s="147"/>
      <c r="S643" s="147"/>
      <c r="T643" s="138">
        <f t="shared" si="57"/>
        <v>0</v>
      </c>
      <c r="U643" s="138">
        <f t="shared" si="57"/>
        <v>0</v>
      </c>
      <c r="V643" s="147"/>
      <c r="W643" s="148">
        <f t="shared" si="58"/>
        <v>0</v>
      </c>
      <c r="X643" s="81"/>
    </row>
    <row r="644" spans="1:24" s="113" customFormat="1" x14ac:dyDescent="0.25">
      <c r="A644" s="140">
        <f t="shared" si="56"/>
        <v>53</v>
      </c>
      <c r="B644" s="157"/>
      <c r="C644" s="157"/>
      <c r="D644" s="100"/>
      <c r="E644" s="79"/>
      <c r="F644" s="153"/>
      <c r="G644" s="137"/>
      <c r="H644" s="158"/>
      <c r="I644" s="79"/>
      <c r="J644" s="139"/>
      <c r="K644" s="139"/>
      <c r="L644" s="98"/>
      <c r="M644" s="79"/>
      <c r="N644" s="139"/>
      <c r="O644" s="139"/>
      <c r="P644" s="138"/>
      <c r="Q644" s="147"/>
      <c r="R644" s="147"/>
      <c r="S644" s="147"/>
      <c r="T644" s="138">
        <f t="shared" si="57"/>
        <v>0</v>
      </c>
      <c r="U644" s="138">
        <f t="shared" si="57"/>
        <v>0</v>
      </c>
      <c r="V644" s="147"/>
      <c r="W644" s="148">
        <f t="shared" si="58"/>
        <v>0</v>
      </c>
      <c r="X644" s="81"/>
    </row>
    <row r="645" spans="1:24" s="113" customFormat="1" x14ac:dyDescent="0.25">
      <c r="A645" s="140">
        <f t="shared" si="56"/>
        <v>53</v>
      </c>
      <c r="B645" s="157"/>
      <c r="C645" s="157"/>
      <c r="D645" s="100"/>
      <c r="E645" s="79"/>
      <c r="F645" s="153"/>
      <c r="G645" s="137"/>
      <c r="H645" s="158"/>
      <c r="I645" s="79"/>
      <c r="J645" s="139"/>
      <c r="K645" s="139"/>
      <c r="L645" s="98"/>
      <c r="M645" s="79"/>
      <c r="N645" s="139"/>
      <c r="O645" s="139"/>
      <c r="P645" s="138"/>
      <c r="Q645" s="147"/>
      <c r="R645" s="147"/>
      <c r="S645" s="147"/>
      <c r="T645" s="138">
        <f t="shared" si="57"/>
        <v>0</v>
      </c>
      <c r="U645" s="138">
        <f t="shared" si="57"/>
        <v>0</v>
      </c>
      <c r="V645" s="147"/>
      <c r="W645" s="148">
        <f t="shared" si="58"/>
        <v>0</v>
      </c>
      <c r="X645" s="81"/>
    </row>
    <row r="646" spans="1:24" s="113" customFormat="1" x14ac:dyDescent="0.25">
      <c r="A646" s="140">
        <f t="shared" si="56"/>
        <v>53</v>
      </c>
      <c r="B646" s="157"/>
      <c r="C646" s="157"/>
      <c r="D646" s="100"/>
      <c r="E646" s="79"/>
      <c r="F646" s="153"/>
      <c r="G646" s="137"/>
      <c r="H646" s="158"/>
      <c r="I646" s="79"/>
      <c r="J646" s="139"/>
      <c r="K646" s="139"/>
      <c r="L646" s="98"/>
      <c r="M646" s="79"/>
      <c r="N646" s="139"/>
      <c r="O646" s="139"/>
      <c r="P646" s="138"/>
      <c r="Q646" s="147"/>
      <c r="R646" s="147"/>
      <c r="S646" s="147"/>
      <c r="T646" s="138">
        <f t="shared" si="57"/>
        <v>0</v>
      </c>
      <c r="U646" s="138">
        <f t="shared" si="57"/>
        <v>0</v>
      </c>
      <c r="V646" s="147"/>
      <c r="W646" s="148">
        <f t="shared" si="58"/>
        <v>0</v>
      </c>
      <c r="X646" s="81"/>
    </row>
    <row r="647" spans="1:24" s="113" customFormat="1" x14ac:dyDescent="0.25">
      <c r="A647" s="140">
        <f t="shared" ref="A647:A710" si="59">WEEKNUM(B647,21)</f>
        <v>53</v>
      </c>
      <c r="B647" s="157"/>
      <c r="C647" s="157"/>
      <c r="D647" s="100"/>
      <c r="E647" s="79"/>
      <c r="F647" s="153"/>
      <c r="G647" s="137"/>
      <c r="H647" s="158"/>
      <c r="I647" s="79"/>
      <c r="J647" s="139"/>
      <c r="K647" s="139"/>
      <c r="L647" s="98"/>
      <c r="M647" s="79"/>
      <c r="N647" s="139"/>
      <c r="O647" s="139"/>
      <c r="P647" s="138"/>
      <c r="Q647" s="147"/>
      <c r="R647" s="147"/>
      <c r="S647" s="147"/>
      <c r="T647" s="138">
        <f t="shared" si="57"/>
        <v>0</v>
      </c>
      <c r="U647" s="138">
        <f t="shared" si="57"/>
        <v>0</v>
      </c>
      <c r="V647" s="147"/>
      <c r="W647" s="148">
        <f t="shared" si="58"/>
        <v>0</v>
      </c>
      <c r="X647" s="81"/>
    </row>
    <row r="648" spans="1:24" s="113" customFormat="1" x14ac:dyDescent="0.25">
      <c r="A648" s="140">
        <f t="shared" si="59"/>
        <v>53</v>
      </c>
      <c r="B648" s="157"/>
      <c r="C648" s="157"/>
      <c r="D648" s="100"/>
      <c r="E648" s="79"/>
      <c r="F648" s="153"/>
      <c r="G648" s="137"/>
      <c r="H648" s="158"/>
      <c r="I648" s="79"/>
      <c r="J648" s="139"/>
      <c r="K648" s="139"/>
      <c r="L648" s="98"/>
      <c r="M648" s="79"/>
      <c r="N648" s="139"/>
      <c r="O648" s="139"/>
      <c r="P648" s="138"/>
      <c r="Q648" s="147"/>
      <c r="R648" s="147"/>
      <c r="S648" s="147"/>
      <c r="T648" s="138">
        <f t="shared" si="57"/>
        <v>0</v>
      </c>
      <c r="U648" s="138">
        <f t="shared" si="57"/>
        <v>0</v>
      </c>
      <c r="V648" s="147"/>
      <c r="W648" s="148">
        <f t="shared" si="58"/>
        <v>0</v>
      </c>
      <c r="X648" s="81"/>
    </row>
    <row r="649" spans="1:24" s="113" customFormat="1" x14ac:dyDescent="0.25">
      <c r="A649" s="140">
        <f t="shared" si="59"/>
        <v>53</v>
      </c>
      <c r="B649" s="157"/>
      <c r="C649" s="157"/>
      <c r="D649" s="100"/>
      <c r="E649" s="79"/>
      <c r="F649" s="153"/>
      <c r="G649" s="137"/>
      <c r="H649" s="158"/>
      <c r="I649" s="79"/>
      <c r="J649" s="139"/>
      <c r="K649" s="139"/>
      <c r="L649" s="98"/>
      <c r="M649" s="79"/>
      <c r="N649" s="139"/>
      <c r="O649" s="139"/>
      <c r="P649" s="138"/>
      <c r="Q649" s="147"/>
      <c r="R649" s="147"/>
      <c r="S649" s="147"/>
      <c r="T649" s="138">
        <f t="shared" si="57"/>
        <v>0</v>
      </c>
      <c r="U649" s="138">
        <f t="shared" si="57"/>
        <v>0</v>
      </c>
      <c r="V649" s="147"/>
      <c r="W649" s="148">
        <f t="shared" si="58"/>
        <v>0</v>
      </c>
      <c r="X649" s="81"/>
    </row>
    <row r="650" spans="1:24" s="113" customFormat="1" x14ac:dyDescent="0.25">
      <c r="A650" s="140">
        <f t="shared" si="59"/>
        <v>53</v>
      </c>
      <c r="B650" s="157"/>
      <c r="C650" s="157"/>
      <c r="D650" s="100"/>
      <c r="E650" s="79"/>
      <c r="F650" s="153"/>
      <c r="G650" s="137"/>
      <c r="H650" s="158"/>
      <c r="I650" s="79"/>
      <c r="J650" s="139"/>
      <c r="K650" s="139"/>
      <c r="L650" s="98"/>
      <c r="M650" s="79"/>
      <c r="N650" s="139"/>
      <c r="O650" s="139"/>
      <c r="P650" s="138"/>
      <c r="Q650" s="147"/>
      <c r="R650" s="147"/>
      <c r="S650" s="147"/>
      <c r="T650" s="138">
        <f t="shared" si="57"/>
        <v>0</v>
      </c>
      <c r="U650" s="138">
        <f t="shared" si="57"/>
        <v>0</v>
      </c>
      <c r="V650" s="147"/>
      <c r="W650" s="148">
        <f t="shared" si="58"/>
        <v>0</v>
      </c>
      <c r="X650" s="81"/>
    </row>
    <row r="651" spans="1:24" s="113" customFormat="1" x14ac:dyDescent="0.25">
      <c r="A651" s="140">
        <f t="shared" si="59"/>
        <v>53</v>
      </c>
      <c r="B651" s="157"/>
      <c r="C651" s="157"/>
      <c r="D651" s="100"/>
      <c r="E651" s="79"/>
      <c r="F651" s="153"/>
      <c r="G651" s="137"/>
      <c r="H651" s="158"/>
      <c r="I651" s="79"/>
      <c r="J651" s="139"/>
      <c r="K651" s="139"/>
      <c r="L651" s="98"/>
      <c r="M651" s="79"/>
      <c r="N651" s="139"/>
      <c r="O651" s="139"/>
      <c r="P651" s="138"/>
      <c r="Q651" s="147"/>
      <c r="R651" s="147"/>
      <c r="S651" s="147"/>
      <c r="T651" s="138">
        <f t="shared" si="57"/>
        <v>0</v>
      </c>
      <c r="U651" s="138">
        <f t="shared" si="57"/>
        <v>0</v>
      </c>
      <c r="V651" s="147"/>
      <c r="W651" s="148">
        <f t="shared" si="58"/>
        <v>0</v>
      </c>
      <c r="X651" s="81"/>
    </row>
    <row r="652" spans="1:24" s="113" customFormat="1" x14ac:dyDescent="0.25">
      <c r="A652" s="140">
        <f t="shared" si="59"/>
        <v>53</v>
      </c>
      <c r="B652" s="157"/>
      <c r="C652" s="157"/>
      <c r="D652" s="100"/>
      <c r="E652" s="79"/>
      <c r="F652" s="153"/>
      <c r="G652" s="137"/>
      <c r="H652" s="158"/>
      <c r="I652" s="79"/>
      <c r="J652" s="139"/>
      <c r="K652" s="139"/>
      <c r="L652" s="98"/>
      <c r="M652" s="79"/>
      <c r="N652" s="139"/>
      <c r="O652" s="139"/>
      <c r="P652" s="138"/>
      <c r="Q652" s="147"/>
      <c r="R652" s="147"/>
      <c r="S652" s="147"/>
      <c r="T652" s="138">
        <f t="shared" si="57"/>
        <v>0</v>
      </c>
      <c r="U652" s="138">
        <f t="shared" si="57"/>
        <v>0</v>
      </c>
      <c r="V652" s="147"/>
      <c r="W652" s="148">
        <f>U652-T652</f>
        <v>0</v>
      </c>
      <c r="X652" s="81"/>
    </row>
    <row r="653" spans="1:24" s="113" customFormat="1" x14ac:dyDescent="0.25">
      <c r="A653" s="140">
        <f t="shared" si="59"/>
        <v>53</v>
      </c>
      <c r="B653" s="157"/>
      <c r="C653" s="157"/>
      <c r="D653" s="100"/>
      <c r="E653" s="79"/>
      <c r="F653" s="153"/>
      <c r="G653" s="137"/>
      <c r="H653" s="158"/>
      <c r="I653" s="79"/>
      <c r="J653" s="139"/>
      <c r="K653" s="139"/>
      <c r="L653" s="98"/>
      <c r="M653" s="79"/>
      <c r="N653" s="139"/>
      <c r="O653" s="139"/>
      <c r="P653" s="138"/>
      <c r="Q653" s="147"/>
      <c r="R653" s="147"/>
      <c r="S653" s="147"/>
      <c r="T653" s="138">
        <f t="shared" si="57"/>
        <v>0</v>
      </c>
      <c r="U653" s="138">
        <f t="shared" si="57"/>
        <v>0</v>
      </c>
      <c r="V653" s="147"/>
      <c r="W653" s="148">
        <f>U653-T653</f>
        <v>0</v>
      </c>
      <c r="X653" s="81"/>
    </row>
    <row r="654" spans="1:24" s="113" customFormat="1" x14ac:dyDescent="0.25">
      <c r="A654" s="140">
        <f t="shared" si="59"/>
        <v>53</v>
      </c>
      <c r="B654" s="157"/>
      <c r="C654" s="157"/>
      <c r="D654" s="100"/>
      <c r="E654" s="79"/>
      <c r="F654" s="153"/>
      <c r="G654" s="137"/>
      <c r="H654" s="158"/>
      <c r="I654" s="79"/>
      <c r="J654" s="139"/>
      <c r="K654" s="139"/>
      <c r="L654" s="98"/>
      <c r="M654" s="79"/>
      <c r="N654" s="139"/>
      <c r="O654" s="139"/>
      <c r="P654" s="138"/>
      <c r="Q654" s="147"/>
      <c r="R654" s="147"/>
      <c r="S654" s="147"/>
      <c r="T654" s="138">
        <f t="shared" si="57"/>
        <v>0</v>
      </c>
      <c r="U654" s="138">
        <f t="shared" si="57"/>
        <v>0</v>
      </c>
      <c r="V654" s="147"/>
      <c r="W654" s="148">
        <f>U654-T654</f>
        <v>0</v>
      </c>
      <c r="X654" s="81"/>
    </row>
    <row r="655" spans="1:24" s="113" customFormat="1" x14ac:dyDescent="0.25">
      <c r="A655" s="140">
        <f t="shared" si="59"/>
        <v>53</v>
      </c>
      <c r="B655" s="157"/>
      <c r="C655" s="157"/>
      <c r="D655" s="100"/>
      <c r="E655" s="79"/>
      <c r="F655" s="153"/>
      <c r="G655" s="137"/>
      <c r="H655" s="158"/>
      <c r="I655" s="79"/>
      <c r="J655" s="139"/>
      <c r="K655" s="139"/>
      <c r="L655" s="98"/>
      <c r="M655" s="79"/>
      <c r="N655" s="139"/>
      <c r="O655" s="139"/>
      <c r="P655" s="138"/>
      <c r="Q655" s="147"/>
      <c r="R655" s="147"/>
      <c r="S655" s="147"/>
      <c r="T655" s="138">
        <f t="shared" si="57"/>
        <v>0</v>
      </c>
      <c r="U655" s="138">
        <f t="shared" si="57"/>
        <v>0</v>
      </c>
      <c r="V655" s="147"/>
      <c r="W655" s="148">
        <f t="shared" si="58"/>
        <v>0</v>
      </c>
      <c r="X655" s="81"/>
    </row>
    <row r="656" spans="1:24" s="113" customFormat="1" x14ac:dyDescent="0.25">
      <c r="A656" s="140">
        <f t="shared" si="59"/>
        <v>53</v>
      </c>
      <c r="B656" s="157"/>
      <c r="C656" s="157"/>
      <c r="D656" s="100"/>
      <c r="E656" s="79"/>
      <c r="F656" s="153"/>
      <c r="G656" s="137"/>
      <c r="H656" s="158"/>
      <c r="I656" s="79"/>
      <c r="J656" s="139"/>
      <c r="K656" s="139"/>
      <c r="L656" s="98"/>
      <c r="M656" s="79"/>
      <c r="N656" s="139"/>
      <c r="O656" s="139"/>
      <c r="P656" s="138"/>
      <c r="Q656" s="147"/>
      <c r="R656" s="147"/>
      <c r="S656" s="147"/>
      <c r="T656" s="138">
        <f t="shared" si="57"/>
        <v>0</v>
      </c>
      <c r="U656" s="138">
        <f t="shared" si="57"/>
        <v>0</v>
      </c>
      <c r="V656" s="147"/>
      <c r="W656" s="148">
        <f t="shared" si="58"/>
        <v>0</v>
      </c>
      <c r="X656" s="81"/>
    </row>
    <row r="657" spans="1:24" s="113" customFormat="1" x14ac:dyDescent="0.25">
      <c r="A657" s="140">
        <f t="shared" si="59"/>
        <v>53</v>
      </c>
      <c r="B657" s="157"/>
      <c r="C657" s="157"/>
      <c r="D657" s="100"/>
      <c r="E657" s="79"/>
      <c r="F657" s="153"/>
      <c r="G657" s="137"/>
      <c r="H657" s="158"/>
      <c r="I657" s="79"/>
      <c r="J657" s="139"/>
      <c r="K657" s="139"/>
      <c r="L657" s="98"/>
      <c r="M657" s="79"/>
      <c r="N657" s="139"/>
      <c r="O657" s="139"/>
      <c r="P657" s="138"/>
      <c r="Q657" s="147"/>
      <c r="R657" s="147"/>
      <c r="S657" s="147"/>
      <c r="T657" s="138">
        <f t="shared" si="57"/>
        <v>0</v>
      </c>
      <c r="U657" s="138">
        <f t="shared" si="57"/>
        <v>0</v>
      </c>
      <c r="V657" s="147"/>
      <c r="W657" s="148">
        <f t="shared" si="58"/>
        <v>0</v>
      </c>
      <c r="X657" s="81"/>
    </row>
    <row r="658" spans="1:24" s="113" customFormat="1" x14ac:dyDescent="0.25">
      <c r="A658" s="140">
        <f t="shared" si="59"/>
        <v>53</v>
      </c>
      <c r="B658" s="157"/>
      <c r="C658" s="157"/>
      <c r="D658" s="100"/>
      <c r="E658" s="79"/>
      <c r="F658" s="153"/>
      <c r="G658" s="137"/>
      <c r="H658" s="158"/>
      <c r="I658" s="79"/>
      <c r="J658" s="139"/>
      <c r="K658" s="139"/>
      <c r="L658" s="98"/>
      <c r="M658" s="79"/>
      <c r="N658" s="139"/>
      <c r="O658" s="139"/>
      <c r="P658" s="138"/>
      <c r="Q658" s="147"/>
      <c r="R658" s="147"/>
      <c r="S658" s="147"/>
      <c r="T658" s="138">
        <f t="shared" si="57"/>
        <v>0</v>
      </c>
      <c r="U658" s="138">
        <f t="shared" si="57"/>
        <v>0</v>
      </c>
      <c r="V658" s="147"/>
      <c r="W658" s="148">
        <f t="shared" si="58"/>
        <v>0</v>
      </c>
      <c r="X658" s="81"/>
    </row>
    <row r="659" spans="1:24" s="113" customFormat="1" x14ac:dyDescent="0.25">
      <c r="A659" s="140">
        <f t="shared" si="59"/>
        <v>53</v>
      </c>
      <c r="B659" s="157"/>
      <c r="C659" s="157"/>
      <c r="D659" s="100"/>
      <c r="E659" s="79"/>
      <c r="F659" s="153"/>
      <c r="G659" s="137"/>
      <c r="H659" s="158"/>
      <c r="I659" s="79"/>
      <c r="J659" s="139"/>
      <c r="K659" s="139"/>
      <c r="L659" s="98"/>
      <c r="M659" s="79"/>
      <c r="N659" s="139"/>
      <c r="O659" s="139"/>
      <c r="P659" s="138"/>
      <c r="Q659" s="147"/>
      <c r="R659" s="147"/>
      <c r="S659" s="147"/>
      <c r="T659" s="138">
        <f t="shared" si="57"/>
        <v>0</v>
      </c>
      <c r="U659" s="138">
        <f t="shared" si="57"/>
        <v>0</v>
      </c>
      <c r="V659" s="147"/>
      <c r="W659" s="148">
        <f t="shared" si="58"/>
        <v>0</v>
      </c>
      <c r="X659" s="81"/>
    </row>
    <row r="660" spans="1:24" s="113" customFormat="1" x14ac:dyDescent="0.25">
      <c r="A660" s="140">
        <f t="shared" si="59"/>
        <v>53</v>
      </c>
      <c r="B660" s="157"/>
      <c r="C660" s="157"/>
      <c r="D660" s="100"/>
      <c r="E660" s="79"/>
      <c r="F660" s="153"/>
      <c r="G660" s="137"/>
      <c r="H660" s="158"/>
      <c r="I660" s="79"/>
      <c r="J660" s="139"/>
      <c r="K660" s="139"/>
      <c r="L660" s="98"/>
      <c r="M660" s="79"/>
      <c r="N660" s="139"/>
      <c r="O660" s="139"/>
      <c r="P660" s="138"/>
      <c r="Q660" s="147"/>
      <c r="R660" s="147"/>
      <c r="S660" s="147"/>
      <c r="T660" s="138">
        <f t="shared" si="57"/>
        <v>0</v>
      </c>
      <c r="U660" s="138">
        <f t="shared" si="57"/>
        <v>0</v>
      </c>
      <c r="V660" s="147"/>
      <c r="W660" s="148">
        <f t="shared" si="58"/>
        <v>0</v>
      </c>
      <c r="X660" s="81"/>
    </row>
    <row r="661" spans="1:24" s="113" customFormat="1" x14ac:dyDescent="0.25">
      <c r="A661" s="140">
        <f t="shared" si="59"/>
        <v>53</v>
      </c>
      <c r="B661" s="157"/>
      <c r="C661" s="157"/>
      <c r="D661" s="100"/>
      <c r="E661" s="79"/>
      <c r="F661" s="153"/>
      <c r="G661" s="137"/>
      <c r="H661" s="158"/>
      <c r="I661" s="79"/>
      <c r="J661" s="139"/>
      <c r="K661" s="139"/>
      <c r="L661" s="98"/>
      <c r="M661" s="79"/>
      <c r="N661" s="139"/>
      <c r="O661" s="139"/>
      <c r="P661" s="138"/>
      <c r="Q661" s="147"/>
      <c r="R661" s="147"/>
      <c r="S661" s="147"/>
      <c r="T661" s="138">
        <f t="shared" ref="T661:U724" si="60">R661-Q661</f>
        <v>0</v>
      </c>
      <c r="U661" s="138">
        <f t="shared" si="60"/>
        <v>0</v>
      </c>
      <c r="V661" s="147"/>
      <c r="W661" s="148">
        <f t="shared" si="58"/>
        <v>0</v>
      </c>
      <c r="X661" s="81"/>
    </row>
    <row r="662" spans="1:24" s="113" customFormat="1" x14ac:dyDescent="0.25">
      <c r="A662" s="140">
        <f t="shared" si="59"/>
        <v>53</v>
      </c>
      <c r="B662" s="157"/>
      <c r="C662" s="157"/>
      <c r="D662" s="100"/>
      <c r="E662" s="79"/>
      <c r="F662" s="153"/>
      <c r="G662" s="137"/>
      <c r="H662" s="158"/>
      <c r="I662" s="79"/>
      <c r="J662" s="139"/>
      <c r="K662" s="139"/>
      <c r="L662" s="98"/>
      <c r="M662" s="79"/>
      <c r="N662" s="139"/>
      <c r="O662" s="139"/>
      <c r="P662" s="138"/>
      <c r="Q662" s="147"/>
      <c r="R662" s="147"/>
      <c r="S662" s="147"/>
      <c r="T662" s="138">
        <f t="shared" si="60"/>
        <v>0</v>
      </c>
      <c r="U662" s="138">
        <f t="shared" si="60"/>
        <v>0</v>
      </c>
      <c r="V662" s="147"/>
      <c r="W662" s="148">
        <f t="shared" si="58"/>
        <v>0</v>
      </c>
      <c r="X662" s="81"/>
    </row>
    <row r="663" spans="1:24" s="113" customFormat="1" x14ac:dyDescent="0.25">
      <c r="A663" s="140">
        <f t="shared" si="59"/>
        <v>53</v>
      </c>
      <c r="B663" s="157"/>
      <c r="C663" s="157"/>
      <c r="D663" s="100"/>
      <c r="E663" s="79"/>
      <c r="F663" s="153"/>
      <c r="G663" s="137"/>
      <c r="H663" s="158"/>
      <c r="I663" s="79"/>
      <c r="J663" s="139"/>
      <c r="K663" s="139"/>
      <c r="L663" s="98"/>
      <c r="M663" s="79"/>
      <c r="N663" s="139"/>
      <c r="O663" s="139"/>
      <c r="P663" s="138"/>
      <c r="Q663" s="147"/>
      <c r="R663" s="147"/>
      <c r="S663" s="147"/>
      <c r="T663" s="138">
        <f t="shared" si="60"/>
        <v>0</v>
      </c>
      <c r="U663" s="138">
        <f t="shared" si="60"/>
        <v>0</v>
      </c>
      <c r="V663" s="147"/>
      <c r="W663" s="148">
        <f t="shared" si="58"/>
        <v>0</v>
      </c>
      <c r="X663" s="81"/>
    </row>
    <row r="664" spans="1:24" s="113" customFormat="1" x14ac:dyDescent="0.25">
      <c r="A664" s="140">
        <f t="shared" si="59"/>
        <v>53</v>
      </c>
      <c r="B664" s="157"/>
      <c r="C664" s="157"/>
      <c r="D664" s="100"/>
      <c r="E664" s="79"/>
      <c r="F664" s="153"/>
      <c r="G664" s="137"/>
      <c r="H664" s="158"/>
      <c r="I664" s="79"/>
      <c r="J664" s="139"/>
      <c r="K664" s="139"/>
      <c r="L664" s="98"/>
      <c r="M664" s="79"/>
      <c r="N664" s="139"/>
      <c r="O664" s="139"/>
      <c r="P664" s="138"/>
      <c r="Q664" s="147"/>
      <c r="R664" s="147"/>
      <c r="S664" s="147"/>
      <c r="T664" s="138">
        <f t="shared" si="60"/>
        <v>0</v>
      </c>
      <c r="U664" s="138">
        <f t="shared" si="60"/>
        <v>0</v>
      </c>
      <c r="V664" s="147"/>
      <c r="W664" s="148">
        <f>U664-T664</f>
        <v>0</v>
      </c>
      <c r="X664" s="81"/>
    </row>
    <row r="665" spans="1:24" s="113" customFormat="1" x14ac:dyDescent="0.25">
      <c r="A665" s="140">
        <f t="shared" si="59"/>
        <v>53</v>
      </c>
      <c r="B665" s="157"/>
      <c r="C665" s="157"/>
      <c r="D665" s="100"/>
      <c r="E665" s="79"/>
      <c r="F665" s="153"/>
      <c r="G665" s="137"/>
      <c r="H665" s="158"/>
      <c r="I665" s="79"/>
      <c r="J665" s="139"/>
      <c r="K665" s="139"/>
      <c r="L665" s="98"/>
      <c r="M665" s="79"/>
      <c r="N665" s="139"/>
      <c r="O665" s="139"/>
      <c r="P665" s="138"/>
      <c r="Q665" s="147"/>
      <c r="R665" s="147"/>
      <c r="S665" s="147"/>
      <c r="T665" s="138">
        <f t="shared" si="60"/>
        <v>0</v>
      </c>
      <c r="U665" s="138">
        <f t="shared" si="60"/>
        <v>0</v>
      </c>
      <c r="V665" s="147"/>
      <c r="W665" s="148">
        <f>U665-T665</f>
        <v>0</v>
      </c>
      <c r="X665" s="81"/>
    </row>
    <row r="666" spans="1:24" s="113" customFormat="1" x14ac:dyDescent="0.25">
      <c r="A666" s="140">
        <f t="shared" si="59"/>
        <v>53</v>
      </c>
      <c r="B666" s="157"/>
      <c r="C666" s="157"/>
      <c r="D666" s="100"/>
      <c r="E666" s="79"/>
      <c r="F666" s="153"/>
      <c r="G666" s="137"/>
      <c r="H666" s="158"/>
      <c r="I666" s="79"/>
      <c r="J666" s="139"/>
      <c r="K666" s="139"/>
      <c r="L666" s="98"/>
      <c r="M666" s="79"/>
      <c r="N666" s="139"/>
      <c r="O666" s="139"/>
      <c r="P666" s="138"/>
      <c r="Q666" s="147"/>
      <c r="R666" s="147"/>
      <c r="S666" s="147"/>
      <c r="T666" s="138">
        <f t="shared" si="60"/>
        <v>0</v>
      </c>
      <c r="U666" s="138">
        <f t="shared" si="60"/>
        <v>0</v>
      </c>
      <c r="V666" s="147"/>
      <c r="W666" s="148">
        <f>U666-T666</f>
        <v>0</v>
      </c>
      <c r="X666" s="81"/>
    </row>
    <row r="667" spans="1:24" s="113" customFormat="1" x14ac:dyDescent="0.25">
      <c r="A667" s="140">
        <f t="shared" si="59"/>
        <v>53</v>
      </c>
      <c r="B667" s="157"/>
      <c r="C667" s="157"/>
      <c r="D667" s="100"/>
      <c r="E667" s="79"/>
      <c r="F667" s="153"/>
      <c r="G667" s="137"/>
      <c r="H667" s="158"/>
      <c r="I667" s="79"/>
      <c r="J667" s="139"/>
      <c r="K667" s="139"/>
      <c r="L667" s="98"/>
      <c r="M667" s="79"/>
      <c r="N667" s="139"/>
      <c r="O667" s="139"/>
      <c r="P667" s="138"/>
      <c r="Q667" s="147"/>
      <c r="R667" s="147"/>
      <c r="S667" s="147"/>
      <c r="T667" s="138">
        <f t="shared" si="60"/>
        <v>0</v>
      </c>
      <c r="U667" s="138">
        <f t="shared" si="60"/>
        <v>0</v>
      </c>
      <c r="V667" s="147"/>
      <c r="W667" s="148">
        <f t="shared" si="58"/>
        <v>0</v>
      </c>
      <c r="X667" s="81"/>
    </row>
    <row r="668" spans="1:24" s="113" customFormat="1" x14ac:dyDescent="0.25">
      <c r="A668" s="140">
        <f t="shared" si="59"/>
        <v>53</v>
      </c>
      <c r="B668" s="157"/>
      <c r="C668" s="157"/>
      <c r="D668" s="100"/>
      <c r="E668" s="79"/>
      <c r="F668" s="153"/>
      <c r="G668" s="137"/>
      <c r="H668" s="158"/>
      <c r="I668" s="79"/>
      <c r="J668" s="139"/>
      <c r="K668" s="139"/>
      <c r="L668" s="98"/>
      <c r="M668" s="79"/>
      <c r="N668" s="139"/>
      <c r="O668" s="139"/>
      <c r="P668" s="138"/>
      <c r="Q668" s="147"/>
      <c r="R668" s="147"/>
      <c r="S668" s="147"/>
      <c r="T668" s="138">
        <f t="shared" si="60"/>
        <v>0</v>
      </c>
      <c r="U668" s="138">
        <f t="shared" si="60"/>
        <v>0</v>
      </c>
      <c r="V668" s="147"/>
      <c r="W668" s="148">
        <f t="shared" si="58"/>
        <v>0</v>
      </c>
      <c r="X668" s="81"/>
    </row>
    <row r="669" spans="1:24" s="113" customFormat="1" x14ac:dyDescent="0.25">
      <c r="A669" s="140">
        <f t="shared" si="59"/>
        <v>53</v>
      </c>
      <c r="B669" s="157"/>
      <c r="C669" s="157"/>
      <c r="D669" s="100"/>
      <c r="E669" s="79"/>
      <c r="F669" s="153"/>
      <c r="G669" s="137"/>
      <c r="H669" s="158"/>
      <c r="I669" s="79"/>
      <c r="J669" s="139"/>
      <c r="K669" s="139"/>
      <c r="L669" s="98"/>
      <c r="M669" s="79"/>
      <c r="N669" s="139"/>
      <c r="O669" s="139"/>
      <c r="P669" s="138"/>
      <c r="Q669" s="147"/>
      <c r="R669" s="147"/>
      <c r="S669" s="147"/>
      <c r="T669" s="138">
        <f t="shared" si="60"/>
        <v>0</v>
      </c>
      <c r="U669" s="138">
        <f t="shared" si="60"/>
        <v>0</v>
      </c>
      <c r="V669" s="147"/>
      <c r="W669" s="148">
        <f t="shared" si="58"/>
        <v>0</v>
      </c>
      <c r="X669" s="81"/>
    </row>
    <row r="670" spans="1:24" s="113" customFormat="1" x14ac:dyDescent="0.25">
      <c r="A670" s="140">
        <f t="shared" si="59"/>
        <v>53</v>
      </c>
      <c r="B670" s="157"/>
      <c r="C670" s="157"/>
      <c r="D670" s="100"/>
      <c r="E670" s="79"/>
      <c r="F670" s="153"/>
      <c r="G670" s="137"/>
      <c r="H670" s="158"/>
      <c r="I670" s="79"/>
      <c r="J670" s="139"/>
      <c r="K670" s="139"/>
      <c r="L670" s="98"/>
      <c r="M670" s="79"/>
      <c r="N670" s="139"/>
      <c r="O670" s="139"/>
      <c r="P670" s="138"/>
      <c r="Q670" s="147"/>
      <c r="R670" s="147"/>
      <c r="S670" s="147"/>
      <c r="T670" s="138">
        <f t="shared" si="60"/>
        <v>0</v>
      </c>
      <c r="U670" s="138">
        <f t="shared" si="60"/>
        <v>0</v>
      </c>
      <c r="V670" s="147"/>
      <c r="W670" s="148">
        <f t="shared" si="58"/>
        <v>0</v>
      </c>
      <c r="X670" s="81"/>
    </row>
    <row r="671" spans="1:24" s="113" customFormat="1" x14ac:dyDescent="0.25">
      <c r="A671" s="140">
        <f t="shared" si="59"/>
        <v>53</v>
      </c>
      <c r="B671" s="157"/>
      <c r="C671" s="157"/>
      <c r="D671" s="100"/>
      <c r="E671" s="79"/>
      <c r="F671" s="153"/>
      <c r="G671" s="137"/>
      <c r="H671" s="158"/>
      <c r="I671" s="79"/>
      <c r="J671" s="139"/>
      <c r="K671" s="139"/>
      <c r="L671" s="98"/>
      <c r="M671" s="79"/>
      <c r="N671" s="139"/>
      <c r="O671" s="139"/>
      <c r="P671" s="138"/>
      <c r="Q671" s="147"/>
      <c r="R671" s="147"/>
      <c r="S671" s="147"/>
      <c r="T671" s="138">
        <f t="shared" si="60"/>
        <v>0</v>
      </c>
      <c r="U671" s="138">
        <f t="shared" si="60"/>
        <v>0</v>
      </c>
      <c r="V671" s="147"/>
      <c r="W671" s="148">
        <f t="shared" si="58"/>
        <v>0</v>
      </c>
      <c r="X671" s="81"/>
    </row>
    <row r="672" spans="1:24" s="113" customFormat="1" x14ac:dyDescent="0.25">
      <c r="A672" s="140">
        <f t="shared" si="59"/>
        <v>53</v>
      </c>
      <c r="B672" s="157"/>
      <c r="C672" s="157"/>
      <c r="D672" s="100"/>
      <c r="E672" s="79"/>
      <c r="F672" s="153"/>
      <c r="G672" s="137"/>
      <c r="H672" s="158"/>
      <c r="I672" s="79"/>
      <c r="J672" s="139"/>
      <c r="K672" s="139"/>
      <c r="L672" s="98"/>
      <c r="M672" s="79"/>
      <c r="N672" s="139"/>
      <c r="O672" s="139"/>
      <c r="P672" s="138"/>
      <c r="Q672" s="147"/>
      <c r="R672" s="147"/>
      <c r="S672" s="147"/>
      <c r="T672" s="138">
        <f t="shared" si="60"/>
        <v>0</v>
      </c>
      <c r="U672" s="138">
        <f t="shared" si="60"/>
        <v>0</v>
      </c>
      <c r="V672" s="147"/>
      <c r="W672" s="148">
        <f t="shared" si="58"/>
        <v>0</v>
      </c>
      <c r="X672" s="81"/>
    </row>
    <row r="673" spans="1:24" s="113" customFormat="1" x14ac:dyDescent="0.25">
      <c r="A673" s="140">
        <f t="shared" si="59"/>
        <v>53</v>
      </c>
      <c r="B673" s="157"/>
      <c r="C673" s="157"/>
      <c r="D673" s="100"/>
      <c r="E673" s="79"/>
      <c r="F673" s="153"/>
      <c r="G673" s="137"/>
      <c r="H673" s="158"/>
      <c r="I673" s="79"/>
      <c r="J673" s="139"/>
      <c r="K673" s="139"/>
      <c r="L673" s="98"/>
      <c r="M673" s="79"/>
      <c r="N673" s="139"/>
      <c r="O673" s="139"/>
      <c r="P673" s="138"/>
      <c r="Q673" s="147"/>
      <c r="R673" s="147"/>
      <c r="S673" s="147"/>
      <c r="T673" s="138">
        <f t="shared" si="60"/>
        <v>0</v>
      </c>
      <c r="U673" s="138">
        <f t="shared" si="60"/>
        <v>0</v>
      </c>
      <c r="V673" s="147"/>
      <c r="W673" s="148">
        <f t="shared" si="58"/>
        <v>0</v>
      </c>
      <c r="X673" s="81"/>
    </row>
    <row r="674" spans="1:24" s="113" customFormat="1" x14ac:dyDescent="0.25">
      <c r="A674" s="140">
        <f t="shared" si="59"/>
        <v>53</v>
      </c>
      <c r="B674" s="157"/>
      <c r="C674" s="157"/>
      <c r="D674" s="100"/>
      <c r="E674" s="79"/>
      <c r="F674" s="153"/>
      <c r="G674" s="137"/>
      <c r="H674" s="158"/>
      <c r="I674" s="79"/>
      <c r="J674" s="139"/>
      <c r="K674" s="139"/>
      <c r="L674" s="98"/>
      <c r="M674" s="79"/>
      <c r="N674" s="139"/>
      <c r="O674" s="139"/>
      <c r="P674" s="138"/>
      <c r="Q674" s="147"/>
      <c r="R674" s="147"/>
      <c r="S674" s="147"/>
      <c r="T674" s="138">
        <f t="shared" si="60"/>
        <v>0</v>
      </c>
      <c r="U674" s="138">
        <f t="shared" si="60"/>
        <v>0</v>
      </c>
      <c r="V674" s="147"/>
      <c r="W674" s="148">
        <f t="shared" si="58"/>
        <v>0</v>
      </c>
      <c r="X674" s="81"/>
    </row>
    <row r="675" spans="1:24" s="113" customFormat="1" x14ac:dyDescent="0.25">
      <c r="A675" s="140">
        <f t="shared" si="59"/>
        <v>53</v>
      </c>
      <c r="B675" s="157"/>
      <c r="C675" s="157"/>
      <c r="D675" s="100"/>
      <c r="E675" s="79"/>
      <c r="F675" s="153"/>
      <c r="G675" s="137"/>
      <c r="H675" s="158"/>
      <c r="I675" s="79"/>
      <c r="J675" s="139"/>
      <c r="K675" s="139"/>
      <c r="L675" s="98"/>
      <c r="M675" s="79"/>
      <c r="N675" s="139"/>
      <c r="O675" s="139"/>
      <c r="P675" s="138"/>
      <c r="Q675" s="147"/>
      <c r="R675" s="147"/>
      <c r="S675" s="147"/>
      <c r="T675" s="138">
        <f t="shared" si="60"/>
        <v>0</v>
      </c>
      <c r="U675" s="138">
        <f t="shared" si="60"/>
        <v>0</v>
      </c>
      <c r="V675" s="147"/>
      <c r="W675" s="148">
        <f t="shared" si="58"/>
        <v>0</v>
      </c>
      <c r="X675" s="81"/>
    </row>
    <row r="676" spans="1:24" s="113" customFormat="1" x14ac:dyDescent="0.25">
      <c r="A676" s="140">
        <f t="shared" si="59"/>
        <v>53</v>
      </c>
      <c r="B676" s="157"/>
      <c r="C676" s="157"/>
      <c r="D676" s="100"/>
      <c r="E676" s="79"/>
      <c r="F676" s="153"/>
      <c r="G676" s="137"/>
      <c r="H676" s="158"/>
      <c r="I676" s="79"/>
      <c r="J676" s="139"/>
      <c r="K676" s="139"/>
      <c r="L676" s="98"/>
      <c r="M676" s="79"/>
      <c r="N676" s="139"/>
      <c r="O676" s="139"/>
      <c r="P676" s="138"/>
      <c r="Q676" s="147"/>
      <c r="R676" s="147"/>
      <c r="S676" s="147"/>
      <c r="T676" s="138">
        <f t="shared" si="60"/>
        <v>0</v>
      </c>
      <c r="U676" s="138">
        <f t="shared" si="60"/>
        <v>0</v>
      </c>
      <c r="V676" s="147"/>
      <c r="W676" s="148">
        <f t="shared" si="58"/>
        <v>0</v>
      </c>
      <c r="X676" s="81"/>
    </row>
    <row r="677" spans="1:24" s="113" customFormat="1" x14ac:dyDescent="0.25">
      <c r="A677" s="140">
        <f t="shared" si="59"/>
        <v>53</v>
      </c>
      <c r="B677" s="157"/>
      <c r="C677" s="157"/>
      <c r="D677" s="100"/>
      <c r="E677" s="79"/>
      <c r="F677" s="153"/>
      <c r="G677" s="137"/>
      <c r="H677" s="158"/>
      <c r="I677" s="79"/>
      <c r="J677" s="139"/>
      <c r="K677" s="139"/>
      <c r="L677" s="98"/>
      <c r="M677" s="79"/>
      <c r="N677" s="139"/>
      <c r="O677" s="139"/>
      <c r="P677" s="138"/>
      <c r="Q677" s="147"/>
      <c r="R677" s="147"/>
      <c r="S677" s="147"/>
      <c r="T677" s="138">
        <f t="shared" si="60"/>
        <v>0</v>
      </c>
      <c r="U677" s="138">
        <f t="shared" si="60"/>
        <v>0</v>
      </c>
      <c r="V677" s="147"/>
      <c r="W677" s="148">
        <f>U677-T677</f>
        <v>0</v>
      </c>
      <c r="X677" s="81"/>
    </row>
    <row r="678" spans="1:24" s="113" customFormat="1" x14ac:dyDescent="0.25">
      <c r="A678" s="140">
        <f t="shared" si="59"/>
        <v>53</v>
      </c>
      <c r="B678" s="157"/>
      <c r="C678" s="157"/>
      <c r="D678" s="100"/>
      <c r="E678" s="79"/>
      <c r="F678" s="153"/>
      <c r="G678" s="137"/>
      <c r="H678" s="158"/>
      <c r="I678" s="79"/>
      <c r="J678" s="139"/>
      <c r="K678" s="139"/>
      <c r="L678" s="98"/>
      <c r="M678" s="79"/>
      <c r="N678" s="139"/>
      <c r="O678" s="139"/>
      <c r="P678" s="138"/>
      <c r="Q678" s="147"/>
      <c r="R678" s="147"/>
      <c r="S678" s="147"/>
      <c r="T678" s="138">
        <f t="shared" si="60"/>
        <v>0</v>
      </c>
      <c r="U678" s="138">
        <f t="shared" si="60"/>
        <v>0</v>
      </c>
      <c r="V678" s="147"/>
      <c r="W678" s="148">
        <f>U678-T678</f>
        <v>0</v>
      </c>
      <c r="X678" s="81"/>
    </row>
    <row r="679" spans="1:24" s="113" customFormat="1" x14ac:dyDescent="0.25">
      <c r="A679" s="140">
        <f t="shared" si="59"/>
        <v>53</v>
      </c>
      <c r="B679" s="157"/>
      <c r="C679" s="157"/>
      <c r="D679" s="100"/>
      <c r="E679" s="79"/>
      <c r="F679" s="153"/>
      <c r="G679" s="137"/>
      <c r="H679" s="158"/>
      <c r="I679" s="79"/>
      <c r="J679" s="139"/>
      <c r="K679" s="139"/>
      <c r="L679" s="98"/>
      <c r="M679" s="79"/>
      <c r="N679" s="139"/>
      <c r="O679" s="139"/>
      <c r="P679" s="138"/>
      <c r="Q679" s="147"/>
      <c r="R679" s="147"/>
      <c r="S679" s="147"/>
      <c r="T679" s="138">
        <f t="shared" si="60"/>
        <v>0</v>
      </c>
      <c r="U679" s="138">
        <f t="shared" si="60"/>
        <v>0</v>
      </c>
      <c r="V679" s="147"/>
      <c r="W679" s="148">
        <f>U679-T679</f>
        <v>0</v>
      </c>
      <c r="X679" s="81"/>
    </row>
    <row r="680" spans="1:24" s="113" customFormat="1" x14ac:dyDescent="0.25">
      <c r="A680" s="140">
        <f t="shared" si="59"/>
        <v>53</v>
      </c>
      <c r="B680" s="157"/>
      <c r="C680" s="157"/>
      <c r="D680" s="100"/>
      <c r="E680" s="79"/>
      <c r="F680" s="153"/>
      <c r="G680" s="137"/>
      <c r="H680" s="158"/>
      <c r="I680" s="79"/>
      <c r="J680" s="139"/>
      <c r="K680" s="139"/>
      <c r="L680" s="98"/>
      <c r="M680" s="79"/>
      <c r="N680" s="139"/>
      <c r="O680" s="139"/>
      <c r="P680" s="138"/>
      <c r="Q680" s="147"/>
      <c r="R680" s="147"/>
      <c r="S680" s="147"/>
      <c r="T680" s="138">
        <f t="shared" si="60"/>
        <v>0</v>
      </c>
      <c r="U680" s="138">
        <f t="shared" si="60"/>
        <v>0</v>
      </c>
      <c r="V680" s="147"/>
      <c r="W680" s="148">
        <f t="shared" si="58"/>
        <v>0</v>
      </c>
      <c r="X680" s="81"/>
    </row>
    <row r="681" spans="1:24" s="113" customFormat="1" x14ac:dyDescent="0.25">
      <c r="A681" s="140">
        <f t="shared" si="59"/>
        <v>53</v>
      </c>
      <c r="B681" s="157"/>
      <c r="C681" s="157"/>
      <c r="D681" s="100"/>
      <c r="E681" s="79"/>
      <c r="F681" s="153"/>
      <c r="G681" s="137"/>
      <c r="H681" s="158"/>
      <c r="I681" s="79"/>
      <c r="J681" s="139"/>
      <c r="K681" s="139"/>
      <c r="L681" s="98"/>
      <c r="M681" s="79"/>
      <c r="N681" s="139"/>
      <c r="O681" s="139"/>
      <c r="P681" s="138"/>
      <c r="Q681" s="147"/>
      <c r="R681" s="147"/>
      <c r="S681" s="147"/>
      <c r="T681" s="138">
        <f t="shared" si="60"/>
        <v>0</v>
      </c>
      <c r="U681" s="138">
        <f t="shared" si="60"/>
        <v>0</v>
      </c>
      <c r="V681" s="147"/>
      <c r="W681" s="148">
        <f t="shared" si="58"/>
        <v>0</v>
      </c>
      <c r="X681" s="81"/>
    </row>
    <row r="682" spans="1:24" s="113" customFormat="1" x14ac:dyDescent="0.25">
      <c r="A682" s="140">
        <f t="shared" si="59"/>
        <v>53</v>
      </c>
      <c r="B682" s="157"/>
      <c r="C682" s="157"/>
      <c r="D682" s="100"/>
      <c r="E682" s="79"/>
      <c r="F682" s="153"/>
      <c r="G682" s="137"/>
      <c r="H682" s="158"/>
      <c r="I682" s="79"/>
      <c r="J682" s="139"/>
      <c r="K682" s="139"/>
      <c r="L682" s="98"/>
      <c r="M682" s="79"/>
      <c r="N682" s="139"/>
      <c r="O682" s="139"/>
      <c r="P682" s="138"/>
      <c r="Q682" s="147"/>
      <c r="R682" s="147"/>
      <c r="S682" s="147"/>
      <c r="T682" s="138">
        <f t="shared" si="60"/>
        <v>0</v>
      </c>
      <c r="U682" s="138">
        <f t="shared" si="60"/>
        <v>0</v>
      </c>
      <c r="V682" s="147"/>
      <c r="W682" s="148">
        <f t="shared" si="58"/>
        <v>0</v>
      </c>
      <c r="X682" s="81"/>
    </row>
    <row r="683" spans="1:24" s="113" customFormat="1" x14ac:dyDescent="0.25">
      <c r="A683" s="140">
        <f t="shared" si="59"/>
        <v>53</v>
      </c>
      <c r="B683" s="157"/>
      <c r="C683" s="157"/>
      <c r="D683" s="100"/>
      <c r="E683" s="79"/>
      <c r="F683" s="153"/>
      <c r="G683" s="137"/>
      <c r="H683" s="158"/>
      <c r="I683" s="79"/>
      <c r="J683" s="139"/>
      <c r="K683" s="139"/>
      <c r="L683" s="98"/>
      <c r="M683" s="79"/>
      <c r="N683" s="139"/>
      <c r="O683" s="139"/>
      <c r="P683" s="138"/>
      <c r="Q683" s="147"/>
      <c r="R683" s="147"/>
      <c r="S683" s="147"/>
      <c r="T683" s="138">
        <f t="shared" si="60"/>
        <v>0</v>
      </c>
      <c r="U683" s="138">
        <f t="shared" si="60"/>
        <v>0</v>
      </c>
      <c r="V683" s="147"/>
      <c r="W683" s="148">
        <f t="shared" si="58"/>
        <v>0</v>
      </c>
      <c r="X683" s="81"/>
    </row>
    <row r="684" spans="1:24" s="113" customFormat="1" x14ac:dyDescent="0.25">
      <c r="A684" s="140">
        <f t="shared" si="59"/>
        <v>53</v>
      </c>
      <c r="B684" s="157"/>
      <c r="C684" s="157"/>
      <c r="D684" s="100"/>
      <c r="E684" s="79"/>
      <c r="F684" s="153"/>
      <c r="G684" s="137"/>
      <c r="H684" s="158"/>
      <c r="I684" s="79"/>
      <c r="J684" s="139"/>
      <c r="K684" s="139"/>
      <c r="L684" s="98"/>
      <c r="M684" s="79"/>
      <c r="N684" s="139"/>
      <c r="O684" s="139"/>
      <c r="P684" s="138"/>
      <c r="Q684" s="147"/>
      <c r="R684" s="147"/>
      <c r="S684" s="147"/>
      <c r="T684" s="138">
        <f t="shared" si="60"/>
        <v>0</v>
      </c>
      <c r="U684" s="138">
        <f t="shared" si="60"/>
        <v>0</v>
      </c>
      <c r="V684" s="147"/>
      <c r="W684" s="148">
        <f t="shared" si="58"/>
        <v>0</v>
      </c>
      <c r="X684" s="81"/>
    </row>
    <row r="685" spans="1:24" s="113" customFormat="1" x14ac:dyDescent="0.25">
      <c r="A685" s="140">
        <f t="shared" si="59"/>
        <v>53</v>
      </c>
      <c r="B685" s="157"/>
      <c r="C685" s="157"/>
      <c r="D685" s="100"/>
      <c r="E685" s="79"/>
      <c r="F685" s="153"/>
      <c r="G685" s="137"/>
      <c r="H685" s="158"/>
      <c r="I685" s="79"/>
      <c r="J685" s="139"/>
      <c r="K685" s="139"/>
      <c r="L685" s="98"/>
      <c r="M685" s="79"/>
      <c r="N685" s="139"/>
      <c r="O685" s="139"/>
      <c r="P685" s="138"/>
      <c r="Q685" s="147"/>
      <c r="R685" s="147"/>
      <c r="S685" s="147"/>
      <c r="T685" s="138">
        <f t="shared" si="60"/>
        <v>0</v>
      </c>
      <c r="U685" s="138">
        <f t="shared" si="60"/>
        <v>0</v>
      </c>
      <c r="V685" s="147"/>
      <c r="W685" s="148">
        <f t="shared" si="58"/>
        <v>0</v>
      </c>
      <c r="X685" s="81"/>
    </row>
    <row r="686" spans="1:24" s="113" customFormat="1" x14ac:dyDescent="0.25">
      <c r="A686" s="140">
        <f t="shared" si="59"/>
        <v>53</v>
      </c>
      <c r="B686" s="157"/>
      <c r="C686" s="157"/>
      <c r="D686" s="100"/>
      <c r="E686" s="79"/>
      <c r="F686" s="153"/>
      <c r="G686" s="137"/>
      <c r="H686" s="158"/>
      <c r="I686" s="79"/>
      <c r="J686" s="139"/>
      <c r="K686" s="139"/>
      <c r="L686" s="98"/>
      <c r="M686" s="79"/>
      <c r="N686" s="139"/>
      <c r="O686" s="139"/>
      <c r="P686" s="138"/>
      <c r="Q686" s="147"/>
      <c r="R686" s="147"/>
      <c r="S686" s="147"/>
      <c r="T686" s="138">
        <f t="shared" si="60"/>
        <v>0</v>
      </c>
      <c r="U686" s="138">
        <f t="shared" si="60"/>
        <v>0</v>
      </c>
      <c r="V686" s="147"/>
      <c r="W686" s="148">
        <f t="shared" si="58"/>
        <v>0</v>
      </c>
      <c r="X686" s="81"/>
    </row>
    <row r="687" spans="1:24" s="113" customFormat="1" x14ac:dyDescent="0.25">
      <c r="A687" s="140">
        <f t="shared" si="59"/>
        <v>53</v>
      </c>
      <c r="B687" s="157"/>
      <c r="C687" s="157"/>
      <c r="D687" s="100"/>
      <c r="E687" s="79"/>
      <c r="F687" s="153"/>
      <c r="G687" s="137"/>
      <c r="H687" s="158"/>
      <c r="I687" s="79"/>
      <c r="J687" s="139"/>
      <c r="K687" s="139"/>
      <c r="L687" s="98"/>
      <c r="M687" s="79"/>
      <c r="N687" s="139"/>
      <c r="O687" s="139"/>
      <c r="P687" s="138"/>
      <c r="Q687" s="147"/>
      <c r="R687" s="147"/>
      <c r="S687" s="147"/>
      <c r="T687" s="138">
        <f t="shared" si="60"/>
        <v>0</v>
      </c>
      <c r="U687" s="138">
        <f t="shared" si="60"/>
        <v>0</v>
      </c>
      <c r="V687" s="147"/>
      <c r="W687" s="148">
        <f t="shared" si="58"/>
        <v>0</v>
      </c>
      <c r="X687" s="81"/>
    </row>
    <row r="688" spans="1:24" s="113" customFormat="1" x14ac:dyDescent="0.25">
      <c r="A688" s="140">
        <f t="shared" si="59"/>
        <v>53</v>
      </c>
      <c r="B688" s="157"/>
      <c r="C688" s="157"/>
      <c r="D688" s="100"/>
      <c r="E688" s="79"/>
      <c r="F688" s="153"/>
      <c r="G688" s="137"/>
      <c r="H688" s="158"/>
      <c r="I688" s="79"/>
      <c r="J688" s="139"/>
      <c r="K688" s="139"/>
      <c r="L688" s="98"/>
      <c r="M688" s="79"/>
      <c r="N688" s="139"/>
      <c r="O688" s="139"/>
      <c r="P688" s="138"/>
      <c r="Q688" s="147"/>
      <c r="R688" s="147"/>
      <c r="S688" s="147"/>
      <c r="T688" s="138">
        <f t="shared" si="60"/>
        <v>0</v>
      </c>
      <c r="U688" s="138">
        <f t="shared" si="60"/>
        <v>0</v>
      </c>
      <c r="V688" s="147"/>
      <c r="W688" s="148">
        <f t="shared" si="58"/>
        <v>0</v>
      </c>
      <c r="X688" s="81"/>
    </row>
    <row r="689" spans="1:24" s="113" customFormat="1" x14ac:dyDescent="0.25">
      <c r="A689" s="140">
        <f t="shared" si="59"/>
        <v>53</v>
      </c>
      <c r="B689" s="157"/>
      <c r="C689" s="157"/>
      <c r="D689" s="100"/>
      <c r="E689" s="79"/>
      <c r="F689" s="153"/>
      <c r="G689" s="137"/>
      <c r="H689" s="158"/>
      <c r="I689" s="79"/>
      <c r="J689" s="139"/>
      <c r="K689" s="139"/>
      <c r="L689" s="98"/>
      <c r="M689" s="79"/>
      <c r="N689" s="139"/>
      <c r="O689" s="139"/>
      <c r="P689" s="138"/>
      <c r="Q689" s="147"/>
      <c r="R689" s="147"/>
      <c r="S689" s="147"/>
      <c r="T689" s="138">
        <f t="shared" si="60"/>
        <v>0</v>
      </c>
      <c r="U689" s="138">
        <f t="shared" si="60"/>
        <v>0</v>
      </c>
      <c r="V689" s="147"/>
      <c r="W689" s="148">
        <f>U689-T689</f>
        <v>0</v>
      </c>
      <c r="X689" s="81"/>
    </row>
    <row r="690" spans="1:24" s="113" customFormat="1" x14ac:dyDescent="0.25">
      <c r="A690" s="140">
        <f t="shared" si="59"/>
        <v>53</v>
      </c>
      <c r="B690" s="157"/>
      <c r="C690" s="157"/>
      <c r="D690" s="100"/>
      <c r="E690" s="79"/>
      <c r="F690" s="153"/>
      <c r="G690" s="137"/>
      <c r="H690" s="158"/>
      <c r="I690" s="79"/>
      <c r="J690" s="139"/>
      <c r="K690" s="139"/>
      <c r="L690" s="98"/>
      <c r="M690" s="79"/>
      <c r="N690" s="139"/>
      <c r="O690" s="139"/>
      <c r="P690" s="138"/>
      <c r="Q690" s="147"/>
      <c r="R690" s="147"/>
      <c r="S690" s="147"/>
      <c r="T690" s="138">
        <f t="shared" si="60"/>
        <v>0</v>
      </c>
      <c r="U690" s="138">
        <f t="shared" si="60"/>
        <v>0</v>
      </c>
      <c r="V690" s="147"/>
      <c r="W690" s="148">
        <f>U690-T690</f>
        <v>0</v>
      </c>
      <c r="X690" s="81"/>
    </row>
    <row r="691" spans="1:24" s="113" customFormat="1" x14ac:dyDescent="0.25">
      <c r="A691" s="140">
        <f t="shared" si="59"/>
        <v>53</v>
      </c>
      <c r="B691" s="157"/>
      <c r="C691" s="157"/>
      <c r="D691" s="100"/>
      <c r="E691" s="79"/>
      <c r="F691" s="153"/>
      <c r="G691" s="137"/>
      <c r="H691" s="158"/>
      <c r="I691" s="79"/>
      <c r="J691" s="139"/>
      <c r="K691" s="139"/>
      <c r="L691" s="98"/>
      <c r="M691" s="79"/>
      <c r="N691" s="139"/>
      <c r="O691" s="139"/>
      <c r="P691" s="138"/>
      <c r="Q691" s="147"/>
      <c r="R691" s="147"/>
      <c r="S691" s="147"/>
      <c r="T691" s="138">
        <f t="shared" si="60"/>
        <v>0</v>
      </c>
      <c r="U691" s="138">
        <f t="shared" si="60"/>
        <v>0</v>
      </c>
      <c r="V691" s="147"/>
      <c r="W691" s="148">
        <f>U691-T691</f>
        <v>0</v>
      </c>
      <c r="X691" s="81"/>
    </row>
    <row r="692" spans="1:24" s="113" customFormat="1" x14ac:dyDescent="0.25">
      <c r="A692" s="140">
        <f t="shared" si="59"/>
        <v>53</v>
      </c>
      <c r="B692" s="157"/>
      <c r="C692" s="157"/>
      <c r="D692" s="100"/>
      <c r="E692" s="79"/>
      <c r="F692" s="153"/>
      <c r="G692" s="137"/>
      <c r="H692" s="158"/>
      <c r="I692" s="79"/>
      <c r="J692" s="139"/>
      <c r="K692" s="139"/>
      <c r="L692" s="98"/>
      <c r="M692" s="79"/>
      <c r="N692" s="139"/>
      <c r="O692" s="139"/>
      <c r="P692" s="138"/>
      <c r="Q692" s="147"/>
      <c r="R692" s="147"/>
      <c r="S692" s="147"/>
      <c r="T692" s="138">
        <f t="shared" si="60"/>
        <v>0</v>
      </c>
      <c r="U692" s="138">
        <f t="shared" si="60"/>
        <v>0</v>
      </c>
      <c r="V692" s="147"/>
      <c r="W692" s="148">
        <f t="shared" si="58"/>
        <v>0</v>
      </c>
      <c r="X692" s="81"/>
    </row>
    <row r="693" spans="1:24" s="113" customFormat="1" x14ac:dyDescent="0.25">
      <c r="A693" s="140">
        <f t="shared" si="59"/>
        <v>53</v>
      </c>
      <c r="B693" s="157"/>
      <c r="C693" s="157"/>
      <c r="D693" s="100"/>
      <c r="E693" s="79"/>
      <c r="F693" s="153"/>
      <c r="G693" s="137"/>
      <c r="H693" s="158"/>
      <c r="I693" s="79"/>
      <c r="J693" s="139"/>
      <c r="K693" s="139"/>
      <c r="L693" s="98"/>
      <c r="M693" s="79"/>
      <c r="N693" s="139"/>
      <c r="O693" s="139"/>
      <c r="P693" s="138"/>
      <c r="Q693" s="147"/>
      <c r="R693" s="147"/>
      <c r="S693" s="147"/>
      <c r="T693" s="138">
        <f t="shared" si="60"/>
        <v>0</v>
      </c>
      <c r="U693" s="138">
        <f t="shared" si="60"/>
        <v>0</v>
      </c>
      <c r="V693" s="147"/>
      <c r="W693" s="148">
        <f t="shared" si="58"/>
        <v>0</v>
      </c>
      <c r="X693" s="81"/>
    </row>
    <row r="694" spans="1:24" s="113" customFormat="1" x14ac:dyDescent="0.25">
      <c r="A694" s="140">
        <f t="shared" si="59"/>
        <v>53</v>
      </c>
      <c r="B694" s="157"/>
      <c r="C694" s="157"/>
      <c r="D694" s="100"/>
      <c r="E694" s="79"/>
      <c r="F694" s="153"/>
      <c r="G694" s="137"/>
      <c r="H694" s="158"/>
      <c r="I694" s="79"/>
      <c r="J694" s="139"/>
      <c r="K694" s="139"/>
      <c r="L694" s="98"/>
      <c r="M694" s="79"/>
      <c r="N694" s="139"/>
      <c r="O694" s="139"/>
      <c r="P694" s="138"/>
      <c r="Q694" s="147"/>
      <c r="R694" s="147"/>
      <c r="S694" s="147"/>
      <c r="T694" s="138">
        <f t="shared" si="60"/>
        <v>0</v>
      </c>
      <c r="U694" s="138">
        <f t="shared" si="60"/>
        <v>0</v>
      </c>
      <c r="V694" s="147"/>
      <c r="W694" s="148">
        <f t="shared" si="58"/>
        <v>0</v>
      </c>
      <c r="X694" s="81"/>
    </row>
    <row r="695" spans="1:24" s="113" customFormat="1" x14ac:dyDescent="0.25">
      <c r="A695" s="140">
        <f t="shared" si="59"/>
        <v>53</v>
      </c>
      <c r="B695" s="157"/>
      <c r="C695" s="157"/>
      <c r="D695" s="100"/>
      <c r="E695" s="79"/>
      <c r="F695" s="153"/>
      <c r="G695" s="137"/>
      <c r="H695" s="158"/>
      <c r="I695" s="79"/>
      <c r="J695" s="139"/>
      <c r="K695" s="139"/>
      <c r="L695" s="98"/>
      <c r="M695" s="79"/>
      <c r="N695" s="139"/>
      <c r="O695" s="139"/>
      <c r="P695" s="138"/>
      <c r="Q695" s="147"/>
      <c r="R695" s="147"/>
      <c r="S695" s="147"/>
      <c r="T695" s="138">
        <f t="shared" si="60"/>
        <v>0</v>
      </c>
      <c r="U695" s="138">
        <f t="shared" si="60"/>
        <v>0</v>
      </c>
      <c r="V695" s="147"/>
      <c r="W695" s="148">
        <f t="shared" si="58"/>
        <v>0</v>
      </c>
      <c r="X695" s="81"/>
    </row>
    <row r="696" spans="1:24" s="113" customFormat="1" x14ac:dyDescent="0.25">
      <c r="A696" s="140">
        <f t="shared" si="59"/>
        <v>53</v>
      </c>
      <c r="B696" s="157"/>
      <c r="C696" s="157"/>
      <c r="D696" s="100"/>
      <c r="E696" s="79"/>
      <c r="F696" s="153"/>
      <c r="G696" s="137"/>
      <c r="H696" s="158"/>
      <c r="I696" s="79"/>
      <c r="J696" s="139"/>
      <c r="K696" s="139"/>
      <c r="L696" s="98"/>
      <c r="M696" s="79"/>
      <c r="N696" s="139"/>
      <c r="O696" s="139"/>
      <c r="P696" s="138"/>
      <c r="Q696" s="147"/>
      <c r="R696" s="147"/>
      <c r="S696" s="147"/>
      <c r="T696" s="138">
        <f t="shared" si="60"/>
        <v>0</v>
      </c>
      <c r="U696" s="138">
        <f t="shared" si="60"/>
        <v>0</v>
      </c>
      <c r="V696" s="147"/>
      <c r="W696" s="148">
        <f t="shared" si="58"/>
        <v>0</v>
      </c>
      <c r="X696" s="81"/>
    </row>
    <row r="697" spans="1:24" s="113" customFormat="1" x14ac:dyDescent="0.25">
      <c r="A697" s="140">
        <f t="shared" si="59"/>
        <v>53</v>
      </c>
      <c r="B697" s="157"/>
      <c r="C697" s="157"/>
      <c r="D697" s="100"/>
      <c r="E697" s="79"/>
      <c r="F697" s="153"/>
      <c r="G697" s="137"/>
      <c r="H697" s="158"/>
      <c r="I697" s="79"/>
      <c r="J697" s="139"/>
      <c r="K697" s="139"/>
      <c r="L697" s="98"/>
      <c r="M697" s="79"/>
      <c r="N697" s="139"/>
      <c r="O697" s="139"/>
      <c r="P697" s="138"/>
      <c r="Q697" s="147"/>
      <c r="R697" s="147"/>
      <c r="S697" s="147"/>
      <c r="T697" s="138">
        <f t="shared" si="60"/>
        <v>0</v>
      </c>
      <c r="U697" s="138">
        <f t="shared" si="60"/>
        <v>0</v>
      </c>
      <c r="V697" s="147"/>
      <c r="W697" s="148">
        <f t="shared" ref="W697:W760" si="61">V697-Q697</f>
        <v>0</v>
      </c>
      <c r="X697" s="81"/>
    </row>
    <row r="698" spans="1:24" s="113" customFormat="1" x14ac:dyDescent="0.25">
      <c r="A698" s="140">
        <f t="shared" si="59"/>
        <v>53</v>
      </c>
      <c r="B698" s="157"/>
      <c r="C698" s="157"/>
      <c r="D698" s="100"/>
      <c r="E698" s="79"/>
      <c r="F698" s="153"/>
      <c r="G698" s="137"/>
      <c r="H698" s="158"/>
      <c r="I698" s="79"/>
      <c r="J698" s="139"/>
      <c r="K698" s="139"/>
      <c r="L698" s="98"/>
      <c r="M698" s="79"/>
      <c r="N698" s="139"/>
      <c r="O698" s="139"/>
      <c r="P698" s="138"/>
      <c r="Q698" s="147"/>
      <c r="R698" s="147"/>
      <c r="S698" s="147"/>
      <c r="T698" s="138">
        <f t="shared" si="60"/>
        <v>0</v>
      </c>
      <c r="U698" s="138">
        <f t="shared" si="60"/>
        <v>0</v>
      </c>
      <c r="V698" s="147"/>
      <c r="W698" s="148">
        <f t="shared" si="61"/>
        <v>0</v>
      </c>
      <c r="X698" s="81"/>
    </row>
    <row r="699" spans="1:24" s="113" customFormat="1" x14ac:dyDescent="0.25">
      <c r="A699" s="140">
        <f t="shared" si="59"/>
        <v>53</v>
      </c>
      <c r="B699" s="157"/>
      <c r="C699" s="157"/>
      <c r="D699" s="100"/>
      <c r="E699" s="79"/>
      <c r="F699" s="153"/>
      <c r="G699" s="137"/>
      <c r="H699" s="158"/>
      <c r="I699" s="79"/>
      <c r="J699" s="139"/>
      <c r="K699" s="139"/>
      <c r="L699" s="98"/>
      <c r="M699" s="79"/>
      <c r="N699" s="139"/>
      <c r="O699" s="139"/>
      <c r="P699" s="138"/>
      <c r="Q699" s="147"/>
      <c r="R699" s="147"/>
      <c r="S699" s="147"/>
      <c r="T699" s="138">
        <f t="shared" si="60"/>
        <v>0</v>
      </c>
      <c r="U699" s="138">
        <f t="shared" si="60"/>
        <v>0</v>
      </c>
      <c r="V699" s="147"/>
      <c r="W699" s="148">
        <f t="shared" si="61"/>
        <v>0</v>
      </c>
      <c r="X699" s="81"/>
    </row>
    <row r="700" spans="1:24" s="113" customFormat="1" x14ac:dyDescent="0.25">
      <c r="A700" s="140">
        <f t="shared" si="59"/>
        <v>53</v>
      </c>
      <c r="B700" s="157"/>
      <c r="C700" s="157"/>
      <c r="D700" s="100"/>
      <c r="E700" s="79"/>
      <c r="F700" s="153"/>
      <c r="G700" s="137"/>
      <c r="H700" s="158"/>
      <c r="I700" s="79"/>
      <c r="J700" s="139"/>
      <c r="K700" s="139"/>
      <c r="L700" s="98"/>
      <c r="M700" s="79"/>
      <c r="N700" s="139"/>
      <c r="O700" s="139"/>
      <c r="P700" s="138"/>
      <c r="Q700" s="147"/>
      <c r="R700" s="147"/>
      <c r="S700" s="147"/>
      <c r="T700" s="138">
        <f t="shared" si="60"/>
        <v>0</v>
      </c>
      <c r="U700" s="138">
        <f t="shared" si="60"/>
        <v>0</v>
      </c>
      <c r="V700" s="147"/>
      <c r="W700" s="148">
        <f t="shared" si="61"/>
        <v>0</v>
      </c>
      <c r="X700" s="81"/>
    </row>
    <row r="701" spans="1:24" s="113" customFormat="1" x14ac:dyDescent="0.25">
      <c r="A701" s="140">
        <f t="shared" si="59"/>
        <v>53</v>
      </c>
      <c r="B701" s="157"/>
      <c r="C701" s="157"/>
      <c r="D701" s="100"/>
      <c r="E701" s="79"/>
      <c r="F701" s="153"/>
      <c r="G701" s="137"/>
      <c r="H701" s="158"/>
      <c r="I701" s="79"/>
      <c r="J701" s="139"/>
      <c r="K701" s="139"/>
      <c r="L701" s="98"/>
      <c r="M701" s="79"/>
      <c r="N701" s="139"/>
      <c r="O701" s="139"/>
      <c r="P701" s="138"/>
      <c r="Q701" s="147"/>
      <c r="R701" s="147"/>
      <c r="S701" s="147"/>
      <c r="T701" s="138">
        <f t="shared" si="60"/>
        <v>0</v>
      </c>
      <c r="U701" s="138">
        <f t="shared" si="60"/>
        <v>0</v>
      </c>
      <c r="V701" s="147"/>
      <c r="W701" s="148">
        <f>U701-T701</f>
        <v>0</v>
      </c>
      <c r="X701" s="81"/>
    </row>
    <row r="702" spans="1:24" s="113" customFormat="1" x14ac:dyDescent="0.25">
      <c r="A702" s="140">
        <f t="shared" si="59"/>
        <v>53</v>
      </c>
      <c r="B702" s="157"/>
      <c r="C702" s="157"/>
      <c r="D702" s="100"/>
      <c r="E702" s="79"/>
      <c r="F702" s="153"/>
      <c r="G702" s="137"/>
      <c r="H702" s="158"/>
      <c r="I702" s="79"/>
      <c r="J702" s="139"/>
      <c r="K702" s="139"/>
      <c r="L702" s="98"/>
      <c r="M702" s="79"/>
      <c r="N702" s="139"/>
      <c r="O702" s="139"/>
      <c r="P702" s="138"/>
      <c r="Q702" s="147"/>
      <c r="R702" s="147"/>
      <c r="S702" s="147"/>
      <c r="T702" s="138">
        <f t="shared" si="60"/>
        <v>0</v>
      </c>
      <c r="U702" s="138">
        <f t="shared" si="60"/>
        <v>0</v>
      </c>
      <c r="V702" s="147"/>
      <c r="W702" s="148">
        <f>U702-T702</f>
        <v>0</v>
      </c>
      <c r="X702" s="81"/>
    </row>
    <row r="703" spans="1:24" s="113" customFormat="1" x14ac:dyDescent="0.25">
      <c r="A703" s="140">
        <f t="shared" si="59"/>
        <v>53</v>
      </c>
      <c r="B703" s="157"/>
      <c r="C703" s="157"/>
      <c r="D703" s="100"/>
      <c r="E703" s="79"/>
      <c r="F703" s="153"/>
      <c r="G703" s="137"/>
      <c r="H703" s="158"/>
      <c r="I703" s="79"/>
      <c r="J703" s="139"/>
      <c r="K703" s="139"/>
      <c r="L703" s="98"/>
      <c r="M703" s="79"/>
      <c r="N703" s="139"/>
      <c r="O703" s="139"/>
      <c r="P703" s="138"/>
      <c r="Q703" s="147"/>
      <c r="R703" s="147"/>
      <c r="S703" s="147"/>
      <c r="T703" s="138">
        <f t="shared" si="60"/>
        <v>0</v>
      </c>
      <c r="U703" s="138">
        <f t="shared" si="60"/>
        <v>0</v>
      </c>
      <c r="V703" s="147"/>
      <c r="W703" s="148">
        <f>U703-T703</f>
        <v>0</v>
      </c>
      <c r="X703" s="81"/>
    </row>
    <row r="704" spans="1:24" s="113" customFormat="1" x14ac:dyDescent="0.25">
      <c r="A704" s="140">
        <f t="shared" si="59"/>
        <v>53</v>
      </c>
      <c r="B704" s="157"/>
      <c r="C704" s="157"/>
      <c r="D704" s="100"/>
      <c r="E704" s="79"/>
      <c r="F704" s="153"/>
      <c r="G704" s="137"/>
      <c r="H704" s="158"/>
      <c r="I704" s="79"/>
      <c r="J704" s="139"/>
      <c r="K704" s="139"/>
      <c r="L704" s="98"/>
      <c r="M704" s="79"/>
      <c r="N704" s="139"/>
      <c r="O704" s="139"/>
      <c r="P704" s="138"/>
      <c r="Q704" s="147"/>
      <c r="R704" s="147"/>
      <c r="S704" s="147"/>
      <c r="T704" s="138">
        <f t="shared" si="60"/>
        <v>0</v>
      </c>
      <c r="U704" s="138">
        <f t="shared" si="60"/>
        <v>0</v>
      </c>
      <c r="V704" s="147"/>
      <c r="W704" s="148">
        <f t="shared" si="61"/>
        <v>0</v>
      </c>
      <c r="X704" s="81"/>
    </row>
    <row r="705" spans="1:24" s="113" customFormat="1" x14ac:dyDescent="0.25">
      <c r="A705" s="140">
        <f t="shared" si="59"/>
        <v>53</v>
      </c>
      <c r="B705" s="157"/>
      <c r="C705" s="157"/>
      <c r="D705" s="100"/>
      <c r="E705" s="79"/>
      <c r="F705" s="153"/>
      <c r="G705" s="137"/>
      <c r="H705" s="158"/>
      <c r="I705" s="79"/>
      <c r="J705" s="139"/>
      <c r="K705" s="139"/>
      <c r="L705" s="98"/>
      <c r="M705" s="79"/>
      <c r="N705" s="139"/>
      <c r="O705" s="139"/>
      <c r="P705" s="138"/>
      <c r="Q705" s="147"/>
      <c r="R705" s="147"/>
      <c r="S705" s="147"/>
      <c r="T705" s="138">
        <f t="shared" si="60"/>
        <v>0</v>
      </c>
      <c r="U705" s="138">
        <f t="shared" si="60"/>
        <v>0</v>
      </c>
      <c r="V705" s="147"/>
      <c r="W705" s="148">
        <f t="shared" si="61"/>
        <v>0</v>
      </c>
      <c r="X705" s="81"/>
    </row>
    <row r="706" spans="1:24" s="113" customFormat="1" x14ac:dyDescent="0.25">
      <c r="A706" s="140">
        <f t="shared" si="59"/>
        <v>53</v>
      </c>
      <c r="B706" s="157"/>
      <c r="C706" s="157"/>
      <c r="D706" s="100"/>
      <c r="E706" s="79"/>
      <c r="F706" s="153"/>
      <c r="G706" s="137"/>
      <c r="H706" s="158"/>
      <c r="I706" s="79"/>
      <c r="J706" s="139"/>
      <c r="K706" s="139"/>
      <c r="L706" s="98"/>
      <c r="M706" s="79"/>
      <c r="N706" s="139"/>
      <c r="O706" s="139"/>
      <c r="P706" s="138"/>
      <c r="Q706" s="147"/>
      <c r="R706" s="147"/>
      <c r="S706" s="147"/>
      <c r="T706" s="138">
        <f t="shared" si="60"/>
        <v>0</v>
      </c>
      <c r="U706" s="138">
        <f t="shared" si="60"/>
        <v>0</v>
      </c>
      <c r="V706" s="147"/>
      <c r="W706" s="148">
        <f t="shared" si="61"/>
        <v>0</v>
      </c>
      <c r="X706" s="81"/>
    </row>
    <row r="707" spans="1:24" s="113" customFormat="1" x14ac:dyDescent="0.25">
      <c r="A707" s="140">
        <f t="shared" si="59"/>
        <v>53</v>
      </c>
      <c r="B707" s="157"/>
      <c r="C707" s="157"/>
      <c r="D707" s="100"/>
      <c r="E707" s="79"/>
      <c r="F707" s="153"/>
      <c r="G707" s="137"/>
      <c r="H707" s="158"/>
      <c r="I707" s="79"/>
      <c r="J707" s="139"/>
      <c r="K707" s="139"/>
      <c r="L707" s="98"/>
      <c r="M707" s="79"/>
      <c r="N707" s="139"/>
      <c r="O707" s="139"/>
      <c r="P707" s="138"/>
      <c r="Q707" s="147"/>
      <c r="R707" s="147"/>
      <c r="S707" s="147"/>
      <c r="T707" s="138">
        <f t="shared" si="60"/>
        <v>0</v>
      </c>
      <c r="U707" s="138">
        <f t="shared" si="60"/>
        <v>0</v>
      </c>
      <c r="V707" s="147"/>
      <c r="W707" s="148">
        <f t="shared" si="61"/>
        <v>0</v>
      </c>
      <c r="X707" s="81"/>
    </row>
    <row r="708" spans="1:24" s="113" customFormat="1" x14ac:dyDescent="0.25">
      <c r="A708" s="140">
        <f t="shared" si="59"/>
        <v>53</v>
      </c>
      <c r="B708" s="157"/>
      <c r="C708" s="157"/>
      <c r="D708" s="100"/>
      <c r="E708" s="79"/>
      <c r="F708" s="153"/>
      <c r="G708" s="137"/>
      <c r="H708" s="158"/>
      <c r="I708" s="79"/>
      <c r="J708" s="139"/>
      <c r="K708" s="139"/>
      <c r="L708" s="98"/>
      <c r="M708" s="79"/>
      <c r="N708" s="139"/>
      <c r="O708" s="139"/>
      <c r="P708" s="138"/>
      <c r="Q708" s="147"/>
      <c r="R708" s="147"/>
      <c r="S708" s="147"/>
      <c r="T708" s="138">
        <f t="shared" si="60"/>
        <v>0</v>
      </c>
      <c r="U708" s="138">
        <f t="shared" si="60"/>
        <v>0</v>
      </c>
      <c r="V708" s="147"/>
      <c r="W708" s="148">
        <f t="shared" si="61"/>
        <v>0</v>
      </c>
      <c r="X708" s="81"/>
    </row>
    <row r="709" spans="1:24" s="113" customFormat="1" x14ac:dyDescent="0.25">
      <c r="A709" s="140">
        <f t="shared" si="59"/>
        <v>53</v>
      </c>
      <c r="B709" s="157"/>
      <c r="C709" s="157"/>
      <c r="D709" s="100"/>
      <c r="E709" s="79"/>
      <c r="F709" s="153"/>
      <c r="G709" s="137"/>
      <c r="H709" s="158"/>
      <c r="I709" s="79"/>
      <c r="J709" s="139"/>
      <c r="K709" s="139"/>
      <c r="L709" s="98"/>
      <c r="M709" s="79"/>
      <c r="N709" s="139"/>
      <c r="O709" s="139"/>
      <c r="P709" s="138"/>
      <c r="Q709" s="147"/>
      <c r="R709" s="147"/>
      <c r="S709" s="147"/>
      <c r="T709" s="138">
        <f t="shared" si="60"/>
        <v>0</v>
      </c>
      <c r="U709" s="138">
        <f t="shared" si="60"/>
        <v>0</v>
      </c>
      <c r="V709" s="147"/>
      <c r="W709" s="148">
        <f t="shared" si="61"/>
        <v>0</v>
      </c>
      <c r="X709" s="81"/>
    </row>
    <row r="710" spans="1:24" s="113" customFormat="1" x14ac:dyDescent="0.25">
      <c r="A710" s="140">
        <f t="shared" si="59"/>
        <v>53</v>
      </c>
      <c r="B710" s="157"/>
      <c r="C710" s="157"/>
      <c r="D710" s="100"/>
      <c r="E710" s="79"/>
      <c r="F710" s="153"/>
      <c r="G710" s="137"/>
      <c r="H710" s="158"/>
      <c r="I710" s="79"/>
      <c r="J710" s="139"/>
      <c r="K710" s="139"/>
      <c r="L710" s="98"/>
      <c r="M710" s="79"/>
      <c r="N710" s="139"/>
      <c r="O710" s="139"/>
      <c r="P710" s="138"/>
      <c r="Q710" s="147"/>
      <c r="R710" s="147"/>
      <c r="S710" s="147"/>
      <c r="T710" s="138">
        <f t="shared" si="60"/>
        <v>0</v>
      </c>
      <c r="U710" s="138">
        <f t="shared" si="60"/>
        <v>0</v>
      </c>
      <c r="V710" s="147"/>
      <c r="W710" s="148">
        <f t="shared" si="61"/>
        <v>0</v>
      </c>
      <c r="X710" s="81"/>
    </row>
    <row r="711" spans="1:24" s="113" customFormat="1" x14ac:dyDescent="0.25">
      <c r="A711" s="140">
        <f t="shared" ref="A711:A774" si="62">WEEKNUM(B711,21)</f>
        <v>53</v>
      </c>
      <c r="B711" s="157"/>
      <c r="C711" s="157"/>
      <c r="D711" s="100"/>
      <c r="E711" s="79"/>
      <c r="F711" s="153"/>
      <c r="G711" s="137"/>
      <c r="H711" s="158"/>
      <c r="I711" s="79"/>
      <c r="J711" s="139"/>
      <c r="K711" s="139"/>
      <c r="L711" s="98"/>
      <c r="M711" s="79"/>
      <c r="N711" s="139"/>
      <c r="O711" s="139"/>
      <c r="P711" s="138"/>
      <c r="Q711" s="147"/>
      <c r="R711" s="147"/>
      <c r="S711" s="147"/>
      <c r="T711" s="138">
        <f t="shared" si="60"/>
        <v>0</v>
      </c>
      <c r="U711" s="138">
        <f t="shared" si="60"/>
        <v>0</v>
      </c>
      <c r="V711" s="147"/>
      <c r="W711" s="148">
        <f t="shared" si="61"/>
        <v>0</v>
      </c>
      <c r="X711" s="81"/>
    </row>
    <row r="712" spans="1:24" s="113" customFormat="1" x14ac:dyDescent="0.25">
      <c r="A712" s="140">
        <f t="shared" si="62"/>
        <v>53</v>
      </c>
      <c r="B712" s="157"/>
      <c r="C712" s="157"/>
      <c r="D712" s="100"/>
      <c r="E712" s="79"/>
      <c r="F712" s="153"/>
      <c r="G712" s="137"/>
      <c r="H712" s="158"/>
      <c r="I712" s="79"/>
      <c r="J712" s="139"/>
      <c r="K712" s="139"/>
      <c r="L712" s="98"/>
      <c r="M712" s="79"/>
      <c r="N712" s="139"/>
      <c r="O712" s="139"/>
      <c r="P712" s="138"/>
      <c r="Q712" s="147"/>
      <c r="R712" s="147"/>
      <c r="S712" s="147"/>
      <c r="T712" s="138">
        <f t="shared" si="60"/>
        <v>0</v>
      </c>
      <c r="U712" s="138">
        <f t="shared" si="60"/>
        <v>0</v>
      </c>
      <c r="V712" s="147"/>
      <c r="W712" s="148">
        <f t="shared" si="61"/>
        <v>0</v>
      </c>
      <c r="X712" s="81"/>
    </row>
    <row r="713" spans="1:24" s="113" customFormat="1" x14ac:dyDescent="0.25">
      <c r="A713" s="140">
        <f t="shared" si="62"/>
        <v>53</v>
      </c>
      <c r="B713" s="157"/>
      <c r="C713" s="157"/>
      <c r="D713" s="100"/>
      <c r="E713" s="79"/>
      <c r="F713" s="153"/>
      <c r="G713" s="137"/>
      <c r="H713" s="158"/>
      <c r="I713" s="79"/>
      <c r="J713" s="139"/>
      <c r="K713" s="139"/>
      <c r="L713" s="98"/>
      <c r="M713" s="79"/>
      <c r="N713" s="139"/>
      <c r="O713" s="139"/>
      <c r="P713" s="138"/>
      <c r="Q713" s="147"/>
      <c r="R713" s="147"/>
      <c r="S713" s="147"/>
      <c r="T713" s="138">
        <f t="shared" si="60"/>
        <v>0</v>
      </c>
      <c r="U713" s="138">
        <f t="shared" si="60"/>
        <v>0</v>
      </c>
      <c r="V713" s="147"/>
      <c r="W713" s="148">
        <f t="shared" si="61"/>
        <v>0</v>
      </c>
      <c r="X713" s="81"/>
    </row>
    <row r="714" spans="1:24" s="113" customFormat="1" x14ac:dyDescent="0.25">
      <c r="A714" s="140">
        <f t="shared" si="62"/>
        <v>53</v>
      </c>
      <c r="B714" s="157"/>
      <c r="C714" s="157"/>
      <c r="D714" s="100"/>
      <c r="E714" s="79"/>
      <c r="F714" s="153"/>
      <c r="G714" s="137"/>
      <c r="H714" s="158"/>
      <c r="I714" s="79"/>
      <c r="J714" s="139"/>
      <c r="K714" s="139"/>
      <c r="L714" s="98"/>
      <c r="M714" s="79"/>
      <c r="N714" s="139"/>
      <c r="O714" s="139"/>
      <c r="P714" s="138"/>
      <c r="Q714" s="147"/>
      <c r="R714" s="147"/>
      <c r="S714" s="147"/>
      <c r="T714" s="138">
        <f t="shared" si="60"/>
        <v>0</v>
      </c>
      <c r="U714" s="138">
        <f t="shared" si="60"/>
        <v>0</v>
      </c>
      <c r="V714" s="147"/>
      <c r="W714" s="148">
        <f>U714-T714</f>
        <v>0</v>
      </c>
      <c r="X714" s="81"/>
    </row>
    <row r="715" spans="1:24" s="113" customFormat="1" x14ac:dyDescent="0.25">
      <c r="A715" s="140">
        <f t="shared" si="62"/>
        <v>53</v>
      </c>
      <c r="B715" s="157"/>
      <c r="C715" s="157"/>
      <c r="D715" s="100"/>
      <c r="E715" s="79"/>
      <c r="F715" s="153"/>
      <c r="G715" s="137"/>
      <c r="H715" s="158"/>
      <c r="I715" s="79"/>
      <c r="J715" s="139"/>
      <c r="K715" s="139"/>
      <c r="L715" s="98"/>
      <c r="M715" s="79"/>
      <c r="N715" s="139"/>
      <c r="O715" s="139"/>
      <c r="P715" s="138"/>
      <c r="Q715" s="147"/>
      <c r="R715" s="147"/>
      <c r="S715" s="147"/>
      <c r="T715" s="138">
        <f t="shared" si="60"/>
        <v>0</v>
      </c>
      <c r="U715" s="138">
        <f t="shared" si="60"/>
        <v>0</v>
      </c>
      <c r="V715" s="147"/>
      <c r="W715" s="148">
        <f>U715-T715</f>
        <v>0</v>
      </c>
      <c r="X715" s="81"/>
    </row>
    <row r="716" spans="1:24" s="113" customFormat="1" x14ac:dyDescent="0.25">
      <c r="A716" s="140">
        <f t="shared" si="62"/>
        <v>53</v>
      </c>
      <c r="B716" s="157"/>
      <c r="C716" s="157"/>
      <c r="D716" s="100"/>
      <c r="E716" s="79"/>
      <c r="F716" s="153"/>
      <c r="G716" s="137"/>
      <c r="H716" s="158"/>
      <c r="I716" s="79"/>
      <c r="J716" s="139"/>
      <c r="K716" s="139"/>
      <c r="L716" s="98"/>
      <c r="M716" s="79"/>
      <c r="N716" s="139"/>
      <c r="O716" s="139"/>
      <c r="P716" s="138"/>
      <c r="Q716" s="147"/>
      <c r="R716" s="147"/>
      <c r="S716" s="147"/>
      <c r="T716" s="138">
        <f t="shared" si="60"/>
        <v>0</v>
      </c>
      <c r="U716" s="138">
        <f t="shared" si="60"/>
        <v>0</v>
      </c>
      <c r="V716" s="147"/>
      <c r="W716" s="148">
        <f>U716-T716</f>
        <v>0</v>
      </c>
      <c r="X716" s="81"/>
    </row>
    <row r="717" spans="1:24" s="113" customFormat="1" x14ac:dyDescent="0.25">
      <c r="A717" s="140">
        <f t="shared" si="62"/>
        <v>53</v>
      </c>
      <c r="B717" s="157"/>
      <c r="C717" s="157"/>
      <c r="D717" s="100"/>
      <c r="E717" s="79"/>
      <c r="F717" s="153"/>
      <c r="G717" s="137"/>
      <c r="H717" s="158"/>
      <c r="I717" s="79"/>
      <c r="J717" s="139"/>
      <c r="K717" s="139"/>
      <c r="L717" s="98"/>
      <c r="M717" s="79"/>
      <c r="N717" s="139"/>
      <c r="O717" s="139"/>
      <c r="P717" s="138"/>
      <c r="Q717" s="147"/>
      <c r="R717" s="147"/>
      <c r="S717" s="147"/>
      <c r="T717" s="138">
        <f t="shared" si="60"/>
        <v>0</v>
      </c>
      <c r="U717" s="138">
        <f t="shared" si="60"/>
        <v>0</v>
      </c>
      <c r="V717" s="147"/>
      <c r="W717" s="148">
        <f t="shared" si="61"/>
        <v>0</v>
      </c>
      <c r="X717" s="81"/>
    </row>
    <row r="718" spans="1:24" s="113" customFormat="1" x14ac:dyDescent="0.25">
      <c r="A718" s="140">
        <f t="shared" si="62"/>
        <v>53</v>
      </c>
      <c r="B718" s="157"/>
      <c r="C718" s="157"/>
      <c r="D718" s="100"/>
      <c r="E718" s="79"/>
      <c r="F718" s="153"/>
      <c r="G718" s="137"/>
      <c r="H718" s="158"/>
      <c r="I718" s="79"/>
      <c r="J718" s="139"/>
      <c r="K718" s="139"/>
      <c r="L718" s="98"/>
      <c r="M718" s="79"/>
      <c r="N718" s="139"/>
      <c r="O718" s="139"/>
      <c r="P718" s="138"/>
      <c r="Q718" s="147"/>
      <c r="R718" s="147"/>
      <c r="S718" s="147"/>
      <c r="T718" s="138">
        <f t="shared" si="60"/>
        <v>0</v>
      </c>
      <c r="U718" s="138">
        <f t="shared" si="60"/>
        <v>0</v>
      </c>
      <c r="V718" s="147"/>
      <c r="W718" s="148">
        <f t="shared" si="61"/>
        <v>0</v>
      </c>
      <c r="X718" s="81"/>
    </row>
    <row r="719" spans="1:24" s="113" customFormat="1" x14ac:dyDescent="0.25">
      <c r="A719" s="140">
        <f t="shared" si="62"/>
        <v>53</v>
      </c>
      <c r="B719" s="157"/>
      <c r="C719" s="157"/>
      <c r="D719" s="100"/>
      <c r="E719" s="79"/>
      <c r="F719" s="153"/>
      <c r="G719" s="137"/>
      <c r="H719" s="158"/>
      <c r="I719" s="79"/>
      <c r="J719" s="139"/>
      <c r="K719" s="139"/>
      <c r="L719" s="98"/>
      <c r="M719" s="79"/>
      <c r="N719" s="139"/>
      <c r="O719" s="139"/>
      <c r="P719" s="138"/>
      <c r="Q719" s="147"/>
      <c r="R719" s="147"/>
      <c r="S719" s="147"/>
      <c r="T719" s="138">
        <f t="shared" si="60"/>
        <v>0</v>
      </c>
      <c r="U719" s="138">
        <f t="shared" si="60"/>
        <v>0</v>
      </c>
      <c r="V719" s="147"/>
      <c r="W719" s="148">
        <f t="shared" si="61"/>
        <v>0</v>
      </c>
      <c r="X719" s="81"/>
    </row>
    <row r="720" spans="1:24" s="113" customFormat="1" x14ac:dyDescent="0.25">
      <c r="A720" s="140">
        <f t="shared" si="62"/>
        <v>53</v>
      </c>
      <c r="B720" s="157"/>
      <c r="C720" s="157"/>
      <c r="D720" s="100"/>
      <c r="E720" s="79"/>
      <c r="F720" s="153"/>
      <c r="G720" s="137"/>
      <c r="H720" s="158"/>
      <c r="I720" s="79"/>
      <c r="J720" s="139"/>
      <c r="K720" s="139"/>
      <c r="L720" s="98"/>
      <c r="M720" s="79"/>
      <c r="N720" s="139"/>
      <c r="O720" s="139"/>
      <c r="P720" s="138"/>
      <c r="Q720" s="147"/>
      <c r="R720" s="147"/>
      <c r="S720" s="147"/>
      <c r="T720" s="138">
        <f t="shared" si="60"/>
        <v>0</v>
      </c>
      <c r="U720" s="138">
        <f t="shared" si="60"/>
        <v>0</v>
      </c>
      <c r="V720" s="147"/>
      <c r="W720" s="148">
        <f t="shared" si="61"/>
        <v>0</v>
      </c>
      <c r="X720" s="81"/>
    </row>
    <row r="721" spans="1:24" s="113" customFormat="1" x14ac:dyDescent="0.25">
      <c r="A721" s="140">
        <f t="shared" si="62"/>
        <v>53</v>
      </c>
      <c r="B721" s="157"/>
      <c r="C721" s="157"/>
      <c r="D721" s="100"/>
      <c r="E721" s="79"/>
      <c r="F721" s="153"/>
      <c r="G721" s="137"/>
      <c r="H721" s="158"/>
      <c r="I721" s="79"/>
      <c r="J721" s="139"/>
      <c r="K721" s="139"/>
      <c r="L721" s="98"/>
      <c r="M721" s="79"/>
      <c r="N721" s="139"/>
      <c r="O721" s="139"/>
      <c r="P721" s="138"/>
      <c r="Q721" s="147"/>
      <c r="R721" s="147"/>
      <c r="S721" s="147"/>
      <c r="T721" s="138">
        <f t="shared" si="60"/>
        <v>0</v>
      </c>
      <c r="U721" s="138">
        <f t="shared" si="60"/>
        <v>0</v>
      </c>
      <c r="V721" s="147"/>
      <c r="W721" s="148">
        <f t="shared" si="61"/>
        <v>0</v>
      </c>
      <c r="X721" s="81"/>
    </row>
    <row r="722" spans="1:24" s="113" customFormat="1" x14ac:dyDescent="0.25">
      <c r="A722" s="140">
        <f t="shared" si="62"/>
        <v>53</v>
      </c>
      <c r="B722" s="157"/>
      <c r="C722" s="157"/>
      <c r="D722" s="100"/>
      <c r="E722" s="79"/>
      <c r="F722" s="153"/>
      <c r="G722" s="137"/>
      <c r="H722" s="158"/>
      <c r="I722" s="79"/>
      <c r="J722" s="139"/>
      <c r="K722" s="139"/>
      <c r="L722" s="98"/>
      <c r="M722" s="79"/>
      <c r="N722" s="139"/>
      <c r="O722" s="139"/>
      <c r="P722" s="138"/>
      <c r="Q722" s="147"/>
      <c r="R722" s="147"/>
      <c r="S722" s="147"/>
      <c r="T722" s="138">
        <f t="shared" si="60"/>
        <v>0</v>
      </c>
      <c r="U722" s="138">
        <f t="shared" si="60"/>
        <v>0</v>
      </c>
      <c r="V722" s="147"/>
      <c r="W722" s="148">
        <f t="shared" si="61"/>
        <v>0</v>
      </c>
      <c r="X722" s="81"/>
    </row>
    <row r="723" spans="1:24" s="113" customFormat="1" x14ac:dyDescent="0.25">
      <c r="A723" s="140">
        <f t="shared" si="62"/>
        <v>53</v>
      </c>
      <c r="B723" s="157"/>
      <c r="C723" s="157"/>
      <c r="D723" s="100"/>
      <c r="E723" s="79"/>
      <c r="F723" s="153"/>
      <c r="G723" s="137"/>
      <c r="H723" s="158"/>
      <c r="I723" s="79"/>
      <c r="J723" s="139"/>
      <c r="K723" s="139"/>
      <c r="L723" s="98"/>
      <c r="M723" s="79"/>
      <c r="N723" s="139"/>
      <c r="O723" s="139"/>
      <c r="P723" s="138"/>
      <c r="Q723" s="147"/>
      <c r="R723" s="147"/>
      <c r="S723" s="147"/>
      <c r="T723" s="138">
        <f t="shared" si="60"/>
        <v>0</v>
      </c>
      <c r="U723" s="138">
        <f t="shared" si="60"/>
        <v>0</v>
      </c>
      <c r="V723" s="147"/>
      <c r="W723" s="148">
        <f t="shared" si="61"/>
        <v>0</v>
      </c>
      <c r="X723" s="81"/>
    </row>
    <row r="724" spans="1:24" s="113" customFormat="1" x14ac:dyDescent="0.25">
      <c r="A724" s="140">
        <f t="shared" si="62"/>
        <v>53</v>
      </c>
      <c r="B724" s="157"/>
      <c r="C724" s="157"/>
      <c r="D724" s="100"/>
      <c r="E724" s="79"/>
      <c r="F724" s="153"/>
      <c r="G724" s="137"/>
      <c r="H724" s="158"/>
      <c r="I724" s="79"/>
      <c r="J724" s="139"/>
      <c r="K724" s="139"/>
      <c r="L724" s="98"/>
      <c r="M724" s="79"/>
      <c r="N724" s="139"/>
      <c r="O724" s="139"/>
      <c r="P724" s="138"/>
      <c r="Q724" s="147"/>
      <c r="R724" s="147"/>
      <c r="S724" s="147"/>
      <c r="T724" s="138">
        <f t="shared" si="60"/>
        <v>0</v>
      </c>
      <c r="U724" s="138">
        <f t="shared" si="60"/>
        <v>0</v>
      </c>
      <c r="V724" s="147"/>
      <c r="W724" s="148">
        <f t="shared" si="61"/>
        <v>0</v>
      </c>
      <c r="X724" s="81"/>
    </row>
    <row r="725" spans="1:24" s="113" customFormat="1" x14ac:dyDescent="0.25">
      <c r="A725" s="140">
        <f t="shared" si="62"/>
        <v>53</v>
      </c>
      <c r="B725" s="157"/>
      <c r="C725" s="157"/>
      <c r="D725" s="100"/>
      <c r="E725" s="79"/>
      <c r="F725" s="153"/>
      <c r="G725" s="137"/>
      <c r="H725" s="158"/>
      <c r="I725" s="79"/>
      <c r="J725" s="139"/>
      <c r="K725" s="139"/>
      <c r="L725" s="98"/>
      <c r="M725" s="79"/>
      <c r="N725" s="139"/>
      <c r="O725" s="139"/>
      <c r="P725" s="138"/>
      <c r="Q725" s="147"/>
      <c r="R725" s="147"/>
      <c r="S725" s="147"/>
      <c r="T725" s="138">
        <f t="shared" ref="T725:U788" si="63">R725-Q725</f>
        <v>0</v>
      </c>
      <c r="U725" s="138">
        <f t="shared" si="63"/>
        <v>0</v>
      </c>
      <c r="V725" s="147"/>
      <c r="W725" s="148">
        <f t="shared" si="61"/>
        <v>0</v>
      </c>
      <c r="X725" s="81"/>
    </row>
    <row r="726" spans="1:24" s="113" customFormat="1" x14ac:dyDescent="0.25">
      <c r="A726" s="140">
        <f t="shared" si="62"/>
        <v>53</v>
      </c>
      <c r="B726" s="157"/>
      <c r="C726" s="157"/>
      <c r="D726" s="100"/>
      <c r="E726" s="79"/>
      <c r="F726" s="153"/>
      <c r="G726" s="137"/>
      <c r="H726" s="158"/>
      <c r="I726" s="79"/>
      <c r="J726" s="139"/>
      <c r="K726" s="139"/>
      <c r="L726" s="98"/>
      <c r="M726" s="79"/>
      <c r="N726" s="139"/>
      <c r="O726" s="139"/>
      <c r="P726" s="138"/>
      <c r="Q726" s="147"/>
      <c r="R726" s="147"/>
      <c r="S726" s="147"/>
      <c r="T726" s="138">
        <f t="shared" si="63"/>
        <v>0</v>
      </c>
      <c r="U726" s="138">
        <f t="shared" si="63"/>
        <v>0</v>
      </c>
      <c r="V726" s="147"/>
      <c r="W726" s="148">
        <f>U726-T726</f>
        <v>0</v>
      </c>
      <c r="X726" s="81"/>
    </row>
    <row r="727" spans="1:24" s="113" customFormat="1" x14ac:dyDescent="0.25">
      <c r="A727" s="140">
        <f t="shared" si="62"/>
        <v>53</v>
      </c>
      <c r="B727" s="157"/>
      <c r="C727" s="157"/>
      <c r="D727" s="100"/>
      <c r="E727" s="79"/>
      <c r="F727" s="153"/>
      <c r="G727" s="137"/>
      <c r="H727" s="158"/>
      <c r="I727" s="79"/>
      <c r="J727" s="139"/>
      <c r="K727" s="139"/>
      <c r="L727" s="98"/>
      <c r="M727" s="79"/>
      <c r="N727" s="139"/>
      <c r="O727" s="139"/>
      <c r="P727" s="138"/>
      <c r="Q727" s="147"/>
      <c r="R727" s="147"/>
      <c r="S727" s="147"/>
      <c r="T727" s="138">
        <f t="shared" si="63"/>
        <v>0</v>
      </c>
      <c r="U727" s="138">
        <f t="shared" si="63"/>
        <v>0</v>
      </c>
      <c r="V727" s="147"/>
      <c r="W727" s="148">
        <f>U727-T727</f>
        <v>0</v>
      </c>
      <c r="X727" s="81"/>
    </row>
    <row r="728" spans="1:24" s="113" customFormat="1" x14ac:dyDescent="0.25">
      <c r="A728" s="140">
        <f t="shared" si="62"/>
        <v>53</v>
      </c>
      <c r="B728" s="157"/>
      <c r="C728" s="157"/>
      <c r="D728" s="100"/>
      <c r="E728" s="79"/>
      <c r="F728" s="153"/>
      <c r="G728" s="137"/>
      <c r="H728" s="158"/>
      <c r="I728" s="79"/>
      <c r="J728" s="139"/>
      <c r="K728" s="139"/>
      <c r="L728" s="98"/>
      <c r="M728" s="79"/>
      <c r="N728" s="139"/>
      <c r="O728" s="139"/>
      <c r="P728" s="138"/>
      <c r="Q728" s="147"/>
      <c r="R728" s="147"/>
      <c r="S728" s="147"/>
      <c r="T728" s="138">
        <f t="shared" si="63"/>
        <v>0</v>
      </c>
      <c r="U728" s="138">
        <f t="shared" si="63"/>
        <v>0</v>
      </c>
      <c r="V728" s="147"/>
      <c r="W728" s="148">
        <f>U728-T728</f>
        <v>0</v>
      </c>
      <c r="X728" s="81"/>
    </row>
    <row r="729" spans="1:24" s="113" customFormat="1" x14ac:dyDescent="0.25">
      <c r="A729" s="140">
        <f t="shared" si="62"/>
        <v>53</v>
      </c>
      <c r="B729" s="157"/>
      <c r="C729" s="157"/>
      <c r="D729" s="100"/>
      <c r="E729" s="79"/>
      <c r="F729" s="153"/>
      <c r="G729" s="137"/>
      <c r="H729" s="158"/>
      <c r="I729" s="79"/>
      <c r="J729" s="139"/>
      <c r="K729" s="139"/>
      <c r="L729" s="98"/>
      <c r="M729" s="79"/>
      <c r="N729" s="139"/>
      <c r="O729" s="139"/>
      <c r="P729" s="138"/>
      <c r="Q729" s="147"/>
      <c r="R729" s="147"/>
      <c r="S729" s="147"/>
      <c r="T729" s="138">
        <f t="shared" si="63"/>
        <v>0</v>
      </c>
      <c r="U729" s="138">
        <f t="shared" si="63"/>
        <v>0</v>
      </c>
      <c r="V729" s="147"/>
      <c r="W729" s="148">
        <f t="shared" si="61"/>
        <v>0</v>
      </c>
      <c r="X729" s="81"/>
    </row>
    <row r="730" spans="1:24" s="113" customFormat="1" x14ac:dyDescent="0.25">
      <c r="A730" s="140">
        <f t="shared" si="62"/>
        <v>53</v>
      </c>
      <c r="B730" s="157"/>
      <c r="C730" s="157"/>
      <c r="D730" s="100"/>
      <c r="E730" s="79"/>
      <c r="F730" s="153"/>
      <c r="G730" s="137"/>
      <c r="H730" s="158"/>
      <c r="I730" s="79"/>
      <c r="J730" s="139"/>
      <c r="K730" s="139"/>
      <c r="L730" s="98"/>
      <c r="M730" s="79"/>
      <c r="N730" s="139"/>
      <c r="O730" s="139"/>
      <c r="P730" s="138"/>
      <c r="Q730" s="147"/>
      <c r="R730" s="147"/>
      <c r="S730" s="147"/>
      <c r="T730" s="138">
        <f t="shared" si="63"/>
        <v>0</v>
      </c>
      <c r="U730" s="138">
        <f t="shared" si="63"/>
        <v>0</v>
      </c>
      <c r="V730" s="147"/>
      <c r="W730" s="148">
        <f t="shared" si="61"/>
        <v>0</v>
      </c>
      <c r="X730" s="81"/>
    </row>
    <row r="731" spans="1:24" s="113" customFormat="1" x14ac:dyDescent="0.25">
      <c r="A731" s="140">
        <f t="shared" si="62"/>
        <v>53</v>
      </c>
      <c r="B731" s="157"/>
      <c r="C731" s="157"/>
      <c r="D731" s="100"/>
      <c r="E731" s="79"/>
      <c r="F731" s="153"/>
      <c r="G731" s="137"/>
      <c r="H731" s="158"/>
      <c r="I731" s="79"/>
      <c r="J731" s="139"/>
      <c r="K731" s="139"/>
      <c r="L731" s="98"/>
      <c r="M731" s="79"/>
      <c r="N731" s="139"/>
      <c r="O731" s="139"/>
      <c r="P731" s="138"/>
      <c r="Q731" s="147"/>
      <c r="R731" s="147"/>
      <c r="S731" s="147"/>
      <c r="T731" s="138">
        <f t="shared" si="63"/>
        <v>0</v>
      </c>
      <c r="U731" s="138">
        <f t="shared" si="63"/>
        <v>0</v>
      </c>
      <c r="V731" s="147"/>
      <c r="W731" s="148">
        <f t="shared" si="61"/>
        <v>0</v>
      </c>
      <c r="X731" s="81"/>
    </row>
    <row r="732" spans="1:24" s="113" customFormat="1" x14ac:dyDescent="0.25">
      <c r="A732" s="140">
        <f t="shared" si="62"/>
        <v>53</v>
      </c>
      <c r="B732" s="157"/>
      <c r="C732" s="157"/>
      <c r="D732" s="100"/>
      <c r="E732" s="79"/>
      <c r="F732" s="153"/>
      <c r="G732" s="137"/>
      <c r="H732" s="158"/>
      <c r="I732" s="79"/>
      <c r="J732" s="139"/>
      <c r="K732" s="139"/>
      <c r="L732" s="98"/>
      <c r="M732" s="79"/>
      <c r="N732" s="139"/>
      <c r="O732" s="139"/>
      <c r="P732" s="138"/>
      <c r="Q732" s="147"/>
      <c r="R732" s="147"/>
      <c r="S732" s="147"/>
      <c r="T732" s="138">
        <f t="shared" si="63"/>
        <v>0</v>
      </c>
      <c r="U732" s="138">
        <f t="shared" si="63"/>
        <v>0</v>
      </c>
      <c r="V732" s="147"/>
      <c r="W732" s="148">
        <f t="shared" si="61"/>
        <v>0</v>
      </c>
      <c r="X732" s="81"/>
    </row>
    <row r="733" spans="1:24" s="113" customFormat="1" x14ac:dyDescent="0.25">
      <c r="A733" s="140">
        <f t="shared" si="62"/>
        <v>53</v>
      </c>
      <c r="B733" s="157"/>
      <c r="C733" s="157"/>
      <c r="D733" s="100"/>
      <c r="E733" s="79"/>
      <c r="F733" s="153"/>
      <c r="G733" s="137"/>
      <c r="H733" s="158"/>
      <c r="I733" s="79"/>
      <c r="J733" s="139"/>
      <c r="K733" s="139"/>
      <c r="L733" s="98"/>
      <c r="M733" s="79"/>
      <c r="N733" s="139"/>
      <c r="O733" s="139"/>
      <c r="P733" s="138"/>
      <c r="Q733" s="147"/>
      <c r="R733" s="147"/>
      <c r="S733" s="147"/>
      <c r="T733" s="138">
        <f t="shared" si="63"/>
        <v>0</v>
      </c>
      <c r="U733" s="138">
        <f t="shared" si="63"/>
        <v>0</v>
      </c>
      <c r="V733" s="147"/>
      <c r="W733" s="148">
        <f t="shared" si="61"/>
        <v>0</v>
      </c>
      <c r="X733" s="81"/>
    </row>
    <row r="734" spans="1:24" s="113" customFormat="1" x14ac:dyDescent="0.25">
      <c r="A734" s="140">
        <f t="shared" si="62"/>
        <v>53</v>
      </c>
      <c r="B734" s="157"/>
      <c r="C734" s="157"/>
      <c r="D734" s="100"/>
      <c r="E734" s="79"/>
      <c r="F734" s="153"/>
      <c r="G734" s="137"/>
      <c r="H734" s="158"/>
      <c r="I734" s="79"/>
      <c r="J734" s="139"/>
      <c r="K734" s="139"/>
      <c r="L734" s="98"/>
      <c r="M734" s="79"/>
      <c r="N734" s="139"/>
      <c r="O734" s="139"/>
      <c r="P734" s="138"/>
      <c r="Q734" s="147"/>
      <c r="R734" s="147"/>
      <c r="S734" s="147"/>
      <c r="T734" s="138">
        <f t="shared" si="63"/>
        <v>0</v>
      </c>
      <c r="U734" s="138">
        <f t="shared" si="63"/>
        <v>0</v>
      </c>
      <c r="V734" s="147"/>
      <c r="W734" s="148">
        <f t="shared" si="61"/>
        <v>0</v>
      </c>
      <c r="X734" s="81"/>
    </row>
    <row r="735" spans="1:24" s="113" customFormat="1" x14ac:dyDescent="0.25">
      <c r="A735" s="140">
        <f t="shared" si="62"/>
        <v>53</v>
      </c>
      <c r="B735" s="157"/>
      <c r="C735" s="157"/>
      <c r="D735" s="100"/>
      <c r="E735" s="79"/>
      <c r="F735" s="153"/>
      <c r="G735" s="137"/>
      <c r="H735" s="158"/>
      <c r="I735" s="79"/>
      <c r="J735" s="139"/>
      <c r="K735" s="139"/>
      <c r="L735" s="98"/>
      <c r="M735" s="79"/>
      <c r="N735" s="139"/>
      <c r="O735" s="139"/>
      <c r="P735" s="138"/>
      <c r="Q735" s="147"/>
      <c r="R735" s="147"/>
      <c r="S735" s="147"/>
      <c r="T735" s="138">
        <f t="shared" si="63"/>
        <v>0</v>
      </c>
      <c r="U735" s="138">
        <f t="shared" si="63"/>
        <v>0</v>
      </c>
      <c r="V735" s="147"/>
      <c r="W735" s="148">
        <f t="shared" si="61"/>
        <v>0</v>
      </c>
      <c r="X735" s="81"/>
    </row>
    <row r="736" spans="1:24" s="113" customFormat="1" x14ac:dyDescent="0.25">
      <c r="A736" s="140">
        <f t="shared" si="62"/>
        <v>53</v>
      </c>
      <c r="B736" s="157"/>
      <c r="C736" s="157"/>
      <c r="D736" s="100"/>
      <c r="E736" s="79"/>
      <c r="F736" s="153"/>
      <c r="G736" s="137"/>
      <c r="H736" s="158"/>
      <c r="I736" s="79"/>
      <c r="J736" s="139"/>
      <c r="K736" s="139"/>
      <c r="L736" s="98"/>
      <c r="M736" s="79"/>
      <c r="N736" s="139"/>
      <c r="O736" s="139"/>
      <c r="P736" s="138"/>
      <c r="Q736" s="147"/>
      <c r="R736" s="147"/>
      <c r="S736" s="147"/>
      <c r="T736" s="138">
        <f t="shared" si="63"/>
        <v>0</v>
      </c>
      <c r="U736" s="138">
        <f t="shared" si="63"/>
        <v>0</v>
      </c>
      <c r="V736" s="147"/>
      <c r="W736" s="148">
        <f t="shared" si="61"/>
        <v>0</v>
      </c>
      <c r="X736" s="81"/>
    </row>
    <row r="737" spans="1:24" s="113" customFormat="1" x14ac:dyDescent="0.25">
      <c r="A737" s="140">
        <f t="shared" si="62"/>
        <v>53</v>
      </c>
      <c r="B737" s="157"/>
      <c r="C737" s="157"/>
      <c r="D737" s="100"/>
      <c r="E737" s="79"/>
      <c r="F737" s="153"/>
      <c r="G737" s="137"/>
      <c r="H737" s="158"/>
      <c r="I737" s="79"/>
      <c r="J737" s="139"/>
      <c r="K737" s="139"/>
      <c r="L737" s="98"/>
      <c r="M737" s="79"/>
      <c r="N737" s="139"/>
      <c r="O737" s="139"/>
      <c r="P737" s="138"/>
      <c r="Q737" s="147"/>
      <c r="R737" s="147"/>
      <c r="S737" s="147"/>
      <c r="T737" s="138">
        <f t="shared" si="63"/>
        <v>0</v>
      </c>
      <c r="U737" s="138">
        <f t="shared" si="63"/>
        <v>0</v>
      </c>
      <c r="V737" s="147"/>
      <c r="W737" s="148">
        <f t="shared" si="61"/>
        <v>0</v>
      </c>
      <c r="X737" s="81"/>
    </row>
    <row r="738" spans="1:24" s="113" customFormat="1" x14ac:dyDescent="0.25">
      <c r="A738" s="140">
        <f t="shared" si="62"/>
        <v>53</v>
      </c>
      <c r="B738" s="157"/>
      <c r="C738" s="157"/>
      <c r="D738" s="100"/>
      <c r="E738" s="79"/>
      <c r="F738" s="153"/>
      <c r="G738" s="137"/>
      <c r="H738" s="158"/>
      <c r="I738" s="79"/>
      <c r="J738" s="139"/>
      <c r="K738" s="139"/>
      <c r="L738" s="98"/>
      <c r="M738" s="79"/>
      <c r="N738" s="139"/>
      <c r="O738" s="139"/>
      <c r="P738" s="138"/>
      <c r="Q738" s="147"/>
      <c r="R738" s="147"/>
      <c r="S738" s="147"/>
      <c r="T738" s="138">
        <f t="shared" si="63"/>
        <v>0</v>
      </c>
      <c r="U738" s="138">
        <f t="shared" si="63"/>
        <v>0</v>
      </c>
      <c r="V738" s="147"/>
      <c r="W738" s="148">
        <f>U738-T738</f>
        <v>0</v>
      </c>
      <c r="X738" s="81"/>
    </row>
    <row r="739" spans="1:24" s="113" customFormat="1" x14ac:dyDescent="0.25">
      <c r="A739" s="140">
        <f t="shared" si="62"/>
        <v>53</v>
      </c>
      <c r="B739" s="157"/>
      <c r="C739" s="157"/>
      <c r="D739" s="100"/>
      <c r="E739" s="79"/>
      <c r="F739" s="153"/>
      <c r="G739" s="137"/>
      <c r="H739" s="158"/>
      <c r="I739" s="79"/>
      <c r="J739" s="139"/>
      <c r="K739" s="139"/>
      <c r="L739" s="98"/>
      <c r="M739" s="79"/>
      <c r="N739" s="139"/>
      <c r="O739" s="139"/>
      <c r="P739" s="138"/>
      <c r="Q739" s="147"/>
      <c r="R739" s="147"/>
      <c r="S739" s="147"/>
      <c r="T739" s="138">
        <f t="shared" si="63"/>
        <v>0</v>
      </c>
      <c r="U739" s="138">
        <f t="shared" si="63"/>
        <v>0</v>
      </c>
      <c r="V739" s="147"/>
      <c r="W739" s="148">
        <f>U739-T739</f>
        <v>0</v>
      </c>
      <c r="X739" s="81"/>
    </row>
    <row r="740" spans="1:24" s="113" customFormat="1" x14ac:dyDescent="0.25">
      <c r="A740" s="140">
        <f t="shared" si="62"/>
        <v>53</v>
      </c>
      <c r="B740" s="157"/>
      <c r="C740" s="157"/>
      <c r="D740" s="100"/>
      <c r="E740" s="79"/>
      <c r="F740" s="153"/>
      <c r="G740" s="137"/>
      <c r="H740" s="158"/>
      <c r="I740" s="79"/>
      <c r="J740" s="139"/>
      <c r="K740" s="139"/>
      <c r="L740" s="98"/>
      <c r="M740" s="79"/>
      <c r="N740" s="139"/>
      <c r="O740" s="139"/>
      <c r="P740" s="138"/>
      <c r="Q740" s="147"/>
      <c r="R740" s="147"/>
      <c r="S740" s="147"/>
      <c r="T740" s="138">
        <f t="shared" si="63"/>
        <v>0</v>
      </c>
      <c r="U740" s="138">
        <f t="shared" si="63"/>
        <v>0</v>
      </c>
      <c r="V740" s="147"/>
      <c r="W740" s="148">
        <f>U740-T740</f>
        <v>0</v>
      </c>
      <c r="X740" s="81"/>
    </row>
    <row r="741" spans="1:24" s="113" customFormat="1" x14ac:dyDescent="0.25">
      <c r="A741" s="140">
        <f t="shared" si="62"/>
        <v>53</v>
      </c>
      <c r="B741" s="157"/>
      <c r="C741" s="157"/>
      <c r="D741" s="100"/>
      <c r="E741" s="79"/>
      <c r="F741" s="153"/>
      <c r="G741" s="137"/>
      <c r="H741" s="158"/>
      <c r="I741" s="79"/>
      <c r="J741" s="139"/>
      <c r="K741" s="139"/>
      <c r="L741" s="98"/>
      <c r="M741" s="79"/>
      <c r="N741" s="139"/>
      <c r="O741" s="139"/>
      <c r="P741" s="138"/>
      <c r="Q741" s="147"/>
      <c r="R741" s="147"/>
      <c r="S741" s="147"/>
      <c r="T741" s="138">
        <f t="shared" si="63"/>
        <v>0</v>
      </c>
      <c r="U741" s="138">
        <f t="shared" si="63"/>
        <v>0</v>
      </c>
      <c r="V741" s="147"/>
      <c r="W741" s="148">
        <f t="shared" si="61"/>
        <v>0</v>
      </c>
      <c r="X741" s="81"/>
    </row>
    <row r="742" spans="1:24" s="113" customFormat="1" x14ac:dyDescent="0.25">
      <c r="A742" s="140">
        <f t="shared" si="62"/>
        <v>53</v>
      </c>
      <c r="B742" s="157"/>
      <c r="C742" s="157"/>
      <c r="D742" s="100"/>
      <c r="E742" s="79"/>
      <c r="F742" s="153"/>
      <c r="G742" s="137"/>
      <c r="H742" s="158"/>
      <c r="I742" s="79"/>
      <c r="J742" s="139"/>
      <c r="K742" s="139"/>
      <c r="L742" s="98"/>
      <c r="M742" s="79"/>
      <c r="N742" s="139"/>
      <c r="O742" s="139"/>
      <c r="P742" s="138"/>
      <c r="Q742" s="147"/>
      <c r="R742" s="147"/>
      <c r="S742" s="147"/>
      <c r="T742" s="138">
        <f t="shared" si="63"/>
        <v>0</v>
      </c>
      <c r="U742" s="138">
        <f t="shared" si="63"/>
        <v>0</v>
      </c>
      <c r="V742" s="147"/>
      <c r="W742" s="148">
        <f t="shared" si="61"/>
        <v>0</v>
      </c>
      <c r="X742" s="81"/>
    </row>
    <row r="743" spans="1:24" s="113" customFormat="1" x14ac:dyDescent="0.25">
      <c r="A743" s="140">
        <f t="shared" si="62"/>
        <v>53</v>
      </c>
      <c r="B743" s="157"/>
      <c r="C743" s="157"/>
      <c r="D743" s="100"/>
      <c r="E743" s="79"/>
      <c r="F743" s="153"/>
      <c r="G743" s="137"/>
      <c r="H743" s="158"/>
      <c r="I743" s="79"/>
      <c r="J743" s="139"/>
      <c r="K743" s="139"/>
      <c r="L743" s="98"/>
      <c r="M743" s="79"/>
      <c r="N743" s="139"/>
      <c r="O743" s="139"/>
      <c r="P743" s="138"/>
      <c r="Q743" s="147"/>
      <c r="R743" s="147"/>
      <c r="S743" s="147"/>
      <c r="T743" s="138">
        <f t="shared" si="63"/>
        <v>0</v>
      </c>
      <c r="U743" s="138">
        <f t="shared" si="63"/>
        <v>0</v>
      </c>
      <c r="V743" s="147"/>
      <c r="W743" s="148">
        <f t="shared" si="61"/>
        <v>0</v>
      </c>
      <c r="X743" s="81"/>
    </row>
    <row r="744" spans="1:24" s="113" customFormat="1" x14ac:dyDescent="0.25">
      <c r="A744" s="140">
        <f t="shared" si="62"/>
        <v>53</v>
      </c>
      <c r="B744" s="157"/>
      <c r="C744" s="157"/>
      <c r="D744" s="100"/>
      <c r="E744" s="79"/>
      <c r="F744" s="153"/>
      <c r="G744" s="137"/>
      <c r="H744" s="158"/>
      <c r="I744" s="79"/>
      <c r="J744" s="139"/>
      <c r="K744" s="139"/>
      <c r="L744" s="98"/>
      <c r="M744" s="79"/>
      <c r="N744" s="139"/>
      <c r="O744" s="139"/>
      <c r="P744" s="138"/>
      <c r="Q744" s="147"/>
      <c r="R744" s="147"/>
      <c r="S744" s="147"/>
      <c r="T744" s="138">
        <f t="shared" si="63"/>
        <v>0</v>
      </c>
      <c r="U744" s="138">
        <f t="shared" si="63"/>
        <v>0</v>
      </c>
      <c r="V744" s="147"/>
      <c r="W744" s="148">
        <f t="shared" si="61"/>
        <v>0</v>
      </c>
      <c r="X744" s="81"/>
    </row>
    <row r="745" spans="1:24" s="113" customFormat="1" x14ac:dyDescent="0.25">
      <c r="A745" s="140">
        <f t="shared" si="62"/>
        <v>53</v>
      </c>
      <c r="B745" s="157"/>
      <c r="C745" s="157"/>
      <c r="D745" s="100"/>
      <c r="E745" s="79"/>
      <c r="F745" s="153"/>
      <c r="G745" s="137"/>
      <c r="H745" s="158"/>
      <c r="I745" s="79"/>
      <c r="J745" s="139"/>
      <c r="K745" s="139"/>
      <c r="L745" s="98"/>
      <c r="M745" s="79"/>
      <c r="N745" s="139"/>
      <c r="O745" s="139"/>
      <c r="P745" s="138"/>
      <c r="Q745" s="147"/>
      <c r="R745" s="147"/>
      <c r="S745" s="147"/>
      <c r="T745" s="138">
        <f t="shared" si="63"/>
        <v>0</v>
      </c>
      <c r="U745" s="138">
        <f t="shared" si="63"/>
        <v>0</v>
      </c>
      <c r="V745" s="147"/>
      <c r="W745" s="148">
        <f t="shared" si="61"/>
        <v>0</v>
      </c>
      <c r="X745" s="81"/>
    </row>
    <row r="746" spans="1:24" s="113" customFormat="1" x14ac:dyDescent="0.25">
      <c r="A746" s="140">
        <f t="shared" si="62"/>
        <v>53</v>
      </c>
      <c r="B746" s="157"/>
      <c r="C746" s="157"/>
      <c r="D746" s="100"/>
      <c r="E746" s="79"/>
      <c r="F746" s="153"/>
      <c r="G746" s="137"/>
      <c r="H746" s="158"/>
      <c r="I746" s="79"/>
      <c r="J746" s="139"/>
      <c r="K746" s="139"/>
      <c r="L746" s="98"/>
      <c r="M746" s="79"/>
      <c r="N746" s="139"/>
      <c r="O746" s="139"/>
      <c r="P746" s="138"/>
      <c r="Q746" s="147"/>
      <c r="R746" s="147"/>
      <c r="S746" s="147"/>
      <c r="T746" s="138">
        <f t="shared" si="63"/>
        <v>0</v>
      </c>
      <c r="U746" s="138">
        <f t="shared" si="63"/>
        <v>0</v>
      </c>
      <c r="V746" s="147"/>
      <c r="W746" s="148">
        <f t="shared" si="61"/>
        <v>0</v>
      </c>
      <c r="X746" s="81"/>
    </row>
    <row r="747" spans="1:24" s="113" customFormat="1" x14ac:dyDescent="0.25">
      <c r="A747" s="140">
        <f t="shared" si="62"/>
        <v>53</v>
      </c>
      <c r="B747" s="157"/>
      <c r="C747" s="157"/>
      <c r="D747" s="100"/>
      <c r="E747" s="79"/>
      <c r="F747" s="153"/>
      <c r="G747" s="137"/>
      <c r="H747" s="158"/>
      <c r="I747" s="79"/>
      <c r="J747" s="139"/>
      <c r="K747" s="139"/>
      <c r="L747" s="98"/>
      <c r="M747" s="79"/>
      <c r="N747" s="139"/>
      <c r="O747" s="139"/>
      <c r="P747" s="138"/>
      <c r="Q747" s="147"/>
      <c r="R747" s="147"/>
      <c r="S747" s="147"/>
      <c r="T747" s="138">
        <f t="shared" si="63"/>
        <v>0</v>
      </c>
      <c r="U747" s="138">
        <f t="shared" si="63"/>
        <v>0</v>
      </c>
      <c r="V747" s="147"/>
      <c r="W747" s="148">
        <f t="shared" si="61"/>
        <v>0</v>
      </c>
      <c r="X747" s="81"/>
    </row>
    <row r="748" spans="1:24" s="113" customFormat="1" x14ac:dyDescent="0.25">
      <c r="A748" s="140">
        <f t="shared" si="62"/>
        <v>53</v>
      </c>
      <c r="B748" s="157"/>
      <c r="C748" s="157"/>
      <c r="D748" s="100"/>
      <c r="E748" s="79"/>
      <c r="F748" s="153"/>
      <c r="G748" s="137"/>
      <c r="H748" s="158"/>
      <c r="I748" s="79"/>
      <c r="J748" s="139"/>
      <c r="K748" s="139"/>
      <c r="L748" s="98"/>
      <c r="M748" s="79"/>
      <c r="N748" s="139"/>
      <c r="O748" s="139"/>
      <c r="P748" s="138"/>
      <c r="Q748" s="147"/>
      <c r="R748" s="147"/>
      <c r="S748" s="147"/>
      <c r="T748" s="138">
        <f t="shared" si="63"/>
        <v>0</v>
      </c>
      <c r="U748" s="138">
        <f t="shared" si="63"/>
        <v>0</v>
      </c>
      <c r="V748" s="147"/>
      <c r="W748" s="148">
        <f t="shared" si="61"/>
        <v>0</v>
      </c>
      <c r="X748" s="81"/>
    </row>
    <row r="749" spans="1:24" s="113" customFormat="1" x14ac:dyDescent="0.25">
      <c r="A749" s="140">
        <f t="shared" si="62"/>
        <v>53</v>
      </c>
      <c r="B749" s="157"/>
      <c r="C749" s="157"/>
      <c r="D749" s="100"/>
      <c r="E749" s="79"/>
      <c r="F749" s="153"/>
      <c r="G749" s="137"/>
      <c r="H749" s="158"/>
      <c r="I749" s="79"/>
      <c r="J749" s="139"/>
      <c r="K749" s="139"/>
      <c r="L749" s="98"/>
      <c r="M749" s="79"/>
      <c r="N749" s="139"/>
      <c r="O749" s="139"/>
      <c r="P749" s="138"/>
      <c r="Q749" s="147"/>
      <c r="R749" s="147"/>
      <c r="S749" s="147"/>
      <c r="T749" s="138">
        <f t="shared" si="63"/>
        <v>0</v>
      </c>
      <c r="U749" s="138">
        <f t="shared" si="63"/>
        <v>0</v>
      </c>
      <c r="V749" s="147"/>
      <c r="W749" s="148">
        <f t="shared" si="61"/>
        <v>0</v>
      </c>
      <c r="X749" s="81"/>
    </row>
    <row r="750" spans="1:24" s="113" customFormat="1" x14ac:dyDescent="0.25">
      <c r="A750" s="140">
        <f t="shared" si="62"/>
        <v>53</v>
      </c>
      <c r="B750" s="157"/>
      <c r="C750" s="157"/>
      <c r="D750" s="100"/>
      <c r="E750" s="79"/>
      <c r="F750" s="153"/>
      <c r="G750" s="137"/>
      <c r="H750" s="158"/>
      <c r="I750" s="79"/>
      <c r="J750" s="139"/>
      <c r="K750" s="139"/>
      <c r="L750" s="98"/>
      <c r="M750" s="79"/>
      <c r="N750" s="139"/>
      <c r="O750" s="139"/>
      <c r="P750" s="138"/>
      <c r="Q750" s="147"/>
      <c r="R750" s="147"/>
      <c r="S750" s="147"/>
      <c r="T750" s="138">
        <f t="shared" si="63"/>
        <v>0</v>
      </c>
      <c r="U750" s="138">
        <f t="shared" si="63"/>
        <v>0</v>
      </c>
      <c r="V750" s="147"/>
      <c r="W750" s="148">
        <f t="shared" si="61"/>
        <v>0</v>
      </c>
      <c r="X750" s="81"/>
    </row>
    <row r="751" spans="1:24" s="113" customFormat="1" x14ac:dyDescent="0.25">
      <c r="A751" s="140">
        <f t="shared" si="62"/>
        <v>53</v>
      </c>
      <c r="B751" s="157"/>
      <c r="C751" s="157"/>
      <c r="D751" s="100"/>
      <c r="E751" s="79"/>
      <c r="F751" s="153"/>
      <c r="G751" s="137"/>
      <c r="H751" s="158"/>
      <c r="I751" s="79"/>
      <c r="J751" s="139"/>
      <c r="K751" s="139"/>
      <c r="L751" s="98"/>
      <c r="M751" s="79"/>
      <c r="N751" s="139"/>
      <c r="O751" s="139"/>
      <c r="P751" s="138"/>
      <c r="Q751" s="147"/>
      <c r="R751" s="147"/>
      <c r="S751" s="147"/>
      <c r="T751" s="138">
        <f t="shared" si="63"/>
        <v>0</v>
      </c>
      <c r="U751" s="138">
        <f t="shared" si="63"/>
        <v>0</v>
      </c>
      <c r="V751" s="147"/>
      <c r="W751" s="148">
        <f>U751-T751</f>
        <v>0</v>
      </c>
      <c r="X751" s="81"/>
    </row>
    <row r="752" spans="1:24" s="113" customFormat="1" x14ac:dyDescent="0.25">
      <c r="A752" s="140">
        <f t="shared" si="62"/>
        <v>53</v>
      </c>
      <c r="B752" s="157"/>
      <c r="C752" s="157"/>
      <c r="D752" s="100"/>
      <c r="E752" s="79"/>
      <c r="F752" s="153"/>
      <c r="G752" s="137"/>
      <c r="H752" s="158"/>
      <c r="I752" s="79"/>
      <c r="J752" s="139"/>
      <c r="K752" s="139"/>
      <c r="L752" s="98"/>
      <c r="M752" s="79"/>
      <c r="N752" s="139"/>
      <c r="O752" s="139"/>
      <c r="P752" s="138"/>
      <c r="Q752" s="147"/>
      <c r="R752" s="147"/>
      <c r="S752" s="147"/>
      <c r="T752" s="138">
        <f t="shared" si="63"/>
        <v>0</v>
      </c>
      <c r="U752" s="138">
        <f t="shared" si="63"/>
        <v>0</v>
      </c>
      <c r="V752" s="147"/>
      <c r="W752" s="148">
        <f>U752-T752</f>
        <v>0</v>
      </c>
      <c r="X752" s="81"/>
    </row>
    <row r="753" spans="1:24" s="113" customFormat="1" x14ac:dyDescent="0.25">
      <c r="A753" s="140">
        <f t="shared" si="62"/>
        <v>53</v>
      </c>
      <c r="B753" s="157"/>
      <c r="C753" s="157"/>
      <c r="D753" s="100"/>
      <c r="E753" s="79"/>
      <c r="F753" s="153"/>
      <c r="G753" s="137"/>
      <c r="H753" s="158"/>
      <c r="I753" s="79"/>
      <c r="J753" s="139"/>
      <c r="K753" s="139"/>
      <c r="L753" s="98"/>
      <c r="M753" s="79"/>
      <c r="N753" s="139"/>
      <c r="O753" s="139"/>
      <c r="P753" s="138"/>
      <c r="Q753" s="147"/>
      <c r="R753" s="147"/>
      <c r="S753" s="147"/>
      <c r="T753" s="138">
        <f t="shared" si="63"/>
        <v>0</v>
      </c>
      <c r="U753" s="138">
        <f t="shared" si="63"/>
        <v>0</v>
      </c>
      <c r="V753" s="147"/>
      <c r="W753" s="148">
        <f>U753-T753</f>
        <v>0</v>
      </c>
      <c r="X753" s="81"/>
    </row>
    <row r="754" spans="1:24" s="113" customFormat="1" x14ac:dyDescent="0.25">
      <c r="A754" s="140">
        <f t="shared" si="62"/>
        <v>53</v>
      </c>
      <c r="B754" s="157"/>
      <c r="C754" s="157"/>
      <c r="D754" s="100"/>
      <c r="E754" s="79"/>
      <c r="F754" s="153"/>
      <c r="G754" s="137"/>
      <c r="H754" s="158"/>
      <c r="I754" s="79"/>
      <c r="J754" s="139"/>
      <c r="K754" s="139"/>
      <c r="L754" s="98"/>
      <c r="M754" s="79"/>
      <c r="N754" s="139"/>
      <c r="O754" s="139"/>
      <c r="P754" s="138"/>
      <c r="Q754" s="147"/>
      <c r="R754" s="147"/>
      <c r="S754" s="147"/>
      <c r="T754" s="138">
        <f t="shared" si="63"/>
        <v>0</v>
      </c>
      <c r="U754" s="138">
        <f t="shared" si="63"/>
        <v>0</v>
      </c>
      <c r="V754" s="147"/>
      <c r="W754" s="148">
        <f t="shared" si="61"/>
        <v>0</v>
      </c>
      <c r="X754" s="81"/>
    </row>
    <row r="755" spans="1:24" s="113" customFormat="1" x14ac:dyDescent="0.25">
      <c r="A755" s="140">
        <f t="shared" si="62"/>
        <v>53</v>
      </c>
      <c r="B755" s="157"/>
      <c r="C755" s="157"/>
      <c r="D755" s="100"/>
      <c r="E755" s="79"/>
      <c r="F755" s="153"/>
      <c r="G755" s="137"/>
      <c r="H755" s="158"/>
      <c r="I755" s="79"/>
      <c r="J755" s="139"/>
      <c r="K755" s="139"/>
      <c r="L755" s="98"/>
      <c r="M755" s="79"/>
      <c r="N755" s="139"/>
      <c r="O755" s="139"/>
      <c r="P755" s="138"/>
      <c r="Q755" s="147"/>
      <c r="R755" s="147"/>
      <c r="S755" s="147"/>
      <c r="T755" s="138">
        <f t="shared" si="63"/>
        <v>0</v>
      </c>
      <c r="U755" s="138">
        <f t="shared" si="63"/>
        <v>0</v>
      </c>
      <c r="V755" s="147"/>
      <c r="W755" s="148">
        <f t="shared" si="61"/>
        <v>0</v>
      </c>
      <c r="X755" s="81"/>
    </row>
    <row r="756" spans="1:24" s="113" customFormat="1" x14ac:dyDescent="0.25">
      <c r="A756" s="140">
        <f t="shared" si="62"/>
        <v>53</v>
      </c>
      <c r="B756" s="157"/>
      <c r="C756" s="157"/>
      <c r="D756" s="100"/>
      <c r="E756" s="79"/>
      <c r="F756" s="153"/>
      <c r="G756" s="137"/>
      <c r="H756" s="158"/>
      <c r="I756" s="79"/>
      <c r="J756" s="139"/>
      <c r="K756" s="139"/>
      <c r="L756" s="98"/>
      <c r="M756" s="79"/>
      <c r="N756" s="139"/>
      <c r="O756" s="139"/>
      <c r="P756" s="138"/>
      <c r="Q756" s="147"/>
      <c r="R756" s="147"/>
      <c r="S756" s="147"/>
      <c r="T756" s="138">
        <f t="shared" si="63"/>
        <v>0</v>
      </c>
      <c r="U756" s="138">
        <f t="shared" si="63"/>
        <v>0</v>
      </c>
      <c r="V756" s="147"/>
      <c r="W756" s="148">
        <f t="shared" si="61"/>
        <v>0</v>
      </c>
      <c r="X756" s="81"/>
    </row>
    <row r="757" spans="1:24" s="113" customFormat="1" x14ac:dyDescent="0.25">
      <c r="A757" s="140">
        <f t="shared" si="62"/>
        <v>53</v>
      </c>
      <c r="B757" s="157"/>
      <c r="C757" s="157"/>
      <c r="D757" s="100"/>
      <c r="E757" s="79"/>
      <c r="F757" s="153"/>
      <c r="G757" s="137"/>
      <c r="H757" s="158"/>
      <c r="I757" s="79"/>
      <c r="J757" s="139"/>
      <c r="K757" s="139"/>
      <c r="L757" s="98"/>
      <c r="M757" s="79"/>
      <c r="N757" s="139"/>
      <c r="O757" s="139"/>
      <c r="P757" s="138"/>
      <c r="Q757" s="147"/>
      <c r="R757" s="147"/>
      <c r="S757" s="147"/>
      <c r="T757" s="138">
        <f t="shared" si="63"/>
        <v>0</v>
      </c>
      <c r="U757" s="138">
        <f t="shared" si="63"/>
        <v>0</v>
      </c>
      <c r="V757" s="147"/>
      <c r="W757" s="148">
        <f t="shared" si="61"/>
        <v>0</v>
      </c>
      <c r="X757" s="81"/>
    </row>
    <row r="758" spans="1:24" s="113" customFormat="1" x14ac:dyDescent="0.25">
      <c r="A758" s="140">
        <f t="shared" si="62"/>
        <v>53</v>
      </c>
      <c r="B758" s="157"/>
      <c r="C758" s="157"/>
      <c r="D758" s="100"/>
      <c r="E758" s="79"/>
      <c r="F758" s="153"/>
      <c r="G758" s="137"/>
      <c r="H758" s="158"/>
      <c r="I758" s="79"/>
      <c r="J758" s="139"/>
      <c r="K758" s="139"/>
      <c r="L758" s="98"/>
      <c r="M758" s="79"/>
      <c r="N758" s="139"/>
      <c r="O758" s="139"/>
      <c r="P758" s="138"/>
      <c r="Q758" s="147"/>
      <c r="R758" s="147"/>
      <c r="S758" s="147"/>
      <c r="T758" s="138">
        <f t="shared" si="63"/>
        <v>0</v>
      </c>
      <c r="U758" s="138">
        <f t="shared" si="63"/>
        <v>0</v>
      </c>
      <c r="V758" s="147"/>
      <c r="W758" s="148">
        <f t="shared" si="61"/>
        <v>0</v>
      </c>
      <c r="X758" s="81"/>
    </row>
    <row r="759" spans="1:24" s="113" customFormat="1" x14ac:dyDescent="0.25">
      <c r="A759" s="140">
        <f t="shared" si="62"/>
        <v>53</v>
      </c>
      <c r="B759" s="157"/>
      <c r="C759" s="157"/>
      <c r="D759" s="100"/>
      <c r="E759" s="79"/>
      <c r="F759" s="153"/>
      <c r="G759" s="137"/>
      <c r="H759" s="158"/>
      <c r="I759" s="79"/>
      <c r="J759" s="139"/>
      <c r="K759" s="139"/>
      <c r="L759" s="98"/>
      <c r="M759" s="79"/>
      <c r="N759" s="139"/>
      <c r="O759" s="139"/>
      <c r="P759" s="138"/>
      <c r="Q759" s="147"/>
      <c r="R759" s="147"/>
      <c r="S759" s="147"/>
      <c r="T759" s="138">
        <f t="shared" si="63"/>
        <v>0</v>
      </c>
      <c r="U759" s="138">
        <f t="shared" si="63"/>
        <v>0</v>
      </c>
      <c r="V759" s="147"/>
      <c r="W759" s="148">
        <f t="shared" si="61"/>
        <v>0</v>
      </c>
      <c r="X759" s="81"/>
    </row>
    <row r="760" spans="1:24" s="113" customFormat="1" x14ac:dyDescent="0.25">
      <c r="A760" s="140">
        <f t="shared" si="62"/>
        <v>53</v>
      </c>
      <c r="B760" s="157"/>
      <c r="C760" s="157"/>
      <c r="D760" s="100"/>
      <c r="E760" s="79"/>
      <c r="F760" s="153"/>
      <c r="G760" s="137"/>
      <c r="H760" s="158"/>
      <c r="I760" s="79"/>
      <c r="J760" s="139"/>
      <c r="K760" s="139"/>
      <c r="L760" s="98"/>
      <c r="M760" s="79"/>
      <c r="N760" s="139"/>
      <c r="O760" s="139"/>
      <c r="P760" s="138"/>
      <c r="Q760" s="147"/>
      <c r="R760" s="147"/>
      <c r="S760" s="147"/>
      <c r="T760" s="138">
        <f t="shared" si="63"/>
        <v>0</v>
      </c>
      <c r="U760" s="138">
        <f t="shared" si="63"/>
        <v>0</v>
      </c>
      <c r="V760" s="147"/>
      <c r="W760" s="148">
        <f t="shared" si="61"/>
        <v>0</v>
      </c>
      <c r="X760" s="81"/>
    </row>
    <row r="761" spans="1:24" s="113" customFormat="1" x14ac:dyDescent="0.25">
      <c r="A761" s="140">
        <f t="shared" si="62"/>
        <v>53</v>
      </c>
      <c r="B761" s="157"/>
      <c r="C761" s="157"/>
      <c r="D761" s="100"/>
      <c r="E761" s="79"/>
      <c r="F761" s="153"/>
      <c r="G761" s="137"/>
      <c r="H761" s="158"/>
      <c r="I761" s="79"/>
      <c r="J761" s="139"/>
      <c r="K761" s="139"/>
      <c r="L761" s="98"/>
      <c r="M761" s="79"/>
      <c r="N761" s="139"/>
      <c r="O761" s="139"/>
      <c r="P761" s="138"/>
      <c r="Q761" s="147"/>
      <c r="R761" s="147"/>
      <c r="S761" s="147"/>
      <c r="T761" s="138">
        <f t="shared" si="63"/>
        <v>0</v>
      </c>
      <c r="U761" s="138">
        <f t="shared" si="63"/>
        <v>0</v>
      </c>
      <c r="V761" s="147"/>
      <c r="W761" s="148">
        <f t="shared" ref="W761:W824" si="64">V761-Q761</f>
        <v>0</v>
      </c>
      <c r="X761" s="81"/>
    </row>
    <row r="762" spans="1:24" s="113" customFormat="1" x14ac:dyDescent="0.25">
      <c r="A762" s="140">
        <f t="shared" si="62"/>
        <v>53</v>
      </c>
      <c r="B762" s="157"/>
      <c r="C762" s="157"/>
      <c r="D762" s="100"/>
      <c r="E762" s="79"/>
      <c r="F762" s="153"/>
      <c r="G762" s="137"/>
      <c r="H762" s="158"/>
      <c r="I762" s="79"/>
      <c r="J762" s="139"/>
      <c r="K762" s="139"/>
      <c r="L762" s="98"/>
      <c r="M762" s="79"/>
      <c r="N762" s="139"/>
      <c r="O762" s="139"/>
      <c r="P762" s="138"/>
      <c r="Q762" s="147"/>
      <c r="R762" s="147"/>
      <c r="S762" s="147"/>
      <c r="T762" s="138">
        <f t="shared" si="63"/>
        <v>0</v>
      </c>
      <c r="U762" s="138">
        <f t="shared" si="63"/>
        <v>0</v>
      </c>
      <c r="V762" s="147"/>
      <c r="W762" s="148">
        <f t="shared" si="64"/>
        <v>0</v>
      </c>
      <c r="X762" s="81"/>
    </row>
    <row r="763" spans="1:24" s="113" customFormat="1" x14ac:dyDescent="0.25">
      <c r="A763" s="140">
        <f t="shared" si="62"/>
        <v>53</v>
      </c>
      <c r="B763" s="157"/>
      <c r="C763" s="157"/>
      <c r="D763" s="100"/>
      <c r="E763" s="79"/>
      <c r="F763" s="153"/>
      <c r="G763" s="137"/>
      <c r="H763" s="158"/>
      <c r="I763" s="79"/>
      <c r="J763" s="139"/>
      <c r="K763" s="139"/>
      <c r="L763" s="98"/>
      <c r="M763" s="79"/>
      <c r="N763" s="139"/>
      <c r="O763" s="139"/>
      <c r="P763" s="138"/>
      <c r="Q763" s="147"/>
      <c r="R763" s="147"/>
      <c r="S763" s="147"/>
      <c r="T763" s="138">
        <f t="shared" si="63"/>
        <v>0</v>
      </c>
      <c r="U763" s="138">
        <f t="shared" si="63"/>
        <v>0</v>
      </c>
      <c r="V763" s="147"/>
      <c r="W763" s="148">
        <f>U763-T763</f>
        <v>0</v>
      </c>
      <c r="X763" s="81"/>
    </row>
    <row r="764" spans="1:24" s="113" customFormat="1" x14ac:dyDescent="0.25">
      <c r="A764" s="140">
        <f t="shared" si="62"/>
        <v>53</v>
      </c>
      <c r="B764" s="157"/>
      <c r="C764" s="157"/>
      <c r="D764" s="100"/>
      <c r="E764" s="79"/>
      <c r="F764" s="153"/>
      <c r="G764" s="137"/>
      <c r="H764" s="158"/>
      <c r="I764" s="79"/>
      <c r="J764" s="139"/>
      <c r="K764" s="139"/>
      <c r="L764" s="98"/>
      <c r="M764" s="79"/>
      <c r="N764" s="139"/>
      <c r="O764" s="139"/>
      <c r="P764" s="138"/>
      <c r="Q764" s="147"/>
      <c r="R764" s="147"/>
      <c r="S764" s="147"/>
      <c r="T764" s="138">
        <f t="shared" si="63"/>
        <v>0</v>
      </c>
      <c r="U764" s="138">
        <f t="shared" si="63"/>
        <v>0</v>
      </c>
      <c r="V764" s="147"/>
      <c r="W764" s="148">
        <f>U764-T764</f>
        <v>0</v>
      </c>
      <c r="X764" s="81"/>
    </row>
    <row r="765" spans="1:24" s="113" customFormat="1" x14ac:dyDescent="0.25">
      <c r="A765" s="140">
        <f t="shared" si="62"/>
        <v>53</v>
      </c>
      <c r="B765" s="157"/>
      <c r="C765" s="157"/>
      <c r="D765" s="100"/>
      <c r="E765" s="79"/>
      <c r="F765" s="153"/>
      <c r="G765" s="137"/>
      <c r="H765" s="158"/>
      <c r="I765" s="79"/>
      <c r="J765" s="139"/>
      <c r="K765" s="139"/>
      <c r="L765" s="98"/>
      <c r="M765" s="79"/>
      <c r="N765" s="139"/>
      <c r="O765" s="139"/>
      <c r="P765" s="138"/>
      <c r="Q765" s="147"/>
      <c r="R765" s="147"/>
      <c r="S765" s="147"/>
      <c r="T765" s="138">
        <f t="shared" si="63"/>
        <v>0</v>
      </c>
      <c r="U765" s="138">
        <f t="shared" si="63"/>
        <v>0</v>
      </c>
      <c r="V765" s="147"/>
      <c r="W765" s="148">
        <f>U765-T765</f>
        <v>0</v>
      </c>
      <c r="X765" s="81"/>
    </row>
    <row r="766" spans="1:24" s="113" customFormat="1" x14ac:dyDescent="0.25">
      <c r="A766" s="140">
        <f t="shared" si="62"/>
        <v>53</v>
      </c>
      <c r="B766" s="157"/>
      <c r="C766" s="157"/>
      <c r="D766" s="100"/>
      <c r="E766" s="79"/>
      <c r="F766" s="153"/>
      <c r="G766" s="137"/>
      <c r="H766" s="158"/>
      <c r="I766" s="79"/>
      <c r="J766" s="139"/>
      <c r="K766" s="139"/>
      <c r="L766" s="98"/>
      <c r="M766" s="79"/>
      <c r="N766" s="139"/>
      <c r="O766" s="139"/>
      <c r="P766" s="138"/>
      <c r="Q766" s="147"/>
      <c r="R766" s="147"/>
      <c r="S766" s="147"/>
      <c r="T766" s="138">
        <f t="shared" si="63"/>
        <v>0</v>
      </c>
      <c r="U766" s="138">
        <f t="shared" si="63"/>
        <v>0</v>
      </c>
      <c r="V766" s="147"/>
      <c r="W766" s="148">
        <f t="shared" si="64"/>
        <v>0</v>
      </c>
      <c r="X766" s="81"/>
    </row>
    <row r="767" spans="1:24" s="113" customFormat="1" x14ac:dyDescent="0.25">
      <c r="A767" s="140">
        <f t="shared" si="62"/>
        <v>53</v>
      </c>
      <c r="B767" s="157"/>
      <c r="C767" s="157"/>
      <c r="D767" s="100"/>
      <c r="E767" s="79"/>
      <c r="F767" s="153"/>
      <c r="G767" s="137"/>
      <c r="H767" s="158"/>
      <c r="I767" s="79"/>
      <c r="J767" s="139"/>
      <c r="K767" s="139"/>
      <c r="L767" s="98"/>
      <c r="M767" s="79"/>
      <c r="N767" s="139"/>
      <c r="O767" s="139"/>
      <c r="P767" s="138"/>
      <c r="Q767" s="147"/>
      <c r="R767" s="147"/>
      <c r="S767" s="147"/>
      <c r="T767" s="138">
        <f t="shared" si="63"/>
        <v>0</v>
      </c>
      <c r="U767" s="138">
        <f t="shared" si="63"/>
        <v>0</v>
      </c>
      <c r="V767" s="147"/>
      <c r="W767" s="148">
        <f t="shared" si="64"/>
        <v>0</v>
      </c>
      <c r="X767" s="81"/>
    </row>
    <row r="768" spans="1:24" s="113" customFormat="1" x14ac:dyDescent="0.25">
      <c r="A768" s="140">
        <f t="shared" si="62"/>
        <v>53</v>
      </c>
      <c r="B768" s="157"/>
      <c r="C768" s="157"/>
      <c r="D768" s="100"/>
      <c r="E768" s="79"/>
      <c r="F768" s="153"/>
      <c r="G768" s="137"/>
      <c r="H768" s="158"/>
      <c r="I768" s="79"/>
      <c r="J768" s="139"/>
      <c r="K768" s="139"/>
      <c r="L768" s="98"/>
      <c r="M768" s="79"/>
      <c r="N768" s="139"/>
      <c r="O768" s="139"/>
      <c r="P768" s="138"/>
      <c r="Q768" s="147"/>
      <c r="R768" s="147"/>
      <c r="S768" s="147"/>
      <c r="T768" s="138">
        <f t="shared" si="63"/>
        <v>0</v>
      </c>
      <c r="U768" s="138">
        <f t="shared" si="63"/>
        <v>0</v>
      </c>
      <c r="V768" s="147"/>
      <c r="W768" s="148">
        <f t="shared" si="64"/>
        <v>0</v>
      </c>
      <c r="X768" s="81"/>
    </row>
    <row r="769" spans="1:24" s="113" customFormat="1" x14ac:dyDescent="0.25">
      <c r="A769" s="140">
        <f t="shared" si="62"/>
        <v>53</v>
      </c>
      <c r="B769" s="157"/>
      <c r="C769" s="157"/>
      <c r="D769" s="100"/>
      <c r="E769" s="79"/>
      <c r="F769" s="153"/>
      <c r="G769" s="137"/>
      <c r="H769" s="158"/>
      <c r="I769" s="79"/>
      <c r="J769" s="139"/>
      <c r="K769" s="139"/>
      <c r="L769" s="98"/>
      <c r="M769" s="79"/>
      <c r="N769" s="139"/>
      <c r="O769" s="139"/>
      <c r="P769" s="138"/>
      <c r="Q769" s="147"/>
      <c r="R769" s="147"/>
      <c r="S769" s="147"/>
      <c r="T769" s="138">
        <f t="shared" si="63"/>
        <v>0</v>
      </c>
      <c r="U769" s="138">
        <f t="shared" si="63"/>
        <v>0</v>
      </c>
      <c r="V769" s="147"/>
      <c r="W769" s="148">
        <f t="shared" si="64"/>
        <v>0</v>
      </c>
      <c r="X769" s="81"/>
    </row>
    <row r="770" spans="1:24" s="113" customFormat="1" x14ac:dyDescent="0.25">
      <c r="A770" s="140">
        <f t="shared" si="62"/>
        <v>53</v>
      </c>
      <c r="B770" s="157"/>
      <c r="C770" s="157"/>
      <c r="D770" s="100"/>
      <c r="E770" s="79"/>
      <c r="F770" s="153"/>
      <c r="G770" s="137"/>
      <c r="H770" s="158"/>
      <c r="I770" s="79"/>
      <c r="J770" s="139"/>
      <c r="K770" s="139"/>
      <c r="L770" s="98"/>
      <c r="M770" s="79"/>
      <c r="N770" s="139"/>
      <c r="O770" s="139"/>
      <c r="P770" s="138"/>
      <c r="Q770" s="147"/>
      <c r="R770" s="147"/>
      <c r="S770" s="147"/>
      <c r="T770" s="138">
        <f t="shared" si="63"/>
        <v>0</v>
      </c>
      <c r="U770" s="138">
        <f t="shared" si="63"/>
        <v>0</v>
      </c>
      <c r="V770" s="147"/>
      <c r="W770" s="148">
        <f t="shared" si="64"/>
        <v>0</v>
      </c>
      <c r="X770" s="81"/>
    </row>
    <row r="771" spans="1:24" s="113" customFormat="1" x14ac:dyDescent="0.25">
      <c r="A771" s="140">
        <f t="shared" si="62"/>
        <v>53</v>
      </c>
      <c r="B771" s="157"/>
      <c r="C771" s="157"/>
      <c r="D771" s="100"/>
      <c r="E771" s="79"/>
      <c r="F771" s="153"/>
      <c r="G771" s="137"/>
      <c r="H771" s="158"/>
      <c r="I771" s="79"/>
      <c r="J771" s="139"/>
      <c r="K771" s="139"/>
      <c r="L771" s="98"/>
      <c r="M771" s="79"/>
      <c r="N771" s="139"/>
      <c r="O771" s="139"/>
      <c r="P771" s="138"/>
      <c r="Q771" s="147"/>
      <c r="R771" s="147"/>
      <c r="S771" s="147"/>
      <c r="T771" s="138">
        <f t="shared" si="63"/>
        <v>0</v>
      </c>
      <c r="U771" s="138">
        <f t="shared" si="63"/>
        <v>0</v>
      </c>
      <c r="V771" s="147"/>
      <c r="W771" s="148">
        <f t="shared" si="64"/>
        <v>0</v>
      </c>
      <c r="X771" s="81"/>
    </row>
    <row r="772" spans="1:24" s="113" customFormat="1" x14ac:dyDescent="0.25">
      <c r="A772" s="140">
        <f t="shared" si="62"/>
        <v>53</v>
      </c>
      <c r="B772" s="157"/>
      <c r="C772" s="157"/>
      <c r="D772" s="100"/>
      <c r="E772" s="79"/>
      <c r="F772" s="153"/>
      <c r="G772" s="137"/>
      <c r="H772" s="158"/>
      <c r="I772" s="79"/>
      <c r="J772" s="139"/>
      <c r="K772" s="139"/>
      <c r="L772" s="98"/>
      <c r="M772" s="79"/>
      <c r="N772" s="139"/>
      <c r="O772" s="139"/>
      <c r="P772" s="138"/>
      <c r="Q772" s="147"/>
      <c r="R772" s="147"/>
      <c r="S772" s="147"/>
      <c r="T772" s="138">
        <f t="shared" si="63"/>
        <v>0</v>
      </c>
      <c r="U772" s="138">
        <f t="shared" si="63"/>
        <v>0</v>
      </c>
      <c r="V772" s="147"/>
      <c r="W772" s="148">
        <f t="shared" si="64"/>
        <v>0</v>
      </c>
      <c r="X772" s="81"/>
    </row>
    <row r="773" spans="1:24" s="113" customFormat="1" x14ac:dyDescent="0.25">
      <c r="A773" s="140">
        <f t="shared" si="62"/>
        <v>53</v>
      </c>
      <c r="B773" s="157"/>
      <c r="C773" s="157"/>
      <c r="D773" s="100"/>
      <c r="E773" s="79"/>
      <c r="F773" s="153"/>
      <c r="G773" s="137"/>
      <c r="H773" s="158"/>
      <c r="I773" s="79"/>
      <c r="J773" s="139"/>
      <c r="K773" s="139"/>
      <c r="L773" s="98"/>
      <c r="M773" s="79"/>
      <c r="N773" s="139"/>
      <c r="O773" s="139"/>
      <c r="P773" s="138"/>
      <c r="Q773" s="147"/>
      <c r="R773" s="147"/>
      <c r="S773" s="147"/>
      <c r="T773" s="138">
        <f t="shared" si="63"/>
        <v>0</v>
      </c>
      <c r="U773" s="138">
        <f t="shared" si="63"/>
        <v>0</v>
      </c>
      <c r="V773" s="147"/>
      <c r="W773" s="148">
        <f t="shared" si="64"/>
        <v>0</v>
      </c>
      <c r="X773" s="81"/>
    </row>
    <row r="774" spans="1:24" s="113" customFormat="1" x14ac:dyDescent="0.25">
      <c r="A774" s="140">
        <f t="shared" si="62"/>
        <v>53</v>
      </c>
      <c r="B774" s="157"/>
      <c r="C774" s="157"/>
      <c r="D774" s="100"/>
      <c r="E774" s="79"/>
      <c r="F774" s="153"/>
      <c r="G774" s="137"/>
      <c r="H774" s="158"/>
      <c r="I774" s="79"/>
      <c r="J774" s="139"/>
      <c r="K774" s="139"/>
      <c r="L774" s="98"/>
      <c r="M774" s="79"/>
      <c r="N774" s="139"/>
      <c r="O774" s="139"/>
      <c r="P774" s="138"/>
      <c r="Q774" s="147"/>
      <c r="R774" s="147"/>
      <c r="S774" s="147"/>
      <c r="T774" s="138">
        <f t="shared" si="63"/>
        <v>0</v>
      </c>
      <c r="U774" s="138">
        <f t="shared" si="63"/>
        <v>0</v>
      </c>
      <c r="V774" s="147"/>
      <c r="W774" s="148">
        <f t="shared" si="64"/>
        <v>0</v>
      </c>
      <c r="X774" s="81"/>
    </row>
    <row r="775" spans="1:24" s="113" customFormat="1" x14ac:dyDescent="0.25">
      <c r="A775" s="140">
        <f t="shared" ref="A775:A838" si="65">WEEKNUM(B775,21)</f>
        <v>53</v>
      </c>
      <c r="B775" s="157"/>
      <c r="C775" s="157"/>
      <c r="D775" s="100"/>
      <c r="E775" s="79"/>
      <c r="F775" s="153"/>
      <c r="G775" s="137"/>
      <c r="H775" s="158"/>
      <c r="I775" s="79"/>
      <c r="J775" s="139"/>
      <c r="K775" s="139"/>
      <c r="L775" s="98"/>
      <c r="M775" s="79"/>
      <c r="N775" s="139"/>
      <c r="O775" s="139"/>
      <c r="P775" s="138"/>
      <c r="Q775" s="147"/>
      <c r="R775" s="147"/>
      <c r="S775" s="147"/>
      <c r="T775" s="138">
        <f t="shared" si="63"/>
        <v>0</v>
      </c>
      <c r="U775" s="138">
        <f t="shared" si="63"/>
        <v>0</v>
      </c>
      <c r="V775" s="147"/>
      <c r="W775" s="148">
        <f>U775-T775</f>
        <v>0</v>
      </c>
      <c r="X775" s="81"/>
    </row>
    <row r="776" spans="1:24" s="113" customFormat="1" x14ac:dyDescent="0.25">
      <c r="A776" s="140">
        <f t="shared" si="65"/>
        <v>53</v>
      </c>
      <c r="B776" s="157"/>
      <c r="C776" s="157"/>
      <c r="D776" s="100"/>
      <c r="E776" s="79"/>
      <c r="F776" s="153"/>
      <c r="G776" s="137"/>
      <c r="H776" s="158"/>
      <c r="I776" s="79"/>
      <c r="J776" s="139"/>
      <c r="K776" s="139"/>
      <c r="L776" s="98"/>
      <c r="M776" s="79"/>
      <c r="N776" s="139"/>
      <c r="O776" s="139"/>
      <c r="P776" s="138"/>
      <c r="Q776" s="147"/>
      <c r="R776" s="147"/>
      <c r="S776" s="147"/>
      <c r="T776" s="138">
        <f t="shared" si="63"/>
        <v>0</v>
      </c>
      <c r="U776" s="138">
        <f t="shared" si="63"/>
        <v>0</v>
      </c>
      <c r="V776" s="147"/>
      <c r="W776" s="148">
        <f>U776-T776</f>
        <v>0</v>
      </c>
      <c r="X776" s="81"/>
    </row>
    <row r="777" spans="1:24" s="113" customFormat="1" x14ac:dyDescent="0.25">
      <c r="A777" s="140">
        <f t="shared" si="65"/>
        <v>53</v>
      </c>
      <c r="B777" s="157"/>
      <c r="C777" s="157"/>
      <c r="D777" s="100"/>
      <c r="E777" s="79"/>
      <c r="F777" s="153"/>
      <c r="G777" s="137"/>
      <c r="H777" s="158"/>
      <c r="I777" s="79"/>
      <c r="J777" s="139"/>
      <c r="K777" s="139"/>
      <c r="L777" s="98"/>
      <c r="M777" s="79"/>
      <c r="N777" s="139"/>
      <c r="O777" s="139"/>
      <c r="P777" s="138"/>
      <c r="Q777" s="147"/>
      <c r="R777" s="147"/>
      <c r="S777" s="147"/>
      <c r="T777" s="138">
        <f t="shared" si="63"/>
        <v>0</v>
      </c>
      <c r="U777" s="138">
        <f t="shared" si="63"/>
        <v>0</v>
      </c>
      <c r="V777" s="147"/>
      <c r="W777" s="148">
        <f>U777-T777</f>
        <v>0</v>
      </c>
      <c r="X777" s="81"/>
    </row>
    <row r="778" spans="1:24" s="113" customFormat="1" x14ac:dyDescent="0.25">
      <c r="A778" s="140">
        <f t="shared" si="65"/>
        <v>53</v>
      </c>
      <c r="B778" s="157"/>
      <c r="C778" s="157"/>
      <c r="D778" s="100"/>
      <c r="E778" s="79"/>
      <c r="F778" s="153"/>
      <c r="G778" s="137"/>
      <c r="H778" s="158"/>
      <c r="I778" s="79"/>
      <c r="J778" s="139"/>
      <c r="K778" s="139"/>
      <c r="L778" s="98"/>
      <c r="M778" s="79"/>
      <c r="N778" s="139"/>
      <c r="O778" s="139"/>
      <c r="P778" s="138"/>
      <c r="Q778" s="147"/>
      <c r="R778" s="147"/>
      <c r="S778" s="147"/>
      <c r="T778" s="138">
        <f t="shared" si="63"/>
        <v>0</v>
      </c>
      <c r="U778" s="138">
        <f t="shared" si="63"/>
        <v>0</v>
      </c>
      <c r="V778" s="147"/>
      <c r="W778" s="148">
        <f t="shared" si="64"/>
        <v>0</v>
      </c>
      <c r="X778" s="81"/>
    </row>
    <row r="779" spans="1:24" s="113" customFormat="1" x14ac:dyDescent="0.25">
      <c r="A779" s="140">
        <f t="shared" si="65"/>
        <v>53</v>
      </c>
      <c r="B779" s="157"/>
      <c r="C779" s="157"/>
      <c r="D779" s="100"/>
      <c r="E779" s="79"/>
      <c r="F779" s="153"/>
      <c r="G779" s="137"/>
      <c r="H779" s="158"/>
      <c r="I779" s="79"/>
      <c r="J779" s="139"/>
      <c r="K779" s="139"/>
      <c r="L779" s="98"/>
      <c r="M779" s="79"/>
      <c r="N779" s="139"/>
      <c r="O779" s="139"/>
      <c r="P779" s="138"/>
      <c r="Q779" s="147"/>
      <c r="R779" s="147"/>
      <c r="S779" s="147"/>
      <c r="T779" s="138">
        <f t="shared" si="63"/>
        <v>0</v>
      </c>
      <c r="U779" s="138">
        <f t="shared" si="63"/>
        <v>0</v>
      </c>
      <c r="V779" s="147"/>
      <c r="W779" s="148">
        <f t="shared" si="64"/>
        <v>0</v>
      </c>
      <c r="X779" s="81"/>
    </row>
    <row r="780" spans="1:24" s="113" customFormat="1" x14ac:dyDescent="0.25">
      <c r="A780" s="140">
        <f t="shared" si="65"/>
        <v>53</v>
      </c>
      <c r="B780" s="157"/>
      <c r="C780" s="157"/>
      <c r="D780" s="100"/>
      <c r="E780" s="79"/>
      <c r="F780" s="153"/>
      <c r="G780" s="137"/>
      <c r="H780" s="158"/>
      <c r="I780" s="79"/>
      <c r="J780" s="139"/>
      <c r="K780" s="139"/>
      <c r="L780" s="98"/>
      <c r="M780" s="79"/>
      <c r="N780" s="139"/>
      <c r="O780" s="139"/>
      <c r="P780" s="138"/>
      <c r="Q780" s="147"/>
      <c r="R780" s="147"/>
      <c r="S780" s="147"/>
      <c r="T780" s="138">
        <f t="shared" si="63"/>
        <v>0</v>
      </c>
      <c r="U780" s="138">
        <f t="shared" si="63"/>
        <v>0</v>
      </c>
      <c r="V780" s="147"/>
      <c r="W780" s="148">
        <f t="shared" si="64"/>
        <v>0</v>
      </c>
      <c r="X780" s="81"/>
    </row>
    <row r="781" spans="1:24" s="113" customFormat="1" x14ac:dyDescent="0.25">
      <c r="A781" s="140">
        <f t="shared" si="65"/>
        <v>53</v>
      </c>
      <c r="B781" s="157"/>
      <c r="C781" s="157"/>
      <c r="D781" s="100"/>
      <c r="E781" s="79"/>
      <c r="F781" s="153"/>
      <c r="G781" s="137"/>
      <c r="H781" s="158"/>
      <c r="I781" s="79"/>
      <c r="J781" s="139"/>
      <c r="K781" s="139"/>
      <c r="L781" s="98"/>
      <c r="M781" s="79"/>
      <c r="N781" s="139"/>
      <c r="O781" s="139"/>
      <c r="P781" s="138"/>
      <c r="Q781" s="147"/>
      <c r="R781" s="147"/>
      <c r="S781" s="147"/>
      <c r="T781" s="138">
        <f t="shared" si="63"/>
        <v>0</v>
      </c>
      <c r="U781" s="138">
        <f t="shared" si="63"/>
        <v>0</v>
      </c>
      <c r="V781" s="147"/>
      <c r="W781" s="148">
        <f t="shared" si="64"/>
        <v>0</v>
      </c>
      <c r="X781" s="81"/>
    </row>
    <row r="782" spans="1:24" s="113" customFormat="1" x14ac:dyDescent="0.25">
      <c r="A782" s="140">
        <f t="shared" si="65"/>
        <v>53</v>
      </c>
      <c r="B782" s="157"/>
      <c r="C782" s="157"/>
      <c r="D782" s="100"/>
      <c r="E782" s="79"/>
      <c r="F782" s="153"/>
      <c r="G782" s="137"/>
      <c r="H782" s="158"/>
      <c r="I782" s="79"/>
      <c r="J782" s="139"/>
      <c r="K782" s="139"/>
      <c r="L782" s="98"/>
      <c r="M782" s="79"/>
      <c r="N782" s="139"/>
      <c r="O782" s="139"/>
      <c r="P782" s="138"/>
      <c r="Q782" s="147"/>
      <c r="R782" s="147"/>
      <c r="S782" s="147"/>
      <c r="T782" s="138">
        <f t="shared" si="63"/>
        <v>0</v>
      </c>
      <c r="U782" s="138">
        <f t="shared" si="63"/>
        <v>0</v>
      </c>
      <c r="V782" s="147"/>
      <c r="W782" s="148">
        <f t="shared" si="64"/>
        <v>0</v>
      </c>
      <c r="X782" s="81"/>
    </row>
    <row r="783" spans="1:24" s="113" customFormat="1" x14ac:dyDescent="0.25">
      <c r="A783" s="140">
        <f t="shared" si="65"/>
        <v>53</v>
      </c>
      <c r="B783" s="157"/>
      <c r="C783" s="157"/>
      <c r="D783" s="100"/>
      <c r="E783" s="79"/>
      <c r="F783" s="153"/>
      <c r="G783" s="137"/>
      <c r="H783" s="158"/>
      <c r="I783" s="79"/>
      <c r="J783" s="139"/>
      <c r="K783" s="139"/>
      <c r="L783" s="98"/>
      <c r="M783" s="79"/>
      <c r="N783" s="139"/>
      <c r="O783" s="139"/>
      <c r="P783" s="138"/>
      <c r="Q783" s="147"/>
      <c r="R783" s="147"/>
      <c r="S783" s="147"/>
      <c r="T783" s="138">
        <f t="shared" si="63"/>
        <v>0</v>
      </c>
      <c r="U783" s="138">
        <f t="shared" si="63"/>
        <v>0</v>
      </c>
      <c r="V783" s="147"/>
      <c r="W783" s="148">
        <f t="shared" si="64"/>
        <v>0</v>
      </c>
      <c r="X783" s="81"/>
    </row>
    <row r="784" spans="1:24" s="113" customFormat="1" x14ac:dyDescent="0.25">
      <c r="A784" s="140">
        <f t="shared" si="65"/>
        <v>53</v>
      </c>
      <c r="B784" s="157"/>
      <c r="C784" s="157"/>
      <c r="D784" s="100"/>
      <c r="E784" s="79"/>
      <c r="F784" s="153"/>
      <c r="G784" s="137"/>
      <c r="H784" s="158"/>
      <c r="I784" s="79"/>
      <c r="J784" s="139"/>
      <c r="K784" s="139"/>
      <c r="L784" s="98"/>
      <c r="M784" s="79"/>
      <c r="N784" s="139"/>
      <c r="O784" s="139"/>
      <c r="P784" s="138"/>
      <c r="Q784" s="147"/>
      <c r="R784" s="147"/>
      <c r="S784" s="147"/>
      <c r="T784" s="138">
        <f t="shared" si="63"/>
        <v>0</v>
      </c>
      <c r="U784" s="138">
        <f t="shared" si="63"/>
        <v>0</v>
      </c>
      <c r="V784" s="147"/>
      <c r="W784" s="148">
        <f t="shared" si="64"/>
        <v>0</v>
      </c>
      <c r="X784" s="81"/>
    </row>
    <row r="785" spans="1:24" s="113" customFormat="1" x14ac:dyDescent="0.25">
      <c r="A785" s="140">
        <f t="shared" si="65"/>
        <v>53</v>
      </c>
      <c r="B785" s="157"/>
      <c r="C785" s="157"/>
      <c r="D785" s="100"/>
      <c r="E785" s="79"/>
      <c r="F785" s="153"/>
      <c r="G785" s="137"/>
      <c r="H785" s="158"/>
      <c r="I785" s="79"/>
      <c r="J785" s="139"/>
      <c r="K785" s="139"/>
      <c r="L785" s="98"/>
      <c r="M785" s="79"/>
      <c r="N785" s="139"/>
      <c r="O785" s="139"/>
      <c r="P785" s="138"/>
      <c r="Q785" s="147"/>
      <c r="R785" s="147"/>
      <c r="S785" s="147"/>
      <c r="T785" s="138">
        <f t="shared" si="63"/>
        <v>0</v>
      </c>
      <c r="U785" s="138">
        <f t="shared" si="63"/>
        <v>0</v>
      </c>
      <c r="V785" s="147"/>
      <c r="W785" s="148">
        <f t="shared" si="64"/>
        <v>0</v>
      </c>
      <c r="X785" s="81"/>
    </row>
    <row r="786" spans="1:24" s="113" customFormat="1" x14ac:dyDescent="0.25">
      <c r="A786" s="140">
        <f t="shared" si="65"/>
        <v>53</v>
      </c>
      <c r="B786" s="157"/>
      <c r="C786" s="157"/>
      <c r="D786" s="100"/>
      <c r="E786" s="79"/>
      <c r="F786" s="153"/>
      <c r="G786" s="137"/>
      <c r="H786" s="158"/>
      <c r="I786" s="79"/>
      <c r="J786" s="139"/>
      <c r="K786" s="139"/>
      <c r="L786" s="98"/>
      <c r="M786" s="79"/>
      <c r="N786" s="139"/>
      <c r="O786" s="139"/>
      <c r="P786" s="138"/>
      <c r="Q786" s="147"/>
      <c r="R786" s="147"/>
      <c r="S786" s="147"/>
      <c r="T786" s="138">
        <f t="shared" si="63"/>
        <v>0</v>
      </c>
      <c r="U786" s="138">
        <f t="shared" si="63"/>
        <v>0</v>
      </c>
      <c r="V786" s="147"/>
      <c r="W786" s="148">
        <f t="shared" si="64"/>
        <v>0</v>
      </c>
      <c r="X786" s="81"/>
    </row>
    <row r="787" spans="1:24" s="113" customFormat="1" x14ac:dyDescent="0.25">
      <c r="A787" s="140">
        <f t="shared" si="65"/>
        <v>53</v>
      </c>
      <c r="B787" s="157"/>
      <c r="C787" s="157"/>
      <c r="D787" s="100"/>
      <c r="E787" s="79"/>
      <c r="F787" s="153"/>
      <c r="G787" s="137"/>
      <c r="H787" s="158"/>
      <c r="I787" s="79"/>
      <c r="J787" s="139"/>
      <c r="K787" s="139"/>
      <c r="L787" s="98"/>
      <c r="M787" s="79"/>
      <c r="N787" s="139"/>
      <c r="O787" s="139"/>
      <c r="P787" s="138"/>
      <c r="Q787" s="147"/>
      <c r="R787" s="147"/>
      <c r="S787" s="147"/>
      <c r="T787" s="138">
        <f t="shared" si="63"/>
        <v>0</v>
      </c>
      <c r="U787" s="138">
        <f t="shared" si="63"/>
        <v>0</v>
      </c>
      <c r="V787" s="147"/>
      <c r="W787" s="148">
        <f t="shared" si="64"/>
        <v>0</v>
      </c>
      <c r="X787" s="81"/>
    </row>
    <row r="788" spans="1:24" s="113" customFormat="1" x14ac:dyDescent="0.25">
      <c r="A788" s="140">
        <f t="shared" si="65"/>
        <v>53</v>
      </c>
      <c r="B788" s="157"/>
      <c r="C788" s="157"/>
      <c r="D788" s="100"/>
      <c r="E788" s="79"/>
      <c r="F788" s="153"/>
      <c r="G788" s="137"/>
      <c r="H788" s="158"/>
      <c r="I788" s="79"/>
      <c r="J788" s="139"/>
      <c r="K788" s="139"/>
      <c r="L788" s="98"/>
      <c r="M788" s="79"/>
      <c r="N788" s="139"/>
      <c r="O788" s="139"/>
      <c r="P788" s="138"/>
      <c r="Q788" s="147"/>
      <c r="R788" s="147"/>
      <c r="S788" s="147"/>
      <c r="T788" s="138">
        <f t="shared" si="63"/>
        <v>0</v>
      </c>
      <c r="U788" s="138">
        <f t="shared" si="63"/>
        <v>0</v>
      </c>
      <c r="V788" s="147"/>
      <c r="W788" s="148">
        <f>U788-T788</f>
        <v>0</v>
      </c>
      <c r="X788" s="81"/>
    </row>
    <row r="789" spans="1:24" s="113" customFormat="1" x14ac:dyDescent="0.25">
      <c r="A789" s="140">
        <f t="shared" si="65"/>
        <v>53</v>
      </c>
      <c r="B789" s="157"/>
      <c r="C789" s="157"/>
      <c r="D789" s="100"/>
      <c r="E789" s="79"/>
      <c r="F789" s="153"/>
      <c r="G789" s="137"/>
      <c r="H789" s="158"/>
      <c r="I789" s="79"/>
      <c r="J789" s="139"/>
      <c r="K789" s="139"/>
      <c r="L789" s="98"/>
      <c r="M789" s="79"/>
      <c r="N789" s="139"/>
      <c r="O789" s="139"/>
      <c r="P789" s="138"/>
      <c r="Q789" s="147"/>
      <c r="R789" s="147"/>
      <c r="S789" s="147"/>
      <c r="T789" s="138">
        <f t="shared" ref="T789:U852" si="66">R789-Q789</f>
        <v>0</v>
      </c>
      <c r="U789" s="138">
        <f t="shared" si="66"/>
        <v>0</v>
      </c>
      <c r="V789" s="147"/>
      <c r="W789" s="148">
        <f>U789-T789</f>
        <v>0</v>
      </c>
      <c r="X789" s="81"/>
    </row>
    <row r="790" spans="1:24" s="113" customFormat="1" x14ac:dyDescent="0.25">
      <c r="A790" s="140">
        <f t="shared" si="65"/>
        <v>53</v>
      </c>
      <c r="B790" s="157"/>
      <c r="C790" s="157"/>
      <c r="D790" s="100"/>
      <c r="E790" s="79"/>
      <c r="F790" s="153"/>
      <c r="G790" s="137"/>
      <c r="H790" s="158"/>
      <c r="I790" s="79"/>
      <c r="J790" s="139"/>
      <c r="K790" s="139"/>
      <c r="L790" s="98"/>
      <c r="M790" s="79"/>
      <c r="N790" s="139"/>
      <c r="O790" s="139"/>
      <c r="P790" s="138"/>
      <c r="Q790" s="147"/>
      <c r="R790" s="147"/>
      <c r="S790" s="147"/>
      <c r="T790" s="138">
        <f t="shared" si="66"/>
        <v>0</v>
      </c>
      <c r="U790" s="138">
        <f t="shared" si="66"/>
        <v>0</v>
      </c>
      <c r="V790" s="147"/>
      <c r="W790" s="148">
        <f>U790-T790</f>
        <v>0</v>
      </c>
      <c r="X790" s="81"/>
    </row>
    <row r="791" spans="1:24" s="113" customFormat="1" x14ac:dyDescent="0.25">
      <c r="A791" s="140">
        <f t="shared" si="65"/>
        <v>53</v>
      </c>
      <c r="B791" s="157"/>
      <c r="C791" s="157"/>
      <c r="D791" s="100"/>
      <c r="E791" s="79"/>
      <c r="F791" s="153"/>
      <c r="G791" s="137"/>
      <c r="H791" s="158"/>
      <c r="I791" s="79"/>
      <c r="J791" s="139"/>
      <c r="K791" s="139"/>
      <c r="L791" s="98"/>
      <c r="M791" s="79"/>
      <c r="N791" s="139"/>
      <c r="O791" s="139"/>
      <c r="P791" s="138"/>
      <c r="Q791" s="147"/>
      <c r="R791" s="147"/>
      <c r="S791" s="147"/>
      <c r="T791" s="138">
        <f t="shared" si="66"/>
        <v>0</v>
      </c>
      <c r="U791" s="138">
        <f t="shared" si="66"/>
        <v>0</v>
      </c>
      <c r="V791" s="147"/>
      <c r="W791" s="148">
        <f t="shared" si="64"/>
        <v>0</v>
      </c>
      <c r="X791" s="81"/>
    </row>
    <row r="792" spans="1:24" s="113" customFormat="1" x14ac:dyDescent="0.25">
      <c r="A792" s="140">
        <f t="shared" si="65"/>
        <v>53</v>
      </c>
      <c r="B792" s="157"/>
      <c r="C792" s="157"/>
      <c r="D792" s="100"/>
      <c r="E792" s="79"/>
      <c r="F792" s="153"/>
      <c r="G792" s="137"/>
      <c r="H792" s="158"/>
      <c r="I792" s="79"/>
      <c r="J792" s="139"/>
      <c r="K792" s="139"/>
      <c r="L792" s="98"/>
      <c r="M792" s="79"/>
      <c r="N792" s="139"/>
      <c r="O792" s="139"/>
      <c r="P792" s="138"/>
      <c r="Q792" s="147"/>
      <c r="R792" s="147"/>
      <c r="S792" s="147"/>
      <c r="T792" s="138">
        <f t="shared" si="66"/>
        <v>0</v>
      </c>
      <c r="U792" s="138">
        <f t="shared" si="66"/>
        <v>0</v>
      </c>
      <c r="V792" s="147"/>
      <c r="W792" s="148">
        <f t="shared" si="64"/>
        <v>0</v>
      </c>
      <c r="X792" s="81"/>
    </row>
    <row r="793" spans="1:24" s="113" customFormat="1" x14ac:dyDescent="0.25">
      <c r="A793" s="140">
        <f t="shared" si="65"/>
        <v>53</v>
      </c>
      <c r="B793" s="157"/>
      <c r="C793" s="157"/>
      <c r="D793" s="100"/>
      <c r="E793" s="79"/>
      <c r="F793" s="153"/>
      <c r="G793" s="137"/>
      <c r="H793" s="158"/>
      <c r="I793" s="79"/>
      <c r="J793" s="139"/>
      <c r="K793" s="139"/>
      <c r="L793" s="98"/>
      <c r="M793" s="79"/>
      <c r="N793" s="139"/>
      <c r="O793" s="139"/>
      <c r="P793" s="138"/>
      <c r="Q793" s="147"/>
      <c r="R793" s="147"/>
      <c r="S793" s="147"/>
      <c r="T793" s="138">
        <f t="shared" si="66"/>
        <v>0</v>
      </c>
      <c r="U793" s="138">
        <f t="shared" si="66"/>
        <v>0</v>
      </c>
      <c r="V793" s="147"/>
      <c r="W793" s="148">
        <f t="shared" si="64"/>
        <v>0</v>
      </c>
      <c r="X793" s="81"/>
    </row>
    <row r="794" spans="1:24" s="113" customFormat="1" x14ac:dyDescent="0.25">
      <c r="A794" s="140">
        <f t="shared" si="65"/>
        <v>53</v>
      </c>
      <c r="B794" s="157"/>
      <c r="C794" s="157"/>
      <c r="D794" s="100"/>
      <c r="E794" s="79"/>
      <c r="F794" s="153"/>
      <c r="G794" s="137"/>
      <c r="H794" s="158"/>
      <c r="I794" s="79"/>
      <c r="J794" s="139"/>
      <c r="K794" s="139"/>
      <c r="L794" s="98"/>
      <c r="M794" s="79"/>
      <c r="N794" s="139"/>
      <c r="O794" s="139"/>
      <c r="P794" s="138"/>
      <c r="Q794" s="147"/>
      <c r="R794" s="147"/>
      <c r="S794" s="147"/>
      <c r="T794" s="138">
        <f t="shared" si="66"/>
        <v>0</v>
      </c>
      <c r="U794" s="138">
        <f t="shared" si="66"/>
        <v>0</v>
      </c>
      <c r="V794" s="147"/>
      <c r="W794" s="148">
        <f t="shared" si="64"/>
        <v>0</v>
      </c>
      <c r="X794" s="81"/>
    </row>
    <row r="795" spans="1:24" s="113" customFormat="1" x14ac:dyDescent="0.25">
      <c r="A795" s="140">
        <f t="shared" si="65"/>
        <v>53</v>
      </c>
      <c r="B795" s="157"/>
      <c r="C795" s="157"/>
      <c r="D795" s="100"/>
      <c r="E795" s="79"/>
      <c r="F795" s="153"/>
      <c r="G795" s="137"/>
      <c r="H795" s="158"/>
      <c r="I795" s="79"/>
      <c r="J795" s="139"/>
      <c r="K795" s="139"/>
      <c r="L795" s="98"/>
      <c r="M795" s="79"/>
      <c r="N795" s="139"/>
      <c r="O795" s="139"/>
      <c r="P795" s="138"/>
      <c r="Q795" s="147"/>
      <c r="R795" s="147"/>
      <c r="S795" s="147"/>
      <c r="T795" s="138">
        <f t="shared" si="66"/>
        <v>0</v>
      </c>
      <c r="U795" s="138">
        <f t="shared" si="66"/>
        <v>0</v>
      </c>
      <c r="V795" s="147"/>
      <c r="W795" s="148">
        <f t="shared" si="64"/>
        <v>0</v>
      </c>
      <c r="X795" s="81"/>
    </row>
    <row r="796" spans="1:24" s="113" customFormat="1" x14ac:dyDescent="0.25">
      <c r="A796" s="140">
        <f t="shared" si="65"/>
        <v>53</v>
      </c>
      <c r="B796" s="157"/>
      <c r="C796" s="157"/>
      <c r="D796" s="100"/>
      <c r="E796" s="79"/>
      <c r="F796" s="153"/>
      <c r="G796" s="137"/>
      <c r="H796" s="158"/>
      <c r="I796" s="79"/>
      <c r="J796" s="139"/>
      <c r="K796" s="139"/>
      <c r="L796" s="98"/>
      <c r="M796" s="79"/>
      <c r="N796" s="139"/>
      <c r="O796" s="139"/>
      <c r="P796" s="138"/>
      <c r="Q796" s="147"/>
      <c r="R796" s="147"/>
      <c r="S796" s="147"/>
      <c r="T796" s="138">
        <f t="shared" si="66"/>
        <v>0</v>
      </c>
      <c r="U796" s="138">
        <f t="shared" si="66"/>
        <v>0</v>
      </c>
      <c r="V796" s="147"/>
      <c r="W796" s="148">
        <f t="shared" si="64"/>
        <v>0</v>
      </c>
      <c r="X796" s="81"/>
    </row>
    <row r="797" spans="1:24" s="113" customFormat="1" x14ac:dyDescent="0.25">
      <c r="A797" s="140">
        <f t="shared" si="65"/>
        <v>53</v>
      </c>
      <c r="B797" s="157"/>
      <c r="C797" s="157"/>
      <c r="D797" s="100"/>
      <c r="E797" s="79"/>
      <c r="F797" s="153"/>
      <c r="G797" s="137"/>
      <c r="H797" s="158"/>
      <c r="I797" s="79"/>
      <c r="J797" s="139"/>
      <c r="K797" s="139"/>
      <c r="L797" s="98"/>
      <c r="M797" s="79"/>
      <c r="N797" s="139"/>
      <c r="O797" s="139"/>
      <c r="P797" s="138"/>
      <c r="Q797" s="147"/>
      <c r="R797" s="147"/>
      <c r="S797" s="147"/>
      <c r="T797" s="138">
        <f t="shared" si="66"/>
        <v>0</v>
      </c>
      <c r="U797" s="138">
        <f t="shared" si="66"/>
        <v>0</v>
      </c>
      <c r="V797" s="147"/>
      <c r="W797" s="148">
        <f t="shared" si="64"/>
        <v>0</v>
      </c>
      <c r="X797" s="81"/>
    </row>
    <row r="798" spans="1:24" s="113" customFormat="1" x14ac:dyDescent="0.25">
      <c r="A798" s="140">
        <f t="shared" si="65"/>
        <v>53</v>
      </c>
      <c r="B798" s="157"/>
      <c r="C798" s="157"/>
      <c r="D798" s="100"/>
      <c r="E798" s="79"/>
      <c r="F798" s="153"/>
      <c r="G798" s="137"/>
      <c r="H798" s="158"/>
      <c r="I798" s="79"/>
      <c r="J798" s="139"/>
      <c r="K798" s="139"/>
      <c r="L798" s="98"/>
      <c r="M798" s="79"/>
      <c r="N798" s="139"/>
      <c r="O798" s="139"/>
      <c r="P798" s="138"/>
      <c r="Q798" s="147"/>
      <c r="R798" s="147"/>
      <c r="S798" s="147"/>
      <c r="T798" s="138">
        <f t="shared" si="66"/>
        <v>0</v>
      </c>
      <c r="U798" s="138">
        <f t="shared" si="66"/>
        <v>0</v>
      </c>
      <c r="V798" s="147"/>
      <c r="W798" s="148">
        <f t="shared" si="64"/>
        <v>0</v>
      </c>
      <c r="X798" s="81"/>
    </row>
    <row r="799" spans="1:24" s="113" customFormat="1" x14ac:dyDescent="0.25">
      <c r="A799" s="140">
        <f t="shared" si="65"/>
        <v>53</v>
      </c>
      <c r="B799" s="157"/>
      <c r="C799" s="157"/>
      <c r="D799" s="100"/>
      <c r="E799" s="79"/>
      <c r="F799" s="153"/>
      <c r="G799" s="137"/>
      <c r="H799" s="158"/>
      <c r="I799" s="79"/>
      <c r="J799" s="139"/>
      <c r="K799" s="139"/>
      <c r="L799" s="98"/>
      <c r="M799" s="79"/>
      <c r="N799" s="139"/>
      <c r="O799" s="139"/>
      <c r="P799" s="138"/>
      <c r="Q799" s="147"/>
      <c r="R799" s="147"/>
      <c r="S799" s="147"/>
      <c r="T799" s="138">
        <f t="shared" si="66"/>
        <v>0</v>
      </c>
      <c r="U799" s="138">
        <f t="shared" si="66"/>
        <v>0</v>
      </c>
      <c r="V799" s="147"/>
      <c r="W799" s="148">
        <f t="shared" si="64"/>
        <v>0</v>
      </c>
      <c r="X799" s="81"/>
    </row>
    <row r="800" spans="1:24" s="113" customFormat="1" x14ac:dyDescent="0.25">
      <c r="A800" s="140">
        <f t="shared" si="65"/>
        <v>53</v>
      </c>
      <c r="B800" s="157"/>
      <c r="C800" s="157"/>
      <c r="D800" s="100"/>
      <c r="E800" s="79"/>
      <c r="F800" s="153"/>
      <c r="G800" s="137"/>
      <c r="H800" s="158"/>
      <c r="I800" s="79"/>
      <c r="J800" s="139"/>
      <c r="K800" s="139"/>
      <c r="L800" s="98"/>
      <c r="M800" s="79"/>
      <c r="N800" s="139"/>
      <c r="O800" s="139"/>
      <c r="P800" s="138"/>
      <c r="Q800" s="147"/>
      <c r="R800" s="147"/>
      <c r="S800" s="147"/>
      <c r="T800" s="138">
        <f t="shared" si="66"/>
        <v>0</v>
      </c>
      <c r="U800" s="138">
        <f t="shared" si="66"/>
        <v>0</v>
      </c>
      <c r="V800" s="147"/>
      <c r="W800" s="148">
        <f>U800-T800</f>
        <v>0</v>
      </c>
      <c r="X800" s="81"/>
    </row>
    <row r="801" spans="1:24" s="113" customFormat="1" x14ac:dyDescent="0.25">
      <c r="A801" s="140">
        <f t="shared" si="65"/>
        <v>53</v>
      </c>
      <c r="B801" s="157"/>
      <c r="C801" s="157"/>
      <c r="D801" s="100"/>
      <c r="E801" s="79"/>
      <c r="F801" s="153"/>
      <c r="G801" s="137"/>
      <c r="H801" s="158"/>
      <c r="I801" s="79"/>
      <c r="J801" s="139"/>
      <c r="K801" s="139"/>
      <c r="L801" s="98"/>
      <c r="M801" s="79"/>
      <c r="N801" s="139"/>
      <c r="O801" s="139"/>
      <c r="P801" s="138"/>
      <c r="Q801" s="147"/>
      <c r="R801" s="147"/>
      <c r="S801" s="147"/>
      <c r="T801" s="138">
        <f t="shared" si="66"/>
        <v>0</v>
      </c>
      <c r="U801" s="138">
        <f t="shared" si="66"/>
        <v>0</v>
      </c>
      <c r="V801" s="147"/>
      <c r="W801" s="148">
        <f>U801-T801</f>
        <v>0</v>
      </c>
      <c r="X801" s="81"/>
    </row>
    <row r="802" spans="1:24" s="113" customFormat="1" x14ac:dyDescent="0.25">
      <c r="A802" s="140">
        <f t="shared" si="65"/>
        <v>53</v>
      </c>
      <c r="B802" s="157"/>
      <c r="C802" s="157"/>
      <c r="D802" s="100"/>
      <c r="E802" s="79"/>
      <c r="F802" s="153"/>
      <c r="G802" s="137"/>
      <c r="H802" s="158"/>
      <c r="I802" s="79"/>
      <c r="J802" s="139"/>
      <c r="K802" s="139"/>
      <c r="L802" s="98"/>
      <c r="M802" s="79"/>
      <c r="N802" s="139"/>
      <c r="O802" s="139"/>
      <c r="P802" s="138"/>
      <c r="Q802" s="147"/>
      <c r="R802" s="147"/>
      <c r="S802" s="147"/>
      <c r="T802" s="138">
        <f t="shared" si="66"/>
        <v>0</v>
      </c>
      <c r="U802" s="138">
        <f t="shared" si="66"/>
        <v>0</v>
      </c>
      <c r="V802" s="147"/>
      <c r="W802" s="148">
        <f>U802-T802</f>
        <v>0</v>
      </c>
      <c r="X802" s="81"/>
    </row>
    <row r="803" spans="1:24" s="113" customFormat="1" x14ac:dyDescent="0.25">
      <c r="A803" s="140">
        <f t="shared" si="65"/>
        <v>53</v>
      </c>
      <c r="B803" s="157"/>
      <c r="C803" s="157"/>
      <c r="D803" s="100"/>
      <c r="E803" s="79"/>
      <c r="F803" s="153"/>
      <c r="G803" s="137"/>
      <c r="H803" s="158"/>
      <c r="I803" s="79"/>
      <c r="J803" s="139"/>
      <c r="K803" s="139"/>
      <c r="L803" s="98"/>
      <c r="M803" s="79"/>
      <c r="N803" s="139"/>
      <c r="O803" s="139"/>
      <c r="P803" s="138"/>
      <c r="Q803" s="147"/>
      <c r="R803" s="147"/>
      <c r="S803" s="147"/>
      <c r="T803" s="138">
        <f t="shared" si="66"/>
        <v>0</v>
      </c>
      <c r="U803" s="138">
        <f t="shared" si="66"/>
        <v>0</v>
      </c>
      <c r="V803" s="147"/>
      <c r="W803" s="148">
        <f t="shared" si="64"/>
        <v>0</v>
      </c>
      <c r="X803" s="81"/>
    </row>
    <row r="804" spans="1:24" s="113" customFormat="1" x14ac:dyDescent="0.25">
      <c r="A804" s="140">
        <f t="shared" si="65"/>
        <v>53</v>
      </c>
      <c r="B804" s="157"/>
      <c r="C804" s="157"/>
      <c r="D804" s="100"/>
      <c r="E804" s="79"/>
      <c r="F804" s="153"/>
      <c r="G804" s="137"/>
      <c r="H804" s="158"/>
      <c r="I804" s="79"/>
      <c r="J804" s="139"/>
      <c r="K804" s="139"/>
      <c r="L804" s="98"/>
      <c r="M804" s="79"/>
      <c r="N804" s="139"/>
      <c r="O804" s="139"/>
      <c r="P804" s="138"/>
      <c r="Q804" s="147"/>
      <c r="R804" s="147"/>
      <c r="S804" s="147"/>
      <c r="T804" s="138">
        <f t="shared" si="66"/>
        <v>0</v>
      </c>
      <c r="U804" s="138">
        <f t="shared" si="66"/>
        <v>0</v>
      </c>
      <c r="V804" s="147"/>
      <c r="W804" s="148">
        <f t="shared" si="64"/>
        <v>0</v>
      </c>
      <c r="X804" s="81"/>
    </row>
    <row r="805" spans="1:24" s="113" customFormat="1" x14ac:dyDescent="0.25">
      <c r="A805" s="140">
        <f t="shared" si="65"/>
        <v>53</v>
      </c>
      <c r="B805" s="157"/>
      <c r="C805" s="157"/>
      <c r="D805" s="100"/>
      <c r="E805" s="79"/>
      <c r="F805" s="153"/>
      <c r="G805" s="137"/>
      <c r="H805" s="158"/>
      <c r="I805" s="79"/>
      <c r="J805" s="139"/>
      <c r="K805" s="139"/>
      <c r="L805" s="98"/>
      <c r="M805" s="79"/>
      <c r="N805" s="139"/>
      <c r="O805" s="139"/>
      <c r="P805" s="138"/>
      <c r="Q805" s="147"/>
      <c r="R805" s="147"/>
      <c r="S805" s="147"/>
      <c r="T805" s="138">
        <f t="shared" si="66"/>
        <v>0</v>
      </c>
      <c r="U805" s="138">
        <f t="shared" si="66"/>
        <v>0</v>
      </c>
      <c r="V805" s="147"/>
      <c r="W805" s="148">
        <f t="shared" si="64"/>
        <v>0</v>
      </c>
      <c r="X805" s="81"/>
    </row>
    <row r="806" spans="1:24" s="113" customFormat="1" x14ac:dyDescent="0.25">
      <c r="A806" s="140">
        <f t="shared" si="65"/>
        <v>53</v>
      </c>
      <c r="B806" s="157"/>
      <c r="C806" s="157"/>
      <c r="D806" s="100"/>
      <c r="E806" s="79"/>
      <c r="F806" s="153"/>
      <c r="G806" s="137"/>
      <c r="H806" s="158"/>
      <c r="I806" s="79"/>
      <c r="J806" s="139"/>
      <c r="K806" s="139"/>
      <c r="L806" s="98"/>
      <c r="M806" s="79"/>
      <c r="N806" s="139"/>
      <c r="O806" s="139"/>
      <c r="P806" s="138"/>
      <c r="Q806" s="147"/>
      <c r="R806" s="147"/>
      <c r="S806" s="147"/>
      <c r="T806" s="138">
        <f t="shared" si="66"/>
        <v>0</v>
      </c>
      <c r="U806" s="138">
        <f t="shared" si="66"/>
        <v>0</v>
      </c>
      <c r="V806" s="147"/>
      <c r="W806" s="148">
        <f t="shared" si="64"/>
        <v>0</v>
      </c>
      <c r="X806" s="81"/>
    </row>
    <row r="807" spans="1:24" s="113" customFormat="1" x14ac:dyDescent="0.25">
      <c r="A807" s="140">
        <f t="shared" si="65"/>
        <v>53</v>
      </c>
      <c r="B807" s="157"/>
      <c r="C807" s="157"/>
      <c r="D807" s="100"/>
      <c r="E807" s="79"/>
      <c r="F807" s="153"/>
      <c r="G807" s="137"/>
      <c r="H807" s="158"/>
      <c r="I807" s="79"/>
      <c r="J807" s="139"/>
      <c r="K807" s="139"/>
      <c r="L807" s="98"/>
      <c r="M807" s="79"/>
      <c r="N807" s="139"/>
      <c r="O807" s="139"/>
      <c r="P807" s="138"/>
      <c r="Q807" s="147"/>
      <c r="R807" s="147"/>
      <c r="S807" s="147"/>
      <c r="T807" s="138">
        <f t="shared" si="66"/>
        <v>0</v>
      </c>
      <c r="U807" s="138">
        <f t="shared" si="66"/>
        <v>0</v>
      </c>
      <c r="V807" s="147"/>
      <c r="W807" s="148">
        <f t="shared" si="64"/>
        <v>0</v>
      </c>
      <c r="X807" s="81"/>
    </row>
    <row r="808" spans="1:24" s="113" customFormat="1" x14ac:dyDescent="0.25">
      <c r="A808" s="140">
        <f t="shared" si="65"/>
        <v>53</v>
      </c>
      <c r="B808" s="157"/>
      <c r="C808" s="157"/>
      <c r="D808" s="100"/>
      <c r="E808" s="79"/>
      <c r="F808" s="153"/>
      <c r="G808" s="137"/>
      <c r="H808" s="158"/>
      <c r="I808" s="79"/>
      <c r="J808" s="139"/>
      <c r="K808" s="139"/>
      <c r="L808" s="98"/>
      <c r="M808" s="79"/>
      <c r="N808" s="139"/>
      <c r="O808" s="139"/>
      <c r="P808" s="138"/>
      <c r="Q808" s="147"/>
      <c r="R808" s="147"/>
      <c r="S808" s="147"/>
      <c r="T808" s="138">
        <f t="shared" si="66"/>
        <v>0</v>
      </c>
      <c r="U808" s="138">
        <f t="shared" si="66"/>
        <v>0</v>
      </c>
      <c r="V808" s="147"/>
      <c r="W808" s="148">
        <f t="shared" si="64"/>
        <v>0</v>
      </c>
      <c r="X808" s="81"/>
    </row>
    <row r="809" spans="1:24" s="113" customFormat="1" x14ac:dyDescent="0.25">
      <c r="A809" s="140">
        <f t="shared" si="65"/>
        <v>53</v>
      </c>
      <c r="B809" s="157"/>
      <c r="C809" s="157"/>
      <c r="D809" s="100"/>
      <c r="E809" s="79"/>
      <c r="F809" s="153"/>
      <c r="G809" s="137"/>
      <c r="H809" s="158"/>
      <c r="I809" s="79"/>
      <c r="J809" s="139"/>
      <c r="K809" s="139"/>
      <c r="L809" s="98"/>
      <c r="M809" s="79"/>
      <c r="N809" s="139"/>
      <c r="O809" s="139"/>
      <c r="P809" s="138"/>
      <c r="Q809" s="147"/>
      <c r="R809" s="147"/>
      <c r="S809" s="147"/>
      <c r="T809" s="138">
        <f t="shared" si="66"/>
        <v>0</v>
      </c>
      <c r="U809" s="138">
        <f t="shared" si="66"/>
        <v>0</v>
      </c>
      <c r="V809" s="147"/>
      <c r="W809" s="148">
        <f t="shared" si="64"/>
        <v>0</v>
      </c>
      <c r="X809" s="81"/>
    </row>
    <row r="810" spans="1:24" s="113" customFormat="1" x14ac:dyDescent="0.25">
      <c r="A810" s="140">
        <f t="shared" si="65"/>
        <v>53</v>
      </c>
      <c r="B810" s="157"/>
      <c r="C810" s="157"/>
      <c r="D810" s="100"/>
      <c r="E810" s="79"/>
      <c r="F810" s="153"/>
      <c r="G810" s="137"/>
      <c r="H810" s="158"/>
      <c r="I810" s="79"/>
      <c r="J810" s="139"/>
      <c r="K810" s="139"/>
      <c r="L810" s="98"/>
      <c r="M810" s="79"/>
      <c r="N810" s="139"/>
      <c r="O810" s="139"/>
      <c r="P810" s="138"/>
      <c r="Q810" s="147"/>
      <c r="R810" s="147"/>
      <c r="S810" s="147"/>
      <c r="T810" s="138">
        <f t="shared" si="66"/>
        <v>0</v>
      </c>
      <c r="U810" s="138">
        <f t="shared" si="66"/>
        <v>0</v>
      </c>
      <c r="V810" s="147"/>
      <c r="W810" s="148">
        <f t="shared" si="64"/>
        <v>0</v>
      </c>
      <c r="X810" s="81"/>
    </row>
    <row r="811" spans="1:24" s="113" customFormat="1" x14ac:dyDescent="0.25">
      <c r="A811" s="140">
        <f t="shared" si="65"/>
        <v>53</v>
      </c>
      <c r="B811" s="157"/>
      <c r="C811" s="157"/>
      <c r="D811" s="100"/>
      <c r="E811" s="79"/>
      <c r="F811" s="153"/>
      <c r="G811" s="137"/>
      <c r="H811" s="158"/>
      <c r="I811" s="79"/>
      <c r="J811" s="139"/>
      <c r="K811" s="139"/>
      <c r="L811" s="98"/>
      <c r="M811" s="79"/>
      <c r="N811" s="139"/>
      <c r="O811" s="139"/>
      <c r="P811" s="138"/>
      <c r="Q811" s="147"/>
      <c r="R811" s="147"/>
      <c r="S811" s="147"/>
      <c r="T811" s="138">
        <f t="shared" si="66"/>
        <v>0</v>
      </c>
      <c r="U811" s="138">
        <f t="shared" si="66"/>
        <v>0</v>
      </c>
      <c r="V811" s="147"/>
      <c r="W811" s="148">
        <f t="shared" si="64"/>
        <v>0</v>
      </c>
      <c r="X811" s="81"/>
    </row>
    <row r="812" spans="1:24" s="113" customFormat="1" x14ac:dyDescent="0.25">
      <c r="A812" s="140">
        <f t="shared" si="65"/>
        <v>53</v>
      </c>
      <c r="B812" s="157"/>
      <c r="C812" s="157"/>
      <c r="D812" s="100"/>
      <c r="E812" s="79"/>
      <c r="F812" s="153"/>
      <c r="G812" s="137"/>
      <c r="H812" s="158"/>
      <c r="I812" s="79"/>
      <c r="J812" s="139"/>
      <c r="K812" s="139"/>
      <c r="L812" s="98"/>
      <c r="M812" s="79"/>
      <c r="N812" s="139"/>
      <c r="O812" s="139"/>
      <c r="P812" s="138"/>
      <c r="Q812" s="147"/>
      <c r="R812" s="147"/>
      <c r="S812" s="147"/>
      <c r="T812" s="138">
        <f t="shared" si="66"/>
        <v>0</v>
      </c>
      <c r="U812" s="138">
        <f t="shared" si="66"/>
        <v>0</v>
      </c>
      <c r="V812" s="147"/>
      <c r="W812" s="148">
        <f>U812-T812</f>
        <v>0</v>
      </c>
      <c r="X812" s="81"/>
    </row>
    <row r="813" spans="1:24" s="113" customFormat="1" x14ac:dyDescent="0.25">
      <c r="A813" s="140">
        <f t="shared" si="65"/>
        <v>53</v>
      </c>
      <c r="B813" s="157"/>
      <c r="C813" s="157"/>
      <c r="D813" s="100"/>
      <c r="E813" s="79"/>
      <c r="F813" s="153"/>
      <c r="G813" s="137"/>
      <c r="H813" s="158"/>
      <c r="I813" s="79"/>
      <c r="J813" s="139"/>
      <c r="K813" s="139"/>
      <c r="L813" s="98"/>
      <c r="M813" s="79"/>
      <c r="N813" s="139"/>
      <c r="O813" s="139"/>
      <c r="P813" s="138"/>
      <c r="Q813" s="147"/>
      <c r="R813" s="147"/>
      <c r="S813" s="147"/>
      <c r="T813" s="138">
        <f t="shared" si="66"/>
        <v>0</v>
      </c>
      <c r="U813" s="138">
        <f t="shared" si="66"/>
        <v>0</v>
      </c>
      <c r="V813" s="147"/>
      <c r="W813" s="148">
        <f>U813-T813</f>
        <v>0</v>
      </c>
      <c r="X813" s="81"/>
    </row>
    <row r="814" spans="1:24" s="113" customFormat="1" x14ac:dyDescent="0.25">
      <c r="A814" s="140">
        <f t="shared" si="65"/>
        <v>53</v>
      </c>
      <c r="B814" s="157"/>
      <c r="C814" s="157"/>
      <c r="D814" s="100"/>
      <c r="E814" s="79"/>
      <c r="F814" s="153"/>
      <c r="G814" s="137"/>
      <c r="H814" s="158"/>
      <c r="I814" s="79"/>
      <c r="J814" s="139"/>
      <c r="K814" s="139"/>
      <c r="L814" s="98"/>
      <c r="M814" s="79"/>
      <c r="N814" s="139"/>
      <c r="O814" s="139"/>
      <c r="P814" s="138"/>
      <c r="Q814" s="147"/>
      <c r="R814" s="147"/>
      <c r="S814" s="147"/>
      <c r="T814" s="138">
        <f t="shared" si="66"/>
        <v>0</v>
      </c>
      <c r="U814" s="138">
        <f t="shared" si="66"/>
        <v>0</v>
      </c>
      <c r="V814" s="147"/>
      <c r="W814" s="148">
        <f>U814-T814</f>
        <v>0</v>
      </c>
      <c r="X814" s="81"/>
    </row>
    <row r="815" spans="1:24" s="113" customFormat="1" x14ac:dyDescent="0.25">
      <c r="A815" s="140">
        <f t="shared" si="65"/>
        <v>53</v>
      </c>
      <c r="B815" s="157"/>
      <c r="C815" s="157"/>
      <c r="D815" s="100"/>
      <c r="E815" s="79"/>
      <c r="F815" s="153"/>
      <c r="G815" s="137"/>
      <c r="H815" s="158"/>
      <c r="I815" s="79"/>
      <c r="J815" s="139"/>
      <c r="K815" s="139"/>
      <c r="L815" s="98"/>
      <c r="M815" s="79"/>
      <c r="N815" s="139"/>
      <c r="O815" s="139"/>
      <c r="P815" s="138"/>
      <c r="Q815" s="147"/>
      <c r="R815" s="147"/>
      <c r="S815" s="147"/>
      <c r="T815" s="138">
        <f t="shared" si="66"/>
        <v>0</v>
      </c>
      <c r="U815" s="138">
        <f t="shared" si="66"/>
        <v>0</v>
      </c>
      <c r="V815" s="147"/>
      <c r="W815" s="148">
        <f t="shared" si="64"/>
        <v>0</v>
      </c>
      <c r="X815" s="81"/>
    </row>
    <row r="816" spans="1:24" s="113" customFormat="1" x14ac:dyDescent="0.25">
      <c r="A816" s="140">
        <f t="shared" si="65"/>
        <v>53</v>
      </c>
      <c r="B816" s="157"/>
      <c r="C816" s="157"/>
      <c r="D816" s="100"/>
      <c r="E816" s="79"/>
      <c r="F816" s="153"/>
      <c r="G816" s="137"/>
      <c r="H816" s="158"/>
      <c r="I816" s="79"/>
      <c r="J816" s="139"/>
      <c r="K816" s="139"/>
      <c r="L816" s="98"/>
      <c r="M816" s="79"/>
      <c r="N816" s="139"/>
      <c r="O816" s="139"/>
      <c r="P816" s="138"/>
      <c r="Q816" s="147"/>
      <c r="R816" s="147"/>
      <c r="S816" s="147"/>
      <c r="T816" s="138">
        <f t="shared" si="66"/>
        <v>0</v>
      </c>
      <c r="U816" s="138">
        <f t="shared" si="66"/>
        <v>0</v>
      </c>
      <c r="V816" s="147"/>
      <c r="W816" s="148">
        <f t="shared" si="64"/>
        <v>0</v>
      </c>
      <c r="X816" s="81"/>
    </row>
    <row r="817" spans="1:24" s="113" customFormat="1" x14ac:dyDescent="0.25">
      <c r="A817" s="140">
        <f t="shared" si="65"/>
        <v>53</v>
      </c>
      <c r="B817" s="157"/>
      <c r="C817" s="157"/>
      <c r="D817" s="100"/>
      <c r="E817" s="79"/>
      <c r="F817" s="153"/>
      <c r="G817" s="137"/>
      <c r="H817" s="158"/>
      <c r="I817" s="79"/>
      <c r="J817" s="139"/>
      <c r="K817" s="139"/>
      <c r="L817" s="98"/>
      <c r="M817" s="79"/>
      <c r="N817" s="139"/>
      <c r="O817" s="139"/>
      <c r="P817" s="138"/>
      <c r="Q817" s="147"/>
      <c r="R817" s="147"/>
      <c r="S817" s="147"/>
      <c r="T817" s="138">
        <f t="shared" si="66"/>
        <v>0</v>
      </c>
      <c r="U817" s="138">
        <f t="shared" si="66"/>
        <v>0</v>
      </c>
      <c r="V817" s="147"/>
      <c r="W817" s="148">
        <f t="shared" si="64"/>
        <v>0</v>
      </c>
      <c r="X817" s="81"/>
    </row>
    <row r="818" spans="1:24" s="113" customFormat="1" x14ac:dyDescent="0.25">
      <c r="A818" s="140">
        <f t="shared" si="65"/>
        <v>53</v>
      </c>
      <c r="B818" s="157"/>
      <c r="C818" s="157"/>
      <c r="D818" s="100"/>
      <c r="E818" s="79"/>
      <c r="F818" s="153"/>
      <c r="G818" s="137"/>
      <c r="H818" s="158"/>
      <c r="I818" s="79"/>
      <c r="J818" s="139"/>
      <c r="K818" s="139"/>
      <c r="L818" s="98"/>
      <c r="M818" s="79"/>
      <c r="N818" s="139"/>
      <c r="O818" s="139"/>
      <c r="P818" s="138"/>
      <c r="Q818" s="147"/>
      <c r="R818" s="147"/>
      <c r="S818" s="147"/>
      <c r="T818" s="138">
        <f t="shared" si="66"/>
        <v>0</v>
      </c>
      <c r="U818" s="138">
        <f t="shared" si="66"/>
        <v>0</v>
      </c>
      <c r="V818" s="147"/>
      <c r="W818" s="148">
        <f t="shared" si="64"/>
        <v>0</v>
      </c>
      <c r="X818" s="81"/>
    </row>
    <row r="819" spans="1:24" s="113" customFormat="1" x14ac:dyDescent="0.25">
      <c r="A819" s="140">
        <f t="shared" si="65"/>
        <v>53</v>
      </c>
      <c r="B819" s="157"/>
      <c r="C819" s="157"/>
      <c r="D819" s="100"/>
      <c r="E819" s="79"/>
      <c r="F819" s="153"/>
      <c r="G819" s="137"/>
      <c r="H819" s="158"/>
      <c r="I819" s="79"/>
      <c r="J819" s="139"/>
      <c r="K819" s="139"/>
      <c r="L819" s="98"/>
      <c r="M819" s="79"/>
      <c r="N819" s="139"/>
      <c r="O819" s="139"/>
      <c r="P819" s="138"/>
      <c r="Q819" s="147"/>
      <c r="R819" s="147"/>
      <c r="S819" s="147"/>
      <c r="T819" s="138">
        <f t="shared" si="66"/>
        <v>0</v>
      </c>
      <c r="U819" s="138">
        <f t="shared" si="66"/>
        <v>0</v>
      </c>
      <c r="V819" s="147"/>
      <c r="W819" s="148">
        <f t="shared" si="64"/>
        <v>0</v>
      </c>
      <c r="X819" s="81"/>
    </row>
    <row r="820" spans="1:24" s="113" customFormat="1" x14ac:dyDescent="0.25">
      <c r="A820" s="140">
        <f t="shared" si="65"/>
        <v>53</v>
      </c>
      <c r="B820" s="157"/>
      <c r="C820" s="157"/>
      <c r="D820" s="100"/>
      <c r="E820" s="79"/>
      <c r="F820" s="153"/>
      <c r="G820" s="137"/>
      <c r="H820" s="158"/>
      <c r="I820" s="79"/>
      <c r="J820" s="139"/>
      <c r="K820" s="139"/>
      <c r="L820" s="98"/>
      <c r="M820" s="79"/>
      <c r="N820" s="139"/>
      <c r="O820" s="139"/>
      <c r="P820" s="138"/>
      <c r="Q820" s="147"/>
      <c r="R820" s="147"/>
      <c r="S820" s="147"/>
      <c r="T820" s="138">
        <f t="shared" si="66"/>
        <v>0</v>
      </c>
      <c r="U820" s="138">
        <f t="shared" si="66"/>
        <v>0</v>
      </c>
      <c r="V820" s="147"/>
      <c r="W820" s="148">
        <f t="shared" si="64"/>
        <v>0</v>
      </c>
      <c r="X820" s="81"/>
    </row>
    <row r="821" spans="1:24" s="113" customFormat="1" x14ac:dyDescent="0.25">
      <c r="A821" s="140">
        <f t="shared" si="65"/>
        <v>53</v>
      </c>
      <c r="B821" s="157"/>
      <c r="C821" s="157"/>
      <c r="D821" s="100"/>
      <c r="E821" s="79"/>
      <c r="F821" s="153"/>
      <c r="G821" s="137"/>
      <c r="H821" s="158"/>
      <c r="I821" s="79"/>
      <c r="J821" s="139"/>
      <c r="K821" s="139"/>
      <c r="L821" s="98"/>
      <c r="M821" s="79"/>
      <c r="N821" s="139"/>
      <c r="O821" s="139"/>
      <c r="P821" s="138"/>
      <c r="Q821" s="147"/>
      <c r="R821" s="147"/>
      <c r="S821" s="147"/>
      <c r="T821" s="138">
        <f t="shared" si="66"/>
        <v>0</v>
      </c>
      <c r="U821" s="138">
        <f t="shared" si="66"/>
        <v>0</v>
      </c>
      <c r="V821" s="147"/>
      <c r="W821" s="148">
        <f t="shared" si="64"/>
        <v>0</v>
      </c>
      <c r="X821" s="81"/>
    </row>
    <row r="822" spans="1:24" s="113" customFormat="1" x14ac:dyDescent="0.25">
      <c r="A822" s="140">
        <f t="shared" si="65"/>
        <v>53</v>
      </c>
      <c r="B822" s="157"/>
      <c r="C822" s="157"/>
      <c r="D822" s="229"/>
      <c r="E822" s="79"/>
      <c r="F822" s="153"/>
      <c r="G822" s="137"/>
      <c r="H822" s="158"/>
      <c r="I822" s="79"/>
      <c r="J822" s="139"/>
      <c r="K822" s="139"/>
      <c r="L822" s="98"/>
      <c r="M822" s="79"/>
      <c r="N822" s="139"/>
      <c r="O822" s="139"/>
      <c r="P822" s="138"/>
      <c r="Q822" s="147"/>
      <c r="R822" s="147"/>
      <c r="S822" s="147"/>
      <c r="T822" s="138">
        <f t="shared" si="66"/>
        <v>0</v>
      </c>
      <c r="U822" s="138">
        <f t="shared" si="66"/>
        <v>0</v>
      </c>
      <c r="V822" s="147"/>
      <c r="W822" s="148">
        <f t="shared" si="64"/>
        <v>0</v>
      </c>
      <c r="X822" s="81"/>
    </row>
    <row r="823" spans="1:24" s="113" customFormat="1" x14ac:dyDescent="0.25">
      <c r="A823" s="140">
        <f t="shared" si="65"/>
        <v>53</v>
      </c>
      <c r="B823" s="157"/>
      <c r="C823" s="157"/>
      <c r="D823" s="229"/>
      <c r="E823" s="79"/>
      <c r="F823" s="153"/>
      <c r="G823" s="137"/>
      <c r="H823" s="158"/>
      <c r="I823" s="79"/>
      <c r="J823" s="139"/>
      <c r="K823" s="139"/>
      <c r="L823" s="98"/>
      <c r="M823" s="79"/>
      <c r="N823" s="139"/>
      <c r="O823" s="139"/>
      <c r="P823" s="138"/>
      <c r="Q823" s="147"/>
      <c r="R823" s="147"/>
      <c r="S823" s="147"/>
      <c r="T823" s="138">
        <f t="shared" si="66"/>
        <v>0</v>
      </c>
      <c r="U823" s="138">
        <f t="shared" si="66"/>
        <v>0</v>
      </c>
      <c r="V823" s="147"/>
      <c r="W823" s="148">
        <f t="shared" si="64"/>
        <v>0</v>
      </c>
      <c r="X823" s="81"/>
    </row>
    <row r="824" spans="1:24" s="113" customFormat="1" x14ac:dyDescent="0.25">
      <c r="A824" s="140">
        <f t="shared" si="65"/>
        <v>53</v>
      </c>
      <c r="B824" s="157"/>
      <c r="C824" s="157"/>
      <c r="D824" s="229"/>
      <c r="E824" s="79"/>
      <c r="F824" s="153"/>
      <c r="G824" s="137"/>
      <c r="H824" s="158"/>
      <c r="I824" s="79"/>
      <c r="J824" s="139"/>
      <c r="K824" s="139"/>
      <c r="L824" s="98"/>
      <c r="M824" s="79"/>
      <c r="N824" s="139"/>
      <c r="O824" s="139"/>
      <c r="P824" s="138"/>
      <c r="Q824" s="147"/>
      <c r="R824" s="147"/>
      <c r="S824" s="147"/>
      <c r="T824" s="138">
        <f t="shared" si="66"/>
        <v>0</v>
      </c>
      <c r="U824" s="138">
        <f t="shared" si="66"/>
        <v>0</v>
      </c>
      <c r="V824" s="147"/>
      <c r="W824" s="148">
        <f t="shared" si="64"/>
        <v>0</v>
      </c>
      <c r="X824" s="81"/>
    </row>
    <row r="825" spans="1:24" s="113" customFormat="1" x14ac:dyDescent="0.25">
      <c r="A825" s="140">
        <f t="shared" si="65"/>
        <v>53</v>
      </c>
      <c r="B825" s="157"/>
      <c r="C825" s="157"/>
      <c r="D825" s="229"/>
      <c r="E825" s="79"/>
      <c r="F825" s="153"/>
      <c r="G825" s="137"/>
      <c r="H825" s="158"/>
      <c r="I825" s="79"/>
      <c r="J825" s="139"/>
      <c r="K825" s="139"/>
      <c r="L825" s="98"/>
      <c r="M825" s="79"/>
      <c r="N825" s="139"/>
      <c r="O825" s="139"/>
      <c r="P825" s="138"/>
      <c r="Q825" s="147"/>
      <c r="R825" s="147"/>
      <c r="S825" s="147"/>
      <c r="T825" s="138">
        <f t="shared" si="66"/>
        <v>0</v>
      </c>
      <c r="U825" s="138">
        <f t="shared" si="66"/>
        <v>0</v>
      </c>
      <c r="V825" s="147"/>
      <c r="W825" s="148">
        <f>U825-T825</f>
        <v>0</v>
      </c>
      <c r="X825" s="81"/>
    </row>
    <row r="826" spans="1:24" s="113" customFormat="1" x14ac:dyDescent="0.25">
      <c r="A826" s="140">
        <f t="shared" si="65"/>
        <v>53</v>
      </c>
      <c r="B826" s="157"/>
      <c r="C826" s="157"/>
      <c r="D826" s="229"/>
      <c r="E826" s="79"/>
      <c r="F826" s="153"/>
      <c r="G826" s="137"/>
      <c r="H826" s="158"/>
      <c r="I826" s="79"/>
      <c r="J826" s="139"/>
      <c r="K826" s="139"/>
      <c r="L826" s="98"/>
      <c r="M826" s="79"/>
      <c r="N826" s="139"/>
      <c r="O826" s="139"/>
      <c r="P826" s="138"/>
      <c r="Q826" s="147"/>
      <c r="R826" s="147"/>
      <c r="S826" s="147"/>
      <c r="T826" s="138">
        <f t="shared" si="66"/>
        <v>0</v>
      </c>
      <c r="U826" s="138">
        <f t="shared" si="66"/>
        <v>0</v>
      </c>
      <c r="V826" s="147"/>
      <c r="W826" s="148">
        <f>U826-T826</f>
        <v>0</v>
      </c>
      <c r="X826" s="81"/>
    </row>
    <row r="827" spans="1:24" s="113" customFormat="1" x14ac:dyDescent="0.25">
      <c r="A827" s="140">
        <f t="shared" si="65"/>
        <v>53</v>
      </c>
      <c r="B827" s="157"/>
      <c r="C827" s="157"/>
      <c r="D827" s="229"/>
      <c r="E827" s="79"/>
      <c r="F827" s="153"/>
      <c r="G827" s="137"/>
      <c r="H827" s="158"/>
      <c r="I827" s="79"/>
      <c r="J827" s="139"/>
      <c r="K827" s="139"/>
      <c r="L827" s="98"/>
      <c r="M827" s="79"/>
      <c r="N827" s="139"/>
      <c r="O827" s="139"/>
      <c r="P827" s="138"/>
      <c r="Q827" s="147"/>
      <c r="R827" s="147"/>
      <c r="S827" s="147"/>
      <c r="T827" s="138">
        <f t="shared" si="66"/>
        <v>0</v>
      </c>
      <c r="U827" s="138">
        <f t="shared" si="66"/>
        <v>0</v>
      </c>
      <c r="V827" s="147"/>
      <c r="W827" s="148">
        <f>U827-T827</f>
        <v>0</v>
      </c>
      <c r="X827" s="81"/>
    </row>
    <row r="828" spans="1:24" s="113" customFormat="1" x14ac:dyDescent="0.25">
      <c r="A828" s="140">
        <f t="shared" si="65"/>
        <v>53</v>
      </c>
      <c r="B828" s="157"/>
      <c r="C828" s="157"/>
      <c r="D828" s="229"/>
      <c r="E828" s="79"/>
      <c r="F828" s="153"/>
      <c r="G828" s="137"/>
      <c r="H828" s="158"/>
      <c r="I828" s="79"/>
      <c r="J828" s="139"/>
      <c r="K828" s="139"/>
      <c r="L828" s="98"/>
      <c r="M828" s="79"/>
      <c r="N828" s="139"/>
      <c r="O828" s="139"/>
      <c r="P828" s="138"/>
      <c r="Q828" s="147"/>
      <c r="R828" s="147"/>
      <c r="S828" s="147"/>
      <c r="T828" s="138">
        <f t="shared" si="66"/>
        <v>0</v>
      </c>
      <c r="U828" s="138">
        <f t="shared" si="66"/>
        <v>0</v>
      </c>
      <c r="V828" s="147"/>
      <c r="W828" s="148">
        <f t="shared" ref="W828:W881" si="67">V828-Q828</f>
        <v>0</v>
      </c>
      <c r="X828" s="81"/>
    </row>
    <row r="829" spans="1:24" s="113" customFormat="1" x14ac:dyDescent="0.25">
      <c r="A829" s="140">
        <f t="shared" si="65"/>
        <v>53</v>
      </c>
      <c r="B829" s="157"/>
      <c r="C829" s="157"/>
      <c r="D829" s="229"/>
      <c r="E829" s="79"/>
      <c r="F829" s="153"/>
      <c r="G829" s="137"/>
      <c r="H829" s="158"/>
      <c r="I829" s="79"/>
      <c r="J829" s="139"/>
      <c r="K829" s="139"/>
      <c r="L829" s="98"/>
      <c r="M829" s="79"/>
      <c r="N829" s="139"/>
      <c r="O829" s="139"/>
      <c r="P829" s="138"/>
      <c r="Q829" s="147"/>
      <c r="R829" s="147"/>
      <c r="S829" s="147"/>
      <c r="T829" s="138">
        <f t="shared" si="66"/>
        <v>0</v>
      </c>
      <c r="U829" s="138">
        <f t="shared" si="66"/>
        <v>0</v>
      </c>
      <c r="V829" s="147"/>
      <c r="W829" s="148">
        <f t="shared" si="67"/>
        <v>0</v>
      </c>
      <c r="X829" s="81"/>
    </row>
    <row r="830" spans="1:24" s="113" customFormat="1" x14ac:dyDescent="0.25">
      <c r="A830" s="140">
        <f t="shared" si="65"/>
        <v>53</v>
      </c>
      <c r="B830" s="157"/>
      <c r="C830" s="157"/>
      <c r="D830" s="229"/>
      <c r="E830" s="79"/>
      <c r="F830" s="153"/>
      <c r="G830" s="137"/>
      <c r="H830" s="158"/>
      <c r="I830" s="79"/>
      <c r="J830" s="139"/>
      <c r="K830" s="139"/>
      <c r="L830" s="98"/>
      <c r="M830" s="79"/>
      <c r="N830" s="139"/>
      <c r="O830" s="139"/>
      <c r="P830" s="138"/>
      <c r="Q830" s="147"/>
      <c r="R830" s="147"/>
      <c r="S830" s="147"/>
      <c r="T830" s="138">
        <f t="shared" si="66"/>
        <v>0</v>
      </c>
      <c r="U830" s="138">
        <f t="shared" si="66"/>
        <v>0</v>
      </c>
      <c r="V830" s="147"/>
      <c r="W830" s="148">
        <f t="shared" si="67"/>
        <v>0</v>
      </c>
      <c r="X830" s="81"/>
    </row>
    <row r="831" spans="1:24" s="113" customFormat="1" x14ac:dyDescent="0.25">
      <c r="A831" s="140">
        <f t="shared" si="65"/>
        <v>53</v>
      </c>
      <c r="B831" s="157"/>
      <c r="C831" s="157"/>
      <c r="D831" s="229"/>
      <c r="E831" s="79"/>
      <c r="F831" s="153"/>
      <c r="G831" s="137"/>
      <c r="H831" s="158"/>
      <c r="I831" s="79"/>
      <c r="J831" s="139"/>
      <c r="K831" s="139"/>
      <c r="L831" s="98"/>
      <c r="M831" s="79"/>
      <c r="N831" s="139"/>
      <c r="O831" s="139"/>
      <c r="P831" s="138"/>
      <c r="Q831" s="147"/>
      <c r="R831" s="147"/>
      <c r="S831" s="147"/>
      <c r="T831" s="138">
        <f t="shared" si="66"/>
        <v>0</v>
      </c>
      <c r="U831" s="138">
        <f t="shared" si="66"/>
        <v>0</v>
      </c>
      <c r="V831" s="147"/>
      <c r="W831" s="148">
        <f t="shared" si="67"/>
        <v>0</v>
      </c>
      <c r="X831" s="81"/>
    </row>
    <row r="832" spans="1:24" s="113" customFormat="1" x14ac:dyDescent="0.25">
      <c r="A832" s="140">
        <f t="shared" si="65"/>
        <v>53</v>
      </c>
      <c r="B832" s="157"/>
      <c r="C832" s="157"/>
      <c r="D832" s="229"/>
      <c r="E832" s="79"/>
      <c r="F832" s="153"/>
      <c r="G832" s="137"/>
      <c r="H832" s="158"/>
      <c r="I832" s="79"/>
      <c r="J832" s="139"/>
      <c r="K832" s="139"/>
      <c r="L832" s="98"/>
      <c r="M832" s="79"/>
      <c r="N832" s="139"/>
      <c r="O832" s="139"/>
      <c r="P832" s="138"/>
      <c r="Q832" s="147"/>
      <c r="R832" s="147"/>
      <c r="S832" s="147"/>
      <c r="T832" s="138">
        <f t="shared" si="66"/>
        <v>0</v>
      </c>
      <c r="U832" s="138">
        <f t="shared" si="66"/>
        <v>0</v>
      </c>
      <c r="V832" s="147"/>
      <c r="W832" s="148">
        <f t="shared" si="67"/>
        <v>0</v>
      </c>
      <c r="X832" s="81"/>
    </row>
    <row r="833" spans="1:24" s="113" customFormat="1" x14ac:dyDescent="0.25">
      <c r="A833" s="140">
        <f t="shared" si="65"/>
        <v>53</v>
      </c>
      <c r="B833" s="157"/>
      <c r="C833" s="157"/>
      <c r="D833" s="229"/>
      <c r="E833" s="79"/>
      <c r="F833" s="153"/>
      <c r="G833" s="137"/>
      <c r="H833" s="158"/>
      <c r="I833" s="79"/>
      <c r="J833" s="139"/>
      <c r="K833" s="139"/>
      <c r="L833" s="98"/>
      <c r="M833" s="79"/>
      <c r="N833" s="139"/>
      <c r="O833" s="139"/>
      <c r="P833" s="138"/>
      <c r="Q833" s="147"/>
      <c r="R833" s="147"/>
      <c r="S833" s="147"/>
      <c r="T833" s="138">
        <f t="shared" si="66"/>
        <v>0</v>
      </c>
      <c r="U833" s="138">
        <f t="shared" si="66"/>
        <v>0</v>
      </c>
      <c r="V833" s="147"/>
      <c r="W833" s="148">
        <f t="shared" si="67"/>
        <v>0</v>
      </c>
      <c r="X833" s="81"/>
    </row>
    <row r="834" spans="1:24" s="113" customFormat="1" x14ac:dyDescent="0.25">
      <c r="A834" s="140">
        <f t="shared" si="65"/>
        <v>53</v>
      </c>
      <c r="B834" s="157"/>
      <c r="C834" s="157"/>
      <c r="D834" s="229"/>
      <c r="E834" s="79"/>
      <c r="F834" s="153"/>
      <c r="G834" s="137"/>
      <c r="H834" s="158"/>
      <c r="I834" s="79"/>
      <c r="J834" s="139"/>
      <c r="K834" s="139"/>
      <c r="L834" s="98"/>
      <c r="M834" s="79"/>
      <c r="N834" s="139"/>
      <c r="O834" s="139"/>
      <c r="P834" s="138"/>
      <c r="Q834" s="147"/>
      <c r="R834" s="147"/>
      <c r="S834" s="147"/>
      <c r="T834" s="138">
        <f t="shared" si="66"/>
        <v>0</v>
      </c>
      <c r="U834" s="138">
        <f t="shared" si="66"/>
        <v>0</v>
      </c>
      <c r="V834" s="147"/>
      <c r="W834" s="148">
        <f t="shared" si="67"/>
        <v>0</v>
      </c>
      <c r="X834" s="81"/>
    </row>
    <row r="835" spans="1:24" s="113" customFormat="1" x14ac:dyDescent="0.25">
      <c r="A835" s="140">
        <f t="shared" si="65"/>
        <v>53</v>
      </c>
      <c r="B835" s="157"/>
      <c r="C835" s="157"/>
      <c r="D835" s="229"/>
      <c r="E835" s="79"/>
      <c r="F835" s="153"/>
      <c r="G835" s="137"/>
      <c r="H835" s="158"/>
      <c r="I835" s="79"/>
      <c r="J835" s="139"/>
      <c r="K835" s="139"/>
      <c r="L835" s="98"/>
      <c r="M835" s="79"/>
      <c r="N835" s="139"/>
      <c r="O835" s="139"/>
      <c r="P835" s="138"/>
      <c r="Q835" s="147"/>
      <c r="R835" s="147"/>
      <c r="S835" s="147"/>
      <c r="T835" s="138">
        <f t="shared" si="66"/>
        <v>0</v>
      </c>
      <c r="U835" s="138">
        <f t="shared" si="66"/>
        <v>0</v>
      </c>
      <c r="V835" s="147"/>
      <c r="W835" s="148">
        <f t="shared" si="67"/>
        <v>0</v>
      </c>
      <c r="X835" s="81"/>
    </row>
    <row r="836" spans="1:24" s="113" customFormat="1" x14ac:dyDescent="0.25">
      <c r="A836" s="140">
        <f t="shared" si="65"/>
        <v>53</v>
      </c>
      <c r="B836" s="157"/>
      <c r="C836" s="157"/>
      <c r="D836" s="229"/>
      <c r="E836" s="79"/>
      <c r="F836" s="153"/>
      <c r="G836" s="137"/>
      <c r="H836" s="158"/>
      <c r="I836" s="79"/>
      <c r="J836" s="139"/>
      <c r="K836" s="139"/>
      <c r="L836" s="98"/>
      <c r="M836" s="79"/>
      <c r="N836" s="139"/>
      <c r="O836" s="139"/>
      <c r="P836" s="138"/>
      <c r="Q836" s="147"/>
      <c r="R836" s="147"/>
      <c r="S836" s="147"/>
      <c r="T836" s="138">
        <f t="shared" si="66"/>
        <v>0</v>
      </c>
      <c r="U836" s="138">
        <f t="shared" si="66"/>
        <v>0</v>
      </c>
      <c r="V836" s="147"/>
      <c r="W836" s="148">
        <f t="shared" si="67"/>
        <v>0</v>
      </c>
      <c r="X836" s="81"/>
    </row>
    <row r="837" spans="1:24" s="113" customFormat="1" x14ac:dyDescent="0.25">
      <c r="A837" s="140">
        <f t="shared" si="65"/>
        <v>53</v>
      </c>
      <c r="B837" s="157"/>
      <c r="C837" s="157"/>
      <c r="D837" s="229"/>
      <c r="E837" s="79"/>
      <c r="F837" s="153"/>
      <c r="G837" s="137"/>
      <c r="H837" s="158"/>
      <c r="I837" s="79"/>
      <c r="J837" s="139"/>
      <c r="K837" s="139"/>
      <c r="L837" s="98"/>
      <c r="M837" s="79"/>
      <c r="N837" s="139"/>
      <c r="O837" s="139"/>
      <c r="P837" s="138"/>
      <c r="Q837" s="147"/>
      <c r="R837" s="147"/>
      <c r="S837" s="147"/>
      <c r="T837" s="138">
        <f t="shared" si="66"/>
        <v>0</v>
      </c>
      <c r="U837" s="138">
        <f t="shared" si="66"/>
        <v>0</v>
      </c>
      <c r="V837" s="147"/>
      <c r="W837" s="148">
        <f>U837-T837</f>
        <v>0</v>
      </c>
      <c r="X837" s="81"/>
    </row>
    <row r="838" spans="1:24" s="113" customFormat="1" x14ac:dyDescent="0.25">
      <c r="A838" s="140">
        <f t="shared" si="65"/>
        <v>53</v>
      </c>
      <c r="B838" s="157"/>
      <c r="C838" s="157"/>
      <c r="D838" s="229"/>
      <c r="E838" s="79"/>
      <c r="F838" s="153"/>
      <c r="G838" s="137"/>
      <c r="H838" s="158"/>
      <c r="I838" s="79"/>
      <c r="J838" s="139"/>
      <c r="K838" s="139"/>
      <c r="L838" s="98"/>
      <c r="M838" s="79"/>
      <c r="N838" s="139"/>
      <c r="O838" s="139"/>
      <c r="P838" s="138"/>
      <c r="Q838" s="147"/>
      <c r="R838" s="147"/>
      <c r="S838" s="147"/>
      <c r="T838" s="138">
        <f t="shared" si="66"/>
        <v>0</v>
      </c>
      <c r="U838" s="138">
        <f t="shared" si="66"/>
        <v>0</v>
      </c>
      <c r="V838" s="147"/>
      <c r="W838" s="148">
        <f>U838-T838</f>
        <v>0</v>
      </c>
      <c r="X838" s="81"/>
    </row>
    <row r="839" spans="1:24" s="113" customFormat="1" x14ac:dyDescent="0.25">
      <c r="A839" s="140">
        <f t="shared" ref="A839:A902" si="68">WEEKNUM(B839,21)</f>
        <v>53</v>
      </c>
      <c r="B839" s="157"/>
      <c r="C839" s="157"/>
      <c r="D839" s="229"/>
      <c r="E839" s="79"/>
      <c r="F839" s="153"/>
      <c r="G839" s="137"/>
      <c r="H839" s="158"/>
      <c r="I839" s="79"/>
      <c r="J839" s="139"/>
      <c r="K839" s="139"/>
      <c r="L839" s="98"/>
      <c r="M839" s="79"/>
      <c r="N839" s="139"/>
      <c r="O839" s="139"/>
      <c r="P839" s="138"/>
      <c r="Q839" s="147"/>
      <c r="R839" s="147"/>
      <c r="S839" s="147"/>
      <c r="T839" s="138">
        <f t="shared" si="66"/>
        <v>0</v>
      </c>
      <c r="U839" s="138">
        <f t="shared" si="66"/>
        <v>0</v>
      </c>
      <c r="V839" s="147"/>
      <c r="W839" s="148">
        <f>U839-T839</f>
        <v>0</v>
      </c>
      <c r="X839" s="81"/>
    </row>
    <row r="840" spans="1:24" s="113" customFormat="1" x14ac:dyDescent="0.25">
      <c r="A840" s="140">
        <f t="shared" si="68"/>
        <v>53</v>
      </c>
      <c r="B840" s="157"/>
      <c r="C840" s="157"/>
      <c r="D840" s="229"/>
      <c r="E840" s="79"/>
      <c r="F840" s="153"/>
      <c r="G840" s="137"/>
      <c r="H840" s="158"/>
      <c r="I840" s="79"/>
      <c r="J840" s="139"/>
      <c r="K840" s="139"/>
      <c r="L840" s="98"/>
      <c r="M840" s="79"/>
      <c r="N840" s="139"/>
      <c r="O840" s="139"/>
      <c r="P840" s="138"/>
      <c r="Q840" s="147"/>
      <c r="R840" s="147"/>
      <c r="S840" s="147"/>
      <c r="T840" s="138">
        <f t="shared" si="66"/>
        <v>0</v>
      </c>
      <c r="U840" s="138">
        <f t="shared" si="66"/>
        <v>0</v>
      </c>
      <c r="V840" s="147"/>
      <c r="W840" s="148">
        <f t="shared" si="67"/>
        <v>0</v>
      </c>
      <c r="X840" s="81"/>
    </row>
    <row r="841" spans="1:24" s="113" customFormat="1" x14ac:dyDescent="0.25">
      <c r="A841" s="140">
        <f t="shared" si="68"/>
        <v>53</v>
      </c>
      <c r="B841" s="157"/>
      <c r="C841" s="157"/>
      <c r="D841" s="229"/>
      <c r="E841" s="79"/>
      <c r="F841" s="153"/>
      <c r="G841" s="137"/>
      <c r="H841" s="158"/>
      <c r="I841" s="79"/>
      <c r="J841" s="139"/>
      <c r="K841" s="139"/>
      <c r="L841" s="98"/>
      <c r="M841" s="79"/>
      <c r="N841" s="139"/>
      <c r="O841" s="139"/>
      <c r="P841" s="138"/>
      <c r="Q841" s="147"/>
      <c r="R841" s="147"/>
      <c r="S841" s="147"/>
      <c r="T841" s="138">
        <f t="shared" si="66"/>
        <v>0</v>
      </c>
      <c r="U841" s="138">
        <f t="shared" si="66"/>
        <v>0</v>
      </c>
      <c r="V841" s="147"/>
      <c r="W841" s="148">
        <f t="shared" si="67"/>
        <v>0</v>
      </c>
      <c r="X841" s="81"/>
    </row>
    <row r="842" spans="1:24" s="113" customFormat="1" x14ac:dyDescent="0.25">
      <c r="A842" s="140">
        <f t="shared" si="68"/>
        <v>53</v>
      </c>
      <c r="B842" s="157"/>
      <c r="C842" s="157"/>
      <c r="D842" s="229"/>
      <c r="E842" s="79"/>
      <c r="F842" s="153"/>
      <c r="G842" s="137"/>
      <c r="H842" s="158"/>
      <c r="I842" s="79"/>
      <c r="J842" s="139"/>
      <c r="K842" s="139"/>
      <c r="L842" s="98"/>
      <c r="M842" s="79"/>
      <c r="N842" s="139"/>
      <c r="O842" s="139"/>
      <c r="P842" s="138"/>
      <c r="Q842" s="147"/>
      <c r="R842" s="147"/>
      <c r="S842" s="147"/>
      <c r="T842" s="138">
        <f t="shared" si="66"/>
        <v>0</v>
      </c>
      <c r="U842" s="138">
        <f t="shared" si="66"/>
        <v>0</v>
      </c>
      <c r="V842" s="147"/>
      <c r="W842" s="148">
        <f t="shared" si="67"/>
        <v>0</v>
      </c>
      <c r="X842" s="81"/>
    </row>
    <row r="843" spans="1:24" s="113" customFormat="1" x14ac:dyDescent="0.25">
      <c r="A843" s="140">
        <f t="shared" si="68"/>
        <v>53</v>
      </c>
      <c r="B843" s="157"/>
      <c r="C843" s="157"/>
      <c r="D843" s="229"/>
      <c r="E843" s="79"/>
      <c r="F843" s="153"/>
      <c r="G843" s="137"/>
      <c r="H843" s="158"/>
      <c r="I843" s="79"/>
      <c r="J843" s="139"/>
      <c r="K843" s="139"/>
      <c r="L843" s="98"/>
      <c r="M843" s="79"/>
      <c r="N843" s="139"/>
      <c r="O843" s="139"/>
      <c r="P843" s="138"/>
      <c r="Q843" s="147"/>
      <c r="R843" s="147"/>
      <c r="S843" s="147"/>
      <c r="T843" s="138">
        <f t="shared" si="66"/>
        <v>0</v>
      </c>
      <c r="U843" s="138">
        <f t="shared" si="66"/>
        <v>0</v>
      </c>
      <c r="V843" s="147"/>
      <c r="W843" s="148">
        <f t="shared" si="67"/>
        <v>0</v>
      </c>
      <c r="X843" s="81"/>
    </row>
    <row r="844" spans="1:24" s="113" customFormat="1" x14ac:dyDescent="0.25">
      <c r="A844" s="140">
        <f t="shared" si="68"/>
        <v>53</v>
      </c>
      <c r="B844" s="157"/>
      <c r="C844" s="157"/>
      <c r="D844" s="229"/>
      <c r="E844" s="79"/>
      <c r="F844" s="153"/>
      <c r="G844" s="137"/>
      <c r="H844" s="158"/>
      <c r="I844" s="79"/>
      <c r="J844" s="139"/>
      <c r="K844" s="139"/>
      <c r="L844" s="98"/>
      <c r="M844" s="79"/>
      <c r="N844" s="139"/>
      <c r="O844" s="139"/>
      <c r="P844" s="138"/>
      <c r="Q844" s="147"/>
      <c r="R844" s="147"/>
      <c r="S844" s="147"/>
      <c r="T844" s="138">
        <f t="shared" si="66"/>
        <v>0</v>
      </c>
      <c r="U844" s="138">
        <f t="shared" si="66"/>
        <v>0</v>
      </c>
      <c r="V844" s="147"/>
      <c r="W844" s="148">
        <f t="shared" si="67"/>
        <v>0</v>
      </c>
      <c r="X844" s="81"/>
    </row>
    <row r="845" spans="1:24" s="113" customFormat="1" x14ac:dyDescent="0.25">
      <c r="A845" s="140">
        <f t="shared" si="68"/>
        <v>53</v>
      </c>
      <c r="B845" s="157"/>
      <c r="C845" s="157"/>
      <c r="D845" s="229"/>
      <c r="E845" s="79"/>
      <c r="F845" s="153"/>
      <c r="G845" s="137"/>
      <c r="H845" s="158"/>
      <c r="I845" s="79"/>
      <c r="J845" s="139"/>
      <c r="K845" s="139"/>
      <c r="L845" s="98"/>
      <c r="M845" s="79"/>
      <c r="N845" s="139"/>
      <c r="O845" s="139"/>
      <c r="P845" s="138"/>
      <c r="Q845" s="147"/>
      <c r="R845" s="147"/>
      <c r="S845" s="147"/>
      <c r="T845" s="138">
        <f t="shared" si="66"/>
        <v>0</v>
      </c>
      <c r="U845" s="138">
        <f t="shared" si="66"/>
        <v>0</v>
      </c>
      <c r="V845" s="147"/>
      <c r="W845" s="148">
        <f t="shared" si="67"/>
        <v>0</v>
      </c>
      <c r="X845" s="81"/>
    </row>
    <row r="846" spans="1:24" s="113" customFormat="1" x14ac:dyDescent="0.25">
      <c r="A846" s="140">
        <f t="shared" si="68"/>
        <v>53</v>
      </c>
      <c r="B846" s="157"/>
      <c r="C846" s="157"/>
      <c r="D846" s="229"/>
      <c r="E846" s="79"/>
      <c r="F846" s="153"/>
      <c r="G846" s="137"/>
      <c r="H846" s="158"/>
      <c r="I846" s="79"/>
      <c r="J846" s="139"/>
      <c r="K846" s="139"/>
      <c r="L846" s="98"/>
      <c r="M846" s="79"/>
      <c r="N846" s="139"/>
      <c r="O846" s="139"/>
      <c r="P846" s="138"/>
      <c r="Q846" s="147"/>
      <c r="R846" s="147"/>
      <c r="S846" s="147"/>
      <c r="T846" s="138">
        <f t="shared" si="66"/>
        <v>0</v>
      </c>
      <c r="U846" s="138">
        <f t="shared" si="66"/>
        <v>0</v>
      </c>
      <c r="V846" s="147"/>
      <c r="W846" s="148">
        <f t="shared" si="67"/>
        <v>0</v>
      </c>
      <c r="X846" s="81"/>
    </row>
    <row r="847" spans="1:24" s="113" customFormat="1" x14ac:dyDescent="0.25">
      <c r="A847" s="140">
        <f t="shared" si="68"/>
        <v>53</v>
      </c>
      <c r="B847" s="157"/>
      <c r="C847" s="157"/>
      <c r="D847" s="229"/>
      <c r="E847" s="79"/>
      <c r="F847" s="153"/>
      <c r="G847" s="137"/>
      <c r="H847" s="158"/>
      <c r="I847" s="79"/>
      <c r="J847" s="139"/>
      <c r="K847" s="139"/>
      <c r="L847" s="98"/>
      <c r="M847" s="79"/>
      <c r="N847" s="139"/>
      <c r="O847" s="139"/>
      <c r="P847" s="138"/>
      <c r="Q847" s="147"/>
      <c r="R847" s="147"/>
      <c r="S847" s="147"/>
      <c r="T847" s="138">
        <f t="shared" si="66"/>
        <v>0</v>
      </c>
      <c r="U847" s="138">
        <f t="shared" si="66"/>
        <v>0</v>
      </c>
      <c r="V847" s="147"/>
      <c r="W847" s="148">
        <f t="shared" si="67"/>
        <v>0</v>
      </c>
      <c r="X847" s="81"/>
    </row>
    <row r="848" spans="1:24" s="113" customFormat="1" x14ac:dyDescent="0.25">
      <c r="A848" s="140">
        <f t="shared" si="68"/>
        <v>53</v>
      </c>
      <c r="B848" s="157"/>
      <c r="C848" s="157"/>
      <c r="D848" s="229"/>
      <c r="E848" s="79"/>
      <c r="F848" s="153"/>
      <c r="G848" s="137"/>
      <c r="H848" s="158"/>
      <c r="I848" s="79"/>
      <c r="J848" s="139"/>
      <c r="K848" s="139"/>
      <c r="L848" s="98"/>
      <c r="M848" s="79"/>
      <c r="N848" s="139"/>
      <c r="O848" s="139"/>
      <c r="P848" s="138"/>
      <c r="Q848" s="147"/>
      <c r="R848" s="147"/>
      <c r="S848" s="147"/>
      <c r="T848" s="138">
        <f t="shared" si="66"/>
        <v>0</v>
      </c>
      <c r="U848" s="138">
        <f t="shared" si="66"/>
        <v>0</v>
      </c>
      <c r="V848" s="147"/>
      <c r="W848" s="148">
        <f t="shared" si="67"/>
        <v>0</v>
      </c>
      <c r="X848" s="81"/>
    </row>
    <row r="849" spans="1:24" s="113" customFormat="1" x14ac:dyDescent="0.25">
      <c r="A849" s="140">
        <f t="shared" si="68"/>
        <v>53</v>
      </c>
      <c r="B849" s="157"/>
      <c r="C849" s="157"/>
      <c r="D849" s="229"/>
      <c r="E849" s="79"/>
      <c r="F849" s="153"/>
      <c r="G849" s="137"/>
      <c r="H849" s="158"/>
      <c r="I849" s="79"/>
      <c r="J849" s="139"/>
      <c r="K849" s="139"/>
      <c r="L849" s="98"/>
      <c r="M849" s="79"/>
      <c r="N849" s="139"/>
      <c r="O849" s="139"/>
      <c r="P849" s="138"/>
      <c r="Q849" s="147"/>
      <c r="R849" s="147"/>
      <c r="S849" s="147"/>
      <c r="T849" s="138">
        <f t="shared" si="66"/>
        <v>0</v>
      </c>
      <c r="U849" s="138">
        <f t="shared" si="66"/>
        <v>0</v>
      </c>
      <c r="V849" s="147"/>
      <c r="W849" s="148">
        <f>U849-T849</f>
        <v>0</v>
      </c>
      <c r="X849" s="81"/>
    </row>
    <row r="850" spans="1:24" s="113" customFormat="1" x14ac:dyDescent="0.25">
      <c r="A850" s="140">
        <f t="shared" si="68"/>
        <v>53</v>
      </c>
      <c r="B850" s="157"/>
      <c r="C850" s="157"/>
      <c r="D850" s="229"/>
      <c r="E850" s="79"/>
      <c r="F850" s="153"/>
      <c r="G850" s="137"/>
      <c r="H850" s="158"/>
      <c r="I850" s="79"/>
      <c r="J850" s="139"/>
      <c r="K850" s="139"/>
      <c r="L850" s="98"/>
      <c r="M850" s="79"/>
      <c r="N850" s="139"/>
      <c r="O850" s="139"/>
      <c r="P850" s="138"/>
      <c r="Q850" s="147"/>
      <c r="R850" s="147"/>
      <c r="S850" s="147"/>
      <c r="T850" s="138">
        <f t="shared" si="66"/>
        <v>0</v>
      </c>
      <c r="U850" s="138">
        <f t="shared" si="66"/>
        <v>0</v>
      </c>
      <c r="V850" s="147"/>
      <c r="W850" s="148">
        <f>U850-T850</f>
        <v>0</v>
      </c>
      <c r="X850" s="81"/>
    </row>
    <row r="851" spans="1:24" s="113" customFormat="1" x14ac:dyDescent="0.25">
      <c r="A851" s="140">
        <f t="shared" si="68"/>
        <v>53</v>
      </c>
      <c r="B851" s="157"/>
      <c r="C851" s="157"/>
      <c r="D851" s="229"/>
      <c r="E851" s="79"/>
      <c r="F851" s="153"/>
      <c r="G851" s="137"/>
      <c r="H851" s="158"/>
      <c r="I851" s="79"/>
      <c r="J851" s="139"/>
      <c r="K851" s="139"/>
      <c r="L851" s="98"/>
      <c r="M851" s="79"/>
      <c r="N851" s="139"/>
      <c r="O851" s="139"/>
      <c r="P851" s="138"/>
      <c r="Q851" s="147"/>
      <c r="R851" s="147"/>
      <c r="S851" s="147"/>
      <c r="T851" s="138">
        <f t="shared" si="66"/>
        <v>0</v>
      </c>
      <c r="U851" s="138">
        <f t="shared" si="66"/>
        <v>0</v>
      </c>
      <c r="V851" s="147"/>
      <c r="W851" s="148">
        <f>U851-T851</f>
        <v>0</v>
      </c>
      <c r="X851" s="81"/>
    </row>
    <row r="852" spans="1:24" s="113" customFormat="1" x14ac:dyDescent="0.25">
      <c r="A852" s="140">
        <f t="shared" si="68"/>
        <v>53</v>
      </c>
      <c r="B852" s="157"/>
      <c r="C852" s="157"/>
      <c r="D852" s="229"/>
      <c r="E852" s="79"/>
      <c r="F852" s="153"/>
      <c r="G852" s="137"/>
      <c r="H852" s="158"/>
      <c r="I852" s="79"/>
      <c r="J852" s="139"/>
      <c r="K852" s="139"/>
      <c r="L852" s="98"/>
      <c r="M852" s="79"/>
      <c r="N852" s="139"/>
      <c r="O852" s="139"/>
      <c r="P852" s="138"/>
      <c r="Q852" s="147"/>
      <c r="R852" s="147"/>
      <c r="S852" s="147"/>
      <c r="T852" s="138">
        <f t="shared" si="66"/>
        <v>0</v>
      </c>
      <c r="U852" s="138">
        <f t="shared" si="66"/>
        <v>0</v>
      </c>
      <c r="V852" s="147"/>
      <c r="W852" s="148">
        <f t="shared" si="67"/>
        <v>0</v>
      </c>
      <c r="X852" s="81"/>
    </row>
    <row r="853" spans="1:24" s="113" customFormat="1" x14ac:dyDescent="0.25">
      <c r="A853" s="140">
        <f t="shared" si="68"/>
        <v>53</v>
      </c>
      <c r="B853" s="157"/>
      <c r="C853" s="157"/>
      <c r="D853" s="229"/>
      <c r="E853" s="79"/>
      <c r="F853" s="153"/>
      <c r="G853" s="137"/>
      <c r="H853" s="158"/>
      <c r="I853" s="79"/>
      <c r="J853" s="139"/>
      <c r="K853" s="139"/>
      <c r="L853" s="98"/>
      <c r="M853" s="79"/>
      <c r="N853" s="139"/>
      <c r="O853" s="139"/>
      <c r="P853" s="138"/>
      <c r="Q853" s="147"/>
      <c r="R853" s="147"/>
      <c r="S853" s="147"/>
      <c r="T853" s="138">
        <f t="shared" ref="T853:U916" si="69">R853-Q853</f>
        <v>0</v>
      </c>
      <c r="U853" s="138">
        <f t="shared" si="69"/>
        <v>0</v>
      </c>
      <c r="V853" s="147"/>
      <c r="W853" s="148">
        <f t="shared" si="67"/>
        <v>0</v>
      </c>
      <c r="X853" s="81"/>
    </row>
    <row r="854" spans="1:24" s="113" customFormat="1" x14ac:dyDescent="0.25">
      <c r="A854" s="140">
        <f t="shared" si="68"/>
        <v>53</v>
      </c>
      <c r="B854" s="157"/>
      <c r="C854" s="157"/>
      <c r="D854" s="229"/>
      <c r="E854" s="79"/>
      <c r="F854" s="153"/>
      <c r="G854" s="137"/>
      <c r="H854" s="158"/>
      <c r="I854" s="79"/>
      <c r="J854" s="139"/>
      <c r="K854" s="139"/>
      <c r="L854" s="98"/>
      <c r="M854" s="79"/>
      <c r="N854" s="139"/>
      <c r="O854" s="139"/>
      <c r="P854" s="138"/>
      <c r="Q854" s="147"/>
      <c r="R854" s="147"/>
      <c r="S854" s="147"/>
      <c r="T854" s="138">
        <f t="shared" si="69"/>
        <v>0</v>
      </c>
      <c r="U854" s="138">
        <f t="shared" si="69"/>
        <v>0</v>
      </c>
      <c r="V854" s="147"/>
      <c r="W854" s="148">
        <f t="shared" si="67"/>
        <v>0</v>
      </c>
      <c r="X854" s="81"/>
    </row>
    <row r="855" spans="1:24" s="113" customFormat="1" x14ac:dyDescent="0.25">
      <c r="A855" s="140">
        <f t="shared" si="68"/>
        <v>53</v>
      </c>
      <c r="B855" s="157"/>
      <c r="C855" s="157"/>
      <c r="D855" s="229"/>
      <c r="E855" s="79"/>
      <c r="F855" s="153"/>
      <c r="G855" s="137"/>
      <c r="H855" s="158"/>
      <c r="I855" s="79"/>
      <c r="J855" s="139"/>
      <c r="K855" s="139"/>
      <c r="L855" s="98"/>
      <c r="M855" s="79"/>
      <c r="N855" s="139"/>
      <c r="O855" s="139"/>
      <c r="P855" s="138"/>
      <c r="Q855" s="147"/>
      <c r="R855" s="147"/>
      <c r="S855" s="147"/>
      <c r="T855" s="138">
        <f t="shared" si="69"/>
        <v>0</v>
      </c>
      <c r="U855" s="138">
        <f t="shared" si="69"/>
        <v>0</v>
      </c>
      <c r="V855" s="147"/>
      <c r="W855" s="148">
        <f t="shared" si="67"/>
        <v>0</v>
      </c>
      <c r="X855" s="81"/>
    </row>
    <row r="856" spans="1:24" s="113" customFormat="1" x14ac:dyDescent="0.25">
      <c r="A856" s="140">
        <f t="shared" si="68"/>
        <v>53</v>
      </c>
      <c r="B856" s="157"/>
      <c r="C856" s="157"/>
      <c r="D856" s="229"/>
      <c r="E856" s="79"/>
      <c r="F856" s="153"/>
      <c r="G856" s="137"/>
      <c r="H856" s="158"/>
      <c r="I856" s="79"/>
      <c r="J856" s="139"/>
      <c r="K856" s="139"/>
      <c r="L856" s="98"/>
      <c r="M856" s="79"/>
      <c r="N856" s="139"/>
      <c r="O856" s="139"/>
      <c r="P856" s="138"/>
      <c r="Q856" s="147"/>
      <c r="R856" s="147"/>
      <c r="S856" s="147"/>
      <c r="T856" s="138">
        <f t="shared" si="69"/>
        <v>0</v>
      </c>
      <c r="U856" s="138">
        <f t="shared" si="69"/>
        <v>0</v>
      </c>
      <c r="V856" s="147"/>
      <c r="W856" s="148">
        <f t="shared" si="67"/>
        <v>0</v>
      </c>
      <c r="X856" s="81"/>
    </row>
    <row r="857" spans="1:24" s="113" customFormat="1" x14ac:dyDescent="0.25">
      <c r="A857" s="140">
        <f t="shared" si="68"/>
        <v>53</v>
      </c>
      <c r="B857" s="157"/>
      <c r="C857" s="157"/>
      <c r="D857" s="229"/>
      <c r="E857" s="79"/>
      <c r="F857" s="153"/>
      <c r="G857" s="137"/>
      <c r="H857" s="158"/>
      <c r="I857" s="79"/>
      <c r="J857" s="139"/>
      <c r="K857" s="139"/>
      <c r="L857" s="98"/>
      <c r="M857" s="79"/>
      <c r="N857" s="139"/>
      <c r="O857" s="139"/>
      <c r="P857" s="138"/>
      <c r="Q857" s="147"/>
      <c r="R857" s="147"/>
      <c r="S857" s="147"/>
      <c r="T857" s="138">
        <f t="shared" si="69"/>
        <v>0</v>
      </c>
      <c r="U857" s="138">
        <f t="shared" si="69"/>
        <v>0</v>
      </c>
      <c r="V857" s="147"/>
      <c r="W857" s="148">
        <f t="shared" si="67"/>
        <v>0</v>
      </c>
      <c r="X857" s="81"/>
    </row>
    <row r="858" spans="1:24" s="113" customFormat="1" x14ac:dyDescent="0.25">
      <c r="A858" s="140">
        <f t="shared" si="68"/>
        <v>53</v>
      </c>
      <c r="B858" s="157"/>
      <c r="C858" s="157"/>
      <c r="D858" s="229"/>
      <c r="E858" s="79"/>
      <c r="F858" s="153"/>
      <c r="G858" s="137"/>
      <c r="H858" s="158"/>
      <c r="I858" s="79"/>
      <c r="J858" s="139"/>
      <c r="K858" s="139"/>
      <c r="L858" s="98"/>
      <c r="M858" s="79"/>
      <c r="N858" s="139"/>
      <c r="O858" s="139"/>
      <c r="P858" s="138"/>
      <c r="Q858" s="147"/>
      <c r="R858" s="147"/>
      <c r="S858" s="147"/>
      <c r="T858" s="138">
        <f t="shared" si="69"/>
        <v>0</v>
      </c>
      <c r="U858" s="138">
        <f t="shared" si="69"/>
        <v>0</v>
      </c>
      <c r="V858" s="147"/>
      <c r="W858" s="148">
        <f t="shared" si="67"/>
        <v>0</v>
      </c>
      <c r="X858" s="81"/>
    </row>
    <row r="859" spans="1:24" s="113" customFormat="1" x14ac:dyDescent="0.25">
      <c r="A859" s="140">
        <f t="shared" si="68"/>
        <v>53</v>
      </c>
      <c r="B859" s="157"/>
      <c r="C859" s="157"/>
      <c r="D859" s="229"/>
      <c r="E859" s="79"/>
      <c r="F859" s="153"/>
      <c r="G859" s="137"/>
      <c r="H859" s="158"/>
      <c r="I859" s="79"/>
      <c r="J859" s="139"/>
      <c r="K859" s="139"/>
      <c r="L859" s="98"/>
      <c r="M859" s="79"/>
      <c r="N859" s="139"/>
      <c r="O859" s="139"/>
      <c r="P859" s="138"/>
      <c r="Q859" s="147"/>
      <c r="R859" s="147"/>
      <c r="S859" s="147"/>
      <c r="T859" s="138">
        <f t="shared" si="69"/>
        <v>0</v>
      </c>
      <c r="U859" s="138">
        <f t="shared" si="69"/>
        <v>0</v>
      </c>
      <c r="V859" s="147"/>
      <c r="W859" s="148">
        <f t="shared" si="67"/>
        <v>0</v>
      </c>
      <c r="X859" s="81"/>
    </row>
    <row r="860" spans="1:24" s="113" customFormat="1" x14ac:dyDescent="0.25">
      <c r="A860" s="140">
        <f t="shared" si="68"/>
        <v>53</v>
      </c>
      <c r="B860" s="157"/>
      <c r="C860" s="157"/>
      <c r="D860" s="229"/>
      <c r="E860" s="79"/>
      <c r="F860" s="153"/>
      <c r="G860" s="137"/>
      <c r="H860" s="158"/>
      <c r="I860" s="79"/>
      <c r="J860" s="139"/>
      <c r="K860" s="139"/>
      <c r="L860" s="98"/>
      <c r="M860" s="79"/>
      <c r="N860" s="139"/>
      <c r="O860" s="139"/>
      <c r="P860" s="138"/>
      <c r="Q860" s="147"/>
      <c r="R860" s="147"/>
      <c r="S860" s="147"/>
      <c r="T860" s="138">
        <f t="shared" si="69"/>
        <v>0</v>
      </c>
      <c r="U860" s="138">
        <f t="shared" si="69"/>
        <v>0</v>
      </c>
      <c r="V860" s="147"/>
      <c r="W860" s="148">
        <f t="shared" si="67"/>
        <v>0</v>
      </c>
      <c r="X860" s="81"/>
    </row>
    <row r="861" spans="1:24" s="113" customFormat="1" x14ac:dyDescent="0.25">
      <c r="A861" s="140">
        <f t="shared" si="68"/>
        <v>53</v>
      </c>
      <c r="B861" s="157"/>
      <c r="C861" s="157"/>
      <c r="D861" s="229"/>
      <c r="E861" s="79"/>
      <c r="F861" s="153"/>
      <c r="G861" s="137"/>
      <c r="H861" s="158"/>
      <c r="I861" s="79"/>
      <c r="J861" s="139"/>
      <c r="K861" s="139"/>
      <c r="L861" s="98"/>
      <c r="M861" s="79"/>
      <c r="N861" s="139"/>
      <c r="O861" s="139"/>
      <c r="P861" s="138"/>
      <c r="Q861" s="147"/>
      <c r="R861" s="147"/>
      <c r="S861" s="147"/>
      <c r="T861" s="138">
        <f t="shared" si="69"/>
        <v>0</v>
      </c>
      <c r="U861" s="138">
        <f t="shared" si="69"/>
        <v>0</v>
      </c>
      <c r="V861" s="147"/>
      <c r="W861" s="148">
        <f t="shared" si="67"/>
        <v>0</v>
      </c>
      <c r="X861" s="81"/>
    </row>
    <row r="862" spans="1:24" s="113" customFormat="1" x14ac:dyDescent="0.25">
      <c r="A862" s="140">
        <f t="shared" si="68"/>
        <v>53</v>
      </c>
      <c r="B862" s="157"/>
      <c r="C862" s="157"/>
      <c r="D862" s="229"/>
      <c r="E862" s="79"/>
      <c r="F862" s="153"/>
      <c r="G862" s="137"/>
      <c r="H862" s="158"/>
      <c r="I862" s="79"/>
      <c r="J862" s="139"/>
      <c r="K862" s="139"/>
      <c r="L862" s="98"/>
      <c r="M862" s="79"/>
      <c r="N862" s="139"/>
      <c r="O862" s="139"/>
      <c r="P862" s="138"/>
      <c r="Q862" s="147"/>
      <c r="R862" s="147"/>
      <c r="S862" s="147"/>
      <c r="T862" s="138">
        <f t="shared" si="69"/>
        <v>0</v>
      </c>
      <c r="U862" s="138">
        <f t="shared" si="69"/>
        <v>0</v>
      </c>
      <c r="V862" s="147"/>
      <c r="W862" s="148">
        <f>U862-T862</f>
        <v>0</v>
      </c>
      <c r="X862" s="81"/>
    </row>
    <row r="863" spans="1:24" s="113" customFormat="1" x14ac:dyDescent="0.25">
      <c r="A863" s="140">
        <f t="shared" si="68"/>
        <v>53</v>
      </c>
      <c r="B863" s="157"/>
      <c r="C863" s="157"/>
      <c r="D863" s="229"/>
      <c r="E863" s="79"/>
      <c r="F863" s="153"/>
      <c r="G863" s="137"/>
      <c r="H863" s="158"/>
      <c r="I863" s="79"/>
      <c r="J863" s="139"/>
      <c r="K863" s="139"/>
      <c r="L863" s="98"/>
      <c r="M863" s="79"/>
      <c r="N863" s="139"/>
      <c r="O863" s="139"/>
      <c r="P863" s="138"/>
      <c r="Q863" s="147"/>
      <c r="R863" s="147"/>
      <c r="S863" s="147"/>
      <c r="T863" s="138">
        <f t="shared" si="69"/>
        <v>0</v>
      </c>
      <c r="U863" s="138">
        <f t="shared" si="69"/>
        <v>0</v>
      </c>
      <c r="V863" s="147"/>
      <c r="W863" s="148">
        <f>U863-T863</f>
        <v>0</v>
      </c>
      <c r="X863" s="81"/>
    </row>
    <row r="864" spans="1:24" s="113" customFormat="1" x14ac:dyDescent="0.25">
      <c r="A864" s="140">
        <f t="shared" si="68"/>
        <v>53</v>
      </c>
      <c r="B864" s="157"/>
      <c r="C864" s="157"/>
      <c r="D864" s="229"/>
      <c r="E864" s="79"/>
      <c r="F864" s="153"/>
      <c r="G864" s="137"/>
      <c r="H864" s="158"/>
      <c r="I864" s="79"/>
      <c r="J864" s="139"/>
      <c r="K864" s="139"/>
      <c r="L864" s="98"/>
      <c r="M864" s="79"/>
      <c r="N864" s="139"/>
      <c r="O864" s="139"/>
      <c r="P864" s="138"/>
      <c r="Q864" s="147"/>
      <c r="R864" s="147"/>
      <c r="S864" s="147"/>
      <c r="T864" s="138">
        <f t="shared" si="69"/>
        <v>0</v>
      </c>
      <c r="U864" s="138">
        <f t="shared" si="69"/>
        <v>0</v>
      </c>
      <c r="V864" s="147"/>
      <c r="W864" s="148">
        <f>U864-T864</f>
        <v>0</v>
      </c>
      <c r="X864" s="81"/>
    </row>
    <row r="865" spans="1:24" s="113" customFormat="1" x14ac:dyDescent="0.25">
      <c r="A865" s="140">
        <f t="shared" si="68"/>
        <v>53</v>
      </c>
      <c r="B865" s="157"/>
      <c r="C865" s="157"/>
      <c r="D865" s="229"/>
      <c r="E865" s="79"/>
      <c r="F865" s="153"/>
      <c r="G865" s="137"/>
      <c r="H865" s="158"/>
      <c r="I865" s="79"/>
      <c r="J865" s="139"/>
      <c r="K865" s="139"/>
      <c r="L865" s="98"/>
      <c r="M865" s="79"/>
      <c r="N865" s="139"/>
      <c r="O865" s="139"/>
      <c r="P865" s="138"/>
      <c r="Q865" s="147"/>
      <c r="R865" s="147"/>
      <c r="S865" s="147"/>
      <c r="T865" s="138">
        <f t="shared" si="69"/>
        <v>0</v>
      </c>
      <c r="U865" s="138">
        <f t="shared" si="69"/>
        <v>0</v>
      </c>
      <c r="V865" s="147"/>
      <c r="W865" s="148">
        <f t="shared" si="67"/>
        <v>0</v>
      </c>
      <c r="X865" s="81"/>
    </row>
    <row r="866" spans="1:24" s="113" customFormat="1" x14ac:dyDescent="0.25">
      <c r="A866" s="140">
        <f t="shared" si="68"/>
        <v>53</v>
      </c>
      <c r="B866" s="157"/>
      <c r="C866" s="157"/>
      <c r="D866" s="229"/>
      <c r="E866" s="79"/>
      <c r="F866" s="153"/>
      <c r="G866" s="137"/>
      <c r="H866" s="158"/>
      <c r="I866" s="79"/>
      <c r="J866" s="139"/>
      <c r="K866" s="139"/>
      <c r="L866" s="98"/>
      <c r="M866" s="79"/>
      <c r="N866" s="139"/>
      <c r="O866" s="139"/>
      <c r="P866" s="138"/>
      <c r="Q866" s="147"/>
      <c r="R866" s="147"/>
      <c r="S866" s="147"/>
      <c r="T866" s="138">
        <f t="shared" si="69"/>
        <v>0</v>
      </c>
      <c r="U866" s="138">
        <f t="shared" si="69"/>
        <v>0</v>
      </c>
      <c r="V866" s="147"/>
      <c r="W866" s="148">
        <f t="shared" si="67"/>
        <v>0</v>
      </c>
      <c r="X866" s="81"/>
    </row>
    <row r="867" spans="1:24" s="113" customFormat="1" x14ac:dyDescent="0.25">
      <c r="A867" s="140">
        <f t="shared" si="68"/>
        <v>53</v>
      </c>
      <c r="B867" s="157"/>
      <c r="C867" s="157"/>
      <c r="D867" s="229"/>
      <c r="E867" s="79"/>
      <c r="F867" s="153"/>
      <c r="G867" s="137"/>
      <c r="H867" s="158"/>
      <c r="I867" s="79"/>
      <c r="J867" s="139"/>
      <c r="K867" s="139"/>
      <c r="L867" s="98"/>
      <c r="M867" s="79"/>
      <c r="N867" s="139"/>
      <c r="O867" s="139"/>
      <c r="P867" s="138"/>
      <c r="Q867" s="147"/>
      <c r="R867" s="147"/>
      <c r="S867" s="147"/>
      <c r="T867" s="138">
        <f t="shared" si="69"/>
        <v>0</v>
      </c>
      <c r="U867" s="138">
        <f t="shared" si="69"/>
        <v>0</v>
      </c>
      <c r="V867" s="147"/>
      <c r="W867" s="148">
        <f t="shared" si="67"/>
        <v>0</v>
      </c>
      <c r="X867" s="81"/>
    </row>
    <row r="868" spans="1:24" s="113" customFormat="1" x14ac:dyDescent="0.25">
      <c r="A868" s="140">
        <f t="shared" si="68"/>
        <v>53</v>
      </c>
      <c r="B868" s="157"/>
      <c r="C868" s="157"/>
      <c r="D868" s="229"/>
      <c r="E868" s="79"/>
      <c r="F868" s="153"/>
      <c r="G868" s="137"/>
      <c r="H868" s="158"/>
      <c r="I868" s="79"/>
      <c r="J868" s="139"/>
      <c r="K868" s="139"/>
      <c r="L868" s="98"/>
      <c r="M868" s="79"/>
      <c r="N868" s="139"/>
      <c r="O868" s="139"/>
      <c r="P868" s="138"/>
      <c r="Q868" s="147"/>
      <c r="R868" s="147"/>
      <c r="S868" s="147"/>
      <c r="T868" s="138">
        <f t="shared" si="69"/>
        <v>0</v>
      </c>
      <c r="U868" s="138">
        <f t="shared" si="69"/>
        <v>0</v>
      </c>
      <c r="V868" s="147"/>
      <c r="W868" s="148">
        <f t="shared" si="67"/>
        <v>0</v>
      </c>
      <c r="X868" s="81"/>
    </row>
    <row r="869" spans="1:24" s="113" customFormat="1" x14ac:dyDescent="0.25">
      <c r="A869" s="140">
        <f t="shared" si="68"/>
        <v>53</v>
      </c>
      <c r="B869" s="157"/>
      <c r="C869" s="157"/>
      <c r="D869" s="229"/>
      <c r="E869" s="79"/>
      <c r="F869" s="153"/>
      <c r="G869" s="137"/>
      <c r="H869" s="158"/>
      <c r="I869" s="79"/>
      <c r="J869" s="139"/>
      <c r="K869" s="139"/>
      <c r="L869" s="98"/>
      <c r="M869" s="79"/>
      <c r="N869" s="139"/>
      <c r="O869" s="139"/>
      <c r="P869" s="138"/>
      <c r="Q869" s="147"/>
      <c r="R869" s="147"/>
      <c r="S869" s="147"/>
      <c r="T869" s="138">
        <f t="shared" si="69"/>
        <v>0</v>
      </c>
      <c r="U869" s="138">
        <f t="shared" si="69"/>
        <v>0</v>
      </c>
      <c r="V869" s="147"/>
      <c r="W869" s="148">
        <f t="shared" si="67"/>
        <v>0</v>
      </c>
      <c r="X869" s="81"/>
    </row>
    <row r="870" spans="1:24" x14ac:dyDescent="0.25">
      <c r="A870" s="140">
        <f t="shared" si="68"/>
        <v>53</v>
      </c>
      <c r="B870" s="157"/>
      <c r="C870" s="157"/>
      <c r="E870" s="79"/>
      <c r="F870" s="153"/>
      <c r="G870" s="137"/>
      <c r="H870" s="158"/>
      <c r="L870" s="98"/>
      <c r="M870" s="79"/>
      <c r="N870" s="139"/>
      <c r="P870" s="138"/>
      <c r="Q870" s="147"/>
      <c r="R870" s="147"/>
      <c r="S870" s="147"/>
      <c r="T870" s="138">
        <f t="shared" si="69"/>
        <v>0</v>
      </c>
      <c r="U870" s="138">
        <f t="shared" si="69"/>
        <v>0</v>
      </c>
      <c r="V870" s="147"/>
      <c r="W870" s="148">
        <f t="shared" si="67"/>
        <v>0</v>
      </c>
    </row>
    <row r="871" spans="1:24" x14ac:dyDescent="0.25">
      <c r="A871" s="140">
        <f t="shared" si="68"/>
        <v>53</v>
      </c>
      <c r="B871" s="157"/>
      <c r="C871" s="157"/>
      <c r="E871" s="79"/>
      <c r="F871" s="153"/>
      <c r="G871" s="137"/>
      <c r="H871" s="158"/>
      <c r="L871" s="98"/>
      <c r="M871" s="79"/>
      <c r="N871" s="139"/>
      <c r="P871" s="138"/>
      <c r="Q871" s="147"/>
      <c r="R871" s="147"/>
      <c r="S871" s="147"/>
      <c r="T871" s="138">
        <f t="shared" si="69"/>
        <v>0</v>
      </c>
      <c r="U871" s="138">
        <f t="shared" si="69"/>
        <v>0</v>
      </c>
      <c r="V871" s="147"/>
      <c r="W871" s="148">
        <f t="shared" si="67"/>
        <v>0</v>
      </c>
    </row>
    <row r="872" spans="1:24" x14ac:dyDescent="0.25">
      <c r="A872" s="140">
        <f t="shared" si="68"/>
        <v>53</v>
      </c>
      <c r="B872" s="157"/>
      <c r="C872" s="157"/>
      <c r="E872" s="79"/>
      <c r="F872" s="153"/>
      <c r="G872" s="137"/>
      <c r="H872" s="158"/>
      <c r="L872" s="98"/>
      <c r="M872" s="79"/>
      <c r="N872" s="139"/>
      <c r="P872" s="138"/>
      <c r="Q872" s="147"/>
      <c r="R872" s="147"/>
      <c r="S872" s="147"/>
      <c r="T872" s="138">
        <f t="shared" si="69"/>
        <v>0</v>
      </c>
      <c r="U872" s="138">
        <f t="shared" si="69"/>
        <v>0</v>
      </c>
      <c r="V872" s="147"/>
      <c r="W872" s="148">
        <f t="shared" si="67"/>
        <v>0</v>
      </c>
    </row>
    <row r="873" spans="1:24" x14ac:dyDescent="0.25">
      <c r="A873" s="140">
        <f t="shared" si="68"/>
        <v>53</v>
      </c>
      <c r="B873" s="157"/>
      <c r="C873" s="157"/>
      <c r="E873" s="79"/>
      <c r="F873" s="153"/>
      <c r="G873" s="137"/>
      <c r="H873" s="158"/>
      <c r="L873" s="98"/>
      <c r="M873" s="79"/>
      <c r="N873" s="139"/>
      <c r="P873" s="138"/>
      <c r="Q873" s="147"/>
      <c r="R873" s="147"/>
      <c r="S873" s="147"/>
      <c r="T873" s="138">
        <f t="shared" si="69"/>
        <v>0</v>
      </c>
      <c r="U873" s="138">
        <f t="shared" si="69"/>
        <v>0</v>
      </c>
      <c r="V873" s="147"/>
      <c r="W873" s="148">
        <f t="shared" si="67"/>
        <v>0</v>
      </c>
    </row>
    <row r="874" spans="1:24" x14ac:dyDescent="0.25">
      <c r="A874" s="140">
        <f t="shared" si="68"/>
        <v>53</v>
      </c>
      <c r="B874" s="157"/>
      <c r="C874" s="157"/>
      <c r="E874" s="79"/>
      <c r="F874" s="153"/>
      <c r="G874" s="137"/>
      <c r="H874" s="158"/>
      <c r="L874" s="98"/>
      <c r="M874" s="79"/>
      <c r="N874" s="139"/>
      <c r="P874" s="138"/>
      <c r="Q874" s="147"/>
      <c r="R874" s="147"/>
      <c r="S874" s="147"/>
      <c r="T874" s="138">
        <f t="shared" si="69"/>
        <v>0</v>
      </c>
      <c r="U874" s="138">
        <f t="shared" si="69"/>
        <v>0</v>
      </c>
      <c r="V874" s="147"/>
      <c r="W874" s="148">
        <f>U874-T874</f>
        <v>0</v>
      </c>
    </row>
    <row r="875" spans="1:24" x14ac:dyDescent="0.25">
      <c r="A875" s="140">
        <f t="shared" si="68"/>
        <v>53</v>
      </c>
      <c r="B875" s="157"/>
      <c r="C875" s="157"/>
      <c r="E875" s="79"/>
      <c r="F875" s="153"/>
      <c r="G875" s="137"/>
      <c r="H875" s="158"/>
      <c r="L875" s="98"/>
      <c r="M875" s="79"/>
      <c r="N875" s="139"/>
      <c r="P875" s="138"/>
      <c r="Q875" s="147"/>
      <c r="R875" s="147"/>
      <c r="S875" s="147"/>
      <c r="T875" s="138">
        <f t="shared" si="69"/>
        <v>0</v>
      </c>
      <c r="U875" s="138">
        <f t="shared" si="69"/>
        <v>0</v>
      </c>
      <c r="V875" s="147"/>
      <c r="W875" s="148">
        <f>U875-T875</f>
        <v>0</v>
      </c>
    </row>
    <row r="876" spans="1:24" x14ac:dyDescent="0.25">
      <c r="A876" s="140">
        <f t="shared" si="68"/>
        <v>53</v>
      </c>
      <c r="B876" s="157"/>
      <c r="C876" s="157"/>
      <c r="E876" s="79"/>
      <c r="F876" s="153"/>
      <c r="G876" s="137"/>
      <c r="H876" s="158"/>
      <c r="L876" s="98"/>
      <c r="M876" s="79"/>
      <c r="N876" s="139"/>
      <c r="P876" s="138"/>
      <c r="Q876" s="147"/>
      <c r="R876" s="147"/>
      <c r="S876" s="147"/>
      <c r="T876" s="138">
        <f t="shared" si="69"/>
        <v>0</v>
      </c>
      <c r="U876" s="138">
        <f t="shared" si="69"/>
        <v>0</v>
      </c>
      <c r="V876" s="147"/>
      <c r="W876" s="148">
        <f>U876-T876</f>
        <v>0</v>
      </c>
    </row>
    <row r="877" spans="1:24" x14ac:dyDescent="0.25">
      <c r="A877" s="140">
        <f t="shared" si="68"/>
        <v>53</v>
      </c>
      <c r="B877" s="157"/>
      <c r="C877" s="157"/>
      <c r="E877" s="79"/>
      <c r="F877" s="153"/>
      <c r="G877" s="137"/>
      <c r="H877" s="158"/>
      <c r="L877" s="98"/>
      <c r="M877" s="79"/>
      <c r="N877" s="139"/>
      <c r="P877" s="138"/>
      <c r="Q877" s="147"/>
      <c r="R877" s="147"/>
      <c r="S877" s="147"/>
      <c r="T877" s="138">
        <f t="shared" si="69"/>
        <v>0</v>
      </c>
      <c r="U877" s="138">
        <f t="shared" si="69"/>
        <v>0</v>
      </c>
      <c r="V877" s="147"/>
      <c r="W877" s="148">
        <f t="shared" si="67"/>
        <v>0</v>
      </c>
    </row>
    <row r="878" spans="1:24" x14ac:dyDescent="0.25">
      <c r="A878" s="140">
        <f t="shared" si="68"/>
        <v>53</v>
      </c>
      <c r="B878" s="157"/>
      <c r="C878" s="157"/>
      <c r="E878" s="79"/>
      <c r="F878" s="153"/>
      <c r="G878" s="137"/>
      <c r="H878" s="158"/>
      <c r="L878" s="98"/>
      <c r="M878" s="79"/>
      <c r="N878" s="139"/>
      <c r="P878" s="138"/>
      <c r="Q878" s="147"/>
      <c r="R878" s="147"/>
      <c r="S878" s="147"/>
      <c r="T878" s="138">
        <f t="shared" si="69"/>
        <v>0</v>
      </c>
      <c r="U878" s="138">
        <f t="shared" si="69"/>
        <v>0</v>
      </c>
      <c r="V878" s="147"/>
      <c r="W878" s="148">
        <f t="shared" si="67"/>
        <v>0</v>
      </c>
    </row>
    <row r="879" spans="1:24" x14ac:dyDescent="0.25">
      <c r="A879" s="140">
        <f t="shared" si="68"/>
        <v>53</v>
      </c>
      <c r="B879" s="157"/>
      <c r="C879" s="157"/>
      <c r="E879" s="79"/>
      <c r="F879" s="153"/>
      <c r="G879" s="137"/>
      <c r="H879" s="158"/>
      <c r="L879" s="98"/>
      <c r="M879" s="79"/>
      <c r="N879" s="139"/>
      <c r="P879" s="138"/>
      <c r="Q879" s="147"/>
      <c r="R879" s="147"/>
      <c r="S879" s="147"/>
      <c r="T879" s="138">
        <f t="shared" si="69"/>
        <v>0</v>
      </c>
      <c r="U879" s="138">
        <f t="shared" si="69"/>
        <v>0</v>
      </c>
      <c r="V879" s="147"/>
      <c r="W879" s="148">
        <f t="shared" si="67"/>
        <v>0</v>
      </c>
    </row>
    <row r="880" spans="1:24" x14ac:dyDescent="0.25">
      <c r="A880" s="140">
        <f t="shared" si="68"/>
        <v>53</v>
      </c>
      <c r="B880" s="157"/>
      <c r="C880" s="157"/>
      <c r="E880" s="79"/>
      <c r="F880" s="153"/>
      <c r="G880" s="137"/>
      <c r="H880" s="158"/>
      <c r="L880" s="98"/>
      <c r="M880" s="79"/>
      <c r="N880" s="139"/>
      <c r="P880" s="138"/>
      <c r="Q880" s="147"/>
      <c r="R880" s="147"/>
      <c r="S880" s="147"/>
      <c r="T880" s="138">
        <f t="shared" si="69"/>
        <v>0</v>
      </c>
      <c r="U880" s="138">
        <f t="shared" si="69"/>
        <v>0</v>
      </c>
      <c r="V880" s="147"/>
      <c r="W880" s="148">
        <f t="shared" si="67"/>
        <v>0</v>
      </c>
    </row>
    <row r="881" spans="1:23" x14ac:dyDescent="0.25">
      <c r="A881" s="140">
        <f t="shared" si="68"/>
        <v>53</v>
      </c>
      <c r="B881" s="157"/>
      <c r="C881" s="157"/>
      <c r="E881" s="79"/>
      <c r="F881" s="153"/>
      <c r="G881" s="137"/>
      <c r="H881" s="158"/>
      <c r="L881" s="98"/>
      <c r="M881" s="79"/>
      <c r="N881" s="139"/>
      <c r="P881" s="138"/>
      <c r="Q881" s="147"/>
      <c r="R881" s="147"/>
      <c r="S881" s="147"/>
      <c r="T881" s="138">
        <f t="shared" si="69"/>
        <v>0</v>
      </c>
      <c r="U881" s="138">
        <f t="shared" si="69"/>
        <v>0</v>
      </c>
      <c r="V881" s="147"/>
      <c r="W881" s="148">
        <f t="shared" si="67"/>
        <v>0</v>
      </c>
    </row>
    <row r="882" spans="1:23" x14ac:dyDescent="0.25">
      <c r="A882" s="140">
        <f t="shared" si="68"/>
        <v>53</v>
      </c>
      <c r="B882" s="157"/>
      <c r="C882" s="157"/>
      <c r="E882" s="79"/>
      <c r="F882" s="153"/>
      <c r="G882" s="137"/>
      <c r="H882" s="158"/>
      <c r="L882" s="98"/>
      <c r="M882" s="79"/>
      <c r="N882" s="139"/>
      <c r="P882" s="138"/>
      <c r="Q882" s="147"/>
      <c r="R882" s="147"/>
      <c r="S882" s="147"/>
      <c r="T882" s="138">
        <f t="shared" si="69"/>
        <v>0</v>
      </c>
      <c r="U882" s="138">
        <f t="shared" si="69"/>
        <v>0</v>
      </c>
      <c r="V882" s="147"/>
      <c r="W882" s="148">
        <f>U882-T882</f>
        <v>0</v>
      </c>
    </row>
    <row r="883" spans="1:23" x14ac:dyDescent="0.25">
      <c r="A883" s="140">
        <f t="shared" si="68"/>
        <v>53</v>
      </c>
      <c r="B883" s="157"/>
      <c r="C883" s="157"/>
      <c r="E883" s="79"/>
      <c r="F883" s="153"/>
      <c r="G883" s="137"/>
      <c r="H883" s="158"/>
      <c r="L883" s="98"/>
      <c r="M883" s="79"/>
      <c r="N883" s="139"/>
      <c r="P883" s="138"/>
      <c r="Q883" s="147"/>
      <c r="R883" s="147"/>
      <c r="S883" s="147"/>
      <c r="T883" s="138">
        <f t="shared" si="69"/>
        <v>0</v>
      </c>
      <c r="U883" s="138">
        <f t="shared" si="69"/>
        <v>0</v>
      </c>
      <c r="V883" s="147"/>
      <c r="W883" s="148">
        <f>U883-T883</f>
        <v>0</v>
      </c>
    </row>
    <row r="884" spans="1:23" x14ac:dyDescent="0.25">
      <c r="A884" s="140">
        <f t="shared" si="68"/>
        <v>53</v>
      </c>
      <c r="B884" s="157"/>
      <c r="C884" s="157"/>
      <c r="E884" s="79"/>
      <c r="F884" s="153"/>
      <c r="G884" s="137"/>
      <c r="H884" s="158"/>
      <c r="L884" s="98"/>
      <c r="M884" s="79"/>
      <c r="N884" s="139"/>
      <c r="P884" s="138"/>
      <c r="Q884" s="147"/>
      <c r="R884" s="147"/>
      <c r="S884" s="147"/>
      <c r="T884" s="138">
        <f t="shared" si="69"/>
        <v>0</v>
      </c>
      <c r="U884" s="138">
        <f t="shared" si="69"/>
        <v>0</v>
      </c>
      <c r="V884" s="147"/>
      <c r="W884" s="148">
        <f t="shared" ref="W884:W887" si="70">V884-Q884</f>
        <v>0</v>
      </c>
    </row>
    <row r="885" spans="1:23" x14ac:dyDescent="0.25">
      <c r="A885" s="140">
        <f t="shared" si="68"/>
        <v>53</v>
      </c>
      <c r="B885" s="157"/>
      <c r="C885" s="157"/>
      <c r="E885" s="79"/>
      <c r="F885" s="153"/>
      <c r="G885" s="137"/>
      <c r="H885" s="158"/>
      <c r="L885" s="98"/>
      <c r="M885" s="79"/>
      <c r="N885" s="139"/>
      <c r="P885" s="138"/>
      <c r="Q885" s="147"/>
      <c r="R885" s="147"/>
      <c r="S885" s="147"/>
      <c r="T885" s="138">
        <f t="shared" si="69"/>
        <v>0</v>
      </c>
      <c r="U885" s="138">
        <f t="shared" si="69"/>
        <v>0</v>
      </c>
      <c r="V885" s="147"/>
      <c r="W885" s="148">
        <f t="shared" si="70"/>
        <v>0</v>
      </c>
    </row>
    <row r="886" spans="1:23" x14ac:dyDescent="0.25">
      <c r="A886" s="140">
        <f t="shared" si="68"/>
        <v>53</v>
      </c>
      <c r="B886" s="157"/>
      <c r="C886" s="157"/>
      <c r="E886" s="79"/>
      <c r="F886" s="153"/>
      <c r="G886" s="137"/>
      <c r="H886" s="158"/>
      <c r="L886" s="98"/>
      <c r="M886" s="79"/>
      <c r="N886" s="139"/>
      <c r="P886" s="138"/>
      <c r="Q886" s="147"/>
      <c r="R886" s="147"/>
      <c r="S886" s="147"/>
      <c r="T886" s="138">
        <f t="shared" si="69"/>
        <v>0</v>
      </c>
      <c r="U886" s="138">
        <f t="shared" si="69"/>
        <v>0</v>
      </c>
      <c r="V886" s="147"/>
      <c r="W886" s="148">
        <f t="shared" si="70"/>
        <v>0</v>
      </c>
    </row>
    <row r="887" spans="1:23" x14ac:dyDescent="0.25">
      <c r="A887" s="140">
        <f t="shared" si="68"/>
        <v>53</v>
      </c>
      <c r="B887" s="157"/>
      <c r="C887" s="157"/>
      <c r="E887" s="79"/>
      <c r="F887" s="153"/>
      <c r="G887" s="137"/>
      <c r="H887" s="158"/>
      <c r="L887" s="98"/>
      <c r="M887" s="79"/>
      <c r="N887" s="139"/>
      <c r="P887" s="138"/>
      <c r="Q887" s="147"/>
      <c r="R887" s="147"/>
      <c r="S887" s="147"/>
      <c r="T887" s="138">
        <f t="shared" si="69"/>
        <v>0</v>
      </c>
      <c r="U887" s="138">
        <f t="shared" si="69"/>
        <v>0</v>
      </c>
      <c r="V887" s="147"/>
      <c r="W887" s="148">
        <f t="shared" si="70"/>
        <v>0</v>
      </c>
    </row>
    <row r="888" spans="1:23" x14ac:dyDescent="0.25">
      <c r="A888" s="140">
        <f t="shared" si="68"/>
        <v>53</v>
      </c>
      <c r="B888" s="157"/>
      <c r="C888" s="157"/>
      <c r="E888" s="79"/>
      <c r="F888" s="153"/>
      <c r="G888" s="137"/>
      <c r="H888" s="158"/>
      <c r="L888" s="98"/>
      <c r="M888" s="79"/>
      <c r="N888" s="139"/>
      <c r="P888" s="138"/>
      <c r="Q888" s="147"/>
      <c r="R888" s="147"/>
      <c r="S888" s="147"/>
      <c r="T888" s="138">
        <f t="shared" si="69"/>
        <v>0</v>
      </c>
      <c r="U888" s="138"/>
      <c r="V888" s="147"/>
      <c r="W888" s="148"/>
    </row>
    <row r="889" spans="1:23" x14ac:dyDescent="0.25">
      <c r="A889" s="140">
        <f t="shared" si="68"/>
        <v>53</v>
      </c>
      <c r="B889" s="157"/>
      <c r="C889" s="157"/>
      <c r="E889" s="79"/>
      <c r="F889" s="153"/>
      <c r="G889" s="137"/>
      <c r="H889" s="158"/>
      <c r="L889" s="98"/>
      <c r="M889" s="79"/>
      <c r="N889" s="139"/>
      <c r="P889" s="138"/>
      <c r="Q889" s="147"/>
      <c r="R889" s="147"/>
      <c r="S889" s="147"/>
      <c r="T889" s="138">
        <f t="shared" si="69"/>
        <v>0</v>
      </c>
      <c r="U889" s="138"/>
      <c r="V889" s="147"/>
      <c r="W889" s="148"/>
    </row>
    <row r="890" spans="1:23" x14ac:dyDescent="0.25">
      <c r="A890" s="140">
        <f t="shared" si="68"/>
        <v>53</v>
      </c>
      <c r="B890" s="157"/>
      <c r="C890" s="157"/>
      <c r="E890" s="79"/>
      <c r="F890" s="153"/>
      <c r="G890" s="137"/>
      <c r="H890" s="158"/>
      <c r="L890" s="98"/>
      <c r="M890" s="79"/>
      <c r="N890" s="139"/>
      <c r="P890" s="138"/>
      <c r="Q890" s="147"/>
      <c r="R890" s="147"/>
      <c r="S890" s="147"/>
      <c r="T890" s="138">
        <f t="shared" si="69"/>
        <v>0</v>
      </c>
      <c r="U890" s="138"/>
      <c r="V890" s="147"/>
      <c r="W890" s="148"/>
    </row>
    <row r="891" spans="1:23" x14ac:dyDescent="0.25">
      <c r="A891" s="140">
        <f t="shared" si="68"/>
        <v>53</v>
      </c>
      <c r="B891" s="157"/>
      <c r="C891" s="157"/>
      <c r="E891" s="79"/>
      <c r="F891" s="153"/>
      <c r="G891" s="137"/>
      <c r="H891" s="158"/>
      <c r="L891" s="98"/>
      <c r="M891" s="79"/>
      <c r="N891" s="139"/>
      <c r="P891" s="138"/>
      <c r="Q891" s="147"/>
      <c r="R891" s="147"/>
      <c r="S891" s="147"/>
      <c r="T891" s="138">
        <f t="shared" si="69"/>
        <v>0</v>
      </c>
      <c r="U891" s="138"/>
      <c r="V891" s="147"/>
      <c r="W891" s="148"/>
    </row>
    <row r="892" spans="1:23" x14ac:dyDescent="0.25">
      <c r="A892" s="140">
        <f t="shared" si="68"/>
        <v>53</v>
      </c>
      <c r="B892" s="157"/>
      <c r="C892" s="157"/>
      <c r="E892" s="79"/>
      <c r="F892" s="153"/>
      <c r="G892" s="137"/>
      <c r="H892" s="158"/>
      <c r="L892" s="98"/>
      <c r="M892" s="79"/>
      <c r="N892" s="139"/>
      <c r="P892" s="138"/>
      <c r="Q892" s="147"/>
      <c r="R892" s="147"/>
      <c r="S892" s="147"/>
      <c r="T892" s="138">
        <f t="shared" si="69"/>
        <v>0</v>
      </c>
      <c r="U892" s="138"/>
      <c r="V892" s="147"/>
      <c r="W892" s="148"/>
    </row>
    <row r="893" spans="1:23" x14ac:dyDescent="0.25">
      <c r="A893" s="140">
        <f t="shared" si="68"/>
        <v>53</v>
      </c>
      <c r="B893" s="157"/>
      <c r="C893" s="157"/>
      <c r="E893" s="79"/>
      <c r="F893" s="153"/>
      <c r="G893" s="137"/>
      <c r="H893" s="158"/>
      <c r="L893" s="98"/>
      <c r="M893" s="79"/>
      <c r="N893" s="139"/>
      <c r="P893" s="138"/>
      <c r="Q893" s="147"/>
      <c r="R893" s="147"/>
      <c r="S893" s="147"/>
      <c r="T893" s="138">
        <f t="shared" si="69"/>
        <v>0</v>
      </c>
      <c r="U893" s="138"/>
      <c r="V893" s="147"/>
      <c r="W893" s="148"/>
    </row>
    <row r="894" spans="1:23" x14ac:dyDescent="0.25">
      <c r="A894" s="140">
        <f t="shared" si="68"/>
        <v>53</v>
      </c>
      <c r="B894" s="157"/>
      <c r="C894" s="157"/>
      <c r="E894" s="79"/>
      <c r="F894" s="153"/>
      <c r="G894" s="137"/>
      <c r="H894" s="158"/>
      <c r="L894" s="98"/>
      <c r="M894" s="79"/>
      <c r="N894" s="139"/>
      <c r="P894" s="138"/>
      <c r="Q894" s="147"/>
      <c r="R894" s="147"/>
      <c r="S894" s="147"/>
      <c r="T894" s="138">
        <f t="shared" si="69"/>
        <v>0</v>
      </c>
      <c r="U894" s="138"/>
      <c r="V894" s="147"/>
      <c r="W894" s="148"/>
    </row>
    <row r="895" spans="1:23" x14ac:dyDescent="0.25">
      <c r="A895" s="140">
        <f t="shared" si="68"/>
        <v>53</v>
      </c>
      <c r="B895" s="157"/>
      <c r="C895" s="157"/>
      <c r="E895" s="79"/>
      <c r="F895" s="153"/>
      <c r="G895" s="137"/>
      <c r="H895" s="158"/>
      <c r="L895" s="98"/>
      <c r="M895" s="79"/>
      <c r="N895" s="139"/>
      <c r="P895" s="138"/>
      <c r="Q895" s="147"/>
      <c r="R895" s="147"/>
      <c r="S895" s="147"/>
      <c r="T895" s="138">
        <f t="shared" si="69"/>
        <v>0</v>
      </c>
      <c r="U895" s="138"/>
      <c r="V895" s="147"/>
      <c r="W895" s="148"/>
    </row>
    <row r="896" spans="1:23" x14ac:dyDescent="0.25">
      <c r="A896" s="140">
        <f t="shared" si="68"/>
        <v>53</v>
      </c>
      <c r="B896" s="157"/>
      <c r="C896" s="157"/>
      <c r="E896" s="79"/>
      <c r="F896" s="153"/>
      <c r="G896" s="137"/>
      <c r="H896" s="158"/>
      <c r="L896" s="98"/>
      <c r="M896" s="79"/>
      <c r="N896" s="139"/>
      <c r="P896" s="138"/>
      <c r="Q896" s="147"/>
      <c r="R896" s="147"/>
      <c r="S896" s="147"/>
      <c r="T896" s="138">
        <f t="shared" si="69"/>
        <v>0</v>
      </c>
      <c r="U896" s="138"/>
      <c r="V896" s="147"/>
      <c r="W896" s="148"/>
    </row>
    <row r="897" spans="1:23" x14ac:dyDescent="0.25">
      <c r="A897" s="140">
        <f t="shared" si="68"/>
        <v>53</v>
      </c>
      <c r="B897" s="157"/>
      <c r="C897" s="157"/>
      <c r="E897" s="79"/>
      <c r="F897" s="153"/>
      <c r="G897" s="137"/>
      <c r="H897" s="158"/>
      <c r="L897" s="98"/>
      <c r="M897" s="79"/>
      <c r="N897" s="139"/>
      <c r="P897" s="138"/>
      <c r="Q897" s="147"/>
      <c r="R897" s="147"/>
      <c r="S897" s="147"/>
      <c r="T897" s="138">
        <f t="shared" si="69"/>
        <v>0</v>
      </c>
      <c r="U897" s="138"/>
      <c r="V897" s="147"/>
      <c r="W897" s="148"/>
    </row>
    <row r="898" spans="1:23" x14ac:dyDescent="0.25">
      <c r="A898" s="140">
        <f t="shared" si="68"/>
        <v>53</v>
      </c>
      <c r="B898" s="157"/>
      <c r="C898" s="157"/>
      <c r="E898" s="79"/>
      <c r="F898" s="153"/>
      <c r="G898" s="137"/>
      <c r="H898" s="158"/>
      <c r="L898" s="98"/>
      <c r="M898" s="79"/>
      <c r="N898" s="139"/>
      <c r="P898" s="138"/>
      <c r="Q898" s="147"/>
      <c r="R898" s="147"/>
      <c r="S898" s="147"/>
      <c r="T898" s="138">
        <f t="shared" si="69"/>
        <v>0</v>
      </c>
      <c r="U898" s="138"/>
      <c r="V898" s="147"/>
      <c r="W898" s="148"/>
    </row>
    <row r="899" spans="1:23" x14ac:dyDescent="0.25">
      <c r="A899" s="140">
        <f t="shared" si="68"/>
        <v>53</v>
      </c>
      <c r="B899" s="157"/>
      <c r="C899" s="157"/>
      <c r="E899" s="79"/>
      <c r="F899" s="153"/>
      <c r="G899" s="137"/>
      <c r="H899" s="158"/>
      <c r="L899" s="98"/>
      <c r="M899" s="79"/>
      <c r="N899" s="139"/>
      <c r="P899" s="138"/>
      <c r="Q899" s="147"/>
      <c r="R899" s="147"/>
      <c r="S899" s="147"/>
      <c r="T899" s="138">
        <f t="shared" si="69"/>
        <v>0</v>
      </c>
      <c r="U899" s="138"/>
      <c r="V899" s="147"/>
      <c r="W899" s="148"/>
    </row>
    <row r="900" spans="1:23" x14ac:dyDescent="0.25">
      <c r="A900" s="140">
        <f t="shared" si="68"/>
        <v>53</v>
      </c>
      <c r="B900" s="157"/>
      <c r="C900" s="157"/>
      <c r="E900" s="79"/>
      <c r="F900" s="153"/>
      <c r="G900" s="137"/>
      <c r="H900" s="158"/>
      <c r="L900" s="98"/>
      <c r="M900" s="79"/>
      <c r="N900" s="139"/>
      <c r="P900" s="138"/>
      <c r="Q900" s="147"/>
      <c r="R900" s="147"/>
      <c r="S900" s="147"/>
      <c r="T900" s="138">
        <f t="shared" si="69"/>
        <v>0</v>
      </c>
      <c r="U900" s="138"/>
      <c r="V900" s="147"/>
      <c r="W900" s="148"/>
    </row>
    <row r="901" spans="1:23" x14ac:dyDescent="0.25">
      <c r="A901" s="140">
        <f t="shared" si="68"/>
        <v>53</v>
      </c>
      <c r="B901" s="157"/>
      <c r="C901" s="157"/>
      <c r="E901" s="79"/>
      <c r="F901" s="153"/>
      <c r="G901" s="137"/>
      <c r="H901" s="158"/>
      <c r="L901" s="98"/>
      <c r="M901" s="79"/>
      <c r="N901" s="139"/>
      <c r="P901" s="138"/>
      <c r="Q901" s="147"/>
      <c r="R901" s="147"/>
      <c r="S901" s="147"/>
      <c r="T901" s="138">
        <f t="shared" si="69"/>
        <v>0</v>
      </c>
      <c r="U901" s="138"/>
      <c r="V901" s="147"/>
      <c r="W901" s="148"/>
    </row>
    <row r="902" spans="1:23" x14ac:dyDescent="0.25">
      <c r="A902" s="140">
        <f t="shared" si="68"/>
        <v>53</v>
      </c>
      <c r="B902" s="157"/>
      <c r="C902" s="157"/>
      <c r="E902" s="79"/>
      <c r="F902" s="153"/>
      <c r="G902" s="137"/>
      <c r="H902" s="158"/>
      <c r="L902" s="98"/>
      <c r="M902" s="79"/>
      <c r="N902" s="139"/>
      <c r="P902" s="138"/>
      <c r="Q902" s="147"/>
      <c r="R902" s="147"/>
      <c r="S902" s="147"/>
      <c r="T902" s="138">
        <f t="shared" si="69"/>
        <v>0</v>
      </c>
      <c r="U902" s="138"/>
      <c r="V902" s="147"/>
      <c r="W902" s="148"/>
    </row>
    <row r="903" spans="1:23" x14ac:dyDescent="0.25">
      <c r="A903" s="140">
        <f t="shared" ref="A903:A966" si="71">WEEKNUM(B903,21)</f>
        <v>53</v>
      </c>
      <c r="B903" s="157"/>
      <c r="C903" s="157"/>
      <c r="E903" s="79"/>
      <c r="F903" s="153"/>
      <c r="G903" s="137"/>
      <c r="H903" s="158"/>
      <c r="L903" s="98"/>
      <c r="M903" s="79"/>
      <c r="N903" s="139"/>
      <c r="P903" s="138"/>
      <c r="Q903" s="147"/>
      <c r="R903" s="147"/>
      <c r="S903" s="147"/>
      <c r="T903" s="138">
        <f t="shared" si="69"/>
        <v>0</v>
      </c>
      <c r="U903" s="138"/>
      <c r="V903" s="147"/>
      <c r="W903" s="148"/>
    </row>
    <row r="904" spans="1:23" x14ac:dyDescent="0.25">
      <c r="A904" s="140">
        <f t="shared" si="71"/>
        <v>53</v>
      </c>
      <c r="B904" s="157"/>
      <c r="C904" s="157"/>
      <c r="E904" s="79"/>
      <c r="F904" s="153"/>
      <c r="G904" s="137"/>
      <c r="H904" s="158"/>
      <c r="L904" s="98"/>
      <c r="M904" s="79"/>
      <c r="N904" s="139"/>
      <c r="P904" s="138"/>
      <c r="Q904" s="147"/>
      <c r="R904" s="147"/>
      <c r="S904" s="147"/>
      <c r="T904" s="138">
        <f t="shared" si="69"/>
        <v>0</v>
      </c>
      <c r="U904" s="138"/>
      <c r="V904" s="147"/>
      <c r="W904" s="148"/>
    </row>
    <row r="905" spans="1:23" x14ac:dyDescent="0.25">
      <c r="A905" s="140">
        <f t="shared" si="71"/>
        <v>53</v>
      </c>
      <c r="B905" s="157"/>
      <c r="C905" s="157"/>
      <c r="E905" s="79"/>
      <c r="F905" s="153"/>
      <c r="G905" s="137"/>
      <c r="H905" s="158"/>
      <c r="L905" s="98"/>
      <c r="M905" s="79"/>
      <c r="N905" s="139"/>
      <c r="P905" s="138"/>
      <c r="Q905" s="147"/>
      <c r="R905" s="147"/>
      <c r="S905" s="147"/>
      <c r="T905" s="138">
        <f t="shared" si="69"/>
        <v>0</v>
      </c>
      <c r="U905" s="138"/>
      <c r="V905" s="147"/>
      <c r="W905" s="148"/>
    </row>
    <row r="906" spans="1:23" x14ac:dyDescent="0.25">
      <c r="A906" s="140">
        <f t="shared" si="71"/>
        <v>53</v>
      </c>
      <c r="B906" s="157"/>
      <c r="C906" s="157"/>
      <c r="E906" s="79"/>
      <c r="F906" s="153"/>
      <c r="G906" s="137"/>
      <c r="H906" s="158"/>
      <c r="L906" s="98"/>
      <c r="M906" s="79"/>
      <c r="N906" s="139"/>
      <c r="P906" s="138"/>
      <c r="Q906" s="147"/>
      <c r="R906" s="147"/>
      <c r="S906" s="147"/>
      <c r="T906" s="138">
        <f t="shared" si="69"/>
        <v>0</v>
      </c>
      <c r="U906" s="138"/>
      <c r="V906" s="147"/>
      <c r="W906" s="148"/>
    </row>
    <row r="907" spans="1:23" x14ac:dyDescent="0.25">
      <c r="A907" s="140">
        <f t="shared" si="71"/>
        <v>53</v>
      </c>
      <c r="B907" s="157"/>
      <c r="C907" s="157"/>
      <c r="E907" s="79"/>
      <c r="F907" s="153"/>
      <c r="G907" s="137"/>
      <c r="H907" s="158"/>
      <c r="L907" s="98"/>
      <c r="M907" s="79"/>
      <c r="N907" s="139"/>
      <c r="P907" s="138"/>
      <c r="Q907" s="147"/>
      <c r="R907" s="147"/>
      <c r="S907" s="147"/>
      <c r="T907" s="138">
        <f t="shared" si="69"/>
        <v>0</v>
      </c>
      <c r="U907" s="138"/>
      <c r="V907" s="147"/>
      <c r="W907" s="148"/>
    </row>
    <row r="908" spans="1:23" x14ac:dyDescent="0.25">
      <c r="A908" s="140">
        <f t="shared" si="71"/>
        <v>53</v>
      </c>
      <c r="B908" s="157"/>
      <c r="C908" s="157"/>
      <c r="E908" s="79"/>
      <c r="F908" s="153"/>
      <c r="G908" s="137"/>
      <c r="H908" s="158"/>
      <c r="L908" s="98"/>
      <c r="M908" s="79"/>
      <c r="N908" s="139"/>
      <c r="P908" s="138"/>
      <c r="Q908" s="147"/>
      <c r="R908" s="147"/>
      <c r="S908" s="147"/>
      <c r="T908" s="138">
        <f t="shared" si="69"/>
        <v>0</v>
      </c>
      <c r="U908" s="138"/>
      <c r="V908" s="147"/>
      <c r="W908" s="148"/>
    </row>
    <row r="909" spans="1:23" x14ac:dyDescent="0.25">
      <c r="A909" s="140">
        <f t="shared" si="71"/>
        <v>53</v>
      </c>
      <c r="B909" s="157"/>
      <c r="C909" s="157"/>
      <c r="E909" s="79"/>
      <c r="F909" s="153"/>
      <c r="G909" s="137"/>
      <c r="H909" s="158"/>
      <c r="L909" s="98"/>
      <c r="M909" s="79"/>
      <c r="N909" s="139"/>
      <c r="P909" s="138"/>
      <c r="Q909" s="147"/>
      <c r="R909" s="147"/>
      <c r="S909" s="147"/>
      <c r="T909" s="138">
        <f t="shared" si="69"/>
        <v>0</v>
      </c>
      <c r="U909" s="138"/>
      <c r="V909" s="147"/>
      <c r="W909" s="148"/>
    </row>
    <row r="910" spans="1:23" x14ac:dyDescent="0.25">
      <c r="A910" s="140">
        <f t="shared" si="71"/>
        <v>53</v>
      </c>
      <c r="B910" s="157"/>
      <c r="C910" s="157"/>
      <c r="E910" s="79"/>
      <c r="F910" s="153"/>
      <c r="G910" s="137"/>
      <c r="H910" s="158"/>
      <c r="L910" s="98"/>
      <c r="M910" s="79"/>
      <c r="N910" s="139"/>
      <c r="P910" s="138"/>
      <c r="Q910" s="147"/>
      <c r="R910" s="147"/>
      <c r="S910" s="147"/>
      <c r="T910" s="138">
        <f t="shared" si="69"/>
        <v>0</v>
      </c>
      <c r="U910" s="138"/>
      <c r="V910" s="147"/>
      <c r="W910" s="148"/>
    </row>
    <row r="911" spans="1:23" x14ac:dyDescent="0.25">
      <c r="A911" s="140">
        <f t="shared" si="71"/>
        <v>53</v>
      </c>
      <c r="B911" s="157"/>
      <c r="C911" s="157"/>
      <c r="E911" s="79"/>
      <c r="F911" s="153"/>
      <c r="G911" s="137"/>
      <c r="H911" s="158"/>
      <c r="L911" s="98"/>
      <c r="M911" s="79"/>
      <c r="N911" s="139"/>
      <c r="P911" s="138"/>
      <c r="Q911" s="147"/>
      <c r="R911" s="147"/>
      <c r="S911" s="147"/>
      <c r="T911" s="138">
        <f t="shared" si="69"/>
        <v>0</v>
      </c>
      <c r="U911" s="138"/>
      <c r="V911" s="147"/>
      <c r="W911" s="148"/>
    </row>
    <row r="912" spans="1:23" x14ac:dyDescent="0.25">
      <c r="A912" s="140">
        <f t="shared" si="71"/>
        <v>53</v>
      </c>
      <c r="B912" s="157"/>
      <c r="C912" s="157"/>
      <c r="E912" s="79"/>
      <c r="F912" s="153"/>
      <c r="G912" s="137"/>
      <c r="H912" s="158"/>
      <c r="L912" s="98"/>
      <c r="M912" s="79"/>
      <c r="N912" s="139"/>
      <c r="P912" s="138"/>
      <c r="Q912" s="147"/>
      <c r="R912" s="147"/>
      <c r="S912" s="147"/>
      <c r="T912" s="138">
        <f t="shared" si="69"/>
        <v>0</v>
      </c>
      <c r="U912" s="138"/>
      <c r="V912" s="147"/>
      <c r="W912" s="148"/>
    </row>
    <row r="913" spans="1:23" x14ac:dyDescent="0.25">
      <c r="A913" s="140">
        <f t="shared" si="71"/>
        <v>53</v>
      </c>
      <c r="B913" s="157"/>
      <c r="C913" s="157"/>
      <c r="E913" s="79"/>
      <c r="F913" s="153"/>
      <c r="G913" s="137"/>
      <c r="H913" s="158"/>
      <c r="L913" s="98"/>
      <c r="M913" s="79"/>
      <c r="N913" s="139"/>
      <c r="P913" s="138"/>
      <c r="Q913" s="147"/>
      <c r="R913" s="147"/>
      <c r="S913" s="147"/>
      <c r="T913" s="138">
        <f t="shared" si="69"/>
        <v>0</v>
      </c>
      <c r="U913" s="138"/>
      <c r="V913" s="147"/>
      <c r="W913" s="148"/>
    </row>
    <row r="914" spans="1:23" x14ac:dyDescent="0.25">
      <c r="A914" s="140">
        <f t="shared" si="71"/>
        <v>53</v>
      </c>
      <c r="B914" s="157"/>
      <c r="C914" s="157"/>
      <c r="E914" s="79"/>
      <c r="F914" s="153"/>
      <c r="G914" s="137"/>
      <c r="H914" s="158"/>
      <c r="L914" s="98"/>
      <c r="M914" s="79"/>
      <c r="N914" s="139"/>
      <c r="P914" s="138"/>
      <c r="Q914" s="147"/>
      <c r="R914" s="147"/>
      <c r="S914" s="147"/>
      <c r="T914" s="138">
        <f t="shared" si="69"/>
        <v>0</v>
      </c>
      <c r="U914" s="138"/>
      <c r="V914" s="147"/>
      <c r="W914" s="148"/>
    </row>
    <row r="915" spans="1:23" x14ac:dyDescent="0.25">
      <c r="A915" s="140">
        <f t="shared" si="71"/>
        <v>53</v>
      </c>
      <c r="B915" s="157"/>
      <c r="C915" s="157"/>
      <c r="E915" s="79"/>
      <c r="F915" s="153"/>
      <c r="G915" s="137"/>
      <c r="H915" s="158"/>
      <c r="L915" s="98"/>
      <c r="M915" s="79"/>
      <c r="N915" s="139"/>
      <c r="P915" s="138"/>
      <c r="Q915" s="147"/>
      <c r="R915" s="147"/>
      <c r="S915" s="147"/>
      <c r="T915" s="138">
        <f t="shared" si="69"/>
        <v>0</v>
      </c>
      <c r="U915" s="138"/>
      <c r="V915" s="147"/>
      <c r="W915" s="148"/>
    </row>
    <row r="916" spans="1:23" x14ac:dyDescent="0.25">
      <c r="A916" s="140">
        <f t="shared" si="71"/>
        <v>53</v>
      </c>
      <c r="B916" s="157"/>
      <c r="C916" s="157"/>
      <c r="E916" s="79"/>
      <c r="F916" s="153"/>
      <c r="G916" s="137"/>
      <c r="H916" s="158"/>
      <c r="L916" s="98"/>
      <c r="M916" s="79"/>
      <c r="N916" s="139"/>
      <c r="P916" s="138"/>
      <c r="Q916" s="147"/>
      <c r="R916" s="147"/>
      <c r="S916" s="147"/>
      <c r="T916" s="138">
        <f t="shared" si="69"/>
        <v>0</v>
      </c>
      <c r="U916" s="138"/>
      <c r="V916" s="147"/>
      <c r="W916" s="148"/>
    </row>
    <row r="917" spans="1:23" x14ac:dyDescent="0.25">
      <c r="A917" s="140">
        <f t="shared" si="71"/>
        <v>53</v>
      </c>
      <c r="B917" s="157"/>
      <c r="C917" s="157"/>
      <c r="E917" s="79"/>
      <c r="F917" s="153"/>
      <c r="G917" s="137"/>
      <c r="H917" s="158"/>
      <c r="L917" s="98"/>
      <c r="M917" s="79"/>
      <c r="N917" s="139"/>
      <c r="P917" s="138"/>
      <c r="Q917" s="147"/>
      <c r="R917" s="147"/>
      <c r="S917" s="147"/>
      <c r="T917" s="138">
        <f t="shared" ref="T917:T980" si="72">R917-Q917</f>
        <v>0</v>
      </c>
      <c r="U917" s="138"/>
      <c r="V917" s="147"/>
      <c r="W917" s="148"/>
    </row>
    <row r="918" spans="1:23" x14ac:dyDescent="0.25">
      <c r="A918" s="140">
        <f t="shared" si="71"/>
        <v>53</v>
      </c>
      <c r="B918" s="157"/>
      <c r="C918" s="157"/>
      <c r="E918" s="79"/>
      <c r="F918" s="153"/>
      <c r="G918" s="137"/>
      <c r="H918" s="158"/>
      <c r="L918" s="98"/>
      <c r="M918" s="79"/>
      <c r="N918" s="139"/>
      <c r="P918" s="138"/>
      <c r="Q918" s="147"/>
      <c r="R918" s="147"/>
      <c r="S918" s="147"/>
      <c r="T918" s="138">
        <f t="shared" si="72"/>
        <v>0</v>
      </c>
      <c r="U918" s="138"/>
      <c r="V918" s="147"/>
      <c r="W918" s="148"/>
    </row>
    <row r="919" spans="1:23" x14ac:dyDescent="0.25">
      <c r="A919" s="140">
        <f t="shared" si="71"/>
        <v>53</v>
      </c>
      <c r="B919" s="157"/>
      <c r="C919" s="157"/>
      <c r="E919" s="79"/>
      <c r="F919" s="153"/>
      <c r="G919" s="137"/>
      <c r="H919" s="158"/>
      <c r="L919" s="98"/>
      <c r="M919" s="79"/>
      <c r="N919" s="139"/>
      <c r="P919" s="138"/>
      <c r="Q919" s="147"/>
      <c r="R919" s="147"/>
      <c r="S919" s="147"/>
      <c r="T919" s="138">
        <f t="shared" si="72"/>
        <v>0</v>
      </c>
      <c r="U919" s="138"/>
      <c r="V919" s="147"/>
      <c r="W919" s="148"/>
    </row>
    <row r="920" spans="1:23" x14ac:dyDescent="0.25">
      <c r="A920" s="140">
        <f t="shared" si="71"/>
        <v>53</v>
      </c>
      <c r="B920" s="157"/>
      <c r="C920" s="157"/>
      <c r="E920" s="79"/>
      <c r="F920" s="153"/>
      <c r="G920" s="137"/>
      <c r="H920" s="158"/>
      <c r="L920" s="98"/>
      <c r="M920" s="79"/>
      <c r="N920" s="139"/>
      <c r="P920" s="138"/>
      <c r="Q920" s="147"/>
      <c r="R920" s="147"/>
      <c r="S920" s="147"/>
      <c r="T920" s="138">
        <f t="shared" si="72"/>
        <v>0</v>
      </c>
      <c r="U920" s="138"/>
      <c r="V920" s="147"/>
      <c r="W920" s="148"/>
    </row>
    <row r="921" spans="1:23" x14ac:dyDescent="0.25">
      <c r="A921" s="140">
        <f t="shared" si="71"/>
        <v>53</v>
      </c>
      <c r="B921" s="157"/>
      <c r="C921" s="157"/>
      <c r="E921" s="79"/>
      <c r="F921" s="153"/>
      <c r="G921" s="137"/>
      <c r="H921" s="158"/>
      <c r="L921" s="98"/>
      <c r="M921" s="79"/>
      <c r="N921" s="139"/>
      <c r="P921" s="138"/>
      <c r="Q921" s="147"/>
      <c r="R921" s="147"/>
      <c r="S921" s="147"/>
      <c r="T921" s="138">
        <f t="shared" si="72"/>
        <v>0</v>
      </c>
      <c r="U921" s="138"/>
      <c r="V921" s="147"/>
      <c r="W921" s="148"/>
    </row>
    <row r="922" spans="1:23" x14ac:dyDescent="0.25">
      <c r="A922" s="140">
        <f t="shared" si="71"/>
        <v>53</v>
      </c>
      <c r="B922" s="157"/>
      <c r="C922" s="157"/>
      <c r="E922" s="79"/>
      <c r="F922" s="153"/>
      <c r="G922" s="137"/>
      <c r="H922" s="158"/>
      <c r="L922" s="98"/>
      <c r="M922" s="79"/>
      <c r="N922" s="139"/>
      <c r="P922" s="138"/>
      <c r="Q922" s="147"/>
      <c r="R922" s="147"/>
      <c r="S922" s="147"/>
      <c r="T922" s="138">
        <f t="shared" si="72"/>
        <v>0</v>
      </c>
      <c r="U922" s="138"/>
      <c r="V922" s="147"/>
      <c r="W922" s="148"/>
    </row>
    <row r="923" spans="1:23" x14ac:dyDescent="0.25">
      <c r="A923" s="140">
        <f t="shared" si="71"/>
        <v>53</v>
      </c>
      <c r="B923" s="157"/>
      <c r="C923" s="157"/>
      <c r="E923" s="79"/>
      <c r="F923" s="153"/>
      <c r="G923" s="137"/>
      <c r="H923" s="158"/>
      <c r="L923" s="98"/>
      <c r="M923" s="79"/>
      <c r="N923" s="139"/>
      <c r="P923" s="138"/>
      <c r="Q923" s="147"/>
      <c r="R923" s="147"/>
      <c r="S923" s="147"/>
      <c r="T923" s="138">
        <f t="shared" si="72"/>
        <v>0</v>
      </c>
      <c r="U923" s="138"/>
      <c r="V923" s="147"/>
      <c r="W923" s="148"/>
    </row>
    <row r="924" spans="1:23" x14ac:dyDescent="0.25">
      <c r="A924" s="140">
        <f t="shared" si="71"/>
        <v>53</v>
      </c>
      <c r="B924" s="157"/>
      <c r="C924" s="157"/>
      <c r="E924" s="79"/>
      <c r="F924" s="153"/>
      <c r="G924" s="137"/>
      <c r="H924" s="158"/>
      <c r="L924" s="98"/>
      <c r="M924" s="79"/>
      <c r="N924" s="139"/>
      <c r="P924" s="138"/>
      <c r="Q924" s="147"/>
      <c r="R924" s="147"/>
      <c r="S924" s="147"/>
      <c r="T924" s="138">
        <f t="shared" si="72"/>
        <v>0</v>
      </c>
      <c r="U924" s="138"/>
      <c r="V924" s="147"/>
      <c r="W924" s="148"/>
    </row>
    <row r="925" spans="1:23" x14ac:dyDescent="0.25">
      <c r="A925" s="140">
        <f t="shared" si="71"/>
        <v>53</v>
      </c>
      <c r="B925" s="157"/>
      <c r="C925" s="157"/>
      <c r="E925" s="79"/>
      <c r="F925" s="153"/>
      <c r="G925" s="137"/>
      <c r="H925" s="158"/>
      <c r="L925" s="98"/>
      <c r="M925" s="79"/>
      <c r="N925" s="139"/>
      <c r="P925" s="138"/>
      <c r="Q925" s="147"/>
      <c r="R925" s="147"/>
      <c r="S925" s="147"/>
      <c r="T925" s="138">
        <f t="shared" si="72"/>
        <v>0</v>
      </c>
      <c r="U925" s="138"/>
      <c r="V925" s="147"/>
      <c r="W925" s="148"/>
    </row>
    <row r="926" spans="1:23" x14ac:dyDescent="0.25">
      <c r="A926" s="140">
        <f t="shared" si="71"/>
        <v>53</v>
      </c>
      <c r="B926" s="157"/>
      <c r="C926" s="157"/>
      <c r="E926" s="79"/>
      <c r="F926" s="153"/>
      <c r="G926" s="137"/>
      <c r="H926" s="158"/>
      <c r="L926" s="98"/>
      <c r="M926" s="79"/>
      <c r="N926" s="139"/>
      <c r="P926" s="138"/>
      <c r="Q926" s="147"/>
      <c r="R926" s="147"/>
      <c r="S926" s="147"/>
      <c r="T926" s="138">
        <f t="shared" si="72"/>
        <v>0</v>
      </c>
      <c r="U926" s="138"/>
      <c r="V926" s="147"/>
      <c r="W926" s="148"/>
    </row>
    <row r="927" spans="1:23" x14ac:dyDescent="0.25">
      <c r="A927" s="140">
        <f t="shared" si="71"/>
        <v>53</v>
      </c>
      <c r="B927" s="157"/>
      <c r="C927" s="157"/>
      <c r="E927" s="79"/>
      <c r="F927" s="153"/>
      <c r="G927" s="137"/>
      <c r="H927" s="158"/>
      <c r="L927" s="98"/>
      <c r="M927" s="79"/>
      <c r="N927" s="139"/>
      <c r="P927" s="138"/>
      <c r="Q927" s="147"/>
      <c r="R927" s="147"/>
      <c r="S927" s="147"/>
      <c r="T927" s="138">
        <f t="shared" si="72"/>
        <v>0</v>
      </c>
      <c r="U927" s="138"/>
      <c r="V927" s="147"/>
      <c r="W927" s="148"/>
    </row>
    <row r="928" spans="1:23" x14ac:dyDescent="0.25">
      <c r="A928" s="140">
        <f t="shared" si="71"/>
        <v>53</v>
      </c>
      <c r="B928" s="157"/>
      <c r="C928" s="157"/>
      <c r="E928" s="79"/>
      <c r="F928" s="153"/>
      <c r="G928" s="137"/>
      <c r="H928" s="158"/>
      <c r="L928" s="98"/>
      <c r="M928" s="79"/>
      <c r="N928" s="139"/>
      <c r="P928" s="138"/>
      <c r="Q928" s="147"/>
      <c r="R928" s="147"/>
      <c r="S928" s="147"/>
      <c r="T928" s="138">
        <f t="shared" si="72"/>
        <v>0</v>
      </c>
      <c r="U928" s="138"/>
      <c r="V928" s="147"/>
      <c r="W928" s="148"/>
    </row>
    <row r="929" spans="1:23" x14ac:dyDescent="0.25">
      <c r="A929" s="140">
        <f t="shared" si="71"/>
        <v>53</v>
      </c>
      <c r="B929" s="157"/>
      <c r="C929" s="157"/>
      <c r="E929" s="79"/>
      <c r="F929" s="153"/>
      <c r="G929" s="137"/>
      <c r="H929" s="158"/>
      <c r="L929" s="98"/>
      <c r="M929" s="79"/>
      <c r="N929" s="139"/>
      <c r="P929" s="138"/>
      <c r="Q929" s="147"/>
      <c r="R929" s="147"/>
      <c r="S929" s="147"/>
      <c r="T929" s="138">
        <f t="shared" si="72"/>
        <v>0</v>
      </c>
      <c r="U929" s="138"/>
      <c r="V929" s="147"/>
      <c r="W929" s="148"/>
    </row>
    <row r="930" spans="1:23" x14ac:dyDescent="0.25">
      <c r="A930" s="140">
        <f t="shared" si="71"/>
        <v>53</v>
      </c>
      <c r="B930" s="157"/>
      <c r="C930" s="157"/>
      <c r="E930" s="79"/>
      <c r="F930" s="153"/>
      <c r="G930" s="137"/>
      <c r="H930" s="158"/>
      <c r="L930" s="98"/>
      <c r="M930" s="79"/>
      <c r="N930" s="139"/>
      <c r="P930" s="138"/>
      <c r="Q930" s="147"/>
      <c r="R930" s="147"/>
      <c r="S930" s="147"/>
      <c r="T930" s="138">
        <f t="shared" si="72"/>
        <v>0</v>
      </c>
      <c r="U930" s="138"/>
      <c r="V930" s="147"/>
      <c r="W930" s="148"/>
    </row>
    <row r="931" spans="1:23" x14ac:dyDescent="0.25">
      <c r="A931" s="140">
        <f t="shared" si="71"/>
        <v>53</v>
      </c>
      <c r="B931" s="157"/>
      <c r="C931" s="157"/>
      <c r="E931" s="79"/>
      <c r="F931" s="153"/>
      <c r="G931" s="137"/>
      <c r="H931" s="158"/>
      <c r="L931" s="98"/>
      <c r="M931" s="79"/>
      <c r="N931" s="139"/>
      <c r="P931" s="138"/>
      <c r="Q931" s="147"/>
      <c r="R931" s="147"/>
      <c r="S931" s="147"/>
      <c r="T931" s="138">
        <f t="shared" si="72"/>
        <v>0</v>
      </c>
      <c r="U931" s="138"/>
      <c r="V931" s="147"/>
      <c r="W931" s="148"/>
    </row>
    <row r="932" spans="1:23" x14ac:dyDescent="0.25">
      <c r="A932" s="140">
        <f t="shared" si="71"/>
        <v>53</v>
      </c>
      <c r="B932" s="157"/>
      <c r="C932" s="157"/>
      <c r="E932" s="79"/>
      <c r="F932" s="153"/>
      <c r="G932" s="137"/>
      <c r="H932" s="158"/>
      <c r="L932" s="98"/>
      <c r="M932" s="79"/>
      <c r="N932" s="139"/>
      <c r="P932" s="138"/>
      <c r="Q932" s="147"/>
      <c r="R932" s="147"/>
      <c r="S932" s="147"/>
      <c r="T932" s="138">
        <f t="shared" si="72"/>
        <v>0</v>
      </c>
      <c r="U932" s="138"/>
      <c r="V932" s="147"/>
      <c r="W932" s="148"/>
    </row>
    <row r="933" spans="1:23" x14ac:dyDescent="0.25">
      <c r="A933" s="140">
        <f t="shared" si="71"/>
        <v>53</v>
      </c>
      <c r="B933" s="157"/>
      <c r="C933" s="157"/>
      <c r="E933" s="79"/>
      <c r="F933" s="153"/>
      <c r="G933" s="137"/>
      <c r="H933" s="158"/>
      <c r="L933" s="98"/>
      <c r="M933" s="79"/>
      <c r="N933" s="139"/>
      <c r="P933" s="138"/>
      <c r="Q933" s="147"/>
      <c r="R933" s="147"/>
      <c r="S933" s="147"/>
      <c r="T933" s="138">
        <f t="shared" si="72"/>
        <v>0</v>
      </c>
      <c r="U933" s="138"/>
      <c r="V933" s="147"/>
      <c r="W933" s="148"/>
    </row>
    <row r="934" spans="1:23" x14ac:dyDescent="0.25">
      <c r="A934" s="140">
        <f t="shared" si="71"/>
        <v>53</v>
      </c>
      <c r="B934" s="157"/>
      <c r="C934" s="157"/>
      <c r="E934" s="79"/>
      <c r="F934" s="153"/>
      <c r="G934" s="137"/>
      <c r="H934" s="158"/>
      <c r="L934" s="98"/>
      <c r="M934" s="79"/>
      <c r="N934" s="139"/>
      <c r="P934" s="138"/>
      <c r="Q934" s="147"/>
      <c r="R934" s="147"/>
      <c r="S934" s="147"/>
      <c r="T934" s="138">
        <f t="shared" si="72"/>
        <v>0</v>
      </c>
      <c r="U934" s="138"/>
      <c r="V934" s="147"/>
      <c r="W934" s="148"/>
    </row>
    <row r="935" spans="1:23" x14ac:dyDescent="0.25">
      <c r="A935" s="140">
        <f t="shared" si="71"/>
        <v>53</v>
      </c>
      <c r="B935" s="157"/>
      <c r="C935" s="157"/>
      <c r="E935" s="79"/>
      <c r="F935" s="153"/>
      <c r="G935" s="137"/>
      <c r="H935" s="158"/>
      <c r="L935" s="98"/>
      <c r="M935" s="79"/>
      <c r="N935" s="139"/>
      <c r="P935" s="138"/>
      <c r="Q935" s="147"/>
      <c r="R935" s="147"/>
      <c r="S935" s="147"/>
      <c r="T935" s="138">
        <f t="shared" si="72"/>
        <v>0</v>
      </c>
      <c r="U935" s="138"/>
      <c r="V935" s="147"/>
      <c r="W935" s="148"/>
    </row>
    <row r="936" spans="1:23" x14ac:dyDescent="0.25">
      <c r="A936" s="140">
        <f t="shared" si="71"/>
        <v>53</v>
      </c>
      <c r="B936" s="157"/>
      <c r="C936" s="157"/>
      <c r="E936" s="79"/>
      <c r="F936" s="153"/>
      <c r="G936" s="137"/>
      <c r="H936" s="158"/>
      <c r="L936" s="98"/>
      <c r="M936" s="79"/>
      <c r="N936" s="139"/>
      <c r="P936" s="138"/>
      <c r="Q936" s="147"/>
      <c r="R936" s="147"/>
      <c r="S936" s="147"/>
      <c r="T936" s="138">
        <f t="shared" si="72"/>
        <v>0</v>
      </c>
      <c r="U936" s="138"/>
      <c r="V936" s="147"/>
      <c r="W936" s="148"/>
    </row>
    <row r="937" spans="1:23" x14ac:dyDescent="0.25">
      <c r="A937" s="140">
        <f t="shared" si="71"/>
        <v>53</v>
      </c>
      <c r="B937" s="157"/>
      <c r="C937" s="157"/>
      <c r="E937" s="79"/>
      <c r="F937" s="153"/>
      <c r="G937" s="137"/>
      <c r="H937" s="158"/>
      <c r="L937" s="98"/>
      <c r="M937" s="79"/>
      <c r="N937" s="139"/>
      <c r="P937" s="138"/>
      <c r="Q937" s="147"/>
      <c r="R937" s="147"/>
      <c r="S937" s="147"/>
      <c r="T937" s="138">
        <f t="shared" si="72"/>
        <v>0</v>
      </c>
      <c r="U937" s="138"/>
      <c r="V937" s="147"/>
      <c r="W937" s="148"/>
    </row>
    <row r="938" spans="1:23" x14ac:dyDescent="0.25">
      <c r="A938" s="140">
        <f t="shared" si="71"/>
        <v>53</v>
      </c>
      <c r="B938" s="157"/>
      <c r="C938" s="157"/>
      <c r="E938" s="79"/>
      <c r="F938" s="153"/>
      <c r="G938" s="137"/>
      <c r="H938" s="158"/>
      <c r="L938" s="98"/>
      <c r="M938" s="79"/>
      <c r="N938" s="139"/>
      <c r="P938" s="138"/>
      <c r="Q938" s="147"/>
      <c r="R938" s="147"/>
      <c r="S938" s="147"/>
      <c r="T938" s="138">
        <f t="shared" si="72"/>
        <v>0</v>
      </c>
      <c r="U938" s="138"/>
      <c r="V938" s="147"/>
      <c r="W938" s="148"/>
    </row>
    <row r="939" spans="1:23" x14ac:dyDescent="0.25">
      <c r="A939" s="140">
        <f t="shared" si="71"/>
        <v>53</v>
      </c>
      <c r="B939" s="157"/>
      <c r="C939" s="157"/>
      <c r="E939" s="79"/>
      <c r="F939" s="153"/>
      <c r="G939" s="137"/>
      <c r="H939" s="158"/>
      <c r="L939" s="98"/>
      <c r="M939" s="79"/>
      <c r="N939" s="139"/>
      <c r="P939" s="138"/>
      <c r="Q939" s="147"/>
      <c r="R939" s="147"/>
      <c r="S939" s="147"/>
      <c r="T939" s="138">
        <f t="shared" si="72"/>
        <v>0</v>
      </c>
      <c r="U939" s="138"/>
      <c r="V939" s="147"/>
      <c r="W939" s="148"/>
    </row>
    <row r="940" spans="1:23" x14ac:dyDescent="0.25">
      <c r="A940" s="140">
        <f t="shared" si="71"/>
        <v>53</v>
      </c>
      <c r="B940" s="157"/>
      <c r="C940" s="157"/>
      <c r="E940" s="79"/>
      <c r="F940" s="153"/>
      <c r="G940" s="137"/>
      <c r="H940" s="158"/>
      <c r="L940" s="98"/>
      <c r="M940" s="79"/>
      <c r="N940" s="139"/>
      <c r="P940" s="138"/>
      <c r="Q940" s="147"/>
      <c r="R940" s="147"/>
      <c r="S940" s="147"/>
      <c r="T940" s="138">
        <f t="shared" si="72"/>
        <v>0</v>
      </c>
      <c r="U940" s="138"/>
      <c r="V940" s="147"/>
      <c r="W940" s="148"/>
    </row>
    <row r="941" spans="1:23" x14ac:dyDescent="0.25">
      <c r="A941" s="140">
        <f t="shared" si="71"/>
        <v>53</v>
      </c>
      <c r="B941" s="157"/>
      <c r="C941" s="157"/>
      <c r="E941" s="79"/>
      <c r="F941" s="153"/>
      <c r="G941" s="137"/>
      <c r="H941" s="158"/>
      <c r="L941" s="98"/>
      <c r="M941" s="79"/>
      <c r="N941" s="139"/>
      <c r="P941" s="138"/>
      <c r="Q941" s="147"/>
      <c r="R941" s="147"/>
      <c r="S941" s="147"/>
      <c r="T941" s="138">
        <f t="shared" si="72"/>
        <v>0</v>
      </c>
      <c r="U941" s="138"/>
      <c r="V941" s="147"/>
      <c r="W941" s="148"/>
    </row>
    <row r="942" spans="1:23" x14ac:dyDescent="0.25">
      <c r="A942" s="140">
        <f t="shared" si="71"/>
        <v>53</v>
      </c>
      <c r="B942" s="157"/>
      <c r="C942" s="157"/>
      <c r="E942" s="79"/>
      <c r="F942" s="153"/>
      <c r="G942" s="137"/>
      <c r="H942" s="158"/>
      <c r="L942" s="98"/>
      <c r="M942" s="79"/>
      <c r="N942" s="139"/>
      <c r="P942" s="138"/>
      <c r="Q942" s="147"/>
      <c r="R942" s="147"/>
      <c r="S942" s="147"/>
      <c r="T942" s="138">
        <f t="shared" si="72"/>
        <v>0</v>
      </c>
      <c r="U942" s="138"/>
      <c r="V942" s="147"/>
      <c r="W942" s="148"/>
    </row>
    <row r="943" spans="1:23" x14ac:dyDescent="0.25">
      <c r="A943" s="140">
        <f t="shared" si="71"/>
        <v>53</v>
      </c>
      <c r="B943" s="157"/>
      <c r="C943" s="157"/>
      <c r="E943" s="79"/>
      <c r="F943" s="153"/>
      <c r="G943" s="137"/>
      <c r="H943" s="158"/>
      <c r="L943" s="98"/>
      <c r="M943" s="79"/>
      <c r="N943" s="139"/>
      <c r="P943" s="138"/>
      <c r="Q943" s="147"/>
      <c r="R943" s="147"/>
      <c r="S943" s="147"/>
      <c r="T943" s="138">
        <f t="shared" si="72"/>
        <v>0</v>
      </c>
      <c r="U943" s="138"/>
      <c r="V943" s="147"/>
      <c r="W943" s="148"/>
    </row>
    <row r="944" spans="1:23" x14ac:dyDescent="0.25">
      <c r="A944" s="140">
        <f t="shared" si="71"/>
        <v>53</v>
      </c>
      <c r="B944" s="157"/>
      <c r="C944" s="157"/>
      <c r="E944" s="79"/>
      <c r="F944" s="153"/>
      <c r="G944" s="137"/>
      <c r="H944" s="158"/>
      <c r="L944" s="98"/>
      <c r="M944" s="79"/>
      <c r="N944" s="139"/>
      <c r="P944" s="138"/>
      <c r="Q944" s="147"/>
      <c r="R944" s="147"/>
      <c r="S944" s="147"/>
      <c r="T944" s="138">
        <f t="shared" si="72"/>
        <v>0</v>
      </c>
      <c r="U944" s="138"/>
      <c r="V944" s="147"/>
      <c r="W944" s="148"/>
    </row>
    <row r="945" spans="1:23" x14ac:dyDescent="0.25">
      <c r="A945" s="140">
        <f t="shared" si="71"/>
        <v>53</v>
      </c>
      <c r="B945" s="157"/>
      <c r="C945" s="157"/>
      <c r="E945" s="79"/>
      <c r="F945" s="153"/>
      <c r="G945" s="137"/>
      <c r="H945" s="158"/>
      <c r="L945" s="98"/>
      <c r="M945" s="79"/>
      <c r="N945" s="139"/>
      <c r="P945" s="138"/>
      <c r="Q945" s="147"/>
      <c r="R945" s="147"/>
      <c r="S945" s="147"/>
      <c r="T945" s="138">
        <f t="shared" si="72"/>
        <v>0</v>
      </c>
      <c r="U945" s="138"/>
      <c r="V945" s="147"/>
      <c r="W945" s="148"/>
    </row>
    <row r="946" spans="1:23" x14ac:dyDescent="0.25">
      <c r="A946" s="140">
        <f t="shared" si="71"/>
        <v>53</v>
      </c>
      <c r="B946" s="157"/>
      <c r="C946" s="157"/>
      <c r="E946" s="79"/>
      <c r="F946" s="153"/>
      <c r="G946" s="137"/>
      <c r="H946" s="158"/>
      <c r="L946" s="98"/>
      <c r="M946" s="79"/>
      <c r="N946" s="139"/>
      <c r="P946" s="138"/>
      <c r="Q946" s="147"/>
      <c r="R946" s="147"/>
      <c r="S946" s="147"/>
      <c r="T946" s="138">
        <f t="shared" si="72"/>
        <v>0</v>
      </c>
      <c r="U946" s="138"/>
      <c r="V946" s="147"/>
      <c r="W946" s="148"/>
    </row>
    <row r="947" spans="1:23" x14ac:dyDescent="0.25">
      <c r="A947" s="140">
        <f t="shared" si="71"/>
        <v>53</v>
      </c>
      <c r="B947" s="157"/>
      <c r="C947" s="157"/>
      <c r="E947" s="79"/>
      <c r="F947" s="153"/>
      <c r="G947" s="137"/>
      <c r="H947" s="158"/>
      <c r="L947" s="98"/>
      <c r="M947" s="79"/>
      <c r="N947" s="139"/>
      <c r="P947" s="138"/>
      <c r="Q947" s="147"/>
      <c r="R947" s="147"/>
      <c r="S947" s="147"/>
      <c r="T947" s="138">
        <f t="shared" si="72"/>
        <v>0</v>
      </c>
      <c r="U947" s="138"/>
      <c r="V947" s="147"/>
      <c r="W947" s="148"/>
    </row>
    <row r="948" spans="1:23" x14ac:dyDescent="0.25">
      <c r="A948" s="140">
        <f t="shared" si="71"/>
        <v>53</v>
      </c>
      <c r="B948" s="157"/>
      <c r="C948" s="157"/>
      <c r="E948" s="79"/>
      <c r="F948" s="153"/>
      <c r="G948" s="137"/>
      <c r="H948" s="158"/>
      <c r="L948" s="98"/>
      <c r="M948" s="79"/>
      <c r="N948" s="139"/>
      <c r="P948" s="138"/>
      <c r="Q948" s="147"/>
      <c r="R948" s="147"/>
      <c r="S948" s="147"/>
      <c r="T948" s="138">
        <f t="shared" si="72"/>
        <v>0</v>
      </c>
      <c r="U948" s="138"/>
      <c r="V948" s="147"/>
      <c r="W948" s="148"/>
    </row>
    <row r="949" spans="1:23" x14ac:dyDescent="0.25">
      <c r="A949" s="140">
        <f t="shared" si="71"/>
        <v>53</v>
      </c>
      <c r="B949" s="157"/>
      <c r="C949" s="157"/>
      <c r="E949" s="79"/>
      <c r="F949" s="153"/>
      <c r="G949" s="137"/>
      <c r="H949" s="158"/>
      <c r="L949" s="98"/>
      <c r="M949" s="79"/>
      <c r="N949" s="139"/>
      <c r="P949" s="138"/>
      <c r="Q949" s="147"/>
      <c r="R949" s="147"/>
      <c r="S949" s="147"/>
      <c r="T949" s="138">
        <f t="shared" si="72"/>
        <v>0</v>
      </c>
      <c r="U949" s="138"/>
      <c r="V949" s="147"/>
      <c r="W949" s="148"/>
    </row>
    <row r="950" spans="1:23" x14ac:dyDescent="0.25">
      <c r="A950" s="140">
        <f t="shared" si="71"/>
        <v>53</v>
      </c>
      <c r="B950" s="157"/>
      <c r="C950" s="157"/>
      <c r="E950" s="79"/>
      <c r="F950" s="153"/>
      <c r="G950" s="137"/>
      <c r="H950" s="158"/>
      <c r="L950" s="98"/>
      <c r="M950" s="79"/>
      <c r="N950" s="139"/>
      <c r="P950" s="138"/>
      <c r="Q950" s="147"/>
      <c r="R950" s="147"/>
      <c r="S950" s="147"/>
      <c r="T950" s="138">
        <f t="shared" si="72"/>
        <v>0</v>
      </c>
      <c r="U950" s="138"/>
      <c r="V950" s="147"/>
      <c r="W950" s="148"/>
    </row>
    <row r="951" spans="1:23" x14ac:dyDescent="0.25">
      <c r="A951" s="140">
        <f t="shared" si="71"/>
        <v>53</v>
      </c>
      <c r="B951" s="157"/>
      <c r="C951" s="157"/>
      <c r="E951" s="79"/>
      <c r="F951" s="153"/>
      <c r="G951" s="137"/>
      <c r="H951" s="158"/>
      <c r="L951" s="98"/>
      <c r="M951" s="79"/>
      <c r="N951" s="139"/>
      <c r="P951" s="138"/>
      <c r="Q951" s="147"/>
      <c r="R951" s="147"/>
      <c r="S951" s="147"/>
      <c r="T951" s="138">
        <f t="shared" si="72"/>
        <v>0</v>
      </c>
      <c r="U951" s="138"/>
      <c r="V951" s="147"/>
      <c r="W951" s="148"/>
    </row>
    <row r="952" spans="1:23" x14ac:dyDescent="0.25">
      <c r="A952" s="140">
        <f t="shared" si="71"/>
        <v>53</v>
      </c>
      <c r="B952" s="157"/>
      <c r="C952" s="157"/>
      <c r="E952" s="79"/>
      <c r="F952" s="153"/>
      <c r="G952" s="137"/>
      <c r="H952" s="158"/>
      <c r="L952" s="98"/>
      <c r="M952" s="79"/>
      <c r="N952" s="139"/>
      <c r="P952" s="138"/>
      <c r="Q952" s="147"/>
      <c r="R952" s="147"/>
      <c r="S952" s="147"/>
      <c r="T952" s="138">
        <f t="shared" si="72"/>
        <v>0</v>
      </c>
      <c r="U952" s="138"/>
      <c r="V952" s="147"/>
      <c r="W952" s="148"/>
    </row>
    <row r="953" spans="1:23" x14ac:dyDescent="0.25">
      <c r="A953" s="140">
        <f t="shared" si="71"/>
        <v>53</v>
      </c>
      <c r="B953" s="157"/>
      <c r="C953" s="157"/>
      <c r="E953" s="79"/>
      <c r="F953" s="153"/>
      <c r="G953" s="137"/>
      <c r="H953" s="158"/>
      <c r="L953" s="98"/>
      <c r="M953" s="79"/>
      <c r="N953" s="139"/>
      <c r="P953" s="138"/>
      <c r="Q953" s="147"/>
      <c r="R953" s="147"/>
      <c r="S953" s="147"/>
      <c r="T953" s="138">
        <f t="shared" si="72"/>
        <v>0</v>
      </c>
      <c r="U953" s="138"/>
      <c r="V953" s="147"/>
      <c r="W953" s="148"/>
    </row>
    <row r="954" spans="1:23" x14ac:dyDescent="0.25">
      <c r="A954" s="140">
        <f t="shared" si="71"/>
        <v>53</v>
      </c>
      <c r="B954" s="157"/>
      <c r="C954" s="157"/>
      <c r="E954" s="79"/>
      <c r="F954" s="153"/>
      <c r="G954" s="137"/>
      <c r="H954" s="158"/>
      <c r="L954" s="98"/>
      <c r="M954" s="79"/>
      <c r="N954" s="139"/>
      <c r="P954" s="138"/>
      <c r="Q954" s="147"/>
      <c r="R954" s="147"/>
      <c r="S954" s="147"/>
      <c r="T954" s="138">
        <f t="shared" si="72"/>
        <v>0</v>
      </c>
      <c r="U954" s="138"/>
      <c r="V954" s="147"/>
      <c r="W954" s="148"/>
    </row>
    <row r="955" spans="1:23" x14ac:dyDescent="0.25">
      <c r="A955" s="140">
        <f t="shared" si="71"/>
        <v>53</v>
      </c>
      <c r="B955" s="157"/>
      <c r="C955" s="157"/>
      <c r="E955" s="79"/>
      <c r="F955" s="153"/>
      <c r="G955" s="137"/>
      <c r="H955" s="158"/>
      <c r="L955" s="98"/>
      <c r="M955" s="79"/>
      <c r="N955" s="139"/>
      <c r="P955" s="138"/>
      <c r="Q955" s="147"/>
      <c r="R955" s="147"/>
      <c r="S955" s="147"/>
      <c r="T955" s="138">
        <f t="shared" si="72"/>
        <v>0</v>
      </c>
      <c r="U955" s="138"/>
      <c r="V955" s="147"/>
      <c r="W955" s="148"/>
    </row>
    <row r="956" spans="1:23" x14ac:dyDescent="0.25">
      <c r="A956" s="140">
        <f t="shared" si="71"/>
        <v>53</v>
      </c>
      <c r="B956" s="157"/>
      <c r="C956" s="157"/>
      <c r="E956" s="79"/>
      <c r="F956" s="153"/>
      <c r="G956" s="137"/>
      <c r="H956" s="158"/>
      <c r="L956" s="98"/>
      <c r="M956" s="79"/>
      <c r="N956" s="139"/>
      <c r="P956" s="138"/>
      <c r="Q956" s="147"/>
      <c r="R956" s="147"/>
      <c r="S956" s="147"/>
      <c r="T956" s="138">
        <f t="shared" si="72"/>
        <v>0</v>
      </c>
      <c r="U956" s="138"/>
      <c r="V956" s="147"/>
      <c r="W956" s="148"/>
    </row>
    <row r="957" spans="1:23" x14ac:dyDescent="0.25">
      <c r="A957" s="140">
        <f t="shared" si="71"/>
        <v>53</v>
      </c>
      <c r="B957" s="157"/>
      <c r="C957" s="157"/>
      <c r="E957" s="79"/>
      <c r="F957" s="153"/>
      <c r="G957" s="137"/>
      <c r="H957" s="158"/>
      <c r="L957" s="98"/>
      <c r="M957" s="79"/>
      <c r="N957" s="139"/>
      <c r="P957" s="138"/>
      <c r="Q957" s="147"/>
      <c r="R957" s="147"/>
      <c r="S957" s="147"/>
      <c r="T957" s="138">
        <f t="shared" si="72"/>
        <v>0</v>
      </c>
      <c r="U957" s="138"/>
      <c r="V957" s="147"/>
      <c r="W957" s="148"/>
    </row>
    <row r="958" spans="1:23" x14ac:dyDescent="0.25">
      <c r="A958" s="140">
        <f t="shared" si="71"/>
        <v>53</v>
      </c>
      <c r="B958" s="157"/>
      <c r="C958" s="157"/>
      <c r="E958" s="79"/>
      <c r="F958" s="153"/>
      <c r="G958" s="137"/>
      <c r="H958" s="158"/>
      <c r="L958" s="98"/>
      <c r="M958" s="79"/>
      <c r="N958" s="139"/>
      <c r="P958" s="138"/>
      <c r="Q958" s="147"/>
      <c r="R958" s="147"/>
      <c r="S958" s="147"/>
      <c r="T958" s="138">
        <f t="shared" si="72"/>
        <v>0</v>
      </c>
      <c r="U958" s="138"/>
      <c r="V958" s="147"/>
      <c r="W958" s="148"/>
    </row>
    <row r="959" spans="1:23" x14ac:dyDescent="0.25">
      <c r="A959" s="140">
        <f t="shared" si="71"/>
        <v>53</v>
      </c>
      <c r="B959" s="157"/>
      <c r="C959" s="157"/>
      <c r="E959" s="79"/>
      <c r="F959" s="153"/>
      <c r="G959" s="137"/>
      <c r="H959" s="158"/>
      <c r="L959" s="98"/>
      <c r="M959" s="79"/>
      <c r="N959" s="139"/>
      <c r="P959" s="138"/>
      <c r="Q959" s="147"/>
      <c r="R959" s="147"/>
      <c r="S959" s="147"/>
      <c r="T959" s="138">
        <f t="shared" si="72"/>
        <v>0</v>
      </c>
      <c r="U959" s="138"/>
      <c r="V959" s="147"/>
      <c r="W959" s="148"/>
    </row>
    <row r="960" spans="1:23" x14ac:dyDescent="0.25">
      <c r="A960" s="140">
        <f t="shared" si="71"/>
        <v>53</v>
      </c>
      <c r="B960" s="157"/>
      <c r="C960" s="157"/>
      <c r="E960" s="79"/>
      <c r="F960" s="153"/>
      <c r="G960" s="137"/>
      <c r="H960" s="158"/>
      <c r="L960" s="98"/>
      <c r="M960" s="79"/>
      <c r="N960" s="139"/>
      <c r="P960" s="138"/>
      <c r="Q960" s="147"/>
      <c r="R960" s="147"/>
      <c r="S960" s="147"/>
      <c r="T960" s="138">
        <f t="shared" si="72"/>
        <v>0</v>
      </c>
      <c r="U960" s="138"/>
      <c r="V960" s="147"/>
      <c r="W960" s="148"/>
    </row>
    <row r="961" spans="1:23" x14ac:dyDescent="0.25">
      <c r="A961" s="140">
        <f t="shared" si="71"/>
        <v>53</v>
      </c>
      <c r="B961" s="157"/>
      <c r="C961" s="157"/>
      <c r="E961" s="79"/>
      <c r="F961" s="153"/>
      <c r="G961" s="137"/>
      <c r="H961" s="158"/>
      <c r="L961" s="98"/>
      <c r="M961" s="79"/>
      <c r="N961" s="139"/>
      <c r="P961" s="138"/>
      <c r="Q961" s="147"/>
      <c r="R961" s="147"/>
      <c r="S961" s="147"/>
      <c r="T961" s="138">
        <f t="shared" si="72"/>
        <v>0</v>
      </c>
      <c r="U961" s="138"/>
      <c r="V961" s="147"/>
      <c r="W961" s="148"/>
    </row>
    <row r="962" spans="1:23" x14ac:dyDescent="0.25">
      <c r="A962" s="140">
        <f t="shared" si="71"/>
        <v>53</v>
      </c>
      <c r="B962" s="157"/>
      <c r="C962" s="157"/>
      <c r="E962" s="79"/>
      <c r="F962" s="153"/>
      <c r="G962" s="137"/>
      <c r="H962" s="158"/>
      <c r="L962" s="98"/>
      <c r="M962" s="79"/>
      <c r="N962" s="139"/>
      <c r="P962" s="138"/>
      <c r="Q962" s="147"/>
      <c r="R962" s="147"/>
      <c r="S962" s="147"/>
      <c r="T962" s="138">
        <f t="shared" si="72"/>
        <v>0</v>
      </c>
      <c r="U962" s="138"/>
      <c r="V962" s="147"/>
      <c r="W962" s="148"/>
    </row>
    <row r="963" spans="1:23" x14ac:dyDescent="0.25">
      <c r="A963" s="140">
        <f t="shared" si="71"/>
        <v>53</v>
      </c>
      <c r="B963" s="157"/>
      <c r="C963" s="157"/>
      <c r="E963" s="79"/>
      <c r="F963" s="153"/>
      <c r="G963" s="137"/>
      <c r="H963" s="158"/>
      <c r="L963" s="98"/>
      <c r="M963" s="79"/>
      <c r="N963" s="139"/>
      <c r="P963" s="138"/>
      <c r="Q963" s="147"/>
      <c r="R963" s="147"/>
      <c r="S963" s="147"/>
      <c r="T963" s="138">
        <f t="shared" si="72"/>
        <v>0</v>
      </c>
      <c r="U963" s="138"/>
      <c r="V963" s="147"/>
      <c r="W963" s="148"/>
    </row>
    <row r="964" spans="1:23" x14ac:dyDescent="0.25">
      <c r="A964" s="140">
        <f t="shared" si="71"/>
        <v>53</v>
      </c>
      <c r="B964" s="157"/>
      <c r="C964" s="157"/>
      <c r="E964" s="79"/>
      <c r="F964" s="153"/>
      <c r="G964" s="137"/>
      <c r="H964" s="158"/>
      <c r="L964" s="98"/>
      <c r="M964" s="79"/>
      <c r="N964" s="139"/>
      <c r="P964" s="138"/>
      <c r="Q964" s="147"/>
      <c r="R964" s="147"/>
      <c r="S964" s="147"/>
      <c r="T964" s="138">
        <f t="shared" si="72"/>
        <v>0</v>
      </c>
      <c r="U964" s="138"/>
      <c r="V964" s="147"/>
      <c r="W964" s="148"/>
    </row>
    <row r="965" spans="1:23" x14ac:dyDescent="0.25">
      <c r="A965" s="140">
        <f t="shared" si="71"/>
        <v>53</v>
      </c>
      <c r="B965" s="157"/>
      <c r="C965" s="157"/>
      <c r="E965" s="79"/>
      <c r="F965" s="153"/>
      <c r="G965" s="137"/>
      <c r="H965" s="158"/>
      <c r="L965" s="98"/>
      <c r="M965" s="79"/>
      <c r="N965" s="139"/>
      <c r="P965" s="138"/>
      <c r="Q965" s="147"/>
      <c r="R965" s="147"/>
      <c r="S965" s="147"/>
      <c r="T965" s="138">
        <f t="shared" si="72"/>
        <v>0</v>
      </c>
      <c r="U965" s="138"/>
      <c r="V965" s="147"/>
      <c r="W965" s="148"/>
    </row>
    <row r="966" spans="1:23" x14ac:dyDescent="0.25">
      <c r="A966" s="140">
        <f t="shared" si="71"/>
        <v>53</v>
      </c>
      <c r="B966" s="157"/>
      <c r="C966" s="157"/>
      <c r="E966" s="79"/>
      <c r="F966" s="153"/>
      <c r="G966" s="137"/>
      <c r="H966" s="158"/>
      <c r="L966" s="98"/>
      <c r="M966" s="79"/>
      <c r="N966" s="139"/>
      <c r="P966" s="138"/>
      <c r="Q966" s="147"/>
      <c r="R966" s="147"/>
      <c r="S966" s="147"/>
      <c r="T966" s="138">
        <f t="shared" si="72"/>
        <v>0</v>
      </c>
      <c r="U966" s="138"/>
      <c r="V966" s="147"/>
      <c r="W966" s="148"/>
    </row>
    <row r="967" spans="1:23" x14ac:dyDescent="0.25">
      <c r="A967" s="140">
        <f t="shared" ref="A967:A1030" si="73">WEEKNUM(B967,21)</f>
        <v>53</v>
      </c>
      <c r="B967" s="157"/>
      <c r="C967" s="157"/>
      <c r="E967" s="79"/>
      <c r="F967" s="153"/>
      <c r="G967" s="137"/>
      <c r="H967" s="158"/>
      <c r="L967" s="98"/>
      <c r="M967" s="79"/>
      <c r="N967" s="139"/>
      <c r="P967" s="138"/>
      <c r="Q967" s="147"/>
      <c r="R967" s="147"/>
      <c r="S967" s="147"/>
      <c r="T967" s="138">
        <f t="shared" si="72"/>
        <v>0</v>
      </c>
      <c r="U967" s="138"/>
      <c r="V967" s="147"/>
      <c r="W967" s="148"/>
    </row>
    <row r="968" spans="1:23" x14ac:dyDescent="0.25">
      <c r="A968" s="140">
        <f t="shared" si="73"/>
        <v>53</v>
      </c>
      <c r="B968" s="157"/>
      <c r="C968" s="157"/>
      <c r="E968" s="79"/>
      <c r="F968" s="153"/>
      <c r="G968" s="137"/>
      <c r="H968" s="158"/>
      <c r="L968" s="98"/>
      <c r="M968" s="79"/>
      <c r="N968" s="139"/>
      <c r="P968" s="138"/>
      <c r="Q968" s="147"/>
      <c r="R968" s="147"/>
      <c r="S968" s="147"/>
      <c r="T968" s="138">
        <f t="shared" si="72"/>
        <v>0</v>
      </c>
      <c r="U968" s="138"/>
      <c r="V968" s="147"/>
      <c r="W968" s="148"/>
    </row>
    <row r="969" spans="1:23" x14ac:dyDescent="0.25">
      <c r="A969" s="140">
        <f t="shared" si="73"/>
        <v>53</v>
      </c>
      <c r="B969" s="157"/>
      <c r="C969" s="157"/>
      <c r="E969" s="79"/>
      <c r="F969" s="153"/>
      <c r="G969" s="137"/>
      <c r="H969" s="158"/>
      <c r="L969" s="98"/>
      <c r="M969" s="79"/>
      <c r="N969" s="139"/>
      <c r="P969" s="138"/>
      <c r="Q969" s="147"/>
      <c r="R969" s="147"/>
      <c r="S969" s="147"/>
      <c r="T969" s="138">
        <f t="shared" si="72"/>
        <v>0</v>
      </c>
      <c r="U969" s="138"/>
      <c r="V969" s="147"/>
      <c r="W969" s="148"/>
    </row>
    <row r="970" spans="1:23" x14ac:dyDescent="0.25">
      <c r="A970" s="140">
        <f t="shared" si="73"/>
        <v>53</v>
      </c>
      <c r="B970" s="157"/>
      <c r="C970" s="157"/>
      <c r="E970" s="79"/>
      <c r="F970" s="153"/>
      <c r="G970" s="137"/>
      <c r="H970" s="158"/>
      <c r="L970" s="98"/>
      <c r="M970" s="79"/>
      <c r="N970" s="139"/>
      <c r="P970" s="138"/>
      <c r="Q970" s="147"/>
      <c r="R970" s="147"/>
      <c r="S970" s="147"/>
      <c r="T970" s="138">
        <f t="shared" si="72"/>
        <v>0</v>
      </c>
      <c r="U970" s="138"/>
      <c r="V970" s="147"/>
      <c r="W970" s="148"/>
    </row>
    <row r="971" spans="1:23" x14ac:dyDescent="0.25">
      <c r="A971" s="140">
        <f t="shared" si="73"/>
        <v>53</v>
      </c>
      <c r="B971" s="157"/>
      <c r="C971" s="157"/>
      <c r="E971" s="79"/>
      <c r="F971" s="153"/>
      <c r="G971" s="137"/>
      <c r="H971" s="158"/>
      <c r="L971" s="98"/>
      <c r="M971" s="79"/>
      <c r="N971" s="139"/>
      <c r="P971" s="138"/>
      <c r="Q971" s="147"/>
      <c r="R971" s="147"/>
      <c r="S971" s="147"/>
      <c r="T971" s="138">
        <f t="shared" si="72"/>
        <v>0</v>
      </c>
      <c r="U971" s="138"/>
      <c r="V971" s="147"/>
      <c r="W971" s="148"/>
    </row>
    <row r="972" spans="1:23" x14ac:dyDescent="0.25">
      <c r="A972" s="140">
        <f t="shared" si="73"/>
        <v>53</v>
      </c>
      <c r="B972" s="157"/>
      <c r="C972" s="157"/>
      <c r="E972" s="79"/>
      <c r="F972" s="153"/>
      <c r="G972" s="137"/>
      <c r="H972" s="158"/>
      <c r="L972" s="98"/>
      <c r="M972" s="79"/>
      <c r="N972" s="139"/>
      <c r="P972" s="138"/>
      <c r="Q972" s="147"/>
      <c r="R972" s="147"/>
      <c r="S972" s="147"/>
      <c r="T972" s="138">
        <f t="shared" si="72"/>
        <v>0</v>
      </c>
      <c r="U972" s="138"/>
      <c r="V972" s="147"/>
      <c r="W972" s="148"/>
    </row>
    <row r="973" spans="1:23" x14ac:dyDescent="0.25">
      <c r="A973" s="140">
        <f t="shared" si="73"/>
        <v>53</v>
      </c>
      <c r="B973" s="157"/>
      <c r="C973" s="157"/>
      <c r="E973" s="79"/>
      <c r="F973" s="153"/>
      <c r="G973" s="137"/>
      <c r="H973" s="158"/>
      <c r="L973" s="98"/>
      <c r="M973" s="79"/>
      <c r="N973" s="139"/>
      <c r="P973" s="138"/>
      <c r="Q973" s="147"/>
      <c r="R973" s="147"/>
      <c r="S973" s="147"/>
      <c r="T973" s="138">
        <f t="shared" si="72"/>
        <v>0</v>
      </c>
      <c r="U973" s="138"/>
      <c r="V973" s="147"/>
      <c r="W973" s="148"/>
    </row>
    <row r="974" spans="1:23" x14ac:dyDescent="0.25">
      <c r="A974" s="140">
        <f t="shared" si="73"/>
        <v>53</v>
      </c>
      <c r="B974" s="157"/>
      <c r="C974" s="157"/>
      <c r="E974" s="79"/>
      <c r="F974" s="153"/>
      <c r="G974" s="137"/>
      <c r="H974" s="158"/>
      <c r="L974" s="98"/>
      <c r="M974" s="79"/>
      <c r="N974" s="139"/>
      <c r="P974" s="138"/>
      <c r="Q974" s="147"/>
      <c r="R974" s="147"/>
      <c r="S974" s="147"/>
      <c r="T974" s="138">
        <f t="shared" si="72"/>
        <v>0</v>
      </c>
      <c r="U974" s="138"/>
      <c r="V974" s="147"/>
      <c r="W974" s="148"/>
    </row>
    <row r="975" spans="1:23" x14ac:dyDescent="0.25">
      <c r="A975" s="140">
        <f t="shared" si="73"/>
        <v>53</v>
      </c>
      <c r="B975" s="157"/>
      <c r="C975" s="157"/>
      <c r="E975" s="79"/>
      <c r="F975" s="153"/>
      <c r="G975" s="137"/>
      <c r="H975" s="158"/>
      <c r="L975" s="98"/>
      <c r="M975" s="79"/>
      <c r="N975" s="139"/>
      <c r="P975" s="138"/>
      <c r="Q975" s="147"/>
      <c r="R975" s="147"/>
      <c r="S975" s="147"/>
      <c r="T975" s="138">
        <f t="shared" si="72"/>
        <v>0</v>
      </c>
      <c r="U975" s="138"/>
      <c r="V975" s="147"/>
      <c r="W975" s="148"/>
    </row>
    <row r="976" spans="1:23" x14ac:dyDescent="0.25">
      <c r="A976" s="140">
        <f t="shared" si="73"/>
        <v>53</v>
      </c>
      <c r="B976" s="157"/>
      <c r="C976" s="157"/>
      <c r="E976" s="79"/>
      <c r="F976" s="153"/>
      <c r="G976" s="137"/>
      <c r="H976" s="158"/>
      <c r="L976" s="98"/>
      <c r="M976" s="79"/>
      <c r="N976" s="139"/>
      <c r="P976" s="138"/>
      <c r="Q976" s="147"/>
      <c r="R976" s="147"/>
      <c r="S976" s="147"/>
      <c r="T976" s="138">
        <f t="shared" si="72"/>
        <v>0</v>
      </c>
      <c r="U976" s="138"/>
      <c r="V976" s="147"/>
      <c r="W976" s="148"/>
    </row>
    <row r="977" spans="1:23" x14ac:dyDescent="0.25">
      <c r="A977" s="140">
        <f t="shared" si="73"/>
        <v>53</v>
      </c>
      <c r="B977" s="157"/>
      <c r="C977" s="157"/>
      <c r="E977" s="79"/>
      <c r="F977" s="153"/>
      <c r="G977" s="137"/>
      <c r="H977" s="158"/>
      <c r="L977" s="98"/>
      <c r="M977" s="79"/>
      <c r="N977" s="139"/>
      <c r="P977" s="138"/>
      <c r="Q977" s="147"/>
      <c r="R977" s="147"/>
      <c r="S977" s="147"/>
      <c r="T977" s="138">
        <f t="shared" si="72"/>
        <v>0</v>
      </c>
      <c r="U977" s="138"/>
      <c r="V977" s="147"/>
      <c r="W977" s="148"/>
    </row>
    <row r="978" spans="1:23" x14ac:dyDescent="0.25">
      <c r="A978" s="140">
        <f t="shared" si="73"/>
        <v>53</v>
      </c>
      <c r="B978" s="157"/>
      <c r="C978" s="157"/>
      <c r="E978" s="79"/>
      <c r="F978" s="153"/>
      <c r="G978" s="137"/>
      <c r="H978" s="158"/>
      <c r="L978" s="98"/>
      <c r="M978" s="79"/>
      <c r="N978" s="139"/>
      <c r="P978" s="138"/>
      <c r="Q978" s="147"/>
      <c r="R978" s="147"/>
      <c r="S978" s="147"/>
      <c r="T978" s="138">
        <f t="shared" si="72"/>
        <v>0</v>
      </c>
      <c r="U978" s="138"/>
      <c r="V978" s="147"/>
      <c r="W978" s="148"/>
    </row>
    <row r="979" spans="1:23" x14ac:dyDescent="0.25">
      <c r="A979" s="140">
        <f t="shared" si="73"/>
        <v>53</v>
      </c>
      <c r="B979" s="157"/>
      <c r="C979" s="157"/>
      <c r="E979" s="79"/>
      <c r="F979" s="153"/>
      <c r="G979" s="137"/>
      <c r="H979" s="158"/>
      <c r="L979" s="98"/>
      <c r="M979" s="79"/>
      <c r="N979" s="139"/>
      <c r="P979" s="138"/>
      <c r="Q979" s="147"/>
      <c r="R979" s="147"/>
      <c r="S979" s="147"/>
      <c r="T979" s="138">
        <f t="shared" si="72"/>
        <v>0</v>
      </c>
      <c r="U979" s="138"/>
      <c r="V979" s="147"/>
      <c r="W979" s="148"/>
    </row>
    <row r="980" spans="1:23" x14ac:dyDescent="0.25">
      <c r="A980" s="140">
        <f t="shared" si="73"/>
        <v>53</v>
      </c>
      <c r="B980" s="157"/>
      <c r="C980" s="157"/>
      <c r="E980" s="79"/>
      <c r="F980" s="153"/>
      <c r="G980" s="137"/>
      <c r="H980" s="158"/>
      <c r="L980" s="98"/>
      <c r="M980" s="79"/>
      <c r="N980" s="139"/>
      <c r="P980" s="138"/>
      <c r="Q980" s="147"/>
      <c r="R980" s="147"/>
      <c r="S980" s="147"/>
      <c r="T980" s="138">
        <f t="shared" si="72"/>
        <v>0</v>
      </c>
      <c r="U980" s="138"/>
      <c r="V980" s="147"/>
      <c r="W980" s="148"/>
    </row>
    <row r="981" spans="1:23" x14ac:dyDescent="0.25">
      <c r="A981" s="140">
        <f t="shared" si="73"/>
        <v>53</v>
      </c>
      <c r="B981" s="157"/>
      <c r="C981" s="157"/>
      <c r="E981" s="79"/>
      <c r="F981" s="153"/>
      <c r="G981" s="137"/>
      <c r="H981" s="158"/>
      <c r="L981" s="98"/>
      <c r="M981" s="79"/>
      <c r="N981" s="139"/>
      <c r="P981" s="138"/>
      <c r="Q981" s="147"/>
      <c r="R981" s="147"/>
      <c r="S981" s="147"/>
      <c r="T981" s="138">
        <f t="shared" ref="T981:T1044" si="74">R981-Q981</f>
        <v>0</v>
      </c>
      <c r="U981" s="138"/>
      <c r="V981" s="147"/>
      <c r="W981" s="148"/>
    </row>
    <row r="982" spans="1:23" x14ac:dyDescent="0.25">
      <c r="A982" s="140">
        <f t="shared" si="73"/>
        <v>53</v>
      </c>
      <c r="B982" s="157"/>
      <c r="C982" s="157"/>
      <c r="E982" s="79"/>
      <c r="F982" s="153"/>
      <c r="G982" s="137"/>
      <c r="H982" s="158"/>
      <c r="L982" s="98"/>
      <c r="M982" s="79"/>
      <c r="N982" s="139"/>
      <c r="P982" s="138"/>
      <c r="Q982" s="147"/>
      <c r="R982" s="147"/>
      <c r="S982" s="147"/>
      <c r="T982" s="138">
        <f t="shared" si="74"/>
        <v>0</v>
      </c>
      <c r="U982" s="138"/>
      <c r="V982" s="147"/>
      <c r="W982" s="148"/>
    </row>
    <row r="983" spans="1:23" x14ac:dyDescent="0.25">
      <c r="A983" s="140">
        <f t="shared" si="73"/>
        <v>53</v>
      </c>
      <c r="B983" s="157"/>
      <c r="C983" s="157"/>
      <c r="E983" s="79"/>
      <c r="F983" s="153"/>
      <c r="G983" s="137"/>
      <c r="H983" s="158"/>
      <c r="L983" s="98"/>
      <c r="M983" s="79"/>
      <c r="N983" s="139"/>
      <c r="P983" s="138"/>
      <c r="Q983" s="147"/>
      <c r="R983" s="147"/>
      <c r="S983" s="147"/>
      <c r="T983" s="138">
        <f t="shared" si="74"/>
        <v>0</v>
      </c>
      <c r="U983" s="138"/>
      <c r="V983" s="147"/>
      <c r="W983" s="148"/>
    </row>
    <row r="984" spans="1:23" x14ac:dyDescent="0.25">
      <c r="A984" s="140">
        <f t="shared" si="73"/>
        <v>53</v>
      </c>
      <c r="B984" s="157"/>
      <c r="C984" s="157"/>
      <c r="E984" s="79"/>
      <c r="F984" s="153"/>
      <c r="G984" s="137"/>
      <c r="H984" s="158"/>
      <c r="L984" s="98"/>
      <c r="M984" s="79"/>
      <c r="N984" s="139"/>
      <c r="P984" s="138"/>
      <c r="Q984" s="147"/>
      <c r="R984" s="147"/>
      <c r="S984" s="147"/>
      <c r="T984" s="138">
        <f t="shared" si="74"/>
        <v>0</v>
      </c>
      <c r="U984" s="138"/>
      <c r="V984" s="147"/>
      <c r="W984" s="148"/>
    </row>
    <row r="985" spans="1:23" x14ac:dyDescent="0.25">
      <c r="A985" s="140">
        <f t="shared" si="73"/>
        <v>53</v>
      </c>
      <c r="B985" s="157"/>
      <c r="C985" s="157"/>
      <c r="E985" s="79"/>
      <c r="F985" s="153"/>
      <c r="G985" s="137"/>
      <c r="H985" s="158"/>
      <c r="L985" s="98"/>
      <c r="M985" s="79"/>
      <c r="N985" s="139"/>
      <c r="P985" s="138"/>
      <c r="Q985" s="147"/>
      <c r="R985" s="147"/>
      <c r="S985" s="147"/>
      <c r="T985" s="138">
        <f t="shared" si="74"/>
        <v>0</v>
      </c>
      <c r="U985" s="138"/>
      <c r="V985" s="147"/>
      <c r="W985" s="148"/>
    </row>
    <row r="986" spans="1:23" x14ac:dyDescent="0.25">
      <c r="A986" s="140">
        <f t="shared" si="73"/>
        <v>53</v>
      </c>
      <c r="B986" s="157"/>
      <c r="C986" s="157"/>
      <c r="E986" s="79"/>
      <c r="F986" s="153"/>
      <c r="G986" s="137"/>
      <c r="H986" s="158"/>
      <c r="L986" s="98"/>
      <c r="M986" s="79"/>
      <c r="N986" s="139"/>
      <c r="P986" s="138"/>
      <c r="Q986" s="147"/>
      <c r="R986" s="147"/>
      <c r="S986" s="147"/>
      <c r="T986" s="138">
        <f t="shared" si="74"/>
        <v>0</v>
      </c>
      <c r="U986" s="138"/>
      <c r="V986" s="147"/>
      <c r="W986" s="148"/>
    </row>
    <row r="987" spans="1:23" x14ac:dyDescent="0.25">
      <c r="A987" s="140">
        <f t="shared" si="73"/>
        <v>53</v>
      </c>
      <c r="B987" s="157"/>
      <c r="C987" s="157"/>
      <c r="E987" s="79"/>
      <c r="F987" s="153"/>
      <c r="G987" s="137"/>
      <c r="H987" s="158"/>
      <c r="L987" s="98"/>
      <c r="M987" s="79"/>
      <c r="N987" s="139"/>
      <c r="P987" s="138"/>
      <c r="Q987" s="147"/>
      <c r="R987" s="147"/>
      <c r="S987" s="147"/>
      <c r="T987" s="138">
        <f t="shared" si="74"/>
        <v>0</v>
      </c>
      <c r="U987" s="138"/>
      <c r="V987" s="147"/>
      <c r="W987" s="148"/>
    </row>
    <row r="988" spans="1:23" x14ac:dyDescent="0.25">
      <c r="A988" s="140">
        <f t="shared" si="73"/>
        <v>53</v>
      </c>
      <c r="B988" s="157"/>
      <c r="C988" s="157"/>
      <c r="E988" s="79"/>
      <c r="F988" s="153"/>
      <c r="G988" s="137"/>
      <c r="H988" s="158"/>
      <c r="L988" s="98"/>
      <c r="M988" s="79"/>
      <c r="N988" s="139"/>
      <c r="P988" s="138"/>
      <c r="Q988" s="147"/>
      <c r="R988" s="147"/>
      <c r="S988" s="147"/>
      <c r="T988" s="138">
        <f t="shared" si="74"/>
        <v>0</v>
      </c>
      <c r="U988" s="138"/>
      <c r="V988" s="147"/>
      <c r="W988" s="148"/>
    </row>
    <row r="989" spans="1:23" x14ac:dyDescent="0.25">
      <c r="A989" s="140">
        <f t="shared" si="73"/>
        <v>53</v>
      </c>
      <c r="B989" s="157"/>
      <c r="C989" s="157"/>
      <c r="E989" s="79"/>
      <c r="F989" s="153"/>
      <c r="G989" s="137"/>
      <c r="H989" s="158"/>
      <c r="L989" s="98"/>
      <c r="M989" s="79"/>
      <c r="N989" s="139"/>
      <c r="P989" s="138"/>
      <c r="Q989" s="147"/>
      <c r="R989" s="147"/>
      <c r="S989" s="147"/>
      <c r="T989" s="138">
        <f t="shared" si="74"/>
        <v>0</v>
      </c>
      <c r="U989" s="138"/>
      <c r="V989" s="147"/>
      <c r="W989" s="148"/>
    </row>
    <row r="990" spans="1:23" x14ac:dyDescent="0.25">
      <c r="A990" s="140">
        <f t="shared" si="73"/>
        <v>53</v>
      </c>
      <c r="B990" s="157"/>
      <c r="C990" s="157"/>
      <c r="E990" s="79"/>
      <c r="F990" s="153"/>
      <c r="G990" s="137"/>
      <c r="H990" s="158"/>
      <c r="L990" s="98"/>
      <c r="M990" s="79"/>
      <c r="N990" s="139"/>
      <c r="P990" s="138"/>
      <c r="Q990" s="147"/>
      <c r="R990" s="147"/>
      <c r="S990" s="147"/>
      <c r="T990" s="138">
        <f t="shared" si="74"/>
        <v>0</v>
      </c>
      <c r="U990" s="138"/>
      <c r="V990" s="147"/>
      <c r="W990" s="148"/>
    </row>
    <row r="991" spans="1:23" x14ac:dyDescent="0.25">
      <c r="A991" s="140">
        <f t="shared" si="73"/>
        <v>53</v>
      </c>
      <c r="B991" s="157"/>
      <c r="C991" s="157"/>
      <c r="E991" s="79"/>
      <c r="F991" s="153"/>
      <c r="G991" s="137"/>
      <c r="H991" s="158"/>
      <c r="L991" s="98"/>
      <c r="M991" s="79"/>
      <c r="N991" s="139"/>
      <c r="P991" s="138"/>
      <c r="Q991" s="147"/>
      <c r="R991" s="147"/>
      <c r="S991" s="147"/>
      <c r="T991" s="138">
        <f t="shared" si="74"/>
        <v>0</v>
      </c>
      <c r="U991" s="138"/>
      <c r="V991" s="147"/>
      <c r="W991" s="148"/>
    </row>
    <row r="992" spans="1:23" x14ac:dyDescent="0.25">
      <c r="A992" s="140">
        <f t="shared" si="73"/>
        <v>53</v>
      </c>
      <c r="B992" s="157"/>
      <c r="C992" s="157"/>
      <c r="E992" s="79"/>
      <c r="F992" s="153"/>
      <c r="G992" s="137"/>
      <c r="H992" s="158"/>
      <c r="L992" s="98"/>
      <c r="M992" s="79"/>
      <c r="N992" s="139"/>
      <c r="P992" s="138"/>
      <c r="Q992" s="147"/>
      <c r="R992" s="147"/>
      <c r="S992" s="147"/>
      <c r="T992" s="138">
        <f t="shared" si="74"/>
        <v>0</v>
      </c>
      <c r="U992" s="138"/>
      <c r="V992" s="147"/>
      <c r="W992" s="148"/>
    </row>
    <row r="993" spans="1:23" x14ac:dyDescent="0.25">
      <c r="A993" s="140">
        <f t="shared" si="73"/>
        <v>53</v>
      </c>
      <c r="B993" s="157"/>
      <c r="C993" s="157"/>
      <c r="E993" s="79"/>
      <c r="F993" s="153"/>
      <c r="G993" s="137"/>
      <c r="H993" s="158"/>
      <c r="L993" s="98"/>
      <c r="M993" s="79"/>
      <c r="N993" s="139"/>
      <c r="P993" s="138"/>
      <c r="Q993" s="147"/>
      <c r="R993" s="147"/>
      <c r="S993" s="147"/>
      <c r="T993" s="138">
        <f t="shared" si="74"/>
        <v>0</v>
      </c>
      <c r="U993" s="138"/>
      <c r="V993" s="147"/>
      <c r="W993" s="148"/>
    </row>
    <row r="994" spans="1:23" x14ac:dyDescent="0.25">
      <c r="A994" s="140">
        <f t="shared" si="73"/>
        <v>53</v>
      </c>
      <c r="B994" s="157"/>
      <c r="C994" s="157"/>
      <c r="E994" s="79"/>
      <c r="F994" s="153"/>
      <c r="G994" s="137"/>
      <c r="H994" s="158"/>
      <c r="L994" s="98"/>
      <c r="M994" s="79"/>
      <c r="N994" s="139"/>
      <c r="P994" s="138"/>
      <c r="Q994" s="147"/>
      <c r="R994" s="147"/>
      <c r="S994" s="147"/>
      <c r="T994" s="138">
        <f t="shared" si="74"/>
        <v>0</v>
      </c>
      <c r="U994" s="138"/>
      <c r="V994" s="147"/>
      <c r="W994" s="148"/>
    </row>
    <row r="995" spans="1:23" x14ac:dyDescent="0.25">
      <c r="A995" s="140">
        <f t="shared" si="73"/>
        <v>53</v>
      </c>
      <c r="B995" s="157"/>
      <c r="C995" s="157"/>
      <c r="E995" s="79"/>
      <c r="F995" s="153"/>
      <c r="G995" s="137"/>
      <c r="H995" s="158"/>
      <c r="L995" s="98"/>
      <c r="M995" s="79"/>
      <c r="N995" s="139"/>
      <c r="P995" s="138"/>
      <c r="Q995" s="147"/>
      <c r="R995" s="147"/>
      <c r="S995" s="147"/>
      <c r="T995" s="138">
        <f t="shared" si="74"/>
        <v>0</v>
      </c>
      <c r="U995" s="138"/>
      <c r="V995" s="147"/>
      <c r="W995" s="148"/>
    </row>
    <row r="996" spans="1:23" x14ac:dyDescent="0.25">
      <c r="A996" s="140">
        <f t="shared" si="73"/>
        <v>53</v>
      </c>
      <c r="B996" s="157"/>
      <c r="C996" s="157"/>
      <c r="E996" s="79"/>
      <c r="F996" s="153"/>
      <c r="G996" s="137"/>
      <c r="H996" s="158"/>
      <c r="L996" s="98"/>
      <c r="M996" s="79"/>
      <c r="N996" s="139"/>
      <c r="P996" s="138"/>
      <c r="Q996" s="147"/>
      <c r="R996" s="147"/>
      <c r="S996" s="147"/>
      <c r="T996" s="138">
        <f t="shared" si="74"/>
        <v>0</v>
      </c>
      <c r="U996" s="138"/>
      <c r="V996" s="147"/>
      <c r="W996" s="148"/>
    </row>
    <row r="997" spans="1:23" x14ac:dyDescent="0.25">
      <c r="A997" s="140">
        <f t="shared" si="73"/>
        <v>53</v>
      </c>
      <c r="B997" s="157"/>
      <c r="C997" s="157"/>
      <c r="E997" s="79"/>
      <c r="F997" s="153"/>
      <c r="G997" s="137"/>
      <c r="H997" s="158"/>
      <c r="L997" s="98"/>
      <c r="M997" s="79"/>
      <c r="N997" s="139"/>
      <c r="P997" s="138"/>
      <c r="Q997" s="147"/>
      <c r="R997" s="147"/>
      <c r="S997" s="147"/>
      <c r="T997" s="138">
        <f t="shared" si="74"/>
        <v>0</v>
      </c>
      <c r="U997" s="138"/>
      <c r="V997" s="147"/>
      <c r="W997" s="148"/>
    </row>
    <row r="998" spans="1:23" x14ac:dyDescent="0.25">
      <c r="A998" s="140">
        <f t="shared" si="73"/>
        <v>53</v>
      </c>
      <c r="B998" s="157"/>
      <c r="C998" s="157"/>
      <c r="E998" s="79"/>
      <c r="F998" s="153"/>
      <c r="G998" s="137"/>
      <c r="H998" s="158"/>
      <c r="L998" s="98"/>
      <c r="M998" s="79"/>
      <c r="N998" s="139"/>
      <c r="P998" s="138"/>
      <c r="Q998" s="147"/>
      <c r="R998" s="147"/>
      <c r="S998" s="147"/>
      <c r="T998" s="138">
        <f t="shared" si="74"/>
        <v>0</v>
      </c>
      <c r="U998" s="138"/>
      <c r="V998" s="147"/>
      <c r="W998" s="148"/>
    </row>
    <row r="999" spans="1:23" x14ac:dyDescent="0.25">
      <c r="A999" s="140">
        <f t="shared" si="73"/>
        <v>53</v>
      </c>
      <c r="B999" s="157"/>
      <c r="C999" s="157"/>
      <c r="E999" s="79"/>
      <c r="F999" s="153"/>
      <c r="G999" s="137"/>
      <c r="H999" s="158"/>
      <c r="L999" s="98"/>
      <c r="M999" s="79"/>
      <c r="N999" s="139"/>
      <c r="P999" s="138"/>
      <c r="Q999" s="147"/>
      <c r="R999" s="147"/>
      <c r="S999" s="147"/>
      <c r="T999" s="138">
        <f t="shared" si="74"/>
        <v>0</v>
      </c>
      <c r="U999" s="138"/>
      <c r="V999" s="147"/>
      <c r="W999" s="148"/>
    </row>
    <row r="1000" spans="1:23" x14ac:dyDescent="0.25">
      <c r="A1000" s="140">
        <f t="shared" si="73"/>
        <v>53</v>
      </c>
      <c r="B1000" s="157"/>
      <c r="C1000" s="157"/>
      <c r="E1000" s="79"/>
      <c r="F1000" s="153"/>
      <c r="G1000" s="137"/>
      <c r="H1000" s="158"/>
      <c r="L1000" s="98"/>
      <c r="M1000" s="79"/>
      <c r="N1000" s="139"/>
      <c r="P1000" s="138"/>
      <c r="Q1000" s="147"/>
      <c r="R1000" s="147"/>
      <c r="S1000" s="147"/>
      <c r="T1000" s="138">
        <f t="shared" si="74"/>
        <v>0</v>
      </c>
      <c r="U1000" s="138"/>
      <c r="V1000" s="147"/>
      <c r="W1000" s="148"/>
    </row>
    <row r="1001" spans="1:23" x14ac:dyDescent="0.25">
      <c r="A1001" s="140">
        <f t="shared" si="73"/>
        <v>53</v>
      </c>
      <c r="B1001" s="157"/>
      <c r="C1001" s="157"/>
      <c r="E1001" s="79"/>
      <c r="F1001" s="153"/>
      <c r="G1001" s="137"/>
      <c r="H1001" s="158"/>
      <c r="L1001" s="98"/>
      <c r="M1001" s="79"/>
      <c r="N1001" s="139"/>
      <c r="P1001" s="138"/>
      <c r="Q1001" s="147"/>
      <c r="R1001" s="147"/>
      <c r="S1001" s="147"/>
      <c r="T1001" s="138">
        <f t="shared" si="74"/>
        <v>0</v>
      </c>
      <c r="U1001" s="138"/>
      <c r="V1001" s="147"/>
      <c r="W1001" s="148"/>
    </row>
    <row r="1002" spans="1:23" x14ac:dyDescent="0.25">
      <c r="A1002" s="140">
        <f t="shared" si="73"/>
        <v>53</v>
      </c>
      <c r="B1002" s="157"/>
      <c r="C1002" s="157"/>
      <c r="E1002" s="79"/>
      <c r="F1002" s="153"/>
      <c r="G1002" s="137"/>
      <c r="H1002" s="158"/>
      <c r="L1002" s="98"/>
      <c r="M1002" s="79"/>
      <c r="N1002" s="139"/>
      <c r="P1002" s="138"/>
      <c r="Q1002" s="147"/>
      <c r="R1002" s="147"/>
      <c r="S1002" s="147"/>
      <c r="T1002" s="138">
        <f t="shared" si="74"/>
        <v>0</v>
      </c>
      <c r="U1002" s="138"/>
      <c r="V1002" s="147"/>
      <c r="W1002" s="148"/>
    </row>
    <row r="1003" spans="1:23" x14ac:dyDescent="0.25">
      <c r="A1003" s="140">
        <f t="shared" si="73"/>
        <v>53</v>
      </c>
      <c r="B1003" s="157"/>
      <c r="C1003" s="157"/>
      <c r="E1003" s="79"/>
      <c r="F1003" s="153"/>
      <c r="G1003" s="137"/>
      <c r="H1003" s="158"/>
      <c r="L1003" s="98"/>
      <c r="M1003" s="79"/>
      <c r="N1003" s="139"/>
      <c r="P1003" s="138"/>
      <c r="Q1003" s="147"/>
      <c r="R1003" s="147"/>
      <c r="S1003" s="147"/>
      <c r="T1003" s="138">
        <f t="shared" si="74"/>
        <v>0</v>
      </c>
      <c r="U1003" s="138"/>
      <c r="V1003" s="147"/>
      <c r="W1003" s="148"/>
    </row>
    <row r="1004" spans="1:23" x14ac:dyDescent="0.25">
      <c r="A1004" s="140">
        <f t="shared" si="73"/>
        <v>53</v>
      </c>
      <c r="B1004" s="157"/>
      <c r="C1004" s="157"/>
      <c r="E1004" s="79"/>
      <c r="F1004" s="153"/>
      <c r="G1004" s="137"/>
      <c r="H1004" s="158"/>
      <c r="L1004" s="98"/>
      <c r="M1004" s="79"/>
      <c r="N1004" s="139"/>
      <c r="P1004" s="138"/>
      <c r="Q1004" s="147"/>
      <c r="R1004" s="147"/>
      <c r="S1004" s="147"/>
      <c r="T1004" s="138">
        <f t="shared" si="74"/>
        <v>0</v>
      </c>
      <c r="U1004" s="138"/>
      <c r="V1004" s="147"/>
      <c r="W1004" s="148"/>
    </row>
    <row r="1005" spans="1:23" x14ac:dyDescent="0.25">
      <c r="A1005" s="140">
        <f t="shared" si="73"/>
        <v>53</v>
      </c>
      <c r="B1005" s="157"/>
      <c r="C1005" s="157"/>
      <c r="E1005" s="79"/>
      <c r="F1005" s="153"/>
      <c r="G1005" s="137"/>
      <c r="H1005" s="158"/>
      <c r="L1005" s="98"/>
      <c r="M1005" s="79"/>
      <c r="N1005" s="139"/>
      <c r="P1005" s="138"/>
      <c r="Q1005" s="147"/>
      <c r="R1005" s="147"/>
      <c r="S1005" s="147"/>
      <c r="T1005" s="138">
        <f t="shared" si="74"/>
        <v>0</v>
      </c>
      <c r="U1005" s="138"/>
      <c r="V1005" s="147"/>
      <c r="W1005" s="148"/>
    </row>
    <row r="1006" spans="1:23" x14ac:dyDescent="0.25">
      <c r="A1006" s="140">
        <f t="shared" si="73"/>
        <v>53</v>
      </c>
      <c r="B1006" s="157"/>
      <c r="C1006" s="157"/>
      <c r="E1006" s="79"/>
      <c r="F1006" s="153"/>
      <c r="G1006" s="137"/>
      <c r="H1006" s="158"/>
      <c r="L1006" s="98"/>
      <c r="M1006" s="79"/>
      <c r="N1006" s="139"/>
      <c r="P1006" s="138"/>
      <c r="Q1006" s="147"/>
      <c r="R1006" s="147"/>
      <c r="S1006" s="147"/>
      <c r="T1006" s="138">
        <f t="shared" si="74"/>
        <v>0</v>
      </c>
      <c r="U1006" s="138"/>
      <c r="V1006" s="147"/>
      <c r="W1006" s="148"/>
    </row>
    <row r="1007" spans="1:23" x14ac:dyDescent="0.25">
      <c r="A1007" s="140">
        <f t="shared" si="73"/>
        <v>53</v>
      </c>
      <c r="B1007" s="157"/>
      <c r="C1007" s="157"/>
      <c r="E1007" s="79"/>
      <c r="F1007" s="153"/>
      <c r="G1007" s="137"/>
      <c r="H1007" s="158"/>
      <c r="L1007" s="98"/>
      <c r="M1007" s="79"/>
      <c r="N1007" s="139"/>
      <c r="P1007" s="138"/>
      <c r="Q1007" s="147"/>
      <c r="R1007" s="147"/>
      <c r="S1007" s="147"/>
      <c r="T1007" s="138">
        <f t="shared" si="74"/>
        <v>0</v>
      </c>
      <c r="U1007" s="138"/>
      <c r="V1007" s="147"/>
      <c r="W1007" s="148"/>
    </row>
    <row r="1008" spans="1:23" x14ac:dyDescent="0.25">
      <c r="A1008" s="140">
        <f t="shared" si="73"/>
        <v>53</v>
      </c>
      <c r="B1008" s="157"/>
      <c r="C1008" s="157"/>
      <c r="E1008" s="79"/>
      <c r="F1008" s="153"/>
      <c r="G1008" s="137"/>
      <c r="H1008" s="158"/>
      <c r="L1008" s="98"/>
      <c r="M1008" s="79"/>
      <c r="N1008" s="139"/>
      <c r="P1008" s="138"/>
      <c r="Q1008" s="147"/>
      <c r="R1008" s="147"/>
      <c r="S1008" s="147"/>
      <c r="T1008" s="138">
        <f t="shared" si="74"/>
        <v>0</v>
      </c>
      <c r="U1008" s="138"/>
      <c r="V1008" s="147"/>
      <c r="W1008" s="148"/>
    </row>
    <row r="1009" spans="1:23" x14ac:dyDescent="0.25">
      <c r="A1009" s="140">
        <f t="shared" si="73"/>
        <v>53</v>
      </c>
      <c r="B1009" s="157"/>
      <c r="C1009" s="157"/>
      <c r="E1009" s="79"/>
      <c r="F1009" s="153"/>
      <c r="G1009" s="137"/>
      <c r="H1009" s="158"/>
      <c r="L1009" s="98"/>
      <c r="M1009" s="79"/>
      <c r="N1009" s="139"/>
      <c r="P1009" s="138"/>
      <c r="Q1009" s="147"/>
      <c r="R1009" s="147"/>
      <c r="S1009" s="147"/>
      <c r="T1009" s="138">
        <f t="shared" si="74"/>
        <v>0</v>
      </c>
      <c r="U1009" s="138"/>
      <c r="V1009" s="147"/>
      <c r="W1009" s="148"/>
    </row>
    <row r="1010" spans="1:23" x14ac:dyDescent="0.25">
      <c r="A1010" s="140">
        <f t="shared" si="73"/>
        <v>53</v>
      </c>
      <c r="B1010" s="157"/>
      <c r="C1010" s="157"/>
      <c r="E1010" s="79"/>
      <c r="F1010" s="153"/>
      <c r="G1010" s="137"/>
      <c r="H1010" s="158"/>
      <c r="L1010" s="98"/>
      <c r="M1010" s="79"/>
      <c r="N1010" s="139"/>
      <c r="P1010" s="138"/>
      <c r="Q1010" s="147"/>
      <c r="R1010" s="147"/>
      <c r="S1010" s="147"/>
      <c r="T1010" s="138">
        <f t="shared" si="74"/>
        <v>0</v>
      </c>
      <c r="U1010" s="138"/>
      <c r="V1010" s="147"/>
      <c r="W1010" s="148"/>
    </row>
    <row r="1011" spans="1:23" x14ac:dyDescent="0.25">
      <c r="A1011" s="140">
        <f t="shared" si="73"/>
        <v>53</v>
      </c>
      <c r="B1011" s="157"/>
      <c r="C1011" s="157"/>
      <c r="E1011" s="79"/>
      <c r="F1011" s="153"/>
      <c r="G1011" s="137"/>
      <c r="H1011" s="158"/>
      <c r="L1011" s="98"/>
      <c r="M1011" s="79"/>
      <c r="N1011" s="139"/>
      <c r="P1011" s="138"/>
      <c r="Q1011" s="147"/>
      <c r="R1011" s="147"/>
      <c r="S1011" s="147"/>
      <c r="T1011" s="138">
        <f t="shared" si="74"/>
        <v>0</v>
      </c>
      <c r="U1011" s="138"/>
      <c r="V1011" s="147"/>
      <c r="W1011" s="148"/>
    </row>
    <row r="1012" spans="1:23" x14ac:dyDescent="0.25">
      <c r="A1012" s="140">
        <f t="shared" si="73"/>
        <v>53</v>
      </c>
      <c r="B1012" s="157"/>
      <c r="C1012" s="157"/>
      <c r="E1012" s="79"/>
      <c r="F1012" s="153"/>
      <c r="G1012" s="137"/>
      <c r="H1012" s="158"/>
      <c r="L1012" s="98"/>
      <c r="M1012" s="79"/>
      <c r="N1012" s="139"/>
      <c r="P1012" s="138"/>
      <c r="Q1012" s="147"/>
      <c r="R1012" s="147"/>
      <c r="S1012" s="147"/>
      <c r="T1012" s="138">
        <f t="shared" si="74"/>
        <v>0</v>
      </c>
      <c r="U1012" s="138"/>
      <c r="V1012" s="147"/>
      <c r="W1012" s="148"/>
    </row>
    <row r="1013" spans="1:23" x14ac:dyDescent="0.25">
      <c r="A1013" s="140">
        <f t="shared" si="73"/>
        <v>53</v>
      </c>
      <c r="B1013" s="157"/>
      <c r="C1013" s="157"/>
      <c r="E1013" s="79"/>
      <c r="F1013" s="153"/>
      <c r="G1013" s="137"/>
      <c r="H1013" s="158"/>
      <c r="L1013" s="98"/>
      <c r="M1013" s="79"/>
      <c r="N1013" s="139"/>
      <c r="P1013" s="138"/>
      <c r="Q1013" s="147"/>
      <c r="R1013" s="147"/>
      <c r="S1013" s="147"/>
      <c r="T1013" s="138">
        <f t="shared" si="74"/>
        <v>0</v>
      </c>
      <c r="U1013" s="138"/>
      <c r="V1013" s="147"/>
      <c r="W1013" s="148"/>
    </row>
    <row r="1014" spans="1:23" x14ac:dyDescent="0.25">
      <c r="A1014" s="140">
        <f t="shared" si="73"/>
        <v>53</v>
      </c>
      <c r="B1014" s="157"/>
      <c r="C1014" s="157"/>
      <c r="E1014" s="79"/>
      <c r="F1014" s="153"/>
      <c r="G1014" s="137"/>
      <c r="H1014" s="158"/>
      <c r="L1014" s="98"/>
      <c r="M1014" s="79"/>
      <c r="N1014" s="139"/>
      <c r="P1014" s="138"/>
      <c r="Q1014" s="147"/>
      <c r="R1014" s="147"/>
      <c r="S1014" s="147"/>
      <c r="T1014" s="138">
        <f t="shared" si="74"/>
        <v>0</v>
      </c>
      <c r="U1014" s="138"/>
      <c r="V1014" s="147"/>
      <c r="W1014" s="148"/>
    </row>
    <row r="1015" spans="1:23" x14ac:dyDescent="0.25">
      <c r="A1015" s="140">
        <f t="shared" si="73"/>
        <v>53</v>
      </c>
      <c r="B1015" s="157"/>
      <c r="C1015" s="157"/>
      <c r="E1015" s="79"/>
      <c r="F1015" s="153"/>
      <c r="G1015" s="137"/>
      <c r="H1015" s="158"/>
      <c r="L1015" s="98"/>
      <c r="M1015" s="79"/>
      <c r="N1015" s="139"/>
      <c r="P1015" s="138"/>
      <c r="Q1015" s="147"/>
      <c r="R1015" s="147"/>
      <c r="S1015" s="147"/>
      <c r="T1015" s="138">
        <f t="shared" si="74"/>
        <v>0</v>
      </c>
      <c r="U1015" s="138"/>
      <c r="V1015" s="147"/>
      <c r="W1015" s="148"/>
    </row>
    <row r="1016" spans="1:23" x14ac:dyDescent="0.25">
      <c r="A1016" s="140">
        <f t="shared" si="73"/>
        <v>53</v>
      </c>
      <c r="B1016" s="157"/>
      <c r="C1016" s="157"/>
      <c r="E1016" s="79"/>
      <c r="F1016" s="153"/>
      <c r="G1016" s="137"/>
      <c r="H1016" s="158"/>
      <c r="L1016" s="98"/>
      <c r="M1016" s="79"/>
      <c r="N1016" s="139"/>
      <c r="P1016" s="138"/>
      <c r="Q1016" s="147"/>
      <c r="R1016" s="147"/>
      <c r="S1016" s="147"/>
      <c r="T1016" s="138">
        <f t="shared" si="74"/>
        <v>0</v>
      </c>
      <c r="U1016" s="138"/>
      <c r="V1016" s="147"/>
      <c r="W1016" s="148"/>
    </row>
    <row r="1017" spans="1:23" x14ac:dyDescent="0.25">
      <c r="A1017" s="140">
        <f t="shared" si="73"/>
        <v>53</v>
      </c>
      <c r="B1017" s="157"/>
      <c r="C1017" s="157"/>
      <c r="E1017" s="79"/>
      <c r="F1017" s="153"/>
      <c r="G1017" s="137"/>
      <c r="H1017" s="158"/>
      <c r="L1017" s="98"/>
      <c r="M1017" s="79"/>
      <c r="N1017" s="139"/>
      <c r="P1017" s="138"/>
      <c r="Q1017" s="147"/>
      <c r="R1017" s="147"/>
      <c r="S1017" s="147"/>
      <c r="T1017" s="138">
        <f t="shared" si="74"/>
        <v>0</v>
      </c>
      <c r="U1017" s="138"/>
      <c r="V1017" s="147"/>
      <c r="W1017" s="148"/>
    </row>
    <row r="1018" spans="1:23" x14ac:dyDescent="0.25">
      <c r="A1018" s="140">
        <f t="shared" si="73"/>
        <v>53</v>
      </c>
      <c r="B1018" s="157"/>
      <c r="C1018" s="157"/>
      <c r="E1018" s="79"/>
      <c r="F1018" s="153"/>
      <c r="G1018" s="137"/>
      <c r="H1018" s="158"/>
      <c r="L1018" s="98"/>
      <c r="M1018" s="79"/>
      <c r="N1018" s="139"/>
      <c r="P1018" s="138"/>
      <c r="Q1018" s="147"/>
      <c r="R1018" s="147"/>
      <c r="S1018" s="147"/>
      <c r="T1018" s="138">
        <f t="shared" si="74"/>
        <v>0</v>
      </c>
      <c r="U1018" s="138"/>
      <c r="V1018" s="147"/>
      <c r="W1018" s="148"/>
    </row>
    <row r="1019" spans="1:23" x14ac:dyDescent="0.25">
      <c r="A1019" s="140">
        <f t="shared" si="73"/>
        <v>53</v>
      </c>
      <c r="B1019" s="157"/>
      <c r="C1019" s="157"/>
      <c r="E1019" s="79"/>
      <c r="F1019" s="153"/>
      <c r="G1019" s="137"/>
      <c r="H1019" s="158"/>
      <c r="L1019" s="98"/>
      <c r="M1019" s="79"/>
      <c r="N1019" s="139"/>
      <c r="P1019" s="138"/>
      <c r="Q1019" s="147"/>
      <c r="R1019" s="147"/>
      <c r="S1019" s="147"/>
      <c r="T1019" s="138">
        <f t="shared" si="74"/>
        <v>0</v>
      </c>
      <c r="U1019" s="138"/>
      <c r="V1019" s="147"/>
      <c r="W1019" s="148"/>
    </row>
    <row r="1020" spans="1:23" x14ac:dyDescent="0.25">
      <c r="A1020" s="140">
        <f t="shared" si="73"/>
        <v>53</v>
      </c>
      <c r="B1020" s="157"/>
      <c r="C1020" s="157"/>
      <c r="E1020" s="79"/>
      <c r="F1020" s="153"/>
      <c r="G1020" s="137"/>
      <c r="H1020" s="158"/>
      <c r="L1020" s="98"/>
      <c r="M1020" s="79"/>
      <c r="N1020" s="139"/>
      <c r="P1020" s="138"/>
      <c r="Q1020" s="147"/>
      <c r="R1020" s="147"/>
      <c r="S1020" s="147"/>
      <c r="T1020" s="138">
        <f t="shared" si="74"/>
        <v>0</v>
      </c>
      <c r="U1020" s="138"/>
      <c r="V1020" s="147"/>
      <c r="W1020" s="148"/>
    </row>
    <row r="1021" spans="1:23" x14ac:dyDescent="0.25">
      <c r="A1021" s="140">
        <f t="shared" si="73"/>
        <v>53</v>
      </c>
      <c r="B1021" s="157"/>
      <c r="C1021" s="157"/>
      <c r="E1021" s="79"/>
      <c r="F1021" s="153"/>
      <c r="G1021" s="137"/>
      <c r="H1021" s="158"/>
      <c r="L1021" s="98"/>
      <c r="M1021" s="79"/>
      <c r="N1021" s="139"/>
      <c r="P1021" s="138"/>
      <c r="Q1021" s="147"/>
      <c r="R1021" s="147"/>
      <c r="S1021" s="147"/>
      <c r="T1021" s="138">
        <f t="shared" si="74"/>
        <v>0</v>
      </c>
      <c r="U1021" s="138"/>
      <c r="V1021" s="147"/>
      <c r="W1021" s="148"/>
    </row>
    <row r="1022" spans="1:23" x14ac:dyDescent="0.25">
      <c r="A1022" s="140">
        <f t="shared" si="73"/>
        <v>53</v>
      </c>
      <c r="B1022" s="157"/>
      <c r="C1022" s="157"/>
      <c r="E1022" s="79"/>
      <c r="F1022" s="153"/>
      <c r="G1022" s="137"/>
      <c r="H1022" s="158"/>
      <c r="L1022" s="98"/>
      <c r="M1022" s="79"/>
      <c r="N1022" s="139"/>
      <c r="P1022" s="138"/>
      <c r="Q1022" s="147"/>
      <c r="R1022" s="147"/>
      <c r="S1022" s="147"/>
      <c r="T1022" s="138">
        <f t="shared" si="74"/>
        <v>0</v>
      </c>
      <c r="U1022" s="138"/>
      <c r="V1022" s="147"/>
      <c r="W1022" s="148"/>
    </row>
    <row r="1023" spans="1:23" x14ac:dyDescent="0.25">
      <c r="A1023" s="140">
        <f t="shared" si="73"/>
        <v>53</v>
      </c>
      <c r="B1023" s="157"/>
      <c r="C1023" s="157"/>
      <c r="E1023" s="79"/>
      <c r="F1023" s="153"/>
      <c r="G1023" s="137"/>
      <c r="H1023" s="158"/>
      <c r="L1023" s="98"/>
      <c r="M1023" s="79"/>
      <c r="N1023" s="139"/>
      <c r="P1023" s="138"/>
      <c r="Q1023" s="147"/>
      <c r="R1023" s="147"/>
      <c r="S1023" s="147"/>
      <c r="T1023" s="138">
        <f t="shared" si="74"/>
        <v>0</v>
      </c>
      <c r="U1023" s="138"/>
      <c r="V1023" s="147"/>
      <c r="W1023" s="148"/>
    </row>
    <row r="1024" spans="1:23" x14ac:dyDescent="0.25">
      <c r="A1024" s="140">
        <f t="shared" si="73"/>
        <v>53</v>
      </c>
      <c r="B1024" s="157"/>
      <c r="C1024" s="157"/>
      <c r="E1024" s="79"/>
      <c r="F1024" s="153"/>
      <c r="G1024" s="137"/>
      <c r="H1024" s="158"/>
      <c r="L1024" s="98"/>
      <c r="M1024" s="79"/>
      <c r="N1024" s="139"/>
      <c r="P1024" s="138"/>
      <c r="Q1024" s="147"/>
      <c r="R1024" s="147"/>
      <c r="S1024" s="147"/>
      <c r="T1024" s="138">
        <f t="shared" si="74"/>
        <v>0</v>
      </c>
      <c r="U1024" s="138"/>
      <c r="V1024" s="147"/>
      <c r="W1024" s="148"/>
    </row>
    <row r="1025" spans="1:23" x14ac:dyDescent="0.25">
      <c r="A1025" s="140">
        <f t="shared" si="73"/>
        <v>53</v>
      </c>
      <c r="B1025" s="157"/>
      <c r="C1025" s="157"/>
      <c r="E1025" s="79"/>
      <c r="F1025" s="153"/>
      <c r="G1025" s="137"/>
      <c r="H1025" s="158"/>
      <c r="L1025" s="98"/>
      <c r="M1025" s="79"/>
      <c r="N1025" s="139"/>
      <c r="P1025" s="138"/>
      <c r="Q1025" s="147"/>
      <c r="R1025" s="147"/>
      <c r="S1025" s="147"/>
      <c r="T1025" s="138">
        <f t="shared" si="74"/>
        <v>0</v>
      </c>
      <c r="U1025" s="138"/>
      <c r="V1025" s="147"/>
      <c r="W1025" s="148"/>
    </row>
    <row r="1026" spans="1:23" x14ac:dyDescent="0.25">
      <c r="A1026" s="140">
        <f t="shared" si="73"/>
        <v>53</v>
      </c>
      <c r="B1026" s="157"/>
      <c r="C1026" s="157"/>
      <c r="E1026" s="79"/>
      <c r="F1026" s="153"/>
      <c r="G1026" s="137"/>
      <c r="H1026" s="158"/>
      <c r="L1026" s="98"/>
      <c r="M1026" s="79"/>
      <c r="N1026" s="139"/>
      <c r="P1026" s="138"/>
      <c r="Q1026" s="147"/>
      <c r="R1026" s="147"/>
      <c r="S1026" s="147"/>
      <c r="T1026" s="138">
        <f t="shared" si="74"/>
        <v>0</v>
      </c>
      <c r="U1026" s="138"/>
      <c r="V1026" s="147"/>
      <c r="W1026" s="148"/>
    </row>
    <row r="1027" spans="1:23" x14ac:dyDescent="0.25">
      <c r="A1027" s="140">
        <f t="shared" si="73"/>
        <v>53</v>
      </c>
      <c r="B1027" s="157"/>
      <c r="C1027" s="157"/>
      <c r="E1027" s="79"/>
      <c r="F1027" s="153"/>
      <c r="G1027" s="137"/>
      <c r="H1027" s="158"/>
      <c r="L1027" s="98"/>
      <c r="M1027" s="79"/>
      <c r="N1027" s="139"/>
      <c r="P1027" s="138"/>
      <c r="Q1027" s="147"/>
      <c r="R1027" s="147"/>
      <c r="S1027" s="147"/>
      <c r="T1027" s="138">
        <f t="shared" si="74"/>
        <v>0</v>
      </c>
      <c r="U1027" s="138"/>
      <c r="V1027" s="147"/>
      <c r="W1027" s="148"/>
    </row>
    <row r="1028" spans="1:23" x14ac:dyDescent="0.25">
      <c r="A1028" s="140">
        <f t="shared" si="73"/>
        <v>53</v>
      </c>
      <c r="B1028" s="157"/>
      <c r="C1028" s="157"/>
      <c r="E1028" s="79"/>
      <c r="F1028" s="153"/>
      <c r="G1028" s="137"/>
      <c r="H1028" s="158"/>
      <c r="L1028" s="98"/>
      <c r="M1028" s="79"/>
      <c r="N1028" s="139"/>
      <c r="P1028" s="138"/>
      <c r="Q1028" s="147"/>
      <c r="R1028" s="147"/>
      <c r="S1028" s="147"/>
      <c r="T1028" s="138">
        <f t="shared" si="74"/>
        <v>0</v>
      </c>
      <c r="U1028" s="138"/>
      <c r="V1028" s="147"/>
      <c r="W1028" s="148"/>
    </row>
    <row r="1029" spans="1:23" x14ac:dyDescent="0.25">
      <c r="A1029" s="140">
        <f t="shared" si="73"/>
        <v>53</v>
      </c>
      <c r="B1029" s="157"/>
      <c r="C1029" s="157"/>
      <c r="E1029" s="79"/>
      <c r="F1029" s="153"/>
      <c r="G1029" s="137"/>
      <c r="H1029" s="158"/>
      <c r="L1029" s="98"/>
      <c r="M1029" s="79"/>
      <c r="N1029" s="139"/>
      <c r="P1029" s="138"/>
      <c r="Q1029" s="147"/>
      <c r="R1029" s="147"/>
      <c r="S1029" s="147"/>
      <c r="T1029" s="138">
        <f t="shared" si="74"/>
        <v>0</v>
      </c>
      <c r="U1029" s="138"/>
      <c r="V1029" s="147"/>
      <c r="W1029" s="148"/>
    </row>
    <row r="1030" spans="1:23" x14ac:dyDescent="0.25">
      <c r="A1030" s="140">
        <f t="shared" si="73"/>
        <v>53</v>
      </c>
      <c r="B1030" s="157"/>
      <c r="C1030" s="157"/>
      <c r="E1030" s="79"/>
      <c r="F1030" s="153"/>
      <c r="G1030" s="137"/>
      <c r="H1030" s="158"/>
      <c r="L1030" s="98"/>
      <c r="M1030" s="79"/>
      <c r="N1030" s="139"/>
      <c r="P1030" s="138"/>
      <c r="Q1030" s="147"/>
      <c r="R1030" s="147"/>
      <c r="S1030" s="147"/>
      <c r="T1030" s="138">
        <f t="shared" si="74"/>
        <v>0</v>
      </c>
      <c r="U1030" s="138"/>
      <c r="V1030" s="147"/>
      <c r="W1030" s="148"/>
    </row>
    <row r="1031" spans="1:23" x14ac:dyDescent="0.25">
      <c r="A1031" s="140">
        <f t="shared" ref="A1031:A1094" si="75">WEEKNUM(B1031,21)</f>
        <v>53</v>
      </c>
      <c r="B1031" s="157"/>
      <c r="C1031" s="157"/>
      <c r="E1031" s="79"/>
      <c r="F1031" s="153"/>
      <c r="G1031" s="137"/>
      <c r="H1031" s="158"/>
      <c r="L1031" s="98"/>
      <c r="M1031" s="79"/>
      <c r="N1031" s="139"/>
      <c r="P1031" s="138"/>
      <c r="Q1031" s="147"/>
      <c r="R1031" s="147"/>
      <c r="S1031" s="147"/>
      <c r="T1031" s="138">
        <f t="shared" si="74"/>
        <v>0</v>
      </c>
      <c r="U1031" s="138"/>
      <c r="V1031" s="147"/>
      <c r="W1031" s="148"/>
    </row>
    <row r="1032" spans="1:23" x14ac:dyDescent="0.25">
      <c r="A1032" s="140">
        <f t="shared" si="75"/>
        <v>53</v>
      </c>
      <c r="B1032" s="157"/>
      <c r="C1032" s="157"/>
      <c r="E1032" s="79"/>
      <c r="F1032" s="153"/>
      <c r="G1032" s="137"/>
      <c r="H1032" s="158"/>
      <c r="L1032" s="98"/>
      <c r="M1032" s="79"/>
      <c r="N1032" s="139"/>
      <c r="P1032" s="138"/>
      <c r="Q1032" s="147"/>
      <c r="R1032" s="147"/>
      <c r="S1032" s="147"/>
      <c r="T1032" s="138">
        <f t="shared" si="74"/>
        <v>0</v>
      </c>
      <c r="U1032" s="138"/>
      <c r="V1032" s="147"/>
      <c r="W1032" s="148"/>
    </row>
    <row r="1033" spans="1:23" x14ac:dyDescent="0.25">
      <c r="A1033" s="140">
        <f t="shared" si="75"/>
        <v>53</v>
      </c>
      <c r="B1033" s="157"/>
      <c r="C1033" s="157"/>
      <c r="E1033" s="79"/>
      <c r="F1033" s="153"/>
      <c r="G1033" s="137"/>
      <c r="H1033" s="158"/>
      <c r="L1033" s="98"/>
      <c r="M1033" s="79"/>
      <c r="N1033" s="139"/>
      <c r="P1033" s="138"/>
      <c r="Q1033" s="147"/>
      <c r="R1033" s="147"/>
      <c r="S1033" s="147"/>
      <c r="T1033" s="138">
        <f t="shared" si="74"/>
        <v>0</v>
      </c>
      <c r="U1033" s="138"/>
      <c r="V1033" s="147"/>
      <c r="W1033" s="148"/>
    </row>
    <row r="1034" spans="1:23" x14ac:dyDescent="0.25">
      <c r="A1034" s="140">
        <f t="shared" si="75"/>
        <v>53</v>
      </c>
      <c r="B1034" s="157"/>
      <c r="C1034" s="157"/>
      <c r="E1034" s="79"/>
      <c r="F1034" s="153"/>
      <c r="G1034" s="137"/>
      <c r="H1034" s="158"/>
      <c r="L1034" s="98"/>
      <c r="M1034" s="79"/>
      <c r="N1034" s="139"/>
      <c r="P1034" s="138"/>
      <c r="Q1034" s="147"/>
      <c r="R1034" s="147"/>
      <c r="S1034" s="147"/>
      <c r="T1034" s="138">
        <f t="shared" si="74"/>
        <v>0</v>
      </c>
      <c r="U1034" s="138"/>
      <c r="V1034" s="147"/>
      <c r="W1034" s="148"/>
    </row>
    <row r="1035" spans="1:23" x14ac:dyDescent="0.25">
      <c r="A1035" s="140">
        <f t="shared" si="75"/>
        <v>53</v>
      </c>
      <c r="B1035" s="157"/>
      <c r="C1035" s="157"/>
      <c r="E1035" s="79"/>
      <c r="F1035" s="153"/>
      <c r="G1035" s="137"/>
      <c r="H1035" s="158"/>
      <c r="L1035" s="98"/>
      <c r="M1035" s="79"/>
      <c r="N1035" s="139"/>
      <c r="P1035" s="138"/>
      <c r="Q1035" s="147"/>
      <c r="R1035" s="147"/>
      <c r="S1035" s="147"/>
      <c r="T1035" s="138">
        <f t="shared" si="74"/>
        <v>0</v>
      </c>
      <c r="U1035" s="138"/>
      <c r="V1035" s="147"/>
      <c r="W1035" s="148"/>
    </row>
    <row r="1036" spans="1:23" x14ac:dyDescent="0.25">
      <c r="A1036" s="140">
        <f t="shared" si="75"/>
        <v>53</v>
      </c>
      <c r="B1036" s="157"/>
      <c r="C1036" s="157"/>
      <c r="E1036" s="79"/>
      <c r="F1036" s="153"/>
      <c r="G1036" s="137"/>
      <c r="H1036" s="158"/>
      <c r="L1036" s="98"/>
      <c r="M1036" s="79"/>
      <c r="N1036" s="139"/>
      <c r="P1036" s="138"/>
      <c r="Q1036" s="147"/>
      <c r="R1036" s="147"/>
      <c r="S1036" s="147"/>
      <c r="T1036" s="138">
        <f t="shared" si="74"/>
        <v>0</v>
      </c>
      <c r="U1036" s="138"/>
      <c r="V1036" s="147"/>
      <c r="W1036" s="148"/>
    </row>
    <row r="1037" spans="1:23" x14ac:dyDescent="0.25">
      <c r="A1037" s="140">
        <f t="shared" si="75"/>
        <v>53</v>
      </c>
      <c r="B1037" s="157"/>
      <c r="C1037" s="157"/>
      <c r="E1037" s="79"/>
      <c r="F1037" s="153"/>
      <c r="G1037" s="137"/>
      <c r="H1037" s="158"/>
      <c r="L1037" s="98"/>
      <c r="M1037" s="79"/>
      <c r="N1037" s="139"/>
      <c r="P1037" s="138"/>
      <c r="Q1037" s="147"/>
      <c r="R1037" s="147"/>
      <c r="S1037" s="147"/>
      <c r="T1037" s="138">
        <f t="shared" si="74"/>
        <v>0</v>
      </c>
      <c r="U1037" s="138"/>
      <c r="V1037" s="147"/>
      <c r="W1037" s="148"/>
    </row>
    <row r="1038" spans="1:23" x14ac:dyDescent="0.25">
      <c r="A1038" s="140">
        <f t="shared" si="75"/>
        <v>53</v>
      </c>
      <c r="B1038" s="157"/>
      <c r="C1038" s="157"/>
      <c r="E1038" s="79"/>
      <c r="F1038" s="153"/>
      <c r="G1038" s="137"/>
      <c r="H1038" s="158"/>
      <c r="L1038" s="98"/>
      <c r="M1038" s="79"/>
      <c r="N1038" s="139"/>
      <c r="P1038" s="138"/>
      <c r="Q1038" s="147"/>
      <c r="R1038" s="147"/>
      <c r="S1038" s="147"/>
      <c r="T1038" s="138">
        <f t="shared" si="74"/>
        <v>0</v>
      </c>
      <c r="U1038" s="138"/>
      <c r="V1038" s="147"/>
      <c r="W1038" s="148"/>
    </row>
    <row r="1039" spans="1:23" x14ac:dyDescent="0.25">
      <c r="A1039" s="140">
        <f t="shared" si="75"/>
        <v>53</v>
      </c>
      <c r="B1039" s="157"/>
      <c r="C1039" s="157"/>
      <c r="E1039" s="79"/>
      <c r="F1039" s="153"/>
      <c r="G1039" s="137"/>
      <c r="H1039" s="158"/>
      <c r="L1039" s="98"/>
      <c r="M1039" s="79"/>
      <c r="N1039" s="139"/>
      <c r="P1039" s="138"/>
      <c r="Q1039" s="147"/>
      <c r="R1039" s="147"/>
      <c r="S1039" s="147"/>
      <c r="T1039" s="138">
        <f t="shared" si="74"/>
        <v>0</v>
      </c>
      <c r="U1039" s="138"/>
      <c r="V1039" s="147"/>
      <c r="W1039" s="148"/>
    </row>
    <row r="1040" spans="1:23" x14ac:dyDescent="0.25">
      <c r="A1040" s="140">
        <f t="shared" si="75"/>
        <v>53</v>
      </c>
      <c r="B1040" s="157"/>
      <c r="C1040" s="157"/>
      <c r="E1040" s="79"/>
      <c r="F1040" s="153"/>
      <c r="G1040" s="137"/>
      <c r="H1040" s="158"/>
      <c r="L1040" s="98"/>
      <c r="M1040" s="79"/>
      <c r="N1040" s="139"/>
      <c r="P1040" s="138"/>
      <c r="Q1040" s="147"/>
      <c r="R1040" s="147"/>
      <c r="S1040" s="147"/>
      <c r="T1040" s="138">
        <f t="shared" si="74"/>
        <v>0</v>
      </c>
      <c r="U1040" s="138"/>
      <c r="V1040" s="147"/>
      <c r="W1040" s="148"/>
    </row>
    <row r="1041" spans="1:23" x14ac:dyDescent="0.25">
      <c r="A1041" s="140">
        <f t="shared" si="75"/>
        <v>53</v>
      </c>
      <c r="B1041" s="157"/>
      <c r="C1041" s="157"/>
      <c r="E1041" s="79"/>
      <c r="F1041" s="153"/>
      <c r="G1041" s="137"/>
      <c r="H1041" s="158"/>
      <c r="L1041" s="98"/>
      <c r="M1041" s="79"/>
      <c r="N1041" s="139"/>
      <c r="P1041" s="138"/>
      <c r="Q1041" s="147"/>
      <c r="R1041" s="147"/>
      <c r="S1041" s="147"/>
      <c r="T1041" s="138">
        <f t="shared" si="74"/>
        <v>0</v>
      </c>
      <c r="U1041" s="138"/>
      <c r="V1041" s="147"/>
      <c r="W1041" s="148"/>
    </row>
    <row r="1042" spans="1:23" x14ac:dyDescent="0.25">
      <c r="A1042" s="140">
        <f t="shared" si="75"/>
        <v>53</v>
      </c>
      <c r="B1042" s="157"/>
      <c r="C1042" s="157"/>
      <c r="E1042" s="79"/>
      <c r="F1042" s="153"/>
      <c r="G1042" s="137"/>
      <c r="H1042" s="158"/>
      <c r="L1042" s="98"/>
      <c r="M1042" s="79"/>
      <c r="N1042" s="139"/>
      <c r="P1042" s="138"/>
      <c r="Q1042" s="147"/>
      <c r="R1042" s="147"/>
      <c r="S1042" s="147"/>
      <c r="T1042" s="138">
        <f t="shared" si="74"/>
        <v>0</v>
      </c>
      <c r="U1042" s="138"/>
      <c r="V1042" s="147"/>
      <c r="W1042" s="148"/>
    </row>
    <row r="1043" spans="1:23" x14ac:dyDescent="0.25">
      <c r="A1043" s="140">
        <f t="shared" si="75"/>
        <v>53</v>
      </c>
      <c r="B1043" s="157"/>
      <c r="C1043" s="157"/>
      <c r="E1043" s="79"/>
      <c r="F1043" s="153"/>
      <c r="G1043" s="137"/>
      <c r="H1043" s="158"/>
      <c r="L1043" s="98"/>
      <c r="M1043" s="79"/>
      <c r="N1043" s="139"/>
      <c r="P1043" s="138"/>
      <c r="Q1043" s="147"/>
      <c r="R1043" s="147"/>
      <c r="S1043" s="147"/>
      <c r="T1043" s="138">
        <f t="shared" si="74"/>
        <v>0</v>
      </c>
      <c r="U1043" s="138"/>
      <c r="V1043" s="147"/>
      <c r="W1043" s="148"/>
    </row>
    <row r="1044" spans="1:23" x14ac:dyDescent="0.25">
      <c r="A1044" s="140">
        <f t="shared" si="75"/>
        <v>53</v>
      </c>
      <c r="B1044" s="157"/>
      <c r="C1044" s="157"/>
      <c r="E1044" s="79"/>
      <c r="F1044" s="153"/>
      <c r="G1044" s="137"/>
      <c r="H1044" s="158"/>
      <c r="L1044" s="98"/>
      <c r="M1044" s="79"/>
      <c r="N1044" s="139"/>
      <c r="P1044" s="138"/>
      <c r="Q1044" s="147"/>
      <c r="R1044" s="147"/>
      <c r="S1044" s="147"/>
      <c r="T1044" s="138">
        <f t="shared" si="74"/>
        <v>0</v>
      </c>
      <c r="U1044" s="138"/>
      <c r="V1044" s="147"/>
      <c r="W1044" s="148"/>
    </row>
    <row r="1045" spans="1:23" x14ac:dyDescent="0.25">
      <c r="A1045" s="140">
        <f t="shared" si="75"/>
        <v>53</v>
      </c>
      <c r="B1045" s="157"/>
      <c r="C1045" s="157"/>
      <c r="E1045" s="79"/>
      <c r="F1045" s="153"/>
      <c r="G1045" s="137"/>
      <c r="H1045" s="158"/>
      <c r="L1045" s="98"/>
      <c r="M1045" s="79"/>
      <c r="N1045" s="139"/>
      <c r="P1045" s="138"/>
      <c r="Q1045" s="147"/>
      <c r="R1045" s="147"/>
      <c r="S1045" s="147"/>
      <c r="T1045" s="138">
        <f t="shared" ref="T1045:T1108" si="76">R1045-Q1045</f>
        <v>0</v>
      </c>
      <c r="U1045" s="138"/>
      <c r="V1045" s="147"/>
      <c r="W1045" s="148"/>
    </row>
    <row r="1046" spans="1:23" x14ac:dyDescent="0.25">
      <c r="A1046" s="140">
        <f t="shared" si="75"/>
        <v>53</v>
      </c>
      <c r="B1046" s="157"/>
      <c r="C1046" s="157"/>
      <c r="E1046" s="79"/>
      <c r="F1046" s="153"/>
      <c r="G1046" s="137"/>
      <c r="H1046" s="158"/>
      <c r="L1046" s="98"/>
      <c r="M1046" s="79"/>
      <c r="N1046" s="139"/>
      <c r="P1046" s="138"/>
      <c r="Q1046" s="147"/>
      <c r="R1046" s="147"/>
      <c r="S1046" s="147"/>
      <c r="T1046" s="138">
        <f t="shared" si="76"/>
        <v>0</v>
      </c>
      <c r="U1046" s="138"/>
      <c r="V1046" s="147"/>
      <c r="W1046" s="148"/>
    </row>
    <row r="1047" spans="1:23" x14ac:dyDescent="0.25">
      <c r="A1047" s="140">
        <f t="shared" si="75"/>
        <v>53</v>
      </c>
      <c r="B1047" s="157"/>
      <c r="C1047" s="157"/>
      <c r="E1047" s="79"/>
      <c r="F1047" s="153"/>
      <c r="G1047" s="137"/>
      <c r="H1047" s="158"/>
      <c r="L1047" s="98"/>
      <c r="M1047" s="79"/>
      <c r="N1047" s="139"/>
      <c r="P1047" s="138"/>
      <c r="Q1047" s="147"/>
      <c r="R1047" s="147"/>
      <c r="S1047" s="147"/>
      <c r="T1047" s="138">
        <f t="shared" si="76"/>
        <v>0</v>
      </c>
      <c r="U1047" s="138"/>
      <c r="V1047" s="147"/>
      <c r="W1047" s="148"/>
    </row>
    <row r="1048" spans="1:23" x14ac:dyDescent="0.25">
      <c r="A1048" s="140">
        <f t="shared" si="75"/>
        <v>53</v>
      </c>
      <c r="B1048" s="157"/>
      <c r="C1048" s="157"/>
      <c r="E1048" s="79"/>
      <c r="F1048" s="153"/>
      <c r="G1048" s="137"/>
      <c r="H1048" s="158"/>
      <c r="L1048" s="98"/>
      <c r="M1048" s="79"/>
      <c r="N1048" s="139"/>
      <c r="P1048" s="138"/>
      <c r="Q1048" s="147"/>
      <c r="R1048" s="147"/>
      <c r="S1048" s="147"/>
      <c r="T1048" s="138">
        <f t="shared" si="76"/>
        <v>0</v>
      </c>
      <c r="U1048" s="138"/>
      <c r="V1048" s="147"/>
      <c r="W1048" s="148"/>
    </row>
    <row r="1049" spans="1:23" x14ac:dyDescent="0.25">
      <c r="A1049" s="140">
        <f t="shared" si="75"/>
        <v>53</v>
      </c>
      <c r="B1049" s="157"/>
      <c r="C1049" s="157"/>
      <c r="E1049" s="79"/>
      <c r="F1049" s="153"/>
      <c r="G1049" s="137"/>
      <c r="H1049" s="158"/>
      <c r="L1049" s="98"/>
      <c r="M1049" s="79"/>
      <c r="N1049" s="139"/>
      <c r="P1049" s="138"/>
      <c r="Q1049" s="147"/>
      <c r="R1049" s="147"/>
      <c r="S1049" s="147"/>
      <c r="T1049" s="138">
        <f t="shared" si="76"/>
        <v>0</v>
      </c>
      <c r="U1049" s="138"/>
      <c r="V1049" s="147"/>
      <c r="W1049" s="148"/>
    </row>
    <row r="1050" spans="1:23" x14ac:dyDescent="0.25">
      <c r="A1050" s="140">
        <f t="shared" si="75"/>
        <v>53</v>
      </c>
      <c r="B1050" s="157"/>
      <c r="C1050" s="157"/>
      <c r="E1050" s="79"/>
      <c r="F1050" s="153"/>
      <c r="G1050" s="137"/>
      <c r="H1050" s="158"/>
      <c r="L1050" s="98"/>
      <c r="M1050" s="79"/>
      <c r="N1050" s="139"/>
      <c r="P1050" s="138"/>
      <c r="Q1050" s="147"/>
      <c r="R1050" s="147"/>
      <c r="S1050" s="147"/>
      <c r="T1050" s="138">
        <f t="shared" si="76"/>
        <v>0</v>
      </c>
      <c r="U1050" s="138"/>
      <c r="V1050" s="147"/>
      <c r="W1050" s="148"/>
    </row>
    <row r="1051" spans="1:23" x14ac:dyDescent="0.25">
      <c r="A1051" s="140">
        <f t="shared" si="75"/>
        <v>53</v>
      </c>
      <c r="B1051" s="157"/>
      <c r="C1051" s="157"/>
      <c r="E1051" s="79"/>
      <c r="F1051" s="153"/>
      <c r="G1051" s="137"/>
      <c r="H1051" s="158"/>
      <c r="L1051" s="98"/>
      <c r="M1051" s="79"/>
      <c r="N1051" s="139"/>
      <c r="P1051" s="138"/>
      <c r="Q1051" s="147"/>
      <c r="R1051" s="147"/>
      <c r="S1051" s="147"/>
      <c r="T1051" s="138">
        <f t="shared" si="76"/>
        <v>0</v>
      </c>
      <c r="U1051" s="138"/>
      <c r="V1051" s="147"/>
      <c r="W1051" s="148"/>
    </row>
    <row r="1052" spans="1:23" x14ac:dyDescent="0.25">
      <c r="A1052" s="140">
        <f t="shared" si="75"/>
        <v>53</v>
      </c>
      <c r="B1052" s="157"/>
      <c r="C1052" s="157"/>
      <c r="E1052" s="79"/>
      <c r="F1052" s="153"/>
      <c r="G1052" s="137"/>
      <c r="H1052" s="158"/>
      <c r="L1052" s="98"/>
      <c r="M1052" s="79"/>
      <c r="N1052" s="139"/>
      <c r="P1052" s="138"/>
      <c r="Q1052" s="147"/>
      <c r="R1052" s="147"/>
      <c r="S1052" s="147"/>
      <c r="T1052" s="138">
        <f t="shared" si="76"/>
        <v>0</v>
      </c>
      <c r="U1052" s="138"/>
      <c r="V1052" s="147"/>
      <c r="W1052" s="148"/>
    </row>
    <row r="1053" spans="1:23" x14ac:dyDescent="0.25">
      <c r="A1053" s="140">
        <f t="shared" si="75"/>
        <v>53</v>
      </c>
      <c r="B1053" s="157"/>
      <c r="C1053" s="157"/>
      <c r="E1053" s="79"/>
      <c r="F1053" s="153"/>
      <c r="G1053" s="137"/>
      <c r="H1053" s="158"/>
      <c r="L1053" s="98"/>
      <c r="M1053" s="79"/>
      <c r="N1053" s="139"/>
      <c r="P1053" s="138"/>
      <c r="Q1053" s="147"/>
      <c r="R1053" s="147"/>
      <c r="S1053" s="147"/>
      <c r="T1053" s="138">
        <f t="shared" si="76"/>
        <v>0</v>
      </c>
      <c r="U1053" s="138"/>
      <c r="V1053" s="147"/>
      <c r="W1053" s="148"/>
    </row>
    <row r="1054" spans="1:23" x14ac:dyDescent="0.25">
      <c r="A1054" s="140">
        <f t="shared" si="75"/>
        <v>53</v>
      </c>
      <c r="B1054" s="157"/>
      <c r="C1054" s="157"/>
      <c r="E1054" s="79"/>
      <c r="F1054" s="153"/>
      <c r="G1054" s="137"/>
      <c r="H1054" s="158"/>
      <c r="L1054" s="98"/>
      <c r="M1054" s="79"/>
      <c r="N1054" s="139"/>
      <c r="P1054" s="138"/>
      <c r="Q1054" s="147"/>
      <c r="R1054" s="147"/>
      <c r="S1054" s="147"/>
      <c r="T1054" s="138">
        <f t="shared" si="76"/>
        <v>0</v>
      </c>
      <c r="U1054" s="138"/>
      <c r="V1054" s="147"/>
      <c r="W1054" s="148"/>
    </row>
    <row r="1055" spans="1:23" x14ac:dyDescent="0.25">
      <c r="A1055" s="140">
        <f t="shared" si="75"/>
        <v>53</v>
      </c>
      <c r="B1055" s="157"/>
      <c r="C1055" s="157"/>
      <c r="E1055" s="79"/>
      <c r="F1055" s="153"/>
      <c r="G1055" s="137"/>
      <c r="H1055" s="158"/>
      <c r="L1055" s="98"/>
      <c r="M1055" s="79"/>
      <c r="N1055" s="139"/>
      <c r="P1055" s="138"/>
      <c r="Q1055" s="147"/>
      <c r="R1055" s="147"/>
      <c r="S1055" s="147"/>
      <c r="T1055" s="138">
        <f t="shared" si="76"/>
        <v>0</v>
      </c>
      <c r="U1055" s="138"/>
      <c r="V1055" s="147"/>
      <c r="W1055" s="148"/>
    </row>
    <row r="1056" spans="1:23" x14ac:dyDescent="0.25">
      <c r="A1056" s="140">
        <f t="shared" si="75"/>
        <v>53</v>
      </c>
      <c r="B1056" s="157"/>
      <c r="C1056" s="157"/>
      <c r="E1056" s="79"/>
      <c r="F1056" s="153"/>
      <c r="G1056" s="137"/>
      <c r="H1056" s="158"/>
      <c r="L1056" s="98"/>
      <c r="M1056" s="79"/>
      <c r="N1056" s="139"/>
      <c r="P1056" s="138"/>
      <c r="Q1056" s="147"/>
      <c r="R1056" s="147"/>
      <c r="S1056" s="147"/>
      <c r="T1056" s="138">
        <f t="shared" si="76"/>
        <v>0</v>
      </c>
      <c r="U1056" s="138"/>
      <c r="V1056" s="147"/>
      <c r="W1056" s="148"/>
    </row>
    <row r="1057" spans="1:23" x14ac:dyDescent="0.25">
      <c r="A1057" s="140">
        <f t="shared" si="75"/>
        <v>53</v>
      </c>
      <c r="B1057" s="157"/>
      <c r="C1057" s="157"/>
      <c r="E1057" s="79"/>
      <c r="F1057" s="153"/>
      <c r="G1057" s="137"/>
      <c r="H1057" s="158"/>
      <c r="L1057" s="98"/>
      <c r="M1057" s="79"/>
      <c r="N1057" s="139"/>
      <c r="P1057" s="138"/>
      <c r="Q1057" s="147"/>
      <c r="R1057" s="147"/>
      <c r="S1057" s="147"/>
      <c r="T1057" s="138">
        <f t="shared" si="76"/>
        <v>0</v>
      </c>
      <c r="U1057" s="138"/>
      <c r="V1057" s="147"/>
      <c r="W1057" s="148"/>
    </row>
    <row r="1058" spans="1:23" x14ac:dyDescent="0.25">
      <c r="A1058" s="140">
        <f t="shared" si="75"/>
        <v>53</v>
      </c>
      <c r="B1058" s="157"/>
      <c r="C1058" s="157"/>
      <c r="E1058" s="79"/>
      <c r="F1058" s="153"/>
      <c r="G1058" s="137"/>
      <c r="H1058" s="158"/>
      <c r="L1058" s="98"/>
      <c r="M1058" s="79"/>
      <c r="N1058" s="139"/>
      <c r="P1058" s="138"/>
      <c r="Q1058" s="147"/>
      <c r="R1058" s="147"/>
      <c r="S1058" s="147"/>
      <c r="T1058" s="138">
        <f t="shared" si="76"/>
        <v>0</v>
      </c>
      <c r="U1058" s="138"/>
      <c r="V1058" s="147"/>
      <c r="W1058" s="148"/>
    </row>
    <row r="1059" spans="1:23" x14ac:dyDescent="0.25">
      <c r="A1059" s="140">
        <f t="shared" si="75"/>
        <v>53</v>
      </c>
      <c r="B1059" s="157"/>
      <c r="C1059" s="157"/>
      <c r="E1059" s="79"/>
      <c r="F1059" s="153"/>
      <c r="G1059" s="137"/>
      <c r="H1059" s="158"/>
      <c r="L1059" s="98"/>
      <c r="M1059" s="79"/>
      <c r="N1059" s="139"/>
      <c r="P1059" s="138"/>
      <c r="Q1059" s="147"/>
      <c r="R1059" s="147"/>
      <c r="S1059" s="147"/>
      <c r="T1059" s="138">
        <f t="shared" si="76"/>
        <v>0</v>
      </c>
      <c r="U1059" s="138"/>
      <c r="V1059" s="147"/>
      <c r="W1059" s="148"/>
    </row>
    <row r="1060" spans="1:23" x14ac:dyDescent="0.25">
      <c r="A1060" s="140">
        <f t="shared" si="75"/>
        <v>53</v>
      </c>
      <c r="B1060" s="157"/>
      <c r="C1060" s="157"/>
      <c r="E1060" s="79"/>
      <c r="F1060" s="153"/>
      <c r="G1060" s="137"/>
      <c r="H1060" s="158"/>
      <c r="L1060" s="98"/>
      <c r="M1060" s="79"/>
      <c r="N1060" s="139"/>
      <c r="P1060" s="138"/>
      <c r="Q1060" s="147"/>
      <c r="R1060" s="147"/>
      <c r="S1060" s="147"/>
      <c r="T1060" s="138">
        <f t="shared" si="76"/>
        <v>0</v>
      </c>
      <c r="U1060" s="138"/>
      <c r="V1060" s="147"/>
      <c r="W1060" s="148"/>
    </row>
    <row r="1061" spans="1:23" x14ac:dyDescent="0.25">
      <c r="A1061" s="140">
        <f t="shared" si="75"/>
        <v>53</v>
      </c>
      <c r="B1061" s="157"/>
      <c r="C1061" s="157"/>
      <c r="E1061" s="79"/>
      <c r="F1061" s="153"/>
      <c r="G1061" s="137"/>
      <c r="H1061" s="158"/>
      <c r="L1061" s="98"/>
      <c r="M1061" s="79"/>
      <c r="N1061" s="139"/>
      <c r="P1061" s="138"/>
      <c r="Q1061" s="147"/>
      <c r="R1061" s="147"/>
      <c r="S1061" s="147"/>
      <c r="T1061" s="138">
        <f t="shared" si="76"/>
        <v>0</v>
      </c>
      <c r="U1061" s="138"/>
      <c r="V1061" s="147"/>
      <c r="W1061" s="148"/>
    </row>
    <row r="1062" spans="1:23" x14ac:dyDescent="0.25">
      <c r="A1062" s="140">
        <f t="shared" si="75"/>
        <v>53</v>
      </c>
      <c r="B1062" s="157"/>
      <c r="C1062" s="157"/>
      <c r="E1062" s="79"/>
      <c r="F1062" s="153"/>
      <c r="G1062" s="137"/>
      <c r="H1062" s="158"/>
      <c r="L1062" s="98"/>
      <c r="M1062" s="79"/>
      <c r="N1062" s="139"/>
      <c r="P1062" s="138"/>
      <c r="Q1062" s="147"/>
      <c r="R1062" s="147"/>
      <c r="S1062" s="147"/>
      <c r="T1062" s="138">
        <f t="shared" si="76"/>
        <v>0</v>
      </c>
      <c r="U1062" s="138"/>
      <c r="V1062" s="147"/>
      <c r="W1062" s="148"/>
    </row>
    <row r="1063" spans="1:23" x14ac:dyDescent="0.25">
      <c r="A1063" s="140">
        <f t="shared" si="75"/>
        <v>53</v>
      </c>
      <c r="B1063" s="157"/>
      <c r="C1063" s="157"/>
      <c r="E1063" s="79"/>
      <c r="F1063" s="153"/>
      <c r="G1063" s="137"/>
      <c r="H1063" s="158"/>
      <c r="L1063" s="98"/>
      <c r="M1063" s="79"/>
      <c r="N1063" s="139"/>
      <c r="P1063" s="138"/>
      <c r="Q1063" s="147"/>
      <c r="R1063" s="147"/>
      <c r="S1063" s="147"/>
      <c r="T1063" s="138">
        <f t="shared" si="76"/>
        <v>0</v>
      </c>
      <c r="U1063" s="138"/>
      <c r="V1063" s="147"/>
      <c r="W1063" s="148"/>
    </row>
    <row r="1064" spans="1:23" x14ac:dyDescent="0.25">
      <c r="A1064" s="140">
        <f t="shared" si="75"/>
        <v>53</v>
      </c>
      <c r="B1064" s="157"/>
      <c r="C1064" s="157"/>
      <c r="E1064" s="79"/>
      <c r="F1064" s="153"/>
      <c r="G1064" s="137"/>
      <c r="H1064" s="158"/>
      <c r="L1064" s="98"/>
      <c r="M1064" s="79"/>
      <c r="N1064" s="139"/>
      <c r="P1064" s="138"/>
      <c r="Q1064" s="147"/>
      <c r="R1064" s="147"/>
      <c r="S1064" s="147"/>
      <c r="T1064" s="138">
        <f t="shared" si="76"/>
        <v>0</v>
      </c>
      <c r="U1064" s="138"/>
      <c r="V1064" s="147"/>
      <c r="W1064" s="148"/>
    </row>
    <row r="1065" spans="1:23" x14ac:dyDescent="0.25">
      <c r="A1065" s="140">
        <f t="shared" si="75"/>
        <v>53</v>
      </c>
      <c r="B1065" s="157"/>
      <c r="C1065" s="157"/>
      <c r="E1065" s="79"/>
      <c r="F1065" s="153"/>
      <c r="G1065" s="137"/>
      <c r="H1065" s="158"/>
      <c r="L1065" s="98"/>
      <c r="M1065" s="79"/>
      <c r="N1065" s="139"/>
      <c r="P1065" s="138"/>
      <c r="Q1065" s="147"/>
      <c r="R1065" s="147"/>
      <c r="S1065" s="147"/>
      <c r="T1065" s="138">
        <f t="shared" si="76"/>
        <v>0</v>
      </c>
      <c r="U1065" s="138"/>
      <c r="V1065" s="147"/>
      <c r="W1065" s="148"/>
    </row>
    <row r="1066" spans="1:23" x14ac:dyDescent="0.25">
      <c r="A1066" s="140">
        <f t="shared" si="75"/>
        <v>53</v>
      </c>
      <c r="B1066" s="157"/>
      <c r="C1066" s="157"/>
      <c r="E1066" s="79"/>
      <c r="F1066" s="153"/>
      <c r="G1066" s="137"/>
      <c r="H1066" s="158"/>
      <c r="L1066" s="98"/>
      <c r="M1066" s="79"/>
      <c r="N1066" s="139"/>
      <c r="P1066" s="138"/>
      <c r="Q1066" s="147"/>
      <c r="R1066" s="147"/>
      <c r="S1066" s="147"/>
      <c r="T1066" s="138">
        <f t="shared" si="76"/>
        <v>0</v>
      </c>
      <c r="U1066" s="138"/>
      <c r="V1066" s="147"/>
      <c r="W1066" s="148"/>
    </row>
    <row r="1067" spans="1:23" x14ac:dyDescent="0.25">
      <c r="A1067" s="140">
        <f t="shared" si="75"/>
        <v>53</v>
      </c>
      <c r="B1067" s="157"/>
      <c r="C1067" s="157"/>
      <c r="E1067" s="79"/>
      <c r="F1067" s="153"/>
      <c r="G1067" s="137"/>
      <c r="H1067" s="158"/>
      <c r="L1067" s="98"/>
      <c r="M1067" s="79"/>
      <c r="N1067" s="139"/>
      <c r="P1067" s="138"/>
      <c r="Q1067" s="147"/>
      <c r="R1067" s="147"/>
      <c r="S1067" s="147"/>
      <c r="T1067" s="138">
        <f t="shared" si="76"/>
        <v>0</v>
      </c>
      <c r="U1067" s="138"/>
      <c r="V1067" s="147"/>
      <c r="W1067" s="148"/>
    </row>
    <row r="1068" spans="1:23" x14ac:dyDescent="0.25">
      <c r="A1068" s="140">
        <f t="shared" si="75"/>
        <v>53</v>
      </c>
      <c r="B1068" s="157"/>
      <c r="C1068" s="157"/>
      <c r="E1068" s="79"/>
      <c r="F1068" s="153"/>
      <c r="G1068" s="137"/>
      <c r="H1068" s="158"/>
      <c r="L1068" s="98"/>
      <c r="M1068" s="79"/>
      <c r="N1068" s="139"/>
      <c r="P1068" s="138"/>
      <c r="Q1068" s="147"/>
      <c r="R1068" s="147"/>
      <c r="S1068" s="147"/>
      <c r="T1068" s="138">
        <f t="shared" si="76"/>
        <v>0</v>
      </c>
      <c r="U1068" s="138"/>
      <c r="V1068" s="147"/>
      <c r="W1068" s="148"/>
    </row>
    <row r="1069" spans="1:23" x14ac:dyDescent="0.25">
      <c r="A1069" s="140">
        <f t="shared" si="75"/>
        <v>53</v>
      </c>
      <c r="B1069" s="157"/>
      <c r="C1069" s="157"/>
      <c r="E1069" s="79"/>
      <c r="F1069" s="153"/>
      <c r="G1069" s="137"/>
      <c r="H1069" s="158"/>
      <c r="L1069" s="98"/>
      <c r="M1069" s="79"/>
      <c r="N1069" s="139"/>
      <c r="P1069" s="138"/>
      <c r="Q1069" s="147"/>
      <c r="R1069" s="147"/>
      <c r="S1069" s="147"/>
      <c r="T1069" s="138">
        <f t="shared" si="76"/>
        <v>0</v>
      </c>
      <c r="U1069" s="138"/>
      <c r="V1069" s="147"/>
      <c r="W1069" s="148"/>
    </row>
    <row r="1070" spans="1:23" x14ac:dyDescent="0.25">
      <c r="A1070" s="140">
        <f t="shared" si="75"/>
        <v>53</v>
      </c>
      <c r="B1070" s="157"/>
      <c r="C1070" s="157"/>
      <c r="E1070" s="79"/>
      <c r="F1070" s="153"/>
      <c r="G1070" s="137"/>
      <c r="H1070" s="158"/>
      <c r="L1070" s="98"/>
      <c r="M1070" s="79"/>
      <c r="N1070" s="139"/>
      <c r="P1070" s="138"/>
      <c r="Q1070" s="147"/>
      <c r="R1070" s="147"/>
      <c r="S1070" s="147"/>
      <c r="T1070" s="138">
        <f t="shared" si="76"/>
        <v>0</v>
      </c>
      <c r="U1070" s="138"/>
      <c r="V1070" s="147"/>
      <c r="W1070" s="148"/>
    </row>
    <row r="1071" spans="1:23" x14ac:dyDescent="0.25">
      <c r="A1071" s="140">
        <f t="shared" si="75"/>
        <v>53</v>
      </c>
      <c r="B1071" s="157"/>
      <c r="C1071" s="157"/>
      <c r="E1071" s="79"/>
      <c r="F1071" s="153"/>
      <c r="G1071" s="137"/>
      <c r="H1071" s="158"/>
      <c r="L1071" s="98"/>
      <c r="M1071" s="79"/>
      <c r="N1071" s="139"/>
      <c r="P1071" s="138"/>
      <c r="Q1071" s="147"/>
      <c r="R1071" s="147"/>
      <c r="S1071" s="147"/>
      <c r="T1071" s="138">
        <f t="shared" si="76"/>
        <v>0</v>
      </c>
      <c r="U1071" s="138"/>
      <c r="V1071" s="147"/>
      <c r="W1071" s="148"/>
    </row>
    <row r="1072" spans="1:23" x14ac:dyDescent="0.25">
      <c r="A1072" s="140">
        <f t="shared" si="75"/>
        <v>53</v>
      </c>
      <c r="B1072" s="157"/>
      <c r="C1072" s="157"/>
      <c r="E1072" s="79"/>
      <c r="F1072" s="153"/>
      <c r="G1072" s="137"/>
      <c r="H1072" s="158"/>
      <c r="L1072" s="98"/>
      <c r="M1072" s="79"/>
      <c r="N1072" s="139"/>
      <c r="P1072" s="138"/>
      <c r="Q1072" s="147"/>
      <c r="R1072" s="147"/>
      <c r="S1072" s="147"/>
      <c r="T1072" s="138">
        <f t="shared" si="76"/>
        <v>0</v>
      </c>
      <c r="U1072" s="138"/>
      <c r="V1072" s="147"/>
      <c r="W1072" s="148"/>
    </row>
    <row r="1073" spans="1:23" x14ac:dyDescent="0.25">
      <c r="A1073" s="140">
        <f t="shared" si="75"/>
        <v>53</v>
      </c>
      <c r="B1073" s="157"/>
      <c r="C1073" s="157"/>
      <c r="E1073" s="79"/>
      <c r="F1073" s="153"/>
      <c r="G1073" s="137"/>
      <c r="H1073" s="158"/>
      <c r="L1073" s="98"/>
      <c r="M1073" s="79"/>
      <c r="N1073" s="139"/>
      <c r="P1073" s="138"/>
      <c r="Q1073" s="147"/>
      <c r="R1073" s="147"/>
      <c r="S1073" s="147"/>
      <c r="T1073" s="138">
        <f t="shared" si="76"/>
        <v>0</v>
      </c>
      <c r="U1073" s="138"/>
      <c r="V1073" s="147"/>
      <c r="W1073" s="148"/>
    </row>
    <row r="1074" spans="1:23" x14ac:dyDescent="0.25">
      <c r="A1074" s="140">
        <f t="shared" si="75"/>
        <v>53</v>
      </c>
      <c r="B1074" s="157"/>
      <c r="C1074" s="157"/>
      <c r="E1074" s="79"/>
      <c r="F1074" s="153"/>
      <c r="G1074" s="137"/>
      <c r="H1074" s="158"/>
      <c r="L1074" s="98"/>
      <c r="M1074" s="79"/>
      <c r="N1074" s="139"/>
      <c r="P1074" s="138"/>
      <c r="Q1074" s="147"/>
      <c r="R1074" s="147"/>
      <c r="S1074" s="147"/>
      <c r="T1074" s="138">
        <f t="shared" si="76"/>
        <v>0</v>
      </c>
      <c r="U1074" s="138"/>
      <c r="V1074" s="147"/>
      <c r="W1074" s="148"/>
    </row>
    <row r="1075" spans="1:23" x14ac:dyDescent="0.25">
      <c r="A1075" s="140">
        <f t="shared" si="75"/>
        <v>53</v>
      </c>
      <c r="B1075" s="157"/>
      <c r="C1075" s="157"/>
      <c r="E1075" s="79"/>
      <c r="F1075" s="153"/>
      <c r="G1075" s="137"/>
      <c r="H1075" s="158"/>
      <c r="L1075" s="98"/>
      <c r="M1075" s="79"/>
      <c r="N1075" s="139"/>
      <c r="P1075" s="138"/>
      <c r="Q1075" s="147"/>
      <c r="R1075" s="147"/>
      <c r="S1075" s="147"/>
      <c r="T1075" s="138">
        <f t="shared" si="76"/>
        <v>0</v>
      </c>
      <c r="U1075" s="138"/>
      <c r="V1075" s="147"/>
      <c r="W1075" s="148"/>
    </row>
    <row r="1076" spans="1:23" x14ac:dyDescent="0.25">
      <c r="A1076" s="140">
        <f t="shared" si="75"/>
        <v>53</v>
      </c>
      <c r="B1076" s="157"/>
      <c r="C1076" s="157"/>
      <c r="E1076" s="79"/>
      <c r="F1076" s="153"/>
      <c r="G1076" s="137"/>
      <c r="H1076" s="158"/>
      <c r="L1076" s="98"/>
      <c r="M1076" s="79"/>
      <c r="N1076" s="139"/>
      <c r="P1076" s="138"/>
      <c r="Q1076" s="147"/>
      <c r="R1076" s="147"/>
      <c r="S1076" s="147"/>
      <c r="T1076" s="138">
        <f t="shared" si="76"/>
        <v>0</v>
      </c>
      <c r="U1076" s="138"/>
      <c r="V1076" s="147"/>
      <c r="W1076" s="148"/>
    </row>
    <row r="1077" spans="1:23" x14ac:dyDescent="0.25">
      <c r="A1077" s="140">
        <f t="shared" si="75"/>
        <v>53</v>
      </c>
      <c r="B1077" s="157"/>
      <c r="C1077" s="157"/>
      <c r="E1077" s="79"/>
      <c r="F1077" s="153"/>
      <c r="G1077" s="137"/>
      <c r="H1077" s="158"/>
      <c r="L1077" s="98"/>
      <c r="M1077" s="79"/>
      <c r="N1077" s="139"/>
      <c r="P1077" s="138"/>
      <c r="Q1077" s="147"/>
      <c r="R1077" s="147"/>
      <c r="S1077" s="147"/>
      <c r="T1077" s="138">
        <f t="shared" si="76"/>
        <v>0</v>
      </c>
      <c r="U1077" s="138"/>
      <c r="V1077" s="147"/>
      <c r="W1077" s="148"/>
    </row>
    <row r="1078" spans="1:23" x14ac:dyDescent="0.25">
      <c r="A1078" s="140">
        <f t="shared" si="75"/>
        <v>53</v>
      </c>
      <c r="B1078" s="157"/>
      <c r="C1078" s="157"/>
      <c r="E1078" s="79"/>
      <c r="F1078" s="153"/>
      <c r="G1078" s="137"/>
      <c r="H1078" s="158"/>
      <c r="L1078" s="98"/>
      <c r="M1078" s="79"/>
      <c r="N1078" s="139"/>
      <c r="P1078" s="138"/>
      <c r="Q1078" s="147"/>
      <c r="R1078" s="147"/>
      <c r="S1078" s="147"/>
      <c r="T1078" s="138">
        <f t="shared" si="76"/>
        <v>0</v>
      </c>
      <c r="U1078" s="138"/>
      <c r="V1078" s="147"/>
      <c r="W1078" s="148"/>
    </row>
    <row r="1079" spans="1:23" x14ac:dyDescent="0.25">
      <c r="A1079" s="140">
        <f t="shared" si="75"/>
        <v>53</v>
      </c>
      <c r="B1079" s="157"/>
      <c r="C1079" s="157"/>
      <c r="E1079" s="79"/>
      <c r="F1079" s="153"/>
      <c r="G1079" s="137"/>
      <c r="H1079" s="158"/>
      <c r="L1079" s="98"/>
      <c r="M1079" s="79"/>
      <c r="N1079" s="139"/>
      <c r="P1079" s="138"/>
      <c r="Q1079" s="147"/>
      <c r="R1079" s="147"/>
      <c r="S1079" s="147"/>
      <c r="T1079" s="138">
        <f t="shared" si="76"/>
        <v>0</v>
      </c>
      <c r="U1079" s="138"/>
      <c r="V1079" s="147"/>
      <c r="W1079" s="148"/>
    </row>
    <row r="1080" spans="1:23" x14ac:dyDescent="0.25">
      <c r="A1080" s="140">
        <f t="shared" si="75"/>
        <v>53</v>
      </c>
      <c r="B1080" s="157"/>
      <c r="C1080" s="157"/>
      <c r="E1080" s="79"/>
      <c r="F1080" s="153"/>
      <c r="G1080" s="137"/>
      <c r="H1080" s="158"/>
      <c r="L1080" s="98"/>
      <c r="M1080" s="79"/>
      <c r="N1080" s="139"/>
      <c r="P1080" s="138"/>
      <c r="Q1080" s="147"/>
      <c r="R1080" s="147"/>
      <c r="S1080" s="147"/>
      <c r="T1080" s="138">
        <f t="shared" si="76"/>
        <v>0</v>
      </c>
      <c r="U1080" s="138"/>
      <c r="V1080" s="147"/>
      <c r="W1080" s="148"/>
    </row>
    <row r="1081" spans="1:23" x14ac:dyDescent="0.25">
      <c r="A1081" s="140">
        <f t="shared" si="75"/>
        <v>53</v>
      </c>
      <c r="B1081" s="157"/>
      <c r="C1081" s="157"/>
      <c r="E1081" s="79"/>
      <c r="F1081" s="153"/>
      <c r="G1081" s="137"/>
      <c r="H1081" s="158"/>
      <c r="L1081" s="98"/>
      <c r="M1081" s="79"/>
      <c r="N1081" s="139"/>
      <c r="P1081" s="138"/>
      <c r="Q1081" s="147"/>
      <c r="R1081" s="147"/>
      <c r="S1081" s="147"/>
      <c r="T1081" s="138">
        <f t="shared" si="76"/>
        <v>0</v>
      </c>
      <c r="U1081" s="138"/>
      <c r="V1081" s="147"/>
      <c r="W1081" s="148"/>
    </row>
    <row r="1082" spans="1:23" x14ac:dyDescent="0.25">
      <c r="A1082" s="140">
        <f t="shared" si="75"/>
        <v>53</v>
      </c>
      <c r="B1082" s="157"/>
      <c r="C1082" s="157"/>
      <c r="E1082" s="79"/>
      <c r="F1082" s="153"/>
      <c r="G1082" s="137"/>
      <c r="H1082" s="158"/>
      <c r="L1082" s="98"/>
      <c r="M1082" s="79"/>
      <c r="N1082" s="139"/>
      <c r="P1082" s="138"/>
      <c r="Q1082" s="147"/>
      <c r="R1082" s="147"/>
      <c r="S1082" s="147"/>
      <c r="T1082" s="138">
        <f t="shared" si="76"/>
        <v>0</v>
      </c>
      <c r="U1082" s="138"/>
      <c r="V1082" s="147"/>
      <c r="W1082" s="148"/>
    </row>
    <row r="1083" spans="1:23" x14ac:dyDescent="0.25">
      <c r="A1083" s="140">
        <f t="shared" si="75"/>
        <v>53</v>
      </c>
      <c r="B1083" s="157"/>
      <c r="C1083" s="157"/>
      <c r="E1083" s="79"/>
      <c r="F1083" s="153"/>
      <c r="G1083" s="137"/>
      <c r="H1083" s="158"/>
      <c r="L1083" s="98"/>
      <c r="M1083" s="79"/>
      <c r="N1083" s="139"/>
      <c r="P1083" s="138"/>
      <c r="Q1083" s="147"/>
      <c r="R1083" s="147"/>
      <c r="S1083" s="147"/>
      <c r="T1083" s="138">
        <f t="shared" si="76"/>
        <v>0</v>
      </c>
      <c r="U1083" s="138"/>
      <c r="V1083" s="147"/>
      <c r="W1083" s="148"/>
    </row>
    <row r="1084" spans="1:23" x14ac:dyDescent="0.25">
      <c r="A1084" s="140">
        <f t="shared" si="75"/>
        <v>53</v>
      </c>
      <c r="B1084" s="157"/>
      <c r="C1084" s="157"/>
      <c r="E1084" s="79"/>
      <c r="F1084" s="153"/>
      <c r="G1084" s="137"/>
      <c r="H1084" s="158"/>
      <c r="L1084" s="98"/>
      <c r="M1084" s="79"/>
      <c r="N1084" s="139"/>
      <c r="P1084" s="138"/>
      <c r="Q1084" s="147"/>
      <c r="R1084" s="147"/>
      <c r="S1084" s="147"/>
      <c r="T1084" s="138">
        <f t="shared" si="76"/>
        <v>0</v>
      </c>
      <c r="U1084" s="138"/>
      <c r="V1084" s="147"/>
      <c r="W1084" s="148"/>
    </row>
    <row r="1085" spans="1:23" x14ac:dyDescent="0.25">
      <c r="A1085" s="140">
        <f t="shared" si="75"/>
        <v>53</v>
      </c>
      <c r="B1085" s="157"/>
      <c r="C1085" s="157"/>
      <c r="E1085" s="79"/>
      <c r="F1085" s="153"/>
      <c r="G1085" s="137"/>
      <c r="H1085" s="158"/>
      <c r="L1085" s="98"/>
      <c r="M1085" s="79"/>
      <c r="N1085" s="139"/>
      <c r="P1085" s="138"/>
      <c r="Q1085" s="147"/>
      <c r="R1085" s="147"/>
      <c r="S1085" s="147"/>
      <c r="T1085" s="138">
        <f t="shared" si="76"/>
        <v>0</v>
      </c>
      <c r="U1085" s="138"/>
      <c r="V1085" s="147"/>
      <c r="W1085" s="148"/>
    </row>
    <row r="1086" spans="1:23" x14ac:dyDescent="0.25">
      <c r="A1086" s="140">
        <f t="shared" si="75"/>
        <v>53</v>
      </c>
      <c r="B1086" s="157"/>
      <c r="C1086" s="157"/>
      <c r="E1086" s="79"/>
      <c r="F1086" s="153"/>
      <c r="G1086" s="137"/>
      <c r="H1086" s="158"/>
      <c r="L1086" s="98"/>
      <c r="M1086" s="79"/>
      <c r="N1086" s="139"/>
      <c r="P1086" s="138"/>
      <c r="Q1086" s="147"/>
      <c r="R1086" s="147"/>
      <c r="S1086" s="147"/>
      <c r="T1086" s="138">
        <f t="shared" si="76"/>
        <v>0</v>
      </c>
      <c r="U1086" s="138"/>
      <c r="V1086" s="147"/>
      <c r="W1086" s="148"/>
    </row>
    <row r="1087" spans="1:23" x14ac:dyDescent="0.25">
      <c r="A1087" s="140">
        <f t="shared" si="75"/>
        <v>53</v>
      </c>
      <c r="B1087" s="157"/>
      <c r="C1087" s="157"/>
      <c r="E1087" s="79"/>
      <c r="F1087" s="153"/>
      <c r="G1087" s="137"/>
      <c r="H1087" s="158"/>
      <c r="L1087" s="98"/>
      <c r="M1087" s="79"/>
      <c r="N1087" s="139"/>
      <c r="P1087" s="138"/>
      <c r="Q1087" s="147"/>
      <c r="R1087" s="147"/>
      <c r="S1087" s="147"/>
      <c r="T1087" s="138">
        <f t="shared" si="76"/>
        <v>0</v>
      </c>
      <c r="U1087" s="138"/>
      <c r="V1087" s="147"/>
      <c r="W1087" s="148"/>
    </row>
    <row r="1088" spans="1:23" x14ac:dyDescent="0.25">
      <c r="A1088" s="140">
        <f t="shared" si="75"/>
        <v>53</v>
      </c>
      <c r="B1088" s="157"/>
      <c r="C1088" s="157"/>
      <c r="E1088" s="79"/>
      <c r="F1088" s="153"/>
      <c r="G1088" s="137"/>
      <c r="H1088" s="158"/>
      <c r="L1088" s="98"/>
      <c r="M1088" s="79"/>
      <c r="N1088" s="139"/>
      <c r="P1088" s="138"/>
      <c r="Q1088" s="147"/>
      <c r="R1088" s="147"/>
      <c r="S1088" s="147"/>
      <c r="T1088" s="138">
        <f t="shared" si="76"/>
        <v>0</v>
      </c>
      <c r="U1088" s="138"/>
      <c r="V1088" s="147"/>
      <c r="W1088" s="148"/>
    </row>
    <row r="1089" spans="1:23" x14ac:dyDescent="0.25">
      <c r="A1089" s="140">
        <f t="shared" si="75"/>
        <v>53</v>
      </c>
      <c r="B1089" s="157"/>
      <c r="C1089" s="157"/>
      <c r="E1089" s="79"/>
      <c r="F1089" s="153"/>
      <c r="G1089" s="137"/>
      <c r="H1089" s="158"/>
      <c r="L1089" s="98"/>
      <c r="M1089" s="79"/>
      <c r="N1089" s="139"/>
      <c r="P1089" s="138"/>
      <c r="Q1089" s="147"/>
      <c r="R1089" s="147"/>
      <c r="S1089" s="147"/>
      <c r="T1089" s="138">
        <f t="shared" si="76"/>
        <v>0</v>
      </c>
      <c r="U1089" s="138"/>
      <c r="V1089" s="147"/>
      <c r="W1089" s="148"/>
    </row>
    <row r="1090" spans="1:23" x14ac:dyDescent="0.25">
      <c r="A1090" s="140">
        <f t="shared" si="75"/>
        <v>53</v>
      </c>
      <c r="B1090" s="157"/>
      <c r="C1090" s="157"/>
      <c r="E1090" s="79"/>
      <c r="F1090" s="153"/>
      <c r="G1090" s="137"/>
      <c r="H1090" s="158"/>
      <c r="L1090" s="98"/>
      <c r="M1090" s="79"/>
      <c r="N1090" s="139"/>
      <c r="P1090" s="138"/>
      <c r="Q1090" s="147"/>
      <c r="R1090" s="147"/>
      <c r="S1090" s="147"/>
      <c r="T1090" s="138">
        <f t="shared" si="76"/>
        <v>0</v>
      </c>
      <c r="U1090" s="138"/>
      <c r="V1090" s="147"/>
      <c r="W1090" s="148"/>
    </row>
    <row r="1091" spans="1:23" x14ac:dyDescent="0.25">
      <c r="A1091" s="140">
        <f t="shared" si="75"/>
        <v>53</v>
      </c>
      <c r="B1091" s="157"/>
      <c r="C1091" s="157"/>
      <c r="E1091" s="79"/>
      <c r="F1091" s="153"/>
      <c r="G1091" s="137"/>
      <c r="H1091" s="158"/>
      <c r="L1091" s="98"/>
      <c r="M1091" s="79"/>
      <c r="N1091" s="139"/>
      <c r="P1091" s="138"/>
      <c r="Q1091" s="147"/>
      <c r="R1091" s="147"/>
      <c r="S1091" s="147"/>
      <c r="T1091" s="138">
        <f t="shared" si="76"/>
        <v>0</v>
      </c>
      <c r="U1091" s="138"/>
      <c r="V1091" s="147"/>
      <c r="W1091" s="148"/>
    </row>
    <row r="1092" spans="1:23" x14ac:dyDescent="0.25">
      <c r="A1092" s="140">
        <f t="shared" si="75"/>
        <v>53</v>
      </c>
      <c r="B1092" s="157"/>
      <c r="C1092" s="157"/>
      <c r="E1092" s="79"/>
      <c r="F1092" s="153"/>
      <c r="G1092" s="137"/>
      <c r="H1092" s="158"/>
      <c r="L1092" s="98"/>
      <c r="M1092" s="79"/>
      <c r="N1092" s="139"/>
      <c r="P1092" s="138"/>
      <c r="Q1092" s="147"/>
      <c r="R1092" s="147"/>
      <c r="S1092" s="147"/>
      <c r="T1092" s="138">
        <f t="shared" si="76"/>
        <v>0</v>
      </c>
      <c r="U1092" s="138"/>
      <c r="V1092" s="147"/>
      <c r="W1092" s="148"/>
    </row>
    <row r="1093" spans="1:23" x14ac:dyDescent="0.25">
      <c r="A1093" s="140">
        <f t="shared" si="75"/>
        <v>53</v>
      </c>
      <c r="B1093" s="157"/>
      <c r="C1093" s="157"/>
      <c r="E1093" s="79"/>
      <c r="F1093" s="153"/>
      <c r="G1093" s="137"/>
      <c r="H1093" s="158"/>
      <c r="L1093" s="98"/>
      <c r="M1093" s="79"/>
      <c r="N1093" s="139"/>
      <c r="P1093" s="138"/>
      <c r="Q1093" s="147"/>
      <c r="R1093" s="147"/>
      <c r="S1093" s="147"/>
      <c r="T1093" s="138">
        <f t="shared" si="76"/>
        <v>0</v>
      </c>
      <c r="U1093" s="138"/>
      <c r="V1093" s="147"/>
      <c r="W1093" s="148"/>
    </row>
    <row r="1094" spans="1:23" x14ac:dyDescent="0.25">
      <c r="A1094" s="140">
        <f t="shared" si="75"/>
        <v>53</v>
      </c>
      <c r="B1094" s="157"/>
      <c r="C1094" s="157"/>
      <c r="E1094" s="79"/>
      <c r="F1094" s="153"/>
      <c r="G1094" s="137"/>
      <c r="H1094" s="158"/>
      <c r="L1094" s="98"/>
      <c r="M1094" s="79"/>
      <c r="N1094" s="139"/>
      <c r="P1094" s="138"/>
      <c r="Q1094" s="147"/>
      <c r="R1094" s="147"/>
      <c r="S1094" s="147"/>
      <c r="T1094" s="138">
        <f t="shared" si="76"/>
        <v>0</v>
      </c>
      <c r="U1094" s="138"/>
      <c r="V1094" s="147"/>
      <c r="W1094" s="148"/>
    </row>
    <row r="1095" spans="1:23" x14ac:dyDescent="0.25">
      <c r="A1095" s="140">
        <f t="shared" ref="A1095:A1158" si="77">WEEKNUM(B1095,21)</f>
        <v>53</v>
      </c>
      <c r="B1095" s="157"/>
      <c r="C1095" s="157"/>
      <c r="E1095" s="79"/>
      <c r="F1095" s="153"/>
      <c r="G1095" s="137"/>
      <c r="H1095" s="158"/>
      <c r="L1095" s="98"/>
      <c r="M1095" s="79"/>
      <c r="N1095" s="139"/>
      <c r="P1095" s="138"/>
      <c r="Q1095" s="147"/>
      <c r="R1095" s="147"/>
      <c r="S1095" s="147"/>
      <c r="T1095" s="138">
        <f t="shared" si="76"/>
        <v>0</v>
      </c>
      <c r="U1095" s="138"/>
      <c r="V1095" s="147"/>
      <c r="W1095" s="148"/>
    </row>
    <row r="1096" spans="1:23" x14ac:dyDescent="0.25">
      <c r="A1096" s="140">
        <f t="shared" si="77"/>
        <v>53</v>
      </c>
      <c r="B1096" s="157"/>
      <c r="C1096" s="157"/>
      <c r="E1096" s="79"/>
      <c r="F1096" s="153"/>
      <c r="G1096" s="137"/>
      <c r="H1096" s="158"/>
      <c r="L1096" s="98"/>
      <c r="M1096" s="79"/>
      <c r="N1096" s="139"/>
      <c r="P1096" s="138"/>
      <c r="Q1096" s="147"/>
      <c r="R1096" s="147"/>
      <c r="S1096" s="147"/>
      <c r="T1096" s="138">
        <f t="shared" si="76"/>
        <v>0</v>
      </c>
      <c r="U1096" s="138"/>
      <c r="V1096" s="147"/>
      <c r="W1096" s="148"/>
    </row>
    <row r="1097" spans="1:23" x14ac:dyDescent="0.25">
      <c r="A1097" s="140">
        <f t="shared" si="77"/>
        <v>53</v>
      </c>
      <c r="B1097" s="157"/>
      <c r="C1097" s="157"/>
      <c r="E1097" s="79"/>
      <c r="F1097" s="153"/>
      <c r="G1097" s="137"/>
      <c r="H1097" s="158"/>
      <c r="L1097" s="98"/>
      <c r="M1097" s="79"/>
      <c r="N1097" s="139"/>
      <c r="P1097" s="138"/>
      <c r="Q1097" s="147"/>
      <c r="R1097" s="147"/>
      <c r="S1097" s="147"/>
      <c r="T1097" s="138">
        <f t="shared" si="76"/>
        <v>0</v>
      </c>
      <c r="U1097" s="138"/>
      <c r="V1097" s="147"/>
      <c r="W1097" s="148"/>
    </row>
    <row r="1098" spans="1:23" x14ac:dyDescent="0.25">
      <c r="A1098" s="140">
        <f t="shared" si="77"/>
        <v>53</v>
      </c>
      <c r="B1098" s="157"/>
      <c r="C1098" s="157"/>
      <c r="E1098" s="79"/>
      <c r="F1098" s="153"/>
      <c r="G1098" s="137"/>
      <c r="H1098" s="158"/>
      <c r="L1098" s="98"/>
      <c r="M1098" s="79"/>
      <c r="N1098" s="139"/>
      <c r="P1098" s="138"/>
      <c r="Q1098" s="147"/>
      <c r="R1098" s="147"/>
      <c r="S1098" s="147"/>
      <c r="T1098" s="138">
        <f t="shared" si="76"/>
        <v>0</v>
      </c>
      <c r="U1098" s="138"/>
      <c r="V1098" s="147"/>
      <c r="W1098" s="148"/>
    </row>
    <row r="1099" spans="1:23" x14ac:dyDescent="0.25">
      <c r="A1099" s="140">
        <f t="shared" si="77"/>
        <v>53</v>
      </c>
      <c r="B1099" s="157"/>
      <c r="C1099" s="157"/>
      <c r="E1099" s="79"/>
      <c r="F1099" s="153"/>
      <c r="G1099" s="137"/>
      <c r="H1099" s="158"/>
      <c r="L1099" s="98"/>
      <c r="M1099" s="79"/>
      <c r="N1099" s="139"/>
      <c r="P1099" s="138"/>
      <c r="Q1099" s="147"/>
      <c r="R1099" s="147"/>
      <c r="S1099" s="147"/>
      <c r="T1099" s="138">
        <f t="shared" si="76"/>
        <v>0</v>
      </c>
      <c r="U1099" s="138"/>
      <c r="V1099" s="147"/>
      <c r="W1099" s="148"/>
    </row>
    <row r="1100" spans="1:23" x14ac:dyDescent="0.25">
      <c r="A1100" s="140">
        <f t="shared" si="77"/>
        <v>53</v>
      </c>
      <c r="B1100" s="157"/>
      <c r="C1100" s="157"/>
      <c r="E1100" s="79"/>
      <c r="F1100" s="153"/>
      <c r="G1100" s="137"/>
      <c r="H1100" s="158"/>
      <c r="L1100" s="98"/>
      <c r="M1100" s="79"/>
      <c r="N1100" s="139"/>
      <c r="P1100" s="138"/>
      <c r="Q1100" s="147"/>
      <c r="R1100" s="147"/>
      <c r="S1100" s="147"/>
      <c r="T1100" s="138">
        <f t="shared" si="76"/>
        <v>0</v>
      </c>
      <c r="U1100" s="138"/>
      <c r="V1100" s="147"/>
      <c r="W1100" s="148"/>
    </row>
    <row r="1101" spans="1:23" x14ac:dyDescent="0.25">
      <c r="A1101" s="140">
        <f t="shared" si="77"/>
        <v>53</v>
      </c>
      <c r="B1101" s="157"/>
      <c r="C1101" s="157"/>
      <c r="E1101" s="79"/>
      <c r="F1101" s="153"/>
      <c r="G1101" s="137"/>
      <c r="H1101" s="158"/>
      <c r="L1101" s="98"/>
      <c r="M1101" s="79"/>
      <c r="N1101" s="139"/>
      <c r="P1101" s="138"/>
      <c r="Q1101" s="147"/>
      <c r="R1101" s="147"/>
      <c r="S1101" s="147"/>
      <c r="T1101" s="138">
        <f t="shared" si="76"/>
        <v>0</v>
      </c>
      <c r="U1101" s="138"/>
      <c r="V1101" s="147"/>
      <c r="W1101" s="148"/>
    </row>
    <row r="1102" spans="1:23" x14ac:dyDescent="0.25">
      <c r="A1102" s="140">
        <f t="shared" si="77"/>
        <v>53</v>
      </c>
      <c r="B1102" s="157"/>
      <c r="C1102" s="157"/>
      <c r="E1102" s="79"/>
      <c r="F1102" s="153"/>
      <c r="G1102" s="137"/>
      <c r="H1102" s="158"/>
      <c r="L1102" s="98"/>
      <c r="M1102" s="79"/>
      <c r="N1102" s="139"/>
      <c r="P1102" s="138"/>
      <c r="Q1102" s="147"/>
      <c r="R1102" s="147"/>
      <c r="S1102" s="147"/>
      <c r="T1102" s="138">
        <f t="shared" si="76"/>
        <v>0</v>
      </c>
      <c r="U1102" s="138"/>
      <c r="V1102" s="147"/>
      <c r="W1102" s="148"/>
    </row>
    <row r="1103" spans="1:23" x14ac:dyDescent="0.25">
      <c r="A1103" s="140">
        <f t="shared" si="77"/>
        <v>53</v>
      </c>
      <c r="B1103" s="157"/>
      <c r="C1103" s="157"/>
      <c r="E1103" s="79"/>
      <c r="F1103" s="153"/>
      <c r="G1103" s="137"/>
      <c r="H1103" s="158"/>
      <c r="L1103" s="98"/>
      <c r="M1103" s="79"/>
      <c r="N1103" s="139"/>
      <c r="P1103" s="138"/>
      <c r="Q1103" s="147"/>
      <c r="R1103" s="147"/>
      <c r="S1103" s="147"/>
      <c r="T1103" s="138">
        <f t="shared" si="76"/>
        <v>0</v>
      </c>
      <c r="U1103" s="138"/>
      <c r="V1103" s="147"/>
      <c r="W1103" s="148"/>
    </row>
    <row r="1104" spans="1:23" x14ac:dyDescent="0.25">
      <c r="A1104" s="140">
        <f t="shared" si="77"/>
        <v>53</v>
      </c>
      <c r="B1104" s="157"/>
      <c r="C1104" s="157"/>
      <c r="E1104" s="79"/>
      <c r="F1104" s="153"/>
      <c r="G1104" s="137"/>
      <c r="H1104" s="158"/>
      <c r="L1104" s="98"/>
      <c r="M1104" s="79"/>
      <c r="N1104" s="139"/>
      <c r="P1104" s="138"/>
      <c r="Q1104" s="147"/>
      <c r="R1104" s="147"/>
      <c r="S1104" s="147"/>
      <c r="T1104" s="138">
        <f t="shared" si="76"/>
        <v>0</v>
      </c>
      <c r="U1104" s="138"/>
      <c r="V1104" s="147"/>
      <c r="W1104" s="148"/>
    </row>
    <row r="1105" spans="1:23" x14ac:dyDescent="0.25">
      <c r="A1105" s="140">
        <f t="shared" si="77"/>
        <v>53</v>
      </c>
      <c r="B1105" s="157"/>
      <c r="C1105" s="157"/>
      <c r="E1105" s="79"/>
      <c r="F1105" s="153"/>
      <c r="G1105" s="137"/>
      <c r="H1105" s="158"/>
      <c r="L1105" s="98"/>
      <c r="M1105" s="79"/>
      <c r="N1105" s="139"/>
      <c r="P1105" s="138"/>
      <c r="Q1105" s="147"/>
      <c r="R1105" s="147"/>
      <c r="S1105" s="147"/>
      <c r="T1105" s="138">
        <f t="shared" si="76"/>
        <v>0</v>
      </c>
      <c r="U1105" s="138"/>
      <c r="V1105" s="147"/>
      <c r="W1105" s="148"/>
    </row>
    <row r="1106" spans="1:23" x14ac:dyDescent="0.25">
      <c r="A1106" s="140">
        <f t="shared" si="77"/>
        <v>53</v>
      </c>
      <c r="B1106" s="157"/>
      <c r="C1106" s="157"/>
      <c r="E1106" s="79"/>
      <c r="F1106" s="153"/>
      <c r="G1106" s="137"/>
      <c r="H1106" s="158"/>
      <c r="L1106" s="98"/>
      <c r="M1106" s="79"/>
      <c r="N1106" s="139"/>
      <c r="P1106" s="138"/>
      <c r="Q1106" s="147"/>
      <c r="R1106" s="147"/>
      <c r="S1106" s="147"/>
      <c r="T1106" s="138">
        <f t="shared" si="76"/>
        <v>0</v>
      </c>
      <c r="U1106" s="138"/>
      <c r="V1106" s="147"/>
      <c r="W1106" s="148"/>
    </row>
    <row r="1107" spans="1:23" x14ac:dyDescent="0.25">
      <c r="A1107" s="140">
        <f t="shared" si="77"/>
        <v>53</v>
      </c>
      <c r="B1107" s="157"/>
      <c r="C1107" s="157"/>
      <c r="E1107" s="79"/>
      <c r="F1107" s="153"/>
      <c r="G1107" s="137"/>
      <c r="H1107" s="158"/>
      <c r="L1107" s="98"/>
      <c r="M1107" s="79"/>
      <c r="N1107" s="139"/>
      <c r="P1107" s="138"/>
      <c r="Q1107" s="147"/>
      <c r="R1107" s="147"/>
      <c r="S1107" s="147"/>
      <c r="T1107" s="138">
        <f t="shared" si="76"/>
        <v>0</v>
      </c>
      <c r="U1107" s="138"/>
      <c r="V1107" s="147"/>
      <c r="W1107" s="148"/>
    </row>
    <row r="1108" spans="1:23" x14ac:dyDescent="0.25">
      <c r="A1108" s="140">
        <f t="shared" si="77"/>
        <v>53</v>
      </c>
      <c r="B1108" s="157"/>
      <c r="C1108" s="157"/>
      <c r="E1108" s="79"/>
      <c r="F1108" s="153"/>
      <c r="G1108" s="137"/>
      <c r="H1108" s="158"/>
      <c r="L1108" s="98"/>
      <c r="M1108" s="79"/>
      <c r="N1108" s="139"/>
      <c r="P1108" s="138"/>
      <c r="Q1108" s="147"/>
      <c r="R1108" s="147"/>
      <c r="S1108" s="147"/>
      <c r="T1108" s="138">
        <f t="shared" si="76"/>
        <v>0</v>
      </c>
      <c r="U1108" s="138"/>
      <c r="V1108" s="147"/>
      <c r="W1108" s="148"/>
    </row>
    <row r="1109" spans="1:23" x14ac:dyDescent="0.25">
      <c r="A1109" s="140">
        <f t="shared" si="77"/>
        <v>53</v>
      </c>
      <c r="B1109" s="157"/>
      <c r="C1109" s="157"/>
      <c r="E1109" s="79"/>
      <c r="F1109" s="153"/>
      <c r="G1109" s="137"/>
      <c r="H1109" s="158"/>
      <c r="L1109" s="98"/>
      <c r="M1109" s="79"/>
      <c r="N1109" s="139"/>
      <c r="P1109" s="138"/>
      <c r="Q1109" s="147"/>
      <c r="R1109" s="147"/>
      <c r="S1109" s="147"/>
      <c r="T1109" s="138">
        <f t="shared" ref="T1109:T1172" si="78">R1109-Q1109</f>
        <v>0</v>
      </c>
      <c r="U1109" s="138"/>
      <c r="V1109" s="147"/>
      <c r="W1109" s="148"/>
    </row>
    <row r="1110" spans="1:23" x14ac:dyDescent="0.25">
      <c r="A1110" s="140">
        <f t="shared" si="77"/>
        <v>53</v>
      </c>
      <c r="B1110" s="157"/>
      <c r="C1110" s="157"/>
      <c r="E1110" s="79"/>
      <c r="F1110" s="153"/>
      <c r="G1110" s="137"/>
      <c r="H1110" s="158"/>
      <c r="L1110" s="98"/>
      <c r="M1110" s="79"/>
      <c r="N1110" s="139"/>
      <c r="P1110" s="138"/>
      <c r="Q1110" s="147"/>
      <c r="R1110" s="147"/>
      <c r="S1110" s="147"/>
      <c r="T1110" s="138">
        <f t="shared" si="78"/>
        <v>0</v>
      </c>
      <c r="U1110" s="138"/>
      <c r="V1110" s="147"/>
      <c r="W1110" s="148"/>
    </row>
    <row r="1111" spans="1:23" x14ac:dyDescent="0.25">
      <c r="A1111" s="140">
        <f t="shared" si="77"/>
        <v>53</v>
      </c>
      <c r="B1111" s="157"/>
      <c r="C1111" s="157"/>
      <c r="E1111" s="79"/>
      <c r="F1111" s="153"/>
      <c r="G1111" s="137"/>
      <c r="H1111" s="158"/>
      <c r="L1111" s="98"/>
      <c r="M1111" s="79"/>
      <c r="N1111" s="139"/>
      <c r="P1111" s="138"/>
      <c r="Q1111" s="147"/>
      <c r="R1111" s="147"/>
      <c r="S1111" s="147"/>
      <c r="T1111" s="138">
        <f t="shared" si="78"/>
        <v>0</v>
      </c>
      <c r="U1111" s="138"/>
      <c r="V1111" s="147"/>
      <c r="W1111" s="148"/>
    </row>
    <row r="1112" spans="1:23" x14ac:dyDescent="0.25">
      <c r="A1112" s="140">
        <f t="shared" si="77"/>
        <v>53</v>
      </c>
      <c r="B1112" s="157"/>
      <c r="C1112" s="157"/>
      <c r="E1112" s="79"/>
      <c r="F1112" s="153"/>
      <c r="G1112" s="137"/>
      <c r="H1112" s="158"/>
      <c r="L1112" s="98"/>
      <c r="M1112" s="79"/>
      <c r="N1112" s="139"/>
      <c r="P1112" s="138"/>
      <c r="Q1112" s="147"/>
      <c r="R1112" s="147"/>
      <c r="S1112" s="147"/>
      <c r="T1112" s="138">
        <f t="shared" si="78"/>
        <v>0</v>
      </c>
      <c r="U1112" s="138"/>
      <c r="V1112" s="147"/>
      <c r="W1112" s="148"/>
    </row>
    <row r="1113" spans="1:23" x14ac:dyDescent="0.25">
      <c r="A1113" s="140">
        <f t="shared" si="77"/>
        <v>53</v>
      </c>
      <c r="B1113" s="157"/>
      <c r="C1113" s="157"/>
      <c r="E1113" s="79"/>
      <c r="F1113" s="153"/>
      <c r="G1113" s="137"/>
      <c r="H1113" s="158"/>
      <c r="L1113" s="98"/>
      <c r="M1113" s="79"/>
      <c r="N1113" s="139"/>
      <c r="P1113" s="138"/>
      <c r="Q1113" s="147"/>
      <c r="R1113" s="147"/>
      <c r="S1113" s="147"/>
      <c r="T1113" s="138">
        <f t="shared" si="78"/>
        <v>0</v>
      </c>
      <c r="U1113" s="138"/>
      <c r="V1113" s="147"/>
      <c r="W1113" s="148"/>
    </row>
    <row r="1114" spans="1:23" x14ac:dyDescent="0.25">
      <c r="A1114" s="140">
        <f t="shared" si="77"/>
        <v>53</v>
      </c>
      <c r="B1114" s="157"/>
      <c r="C1114" s="157"/>
      <c r="E1114" s="79"/>
      <c r="F1114" s="153"/>
      <c r="G1114" s="137"/>
      <c r="H1114" s="158"/>
      <c r="L1114" s="98"/>
      <c r="M1114" s="79"/>
      <c r="N1114" s="139"/>
      <c r="P1114" s="138"/>
      <c r="Q1114" s="147"/>
      <c r="R1114" s="147"/>
      <c r="S1114" s="147"/>
      <c r="T1114" s="138">
        <f t="shared" si="78"/>
        <v>0</v>
      </c>
      <c r="U1114" s="138"/>
      <c r="V1114" s="147"/>
      <c r="W1114" s="148"/>
    </row>
    <row r="1115" spans="1:23" x14ac:dyDescent="0.25">
      <c r="A1115" s="140">
        <f t="shared" si="77"/>
        <v>53</v>
      </c>
      <c r="B1115" s="157"/>
      <c r="C1115" s="157"/>
      <c r="E1115" s="79"/>
      <c r="F1115" s="153"/>
      <c r="G1115" s="137"/>
      <c r="H1115" s="158"/>
      <c r="L1115" s="98"/>
      <c r="M1115" s="79"/>
      <c r="N1115" s="139"/>
      <c r="P1115" s="138"/>
      <c r="Q1115" s="147"/>
      <c r="R1115" s="147"/>
      <c r="S1115" s="147"/>
      <c r="T1115" s="138">
        <f t="shared" si="78"/>
        <v>0</v>
      </c>
      <c r="U1115" s="138"/>
      <c r="V1115" s="147"/>
      <c r="W1115" s="148"/>
    </row>
    <row r="1116" spans="1:23" x14ac:dyDescent="0.25">
      <c r="A1116" s="140">
        <f t="shared" si="77"/>
        <v>53</v>
      </c>
      <c r="B1116" s="157"/>
      <c r="C1116" s="157"/>
      <c r="E1116" s="79"/>
      <c r="F1116" s="153"/>
      <c r="G1116" s="137"/>
      <c r="H1116" s="158"/>
      <c r="L1116" s="98"/>
      <c r="M1116" s="79"/>
      <c r="N1116" s="139"/>
      <c r="P1116" s="138"/>
      <c r="Q1116" s="147"/>
      <c r="R1116" s="147"/>
      <c r="S1116" s="147"/>
      <c r="T1116" s="138">
        <f t="shared" si="78"/>
        <v>0</v>
      </c>
      <c r="U1116" s="138"/>
      <c r="V1116" s="147"/>
      <c r="W1116" s="148"/>
    </row>
    <row r="1117" spans="1:23" x14ac:dyDescent="0.25">
      <c r="A1117" s="140">
        <f t="shared" si="77"/>
        <v>53</v>
      </c>
      <c r="B1117" s="157"/>
      <c r="C1117" s="157"/>
      <c r="E1117" s="79"/>
      <c r="F1117" s="153"/>
      <c r="G1117" s="137"/>
      <c r="H1117" s="158"/>
      <c r="L1117" s="98"/>
      <c r="M1117" s="79"/>
      <c r="N1117" s="139"/>
      <c r="P1117" s="138"/>
      <c r="Q1117" s="147"/>
      <c r="R1117" s="147"/>
      <c r="S1117" s="147"/>
      <c r="T1117" s="138">
        <f t="shared" si="78"/>
        <v>0</v>
      </c>
      <c r="U1117" s="138"/>
      <c r="V1117" s="147"/>
      <c r="W1117" s="148"/>
    </row>
    <row r="1118" spans="1:23" x14ac:dyDescent="0.25">
      <c r="A1118" s="140">
        <f t="shared" si="77"/>
        <v>53</v>
      </c>
      <c r="B1118" s="157"/>
      <c r="C1118" s="157"/>
      <c r="E1118" s="79"/>
      <c r="F1118" s="153"/>
      <c r="G1118" s="137"/>
      <c r="H1118" s="158"/>
      <c r="L1118" s="98"/>
      <c r="M1118" s="79"/>
      <c r="N1118" s="139"/>
      <c r="P1118" s="138"/>
      <c r="Q1118" s="147"/>
      <c r="R1118" s="147"/>
      <c r="S1118" s="147"/>
      <c r="T1118" s="138">
        <f t="shared" si="78"/>
        <v>0</v>
      </c>
      <c r="U1118" s="138"/>
      <c r="V1118" s="147"/>
      <c r="W1118" s="148"/>
    </row>
    <row r="1119" spans="1:23" x14ac:dyDescent="0.25">
      <c r="A1119" s="140">
        <f t="shared" si="77"/>
        <v>53</v>
      </c>
      <c r="B1119" s="157"/>
      <c r="C1119" s="157"/>
      <c r="E1119" s="79"/>
      <c r="F1119" s="153"/>
      <c r="G1119" s="137"/>
      <c r="H1119" s="158"/>
      <c r="L1119" s="98"/>
      <c r="M1119" s="79"/>
      <c r="N1119" s="139"/>
      <c r="P1119" s="138"/>
      <c r="Q1119" s="147"/>
      <c r="R1119" s="147"/>
      <c r="S1119" s="147"/>
      <c r="T1119" s="138">
        <f t="shared" si="78"/>
        <v>0</v>
      </c>
      <c r="U1119" s="138"/>
      <c r="V1119" s="147"/>
      <c r="W1119" s="148"/>
    </row>
    <row r="1120" spans="1:23" x14ac:dyDescent="0.25">
      <c r="A1120" s="140">
        <f t="shared" si="77"/>
        <v>53</v>
      </c>
      <c r="B1120" s="157"/>
      <c r="C1120" s="157"/>
      <c r="E1120" s="79"/>
      <c r="F1120" s="153"/>
      <c r="G1120" s="137"/>
      <c r="H1120" s="158"/>
      <c r="L1120" s="98"/>
      <c r="M1120" s="79"/>
      <c r="N1120" s="139"/>
      <c r="P1120" s="138"/>
      <c r="Q1120" s="147"/>
      <c r="R1120" s="147"/>
      <c r="S1120" s="147"/>
      <c r="T1120" s="138">
        <f t="shared" si="78"/>
        <v>0</v>
      </c>
      <c r="U1120" s="138"/>
      <c r="V1120" s="147"/>
      <c r="W1120" s="148"/>
    </row>
    <row r="1121" spans="1:23" x14ac:dyDescent="0.25">
      <c r="A1121" s="140">
        <f t="shared" si="77"/>
        <v>53</v>
      </c>
      <c r="B1121" s="157"/>
      <c r="C1121" s="157"/>
      <c r="E1121" s="79"/>
      <c r="F1121" s="153"/>
      <c r="G1121" s="137"/>
      <c r="H1121" s="158"/>
      <c r="L1121" s="98"/>
      <c r="M1121" s="79"/>
      <c r="N1121" s="139"/>
      <c r="P1121" s="138"/>
      <c r="Q1121" s="147"/>
      <c r="R1121" s="147"/>
      <c r="S1121" s="147"/>
      <c r="T1121" s="138">
        <f t="shared" si="78"/>
        <v>0</v>
      </c>
      <c r="U1121" s="138"/>
      <c r="V1121" s="147"/>
      <c r="W1121" s="148"/>
    </row>
    <row r="1122" spans="1:23" x14ac:dyDescent="0.25">
      <c r="A1122" s="140">
        <f t="shared" si="77"/>
        <v>53</v>
      </c>
      <c r="B1122" s="157"/>
      <c r="C1122" s="157"/>
      <c r="E1122" s="79"/>
      <c r="F1122" s="153"/>
      <c r="G1122" s="137"/>
      <c r="H1122" s="158"/>
      <c r="L1122" s="98"/>
      <c r="M1122" s="79"/>
      <c r="N1122" s="139"/>
      <c r="P1122" s="138"/>
      <c r="Q1122" s="147"/>
      <c r="R1122" s="147"/>
      <c r="S1122" s="147"/>
      <c r="T1122" s="138">
        <f t="shared" si="78"/>
        <v>0</v>
      </c>
      <c r="U1122" s="138"/>
      <c r="V1122" s="147"/>
      <c r="W1122" s="148"/>
    </row>
    <row r="1123" spans="1:23" x14ac:dyDescent="0.25">
      <c r="A1123" s="140">
        <f t="shared" si="77"/>
        <v>53</v>
      </c>
      <c r="B1123" s="157"/>
      <c r="C1123" s="157"/>
      <c r="E1123" s="79"/>
      <c r="F1123" s="153"/>
      <c r="G1123" s="137"/>
      <c r="H1123" s="158"/>
      <c r="L1123" s="98"/>
      <c r="M1123" s="79"/>
      <c r="N1123" s="139"/>
      <c r="P1123" s="138"/>
      <c r="Q1123" s="147"/>
      <c r="R1123" s="147"/>
      <c r="S1123" s="147"/>
      <c r="T1123" s="138">
        <f t="shared" si="78"/>
        <v>0</v>
      </c>
      <c r="U1123" s="138"/>
      <c r="V1123" s="147"/>
      <c r="W1123" s="148"/>
    </row>
    <row r="1124" spans="1:23" x14ac:dyDescent="0.25">
      <c r="A1124" s="140">
        <f t="shared" si="77"/>
        <v>53</v>
      </c>
      <c r="B1124" s="157"/>
      <c r="C1124" s="157"/>
      <c r="E1124" s="79"/>
      <c r="F1124" s="153"/>
      <c r="G1124" s="137"/>
      <c r="H1124" s="158"/>
      <c r="L1124" s="98"/>
      <c r="M1124" s="79"/>
      <c r="N1124" s="139"/>
      <c r="P1124" s="138"/>
      <c r="Q1124" s="147"/>
      <c r="R1124" s="147"/>
      <c r="S1124" s="147"/>
      <c r="T1124" s="138">
        <f t="shared" si="78"/>
        <v>0</v>
      </c>
      <c r="U1124" s="138"/>
      <c r="V1124" s="147"/>
      <c r="W1124" s="148"/>
    </row>
    <row r="1125" spans="1:23" x14ac:dyDescent="0.25">
      <c r="A1125" s="140">
        <f t="shared" si="77"/>
        <v>53</v>
      </c>
      <c r="B1125" s="157"/>
      <c r="C1125" s="157"/>
      <c r="E1125" s="79"/>
      <c r="F1125" s="153"/>
      <c r="G1125" s="137"/>
      <c r="H1125" s="158"/>
      <c r="L1125" s="98"/>
      <c r="M1125" s="79"/>
      <c r="N1125" s="139"/>
      <c r="P1125" s="138"/>
      <c r="Q1125" s="147"/>
      <c r="R1125" s="147"/>
      <c r="S1125" s="147"/>
      <c r="T1125" s="138">
        <f t="shared" si="78"/>
        <v>0</v>
      </c>
      <c r="U1125" s="138"/>
      <c r="V1125" s="147"/>
      <c r="W1125" s="148"/>
    </row>
    <row r="1126" spans="1:23" x14ac:dyDescent="0.25">
      <c r="A1126" s="140">
        <f t="shared" si="77"/>
        <v>53</v>
      </c>
      <c r="B1126" s="157"/>
      <c r="C1126" s="157"/>
      <c r="E1126" s="79"/>
      <c r="F1126" s="153"/>
      <c r="G1126" s="137"/>
      <c r="H1126" s="158"/>
      <c r="L1126" s="98"/>
      <c r="M1126" s="79"/>
      <c r="N1126" s="139"/>
      <c r="P1126" s="138"/>
      <c r="Q1126" s="147"/>
      <c r="R1126" s="147"/>
      <c r="S1126" s="147"/>
      <c r="T1126" s="138">
        <f t="shared" si="78"/>
        <v>0</v>
      </c>
      <c r="U1126" s="138"/>
      <c r="V1126" s="147"/>
      <c r="W1126" s="148"/>
    </row>
    <row r="1127" spans="1:23" x14ac:dyDescent="0.25">
      <c r="A1127" s="140">
        <f t="shared" si="77"/>
        <v>53</v>
      </c>
      <c r="B1127" s="157"/>
      <c r="C1127" s="157"/>
      <c r="E1127" s="79"/>
      <c r="F1127" s="153"/>
      <c r="G1127" s="137"/>
      <c r="H1127" s="158"/>
      <c r="L1127" s="98"/>
      <c r="M1127" s="79"/>
      <c r="N1127" s="139"/>
      <c r="P1127" s="138"/>
      <c r="Q1127" s="147"/>
      <c r="R1127" s="147"/>
      <c r="S1127" s="147"/>
      <c r="T1127" s="138">
        <f t="shared" si="78"/>
        <v>0</v>
      </c>
      <c r="U1127" s="138"/>
      <c r="V1127" s="147"/>
      <c r="W1127" s="148"/>
    </row>
    <row r="1128" spans="1:23" x14ac:dyDescent="0.25">
      <c r="A1128" s="140">
        <f t="shared" si="77"/>
        <v>53</v>
      </c>
      <c r="B1128" s="157"/>
      <c r="C1128" s="157"/>
      <c r="E1128" s="79"/>
      <c r="F1128" s="153"/>
      <c r="G1128" s="137"/>
      <c r="H1128" s="158"/>
      <c r="L1128" s="98"/>
      <c r="M1128" s="79"/>
      <c r="N1128" s="139"/>
      <c r="P1128" s="138"/>
      <c r="Q1128" s="147"/>
      <c r="R1128" s="147"/>
      <c r="S1128" s="147"/>
      <c r="T1128" s="138">
        <f t="shared" si="78"/>
        <v>0</v>
      </c>
      <c r="U1128" s="138"/>
      <c r="V1128" s="147"/>
      <c r="W1128" s="148"/>
    </row>
    <row r="1129" spans="1:23" x14ac:dyDescent="0.25">
      <c r="A1129" s="140">
        <f t="shared" si="77"/>
        <v>53</v>
      </c>
      <c r="B1129" s="157"/>
      <c r="C1129" s="157"/>
      <c r="E1129" s="79"/>
      <c r="F1129" s="153"/>
      <c r="G1129" s="137"/>
      <c r="H1129" s="158"/>
      <c r="L1129" s="98"/>
      <c r="M1129" s="79"/>
      <c r="N1129" s="139"/>
      <c r="P1129" s="138"/>
      <c r="Q1129" s="147"/>
      <c r="R1129" s="147"/>
      <c r="S1129" s="147"/>
      <c r="T1129" s="138">
        <f t="shared" si="78"/>
        <v>0</v>
      </c>
      <c r="U1129" s="138"/>
      <c r="V1129" s="147"/>
      <c r="W1129" s="148"/>
    </row>
    <row r="1130" spans="1:23" x14ac:dyDescent="0.25">
      <c r="A1130" s="140">
        <f t="shared" si="77"/>
        <v>53</v>
      </c>
      <c r="B1130" s="157"/>
      <c r="C1130" s="157"/>
      <c r="E1130" s="79"/>
      <c r="F1130" s="153"/>
      <c r="G1130" s="137"/>
      <c r="H1130" s="158"/>
      <c r="L1130" s="98"/>
      <c r="M1130" s="79"/>
      <c r="N1130" s="139"/>
      <c r="P1130" s="138"/>
      <c r="Q1130" s="147"/>
      <c r="R1130" s="147"/>
      <c r="S1130" s="147"/>
      <c r="T1130" s="138">
        <f t="shared" si="78"/>
        <v>0</v>
      </c>
      <c r="U1130" s="138"/>
      <c r="V1130" s="147"/>
      <c r="W1130" s="148"/>
    </row>
    <row r="1131" spans="1:23" x14ac:dyDescent="0.25">
      <c r="A1131" s="140">
        <f t="shared" si="77"/>
        <v>53</v>
      </c>
      <c r="B1131" s="157"/>
      <c r="C1131" s="157"/>
      <c r="E1131" s="79"/>
      <c r="F1131" s="153"/>
      <c r="G1131" s="137"/>
      <c r="H1131" s="158"/>
      <c r="L1131" s="98"/>
      <c r="M1131" s="79"/>
      <c r="N1131" s="139"/>
      <c r="P1131" s="138"/>
      <c r="Q1131" s="147"/>
      <c r="R1131" s="147"/>
      <c r="S1131" s="147"/>
      <c r="T1131" s="138">
        <f t="shared" si="78"/>
        <v>0</v>
      </c>
      <c r="U1131" s="138"/>
      <c r="V1131" s="147"/>
      <c r="W1131" s="148"/>
    </row>
    <row r="1132" spans="1:23" x14ac:dyDescent="0.25">
      <c r="A1132" s="140">
        <f t="shared" si="77"/>
        <v>53</v>
      </c>
      <c r="B1132" s="157"/>
      <c r="C1132" s="157"/>
      <c r="E1132" s="79"/>
      <c r="F1132" s="153"/>
      <c r="G1132" s="137"/>
      <c r="H1132" s="158"/>
      <c r="L1132" s="98"/>
      <c r="M1132" s="79"/>
      <c r="N1132" s="139"/>
      <c r="P1132" s="138"/>
      <c r="Q1132" s="147"/>
      <c r="R1132" s="147"/>
      <c r="S1132" s="147"/>
      <c r="T1132" s="138">
        <f t="shared" si="78"/>
        <v>0</v>
      </c>
      <c r="U1132" s="138"/>
      <c r="V1132" s="147"/>
      <c r="W1132" s="148"/>
    </row>
    <row r="1133" spans="1:23" x14ac:dyDescent="0.25">
      <c r="A1133" s="140">
        <f t="shared" si="77"/>
        <v>53</v>
      </c>
      <c r="B1133" s="157"/>
      <c r="C1133" s="157"/>
      <c r="E1133" s="79"/>
      <c r="F1133" s="153"/>
      <c r="G1133" s="137"/>
      <c r="H1133" s="158"/>
      <c r="L1133" s="98"/>
      <c r="M1133" s="79"/>
      <c r="N1133" s="139"/>
      <c r="P1133" s="138"/>
      <c r="Q1133" s="147"/>
      <c r="R1133" s="147"/>
      <c r="S1133" s="147"/>
      <c r="T1133" s="138">
        <f t="shared" si="78"/>
        <v>0</v>
      </c>
      <c r="U1133" s="138"/>
      <c r="V1133" s="147"/>
      <c r="W1133" s="148"/>
    </row>
    <row r="1134" spans="1:23" x14ac:dyDescent="0.25">
      <c r="A1134" s="140">
        <f t="shared" si="77"/>
        <v>53</v>
      </c>
      <c r="B1134" s="157"/>
      <c r="C1134" s="157"/>
      <c r="E1134" s="79"/>
      <c r="F1134" s="153"/>
      <c r="G1134" s="137"/>
      <c r="H1134" s="158"/>
      <c r="L1134" s="98"/>
      <c r="M1134" s="79"/>
      <c r="N1134" s="139"/>
      <c r="P1134" s="138"/>
      <c r="Q1134" s="147"/>
      <c r="R1134" s="147"/>
      <c r="S1134" s="147"/>
      <c r="T1134" s="138">
        <f t="shared" si="78"/>
        <v>0</v>
      </c>
      <c r="U1134" s="138"/>
      <c r="V1134" s="147"/>
      <c r="W1134" s="148"/>
    </row>
    <row r="1135" spans="1:23" x14ac:dyDescent="0.25">
      <c r="A1135" s="140">
        <f t="shared" si="77"/>
        <v>53</v>
      </c>
      <c r="B1135" s="157"/>
      <c r="C1135" s="157"/>
      <c r="E1135" s="79"/>
      <c r="F1135" s="153"/>
      <c r="G1135" s="137"/>
      <c r="H1135" s="158"/>
      <c r="L1135" s="98"/>
      <c r="M1135" s="79"/>
      <c r="N1135" s="139"/>
      <c r="P1135" s="138"/>
      <c r="Q1135" s="147"/>
      <c r="R1135" s="147"/>
      <c r="S1135" s="147"/>
      <c r="T1135" s="138">
        <f t="shared" si="78"/>
        <v>0</v>
      </c>
      <c r="U1135" s="138"/>
      <c r="V1135" s="147"/>
      <c r="W1135" s="148"/>
    </row>
    <row r="1136" spans="1:23" x14ac:dyDescent="0.25">
      <c r="A1136" s="140">
        <f t="shared" si="77"/>
        <v>53</v>
      </c>
      <c r="B1136" s="157"/>
      <c r="C1136" s="157"/>
      <c r="E1136" s="79"/>
      <c r="F1136" s="153"/>
      <c r="G1136" s="137"/>
      <c r="H1136" s="158"/>
      <c r="L1136" s="98"/>
      <c r="M1136" s="79"/>
      <c r="N1136" s="139"/>
      <c r="P1136" s="138"/>
      <c r="Q1136" s="147"/>
      <c r="R1136" s="147"/>
      <c r="S1136" s="147"/>
      <c r="T1136" s="138">
        <f t="shared" si="78"/>
        <v>0</v>
      </c>
      <c r="U1136" s="138"/>
      <c r="V1136" s="147"/>
      <c r="W1136" s="148"/>
    </row>
    <row r="1137" spans="1:23" x14ac:dyDescent="0.25">
      <c r="A1137" s="140">
        <f t="shared" si="77"/>
        <v>53</v>
      </c>
      <c r="B1137" s="157"/>
      <c r="C1137" s="157"/>
      <c r="E1137" s="79"/>
      <c r="F1137" s="153"/>
      <c r="G1137" s="137"/>
      <c r="H1137" s="158"/>
      <c r="L1137" s="98"/>
      <c r="M1137" s="79"/>
      <c r="N1137" s="139"/>
      <c r="P1137" s="138"/>
      <c r="Q1137" s="147"/>
      <c r="R1137" s="147"/>
      <c r="S1137" s="147"/>
      <c r="T1137" s="138">
        <f t="shared" si="78"/>
        <v>0</v>
      </c>
      <c r="U1137" s="138"/>
      <c r="V1137" s="147"/>
      <c r="W1137" s="148"/>
    </row>
    <row r="1138" spans="1:23" x14ac:dyDescent="0.25">
      <c r="A1138" s="140">
        <f t="shared" si="77"/>
        <v>53</v>
      </c>
      <c r="B1138" s="157"/>
      <c r="C1138" s="157"/>
      <c r="E1138" s="79"/>
      <c r="F1138" s="153"/>
      <c r="G1138" s="137"/>
      <c r="H1138" s="158"/>
      <c r="L1138" s="98"/>
      <c r="M1138" s="79"/>
      <c r="N1138" s="139"/>
      <c r="P1138" s="138"/>
      <c r="Q1138" s="147"/>
      <c r="R1138" s="147"/>
      <c r="S1138" s="147"/>
      <c r="T1138" s="138">
        <f t="shared" si="78"/>
        <v>0</v>
      </c>
      <c r="U1138" s="138"/>
      <c r="V1138" s="147"/>
      <c r="W1138" s="148"/>
    </row>
    <row r="1139" spans="1:23" x14ac:dyDescent="0.25">
      <c r="A1139" s="140">
        <f t="shared" si="77"/>
        <v>53</v>
      </c>
      <c r="B1139" s="157"/>
      <c r="C1139" s="157"/>
      <c r="E1139" s="79"/>
      <c r="F1139" s="153"/>
      <c r="G1139" s="137"/>
      <c r="H1139" s="158"/>
      <c r="L1139" s="98"/>
      <c r="M1139" s="79"/>
      <c r="N1139" s="139"/>
      <c r="P1139" s="138"/>
      <c r="Q1139" s="147"/>
      <c r="R1139" s="147"/>
      <c r="S1139" s="147"/>
      <c r="T1139" s="138">
        <f t="shared" si="78"/>
        <v>0</v>
      </c>
      <c r="U1139" s="138"/>
      <c r="V1139" s="147"/>
      <c r="W1139" s="148"/>
    </row>
    <row r="1140" spans="1:23" x14ac:dyDescent="0.25">
      <c r="A1140" s="140">
        <f t="shared" si="77"/>
        <v>53</v>
      </c>
      <c r="B1140" s="157"/>
      <c r="C1140" s="157"/>
      <c r="E1140" s="79"/>
      <c r="F1140" s="153"/>
      <c r="G1140" s="137"/>
      <c r="H1140" s="158"/>
      <c r="L1140" s="98"/>
      <c r="M1140" s="79"/>
      <c r="N1140" s="139"/>
      <c r="P1140" s="138"/>
      <c r="Q1140" s="147"/>
      <c r="R1140" s="147"/>
      <c r="S1140" s="147"/>
      <c r="T1140" s="138">
        <f t="shared" si="78"/>
        <v>0</v>
      </c>
      <c r="U1140" s="138"/>
      <c r="V1140" s="147"/>
      <c r="W1140" s="148"/>
    </row>
    <row r="1141" spans="1:23" x14ac:dyDescent="0.25">
      <c r="A1141" s="140">
        <f t="shared" si="77"/>
        <v>53</v>
      </c>
      <c r="B1141" s="157"/>
      <c r="C1141" s="157"/>
      <c r="E1141" s="79"/>
      <c r="F1141" s="153"/>
      <c r="G1141" s="137"/>
      <c r="H1141" s="158"/>
      <c r="L1141" s="98"/>
      <c r="M1141" s="79"/>
      <c r="N1141" s="139"/>
      <c r="P1141" s="138"/>
      <c r="Q1141" s="147"/>
      <c r="R1141" s="147"/>
      <c r="S1141" s="147"/>
      <c r="T1141" s="138">
        <f t="shared" si="78"/>
        <v>0</v>
      </c>
      <c r="U1141" s="138"/>
      <c r="V1141" s="147"/>
      <c r="W1141" s="148"/>
    </row>
    <row r="1142" spans="1:23" x14ac:dyDescent="0.25">
      <c r="A1142" s="140">
        <f t="shared" si="77"/>
        <v>53</v>
      </c>
      <c r="B1142" s="157"/>
      <c r="C1142" s="157"/>
      <c r="E1142" s="79"/>
      <c r="F1142" s="153"/>
      <c r="G1142" s="137"/>
      <c r="H1142" s="158"/>
      <c r="L1142" s="98"/>
      <c r="M1142" s="79"/>
      <c r="N1142" s="139"/>
      <c r="P1142" s="138"/>
      <c r="Q1142" s="147"/>
      <c r="R1142" s="147"/>
      <c r="S1142" s="147"/>
      <c r="T1142" s="138">
        <f t="shared" si="78"/>
        <v>0</v>
      </c>
      <c r="U1142" s="138"/>
      <c r="V1142" s="147"/>
      <c r="W1142" s="148"/>
    </row>
    <row r="1143" spans="1:23" x14ac:dyDescent="0.25">
      <c r="A1143" s="140">
        <f t="shared" si="77"/>
        <v>53</v>
      </c>
      <c r="B1143" s="157"/>
      <c r="C1143" s="157"/>
      <c r="E1143" s="79"/>
      <c r="F1143" s="153"/>
      <c r="G1143" s="137"/>
      <c r="H1143" s="158"/>
      <c r="L1143" s="98"/>
      <c r="M1143" s="79"/>
      <c r="N1143" s="139"/>
      <c r="P1143" s="138"/>
      <c r="Q1143" s="147"/>
      <c r="R1143" s="147"/>
      <c r="S1143" s="147"/>
      <c r="T1143" s="138">
        <f t="shared" si="78"/>
        <v>0</v>
      </c>
      <c r="U1143" s="138"/>
      <c r="V1143" s="147"/>
      <c r="W1143" s="148"/>
    </row>
    <row r="1144" spans="1:23" x14ac:dyDescent="0.25">
      <c r="A1144" s="140">
        <f t="shared" si="77"/>
        <v>53</v>
      </c>
      <c r="B1144" s="157"/>
      <c r="C1144" s="157"/>
      <c r="E1144" s="79"/>
      <c r="F1144" s="153"/>
      <c r="G1144" s="137"/>
      <c r="H1144" s="158"/>
      <c r="L1144" s="98"/>
      <c r="M1144" s="79"/>
      <c r="N1144" s="139"/>
      <c r="P1144" s="138"/>
      <c r="Q1144" s="147"/>
      <c r="R1144" s="147"/>
      <c r="S1144" s="147"/>
      <c r="T1144" s="138">
        <f t="shared" si="78"/>
        <v>0</v>
      </c>
      <c r="U1144" s="138"/>
      <c r="V1144" s="147"/>
      <c r="W1144" s="148"/>
    </row>
    <row r="1145" spans="1:23" x14ac:dyDescent="0.25">
      <c r="A1145" s="140">
        <f t="shared" si="77"/>
        <v>53</v>
      </c>
      <c r="B1145" s="157"/>
      <c r="C1145" s="157"/>
      <c r="E1145" s="79"/>
      <c r="F1145" s="153"/>
      <c r="G1145" s="137"/>
      <c r="H1145" s="158"/>
      <c r="L1145" s="98"/>
      <c r="M1145" s="79"/>
      <c r="N1145" s="139"/>
      <c r="P1145" s="138"/>
      <c r="Q1145" s="147"/>
      <c r="R1145" s="147"/>
      <c r="S1145" s="147"/>
      <c r="T1145" s="138">
        <f t="shared" si="78"/>
        <v>0</v>
      </c>
      <c r="U1145" s="138"/>
      <c r="V1145" s="147"/>
      <c r="W1145" s="148"/>
    </row>
    <row r="1146" spans="1:23" x14ac:dyDescent="0.25">
      <c r="A1146" s="140">
        <f t="shared" si="77"/>
        <v>53</v>
      </c>
      <c r="B1146" s="157"/>
      <c r="C1146" s="157"/>
      <c r="E1146" s="79"/>
      <c r="F1146" s="153"/>
      <c r="G1146" s="137"/>
      <c r="H1146" s="158"/>
      <c r="L1146" s="98"/>
      <c r="M1146" s="79"/>
      <c r="N1146" s="139"/>
      <c r="P1146" s="138"/>
      <c r="Q1146" s="147"/>
      <c r="R1146" s="147"/>
      <c r="S1146" s="147"/>
      <c r="T1146" s="138">
        <f t="shared" si="78"/>
        <v>0</v>
      </c>
      <c r="U1146" s="138"/>
      <c r="V1146" s="147"/>
      <c r="W1146" s="148"/>
    </row>
    <row r="1147" spans="1:23" x14ac:dyDescent="0.25">
      <c r="A1147" s="140">
        <f t="shared" si="77"/>
        <v>53</v>
      </c>
      <c r="B1147" s="157"/>
      <c r="C1147" s="157"/>
      <c r="E1147" s="79"/>
      <c r="F1147" s="153"/>
      <c r="G1147" s="137"/>
      <c r="H1147" s="158"/>
      <c r="L1147" s="98"/>
      <c r="M1147" s="79"/>
      <c r="N1147" s="139"/>
      <c r="P1147" s="138"/>
      <c r="Q1147" s="147"/>
      <c r="R1147" s="147"/>
      <c r="S1147" s="147"/>
      <c r="T1147" s="138">
        <f t="shared" si="78"/>
        <v>0</v>
      </c>
      <c r="U1147" s="138"/>
      <c r="V1147" s="147"/>
      <c r="W1147" s="148"/>
    </row>
    <row r="1148" spans="1:23" x14ac:dyDescent="0.25">
      <c r="A1148" s="140">
        <f t="shared" si="77"/>
        <v>53</v>
      </c>
      <c r="B1148" s="157"/>
      <c r="C1148" s="157"/>
      <c r="E1148" s="79"/>
      <c r="F1148" s="153"/>
      <c r="G1148" s="137"/>
      <c r="H1148" s="158"/>
      <c r="L1148" s="98"/>
      <c r="M1148" s="79"/>
      <c r="N1148" s="139"/>
      <c r="P1148" s="138"/>
      <c r="Q1148" s="147"/>
      <c r="R1148" s="147"/>
      <c r="S1148" s="147"/>
      <c r="T1148" s="138">
        <f t="shared" si="78"/>
        <v>0</v>
      </c>
      <c r="U1148" s="138"/>
      <c r="V1148" s="147"/>
      <c r="W1148" s="148"/>
    </row>
    <row r="1149" spans="1:23" x14ac:dyDescent="0.25">
      <c r="A1149" s="140">
        <f t="shared" si="77"/>
        <v>53</v>
      </c>
      <c r="B1149" s="157"/>
      <c r="C1149" s="157"/>
      <c r="E1149" s="79"/>
      <c r="F1149" s="153"/>
      <c r="G1149" s="137"/>
      <c r="H1149" s="158"/>
      <c r="L1149" s="98"/>
      <c r="M1149" s="79"/>
      <c r="N1149" s="139"/>
      <c r="P1149" s="138"/>
      <c r="Q1149" s="147"/>
      <c r="R1149" s="147"/>
      <c r="S1149" s="147"/>
      <c r="T1149" s="138">
        <f t="shared" si="78"/>
        <v>0</v>
      </c>
      <c r="U1149" s="138"/>
      <c r="V1149" s="147"/>
      <c r="W1149" s="148"/>
    </row>
    <row r="1150" spans="1:23" x14ac:dyDescent="0.25">
      <c r="A1150" s="140">
        <f t="shared" si="77"/>
        <v>53</v>
      </c>
      <c r="B1150" s="157"/>
      <c r="C1150" s="157"/>
      <c r="E1150" s="79"/>
      <c r="F1150" s="153"/>
      <c r="G1150" s="137"/>
      <c r="H1150" s="158"/>
      <c r="L1150" s="98"/>
      <c r="M1150" s="79"/>
      <c r="N1150" s="139"/>
      <c r="P1150" s="138"/>
      <c r="Q1150" s="147"/>
      <c r="R1150" s="147"/>
      <c r="S1150" s="147"/>
      <c r="T1150" s="138">
        <f t="shared" si="78"/>
        <v>0</v>
      </c>
      <c r="U1150" s="138"/>
      <c r="V1150" s="147"/>
      <c r="W1150" s="148"/>
    </row>
    <row r="1151" spans="1:23" x14ac:dyDescent="0.25">
      <c r="A1151" s="140">
        <f t="shared" si="77"/>
        <v>53</v>
      </c>
      <c r="B1151" s="157"/>
      <c r="C1151" s="157"/>
      <c r="E1151" s="79"/>
      <c r="F1151" s="153"/>
      <c r="G1151" s="137"/>
      <c r="H1151" s="158"/>
      <c r="L1151" s="98"/>
      <c r="M1151" s="79"/>
      <c r="N1151" s="139"/>
      <c r="P1151" s="138"/>
      <c r="Q1151" s="147"/>
      <c r="R1151" s="147"/>
      <c r="S1151" s="147"/>
      <c r="T1151" s="138">
        <f t="shared" si="78"/>
        <v>0</v>
      </c>
      <c r="U1151" s="138"/>
      <c r="V1151" s="147"/>
      <c r="W1151" s="148"/>
    </row>
    <row r="1152" spans="1:23" x14ac:dyDescent="0.25">
      <c r="A1152" s="140">
        <f t="shared" si="77"/>
        <v>53</v>
      </c>
      <c r="B1152" s="157"/>
      <c r="C1152" s="157"/>
      <c r="E1152" s="79"/>
      <c r="F1152" s="153"/>
      <c r="G1152" s="137"/>
      <c r="H1152" s="158"/>
      <c r="L1152" s="98"/>
      <c r="M1152" s="79"/>
      <c r="N1152" s="139"/>
      <c r="P1152" s="138"/>
      <c r="Q1152" s="147"/>
      <c r="R1152" s="147"/>
      <c r="S1152" s="147"/>
      <c r="T1152" s="138">
        <f t="shared" si="78"/>
        <v>0</v>
      </c>
      <c r="U1152" s="138"/>
      <c r="V1152" s="147"/>
      <c r="W1152" s="148"/>
    </row>
    <row r="1153" spans="1:23" x14ac:dyDescent="0.25">
      <c r="A1153" s="140">
        <f t="shared" si="77"/>
        <v>53</v>
      </c>
      <c r="B1153" s="157"/>
      <c r="C1153" s="157"/>
      <c r="E1153" s="79"/>
      <c r="F1153" s="153"/>
      <c r="G1153" s="137"/>
      <c r="H1153" s="158"/>
      <c r="L1153" s="98"/>
      <c r="M1153" s="79"/>
      <c r="N1153" s="139"/>
      <c r="P1153" s="138"/>
      <c r="Q1153" s="147"/>
      <c r="R1153" s="147"/>
      <c r="S1153" s="147"/>
      <c r="T1153" s="138">
        <f t="shared" si="78"/>
        <v>0</v>
      </c>
      <c r="U1153" s="138"/>
      <c r="V1153" s="147"/>
      <c r="W1153" s="148"/>
    </row>
    <row r="1154" spans="1:23" x14ac:dyDescent="0.25">
      <c r="A1154" s="140">
        <f t="shared" si="77"/>
        <v>53</v>
      </c>
      <c r="B1154" s="157"/>
      <c r="C1154" s="157"/>
      <c r="E1154" s="79"/>
      <c r="F1154" s="153"/>
      <c r="G1154" s="137"/>
      <c r="H1154" s="158"/>
      <c r="L1154" s="98"/>
      <c r="M1154" s="79"/>
      <c r="N1154" s="139"/>
      <c r="P1154" s="138"/>
      <c r="Q1154" s="147"/>
      <c r="R1154" s="147"/>
      <c r="S1154" s="147"/>
      <c r="T1154" s="138">
        <f t="shared" si="78"/>
        <v>0</v>
      </c>
      <c r="U1154" s="138"/>
      <c r="V1154" s="147"/>
      <c r="W1154" s="148"/>
    </row>
    <row r="1155" spans="1:23" x14ac:dyDescent="0.25">
      <c r="A1155" s="140">
        <f t="shared" si="77"/>
        <v>53</v>
      </c>
      <c r="B1155" s="157"/>
      <c r="C1155" s="157"/>
      <c r="E1155" s="79"/>
      <c r="F1155" s="153"/>
      <c r="G1155" s="137"/>
      <c r="H1155" s="158"/>
      <c r="L1155" s="98"/>
      <c r="M1155" s="79"/>
      <c r="N1155" s="139"/>
      <c r="P1155" s="138"/>
      <c r="Q1155" s="147"/>
      <c r="R1155" s="147"/>
      <c r="S1155" s="147"/>
      <c r="T1155" s="138">
        <f t="shared" si="78"/>
        <v>0</v>
      </c>
      <c r="U1155" s="138"/>
      <c r="V1155" s="147"/>
      <c r="W1155" s="148"/>
    </row>
    <row r="1156" spans="1:23" x14ac:dyDescent="0.25">
      <c r="A1156" s="140">
        <f t="shared" si="77"/>
        <v>53</v>
      </c>
      <c r="B1156" s="157"/>
      <c r="C1156" s="157"/>
      <c r="E1156" s="79"/>
      <c r="F1156" s="153"/>
      <c r="G1156" s="137"/>
      <c r="H1156" s="158"/>
      <c r="L1156" s="98"/>
      <c r="M1156" s="79"/>
      <c r="N1156" s="139"/>
      <c r="P1156" s="138"/>
      <c r="Q1156" s="147"/>
      <c r="R1156" s="147"/>
      <c r="S1156" s="147"/>
      <c r="T1156" s="138">
        <f t="shared" si="78"/>
        <v>0</v>
      </c>
      <c r="U1156" s="138"/>
      <c r="V1156" s="147"/>
      <c r="W1156" s="148"/>
    </row>
    <row r="1157" spans="1:23" x14ac:dyDescent="0.25">
      <c r="A1157" s="140">
        <f t="shared" si="77"/>
        <v>53</v>
      </c>
      <c r="B1157" s="157"/>
      <c r="C1157" s="157"/>
      <c r="E1157" s="79"/>
      <c r="F1157" s="153"/>
      <c r="G1157" s="137"/>
      <c r="H1157" s="158"/>
      <c r="L1157" s="98"/>
      <c r="M1157" s="79"/>
      <c r="N1157" s="139"/>
      <c r="P1157" s="138"/>
      <c r="Q1157" s="147"/>
      <c r="R1157" s="147"/>
      <c r="S1157" s="147"/>
      <c r="T1157" s="138">
        <f t="shared" si="78"/>
        <v>0</v>
      </c>
      <c r="U1157" s="138"/>
      <c r="V1157" s="147"/>
      <c r="W1157" s="148"/>
    </row>
    <row r="1158" spans="1:23" x14ac:dyDescent="0.25">
      <c r="A1158" s="140">
        <f t="shared" si="77"/>
        <v>53</v>
      </c>
      <c r="B1158" s="157"/>
      <c r="C1158" s="157"/>
      <c r="E1158" s="79"/>
      <c r="F1158" s="153"/>
      <c r="G1158" s="137"/>
      <c r="H1158" s="158"/>
      <c r="L1158" s="98"/>
      <c r="M1158" s="79"/>
      <c r="N1158" s="139"/>
      <c r="P1158" s="138"/>
      <c r="Q1158" s="147"/>
      <c r="R1158" s="147"/>
      <c r="S1158" s="147"/>
      <c r="T1158" s="138">
        <f t="shared" si="78"/>
        <v>0</v>
      </c>
      <c r="U1158" s="138"/>
      <c r="V1158" s="147"/>
      <c r="W1158" s="148"/>
    </row>
    <row r="1159" spans="1:23" x14ac:dyDescent="0.25">
      <c r="A1159" s="140">
        <f t="shared" ref="A1159:A1222" si="79">WEEKNUM(B1159,21)</f>
        <v>53</v>
      </c>
      <c r="B1159" s="157"/>
      <c r="C1159" s="157"/>
      <c r="E1159" s="79"/>
      <c r="F1159" s="153"/>
      <c r="G1159" s="137"/>
      <c r="H1159" s="158"/>
      <c r="L1159" s="98"/>
      <c r="M1159" s="79"/>
      <c r="N1159" s="139"/>
      <c r="P1159" s="138"/>
      <c r="Q1159" s="147"/>
      <c r="R1159" s="147"/>
      <c r="S1159" s="147"/>
      <c r="T1159" s="138">
        <f t="shared" si="78"/>
        <v>0</v>
      </c>
      <c r="U1159" s="138"/>
      <c r="V1159" s="147"/>
      <c r="W1159" s="148"/>
    </row>
    <row r="1160" spans="1:23" x14ac:dyDescent="0.25">
      <c r="A1160" s="140">
        <f t="shared" si="79"/>
        <v>53</v>
      </c>
      <c r="B1160" s="157"/>
      <c r="C1160" s="157"/>
      <c r="E1160" s="79"/>
      <c r="F1160" s="153"/>
      <c r="G1160" s="137"/>
      <c r="H1160" s="158"/>
      <c r="L1160" s="98"/>
      <c r="M1160" s="79"/>
      <c r="N1160" s="139"/>
      <c r="P1160" s="138"/>
      <c r="Q1160" s="147"/>
      <c r="R1160" s="147"/>
      <c r="S1160" s="147"/>
      <c r="T1160" s="138">
        <f t="shared" si="78"/>
        <v>0</v>
      </c>
      <c r="U1160" s="138"/>
      <c r="V1160" s="147"/>
      <c r="W1160" s="148"/>
    </row>
    <row r="1161" spans="1:23" x14ac:dyDescent="0.25">
      <c r="A1161" s="140">
        <f t="shared" si="79"/>
        <v>53</v>
      </c>
      <c r="B1161" s="157"/>
      <c r="C1161" s="157"/>
      <c r="E1161" s="79"/>
      <c r="F1161" s="153"/>
      <c r="G1161" s="137"/>
      <c r="H1161" s="158"/>
      <c r="L1161" s="98"/>
      <c r="M1161" s="79"/>
      <c r="N1161" s="139"/>
      <c r="P1161" s="138"/>
      <c r="Q1161" s="147"/>
      <c r="R1161" s="147"/>
      <c r="S1161" s="147"/>
      <c r="T1161" s="138">
        <f t="shared" si="78"/>
        <v>0</v>
      </c>
      <c r="U1161" s="138"/>
      <c r="V1161" s="147"/>
      <c r="W1161" s="148"/>
    </row>
    <row r="1162" spans="1:23" x14ac:dyDescent="0.25">
      <c r="A1162" s="140">
        <f t="shared" si="79"/>
        <v>53</v>
      </c>
      <c r="B1162" s="157"/>
      <c r="C1162" s="157"/>
      <c r="E1162" s="79"/>
      <c r="F1162" s="153"/>
      <c r="G1162" s="137"/>
      <c r="H1162" s="158"/>
      <c r="L1162" s="98"/>
      <c r="M1162" s="79"/>
      <c r="N1162" s="139"/>
      <c r="P1162" s="138"/>
      <c r="Q1162" s="147"/>
      <c r="R1162" s="147"/>
      <c r="S1162" s="147"/>
      <c r="T1162" s="138">
        <f t="shared" si="78"/>
        <v>0</v>
      </c>
      <c r="U1162" s="138"/>
      <c r="V1162" s="147"/>
      <c r="W1162" s="148"/>
    </row>
    <row r="1163" spans="1:23" x14ac:dyDescent="0.25">
      <c r="A1163" s="140">
        <f t="shared" si="79"/>
        <v>53</v>
      </c>
      <c r="B1163" s="157"/>
      <c r="C1163" s="157"/>
      <c r="E1163" s="79"/>
      <c r="F1163" s="153"/>
      <c r="G1163" s="137"/>
      <c r="H1163" s="158"/>
      <c r="L1163" s="98"/>
      <c r="M1163" s="79"/>
      <c r="N1163" s="139"/>
      <c r="P1163" s="138"/>
      <c r="Q1163" s="147"/>
      <c r="R1163" s="147"/>
      <c r="S1163" s="147"/>
      <c r="T1163" s="138">
        <f t="shared" si="78"/>
        <v>0</v>
      </c>
      <c r="U1163" s="138"/>
      <c r="V1163" s="147"/>
      <c r="W1163" s="148"/>
    </row>
    <row r="1164" spans="1:23" x14ac:dyDescent="0.25">
      <c r="A1164" s="140">
        <f t="shared" si="79"/>
        <v>53</v>
      </c>
      <c r="B1164" s="157"/>
      <c r="C1164" s="157"/>
      <c r="E1164" s="79"/>
      <c r="F1164" s="153"/>
      <c r="G1164" s="137"/>
      <c r="H1164" s="158"/>
      <c r="L1164" s="98"/>
      <c r="M1164" s="79"/>
      <c r="N1164" s="139"/>
      <c r="P1164" s="138"/>
      <c r="Q1164" s="147"/>
      <c r="R1164" s="147"/>
      <c r="S1164" s="147"/>
      <c r="T1164" s="138">
        <f t="shared" si="78"/>
        <v>0</v>
      </c>
      <c r="U1164" s="138"/>
      <c r="V1164" s="147"/>
      <c r="W1164" s="148"/>
    </row>
    <row r="1165" spans="1:23" x14ac:dyDescent="0.25">
      <c r="A1165" s="140">
        <f t="shared" si="79"/>
        <v>53</v>
      </c>
      <c r="B1165" s="157"/>
      <c r="C1165" s="157"/>
      <c r="E1165" s="79"/>
      <c r="F1165" s="153"/>
      <c r="G1165" s="137"/>
      <c r="H1165" s="158"/>
      <c r="L1165" s="98"/>
      <c r="M1165" s="79"/>
      <c r="N1165" s="139"/>
      <c r="P1165" s="138"/>
      <c r="Q1165" s="147"/>
      <c r="R1165" s="147"/>
      <c r="S1165" s="147"/>
      <c r="T1165" s="138">
        <f t="shared" si="78"/>
        <v>0</v>
      </c>
      <c r="U1165" s="138"/>
      <c r="V1165" s="147"/>
      <c r="W1165" s="148"/>
    </row>
    <row r="1166" spans="1:23" x14ac:dyDescent="0.25">
      <c r="A1166" s="140">
        <f t="shared" si="79"/>
        <v>53</v>
      </c>
      <c r="B1166" s="157"/>
      <c r="C1166" s="157"/>
      <c r="E1166" s="79"/>
      <c r="F1166" s="153"/>
      <c r="G1166" s="137"/>
      <c r="H1166" s="158"/>
      <c r="L1166" s="98"/>
      <c r="M1166" s="79"/>
      <c r="N1166" s="139"/>
      <c r="P1166" s="138"/>
      <c r="Q1166" s="147"/>
      <c r="R1166" s="147"/>
      <c r="S1166" s="147"/>
      <c r="T1166" s="138">
        <f t="shared" si="78"/>
        <v>0</v>
      </c>
      <c r="U1166" s="138"/>
      <c r="V1166" s="147"/>
      <c r="W1166" s="148"/>
    </row>
    <row r="1167" spans="1:23" x14ac:dyDescent="0.25">
      <c r="A1167" s="140">
        <f t="shared" si="79"/>
        <v>53</v>
      </c>
      <c r="B1167" s="157"/>
      <c r="C1167" s="157"/>
      <c r="E1167" s="79"/>
      <c r="F1167" s="153"/>
      <c r="G1167" s="137"/>
      <c r="H1167" s="158"/>
      <c r="L1167" s="98"/>
      <c r="M1167" s="79"/>
      <c r="N1167" s="139"/>
      <c r="P1167" s="138"/>
      <c r="Q1167" s="147"/>
      <c r="R1167" s="147"/>
      <c r="S1167" s="147"/>
      <c r="T1167" s="138">
        <f t="shared" si="78"/>
        <v>0</v>
      </c>
      <c r="U1167" s="138"/>
      <c r="V1167" s="147"/>
      <c r="W1167" s="148"/>
    </row>
    <row r="1168" spans="1:23" x14ac:dyDescent="0.25">
      <c r="A1168" s="140">
        <f t="shared" si="79"/>
        <v>53</v>
      </c>
      <c r="B1168" s="157"/>
      <c r="C1168" s="157"/>
      <c r="E1168" s="79"/>
      <c r="F1168" s="153"/>
      <c r="G1168" s="137"/>
      <c r="H1168" s="158"/>
      <c r="L1168" s="98"/>
      <c r="M1168" s="79"/>
      <c r="N1168" s="139"/>
      <c r="P1168" s="138"/>
      <c r="Q1168" s="147"/>
      <c r="R1168" s="147"/>
      <c r="S1168" s="147"/>
      <c r="T1168" s="138">
        <f t="shared" si="78"/>
        <v>0</v>
      </c>
      <c r="U1168" s="138"/>
      <c r="V1168" s="147"/>
      <c r="W1168" s="148"/>
    </row>
    <row r="1169" spans="1:23" x14ac:dyDescent="0.25">
      <c r="A1169" s="140">
        <f t="shared" si="79"/>
        <v>53</v>
      </c>
      <c r="B1169" s="157"/>
      <c r="C1169" s="157"/>
      <c r="E1169" s="79"/>
      <c r="F1169" s="153"/>
      <c r="G1169" s="137"/>
      <c r="H1169" s="158"/>
      <c r="L1169" s="98"/>
      <c r="M1169" s="79"/>
      <c r="N1169" s="139"/>
      <c r="P1169" s="138"/>
      <c r="Q1169" s="147"/>
      <c r="R1169" s="147"/>
      <c r="S1169" s="147"/>
      <c r="T1169" s="138">
        <f t="shared" si="78"/>
        <v>0</v>
      </c>
      <c r="U1169" s="138"/>
      <c r="V1169" s="147"/>
      <c r="W1169" s="148"/>
    </row>
    <row r="1170" spans="1:23" x14ac:dyDescent="0.25">
      <c r="A1170" s="140">
        <f t="shared" si="79"/>
        <v>53</v>
      </c>
      <c r="B1170" s="157"/>
      <c r="C1170" s="157"/>
      <c r="E1170" s="79"/>
      <c r="F1170" s="153"/>
      <c r="G1170" s="137"/>
      <c r="H1170" s="158"/>
      <c r="L1170" s="98"/>
      <c r="M1170" s="79"/>
      <c r="N1170" s="139"/>
      <c r="P1170" s="138"/>
      <c r="Q1170" s="147"/>
      <c r="R1170" s="147"/>
      <c r="S1170" s="147"/>
      <c r="T1170" s="138">
        <f t="shared" si="78"/>
        <v>0</v>
      </c>
      <c r="U1170" s="138"/>
      <c r="V1170" s="147"/>
      <c r="W1170" s="148"/>
    </row>
    <row r="1171" spans="1:23" x14ac:dyDescent="0.25">
      <c r="A1171" s="140">
        <f t="shared" si="79"/>
        <v>53</v>
      </c>
      <c r="B1171" s="157"/>
      <c r="C1171" s="157"/>
      <c r="E1171" s="79"/>
      <c r="F1171" s="153"/>
      <c r="G1171" s="137"/>
      <c r="H1171" s="158"/>
      <c r="L1171" s="98"/>
      <c r="M1171" s="79"/>
      <c r="N1171" s="139"/>
      <c r="P1171" s="138"/>
      <c r="Q1171" s="147"/>
      <c r="R1171" s="147"/>
      <c r="S1171" s="147"/>
      <c r="T1171" s="138">
        <f t="shared" si="78"/>
        <v>0</v>
      </c>
      <c r="U1171" s="138"/>
      <c r="V1171" s="147"/>
      <c r="W1171" s="148"/>
    </row>
    <row r="1172" spans="1:23" x14ac:dyDescent="0.25">
      <c r="A1172" s="140">
        <f t="shared" si="79"/>
        <v>53</v>
      </c>
      <c r="B1172" s="157"/>
      <c r="C1172" s="157"/>
      <c r="E1172" s="79"/>
      <c r="F1172" s="153"/>
      <c r="G1172" s="137"/>
      <c r="H1172" s="158"/>
      <c r="L1172" s="98"/>
      <c r="M1172" s="79"/>
      <c r="N1172" s="139"/>
      <c r="P1172" s="138"/>
      <c r="Q1172" s="147"/>
      <c r="R1172" s="147"/>
      <c r="S1172" s="147"/>
      <c r="T1172" s="138">
        <f t="shared" si="78"/>
        <v>0</v>
      </c>
      <c r="U1172" s="138"/>
      <c r="V1172" s="147"/>
      <c r="W1172" s="148"/>
    </row>
    <row r="1173" spans="1:23" x14ac:dyDescent="0.25">
      <c r="A1173" s="140">
        <f t="shared" si="79"/>
        <v>53</v>
      </c>
      <c r="B1173" s="157"/>
      <c r="C1173" s="157"/>
      <c r="E1173" s="79"/>
      <c r="F1173" s="153"/>
      <c r="G1173" s="137"/>
      <c r="H1173" s="158"/>
      <c r="L1173" s="98"/>
      <c r="M1173" s="79"/>
      <c r="N1173" s="139"/>
      <c r="P1173" s="138"/>
      <c r="Q1173" s="147"/>
      <c r="R1173" s="147"/>
      <c r="S1173" s="147"/>
      <c r="T1173" s="138">
        <f t="shared" ref="T1173:T1236" si="80">R1173-Q1173</f>
        <v>0</v>
      </c>
      <c r="U1173" s="138"/>
      <c r="V1173" s="147"/>
      <c r="W1173" s="148"/>
    </row>
    <row r="1174" spans="1:23" x14ac:dyDescent="0.25">
      <c r="A1174" s="140">
        <f t="shared" si="79"/>
        <v>53</v>
      </c>
      <c r="B1174" s="157"/>
      <c r="C1174" s="157"/>
      <c r="E1174" s="79"/>
      <c r="F1174" s="153"/>
      <c r="G1174" s="137"/>
      <c r="H1174" s="158"/>
      <c r="L1174" s="98"/>
      <c r="M1174" s="79"/>
      <c r="N1174" s="139"/>
      <c r="P1174" s="138"/>
      <c r="Q1174" s="147"/>
      <c r="R1174" s="147"/>
      <c r="S1174" s="147"/>
      <c r="T1174" s="138">
        <f t="shared" si="80"/>
        <v>0</v>
      </c>
      <c r="U1174" s="138"/>
      <c r="V1174" s="147"/>
      <c r="W1174" s="148"/>
    </row>
    <row r="1175" spans="1:23" x14ac:dyDescent="0.25">
      <c r="A1175" s="140">
        <f t="shared" si="79"/>
        <v>53</v>
      </c>
      <c r="B1175" s="157"/>
      <c r="C1175" s="157"/>
      <c r="E1175" s="79"/>
      <c r="F1175" s="153"/>
      <c r="G1175" s="137"/>
      <c r="H1175" s="158"/>
      <c r="L1175" s="98"/>
      <c r="M1175" s="79"/>
      <c r="N1175" s="139"/>
      <c r="P1175" s="138"/>
      <c r="Q1175" s="147"/>
      <c r="R1175" s="147"/>
      <c r="S1175" s="147"/>
      <c r="T1175" s="138">
        <f t="shared" si="80"/>
        <v>0</v>
      </c>
      <c r="U1175" s="138"/>
      <c r="V1175" s="147"/>
      <c r="W1175" s="148"/>
    </row>
    <row r="1176" spans="1:23" x14ac:dyDescent="0.25">
      <c r="A1176" s="140">
        <f t="shared" si="79"/>
        <v>53</v>
      </c>
      <c r="B1176" s="157"/>
      <c r="C1176" s="157"/>
      <c r="E1176" s="79"/>
      <c r="F1176" s="153"/>
      <c r="G1176" s="137"/>
      <c r="H1176" s="158"/>
      <c r="L1176" s="98"/>
      <c r="M1176" s="79"/>
      <c r="N1176" s="139"/>
      <c r="P1176" s="138"/>
      <c r="Q1176" s="147"/>
      <c r="R1176" s="147"/>
      <c r="S1176" s="147"/>
      <c r="T1176" s="138">
        <f t="shared" si="80"/>
        <v>0</v>
      </c>
      <c r="U1176" s="138"/>
      <c r="V1176" s="147"/>
      <c r="W1176" s="148"/>
    </row>
    <row r="1177" spans="1:23" x14ac:dyDescent="0.25">
      <c r="A1177" s="140">
        <f t="shared" si="79"/>
        <v>53</v>
      </c>
      <c r="B1177" s="157"/>
      <c r="C1177" s="157"/>
      <c r="E1177" s="79"/>
      <c r="F1177" s="153"/>
      <c r="G1177" s="137"/>
      <c r="H1177" s="158"/>
      <c r="L1177" s="98"/>
      <c r="M1177" s="79"/>
      <c r="N1177" s="139"/>
      <c r="P1177" s="138"/>
      <c r="Q1177" s="147"/>
      <c r="R1177" s="147"/>
      <c r="S1177" s="147"/>
      <c r="T1177" s="138">
        <f t="shared" si="80"/>
        <v>0</v>
      </c>
      <c r="U1177" s="138"/>
      <c r="V1177" s="147"/>
      <c r="W1177" s="148"/>
    </row>
    <row r="1178" spans="1:23" x14ac:dyDescent="0.25">
      <c r="A1178" s="140">
        <f t="shared" si="79"/>
        <v>53</v>
      </c>
      <c r="B1178" s="157"/>
      <c r="C1178" s="157"/>
      <c r="E1178" s="79"/>
      <c r="F1178" s="153"/>
      <c r="G1178" s="137"/>
      <c r="H1178" s="158"/>
      <c r="L1178" s="98"/>
      <c r="M1178" s="79"/>
      <c r="N1178" s="139"/>
      <c r="P1178" s="138"/>
      <c r="Q1178" s="147"/>
      <c r="R1178" s="147"/>
      <c r="S1178" s="147"/>
      <c r="T1178" s="138">
        <f t="shared" si="80"/>
        <v>0</v>
      </c>
      <c r="U1178" s="138"/>
      <c r="V1178" s="147"/>
      <c r="W1178" s="148"/>
    </row>
    <row r="1179" spans="1:23" x14ac:dyDescent="0.25">
      <c r="A1179" s="140">
        <f t="shared" si="79"/>
        <v>53</v>
      </c>
      <c r="B1179" s="157"/>
      <c r="C1179" s="157"/>
      <c r="E1179" s="79"/>
      <c r="F1179" s="153"/>
      <c r="G1179" s="137"/>
      <c r="H1179" s="158"/>
      <c r="L1179" s="98"/>
      <c r="M1179" s="79"/>
      <c r="N1179" s="139"/>
      <c r="P1179" s="138"/>
      <c r="Q1179" s="147"/>
      <c r="R1179" s="147"/>
      <c r="S1179" s="147"/>
      <c r="T1179" s="138">
        <f t="shared" si="80"/>
        <v>0</v>
      </c>
      <c r="U1179" s="138"/>
      <c r="V1179" s="147"/>
      <c r="W1179" s="148"/>
    </row>
    <row r="1180" spans="1:23" x14ac:dyDescent="0.25">
      <c r="A1180" s="140">
        <f t="shared" si="79"/>
        <v>53</v>
      </c>
      <c r="B1180" s="157"/>
      <c r="C1180" s="157"/>
      <c r="E1180" s="79"/>
      <c r="F1180" s="153"/>
      <c r="G1180" s="137"/>
      <c r="H1180" s="158"/>
      <c r="L1180" s="98"/>
      <c r="M1180" s="79"/>
      <c r="N1180" s="139"/>
      <c r="P1180" s="138"/>
      <c r="Q1180" s="147"/>
      <c r="R1180" s="147"/>
      <c r="S1180" s="147"/>
      <c r="T1180" s="138">
        <f t="shared" si="80"/>
        <v>0</v>
      </c>
      <c r="U1180" s="138"/>
      <c r="V1180" s="147"/>
      <c r="W1180" s="148"/>
    </row>
    <row r="1181" spans="1:23" x14ac:dyDescent="0.25">
      <c r="A1181" s="140">
        <f t="shared" si="79"/>
        <v>53</v>
      </c>
      <c r="B1181" s="157"/>
      <c r="C1181" s="157"/>
      <c r="E1181" s="79"/>
      <c r="F1181" s="153"/>
      <c r="G1181" s="137"/>
      <c r="H1181" s="158"/>
      <c r="L1181" s="98"/>
      <c r="M1181" s="79"/>
      <c r="N1181" s="139"/>
      <c r="P1181" s="138"/>
      <c r="Q1181" s="147"/>
      <c r="R1181" s="147"/>
      <c r="S1181" s="147"/>
      <c r="T1181" s="138">
        <f t="shared" si="80"/>
        <v>0</v>
      </c>
      <c r="U1181" s="138"/>
      <c r="V1181" s="147"/>
      <c r="W1181" s="148"/>
    </row>
    <row r="1182" spans="1:23" x14ac:dyDescent="0.25">
      <c r="A1182" s="140">
        <f t="shared" si="79"/>
        <v>53</v>
      </c>
      <c r="B1182" s="157"/>
      <c r="C1182" s="157"/>
      <c r="E1182" s="79"/>
      <c r="F1182" s="153"/>
      <c r="G1182" s="137"/>
      <c r="H1182" s="158"/>
      <c r="L1182" s="98"/>
      <c r="M1182" s="79"/>
      <c r="N1182" s="139"/>
      <c r="P1182" s="138"/>
      <c r="Q1182" s="147"/>
      <c r="R1182" s="147"/>
      <c r="S1182" s="147"/>
      <c r="T1182" s="138">
        <f t="shared" si="80"/>
        <v>0</v>
      </c>
      <c r="U1182" s="138"/>
      <c r="V1182" s="147"/>
      <c r="W1182" s="148"/>
    </row>
    <row r="1183" spans="1:23" x14ac:dyDescent="0.25">
      <c r="A1183" s="140">
        <f t="shared" si="79"/>
        <v>53</v>
      </c>
      <c r="B1183" s="157"/>
      <c r="C1183" s="157"/>
      <c r="E1183" s="79"/>
      <c r="F1183" s="153"/>
      <c r="G1183" s="137"/>
      <c r="H1183" s="158"/>
      <c r="L1183" s="98"/>
      <c r="M1183" s="79"/>
      <c r="N1183" s="139"/>
      <c r="P1183" s="138"/>
      <c r="Q1183" s="147"/>
      <c r="R1183" s="147"/>
      <c r="S1183" s="147"/>
      <c r="T1183" s="138">
        <f t="shared" si="80"/>
        <v>0</v>
      </c>
      <c r="U1183" s="138"/>
      <c r="V1183" s="147"/>
      <c r="W1183" s="148"/>
    </row>
    <row r="1184" spans="1:23" x14ac:dyDescent="0.25">
      <c r="A1184" s="140">
        <f t="shared" si="79"/>
        <v>53</v>
      </c>
      <c r="B1184" s="157"/>
      <c r="C1184" s="157"/>
      <c r="E1184" s="79"/>
      <c r="F1184" s="153"/>
      <c r="G1184" s="137"/>
      <c r="H1184" s="158"/>
      <c r="L1184" s="98"/>
      <c r="M1184" s="79"/>
      <c r="N1184" s="139"/>
      <c r="P1184" s="138"/>
      <c r="Q1184" s="147"/>
      <c r="R1184" s="147"/>
      <c r="S1184" s="147"/>
      <c r="T1184" s="138">
        <f t="shared" si="80"/>
        <v>0</v>
      </c>
      <c r="U1184" s="138"/>
      <c r="V1184" s="147"/>
      <c r="W1184" s="148"/>
    </row>
    <row r="1185" spans="1:23" x14ac:dyDescent="0.25">
      <c r="A1185" s="140">
        <f t="shared" si="79"/>
        <v>53</v>
      </c>
      <c r="B1185" s="157"/>
      <c r="C1185" s="157"/>
      <c r="E1185" s="79"/>
      <c r="F1185" s="153"/>
      <c r="G1185" s="137"/>
      <c r="H1185" s="158"/>
      <c r="L1185" s="98"/>
      <c r="M1185" s="79"/>
      <c r="N1185" s="139"/>
      <c r="P1185" s="138"/>
      <c r="Q1185" s="147"/>
      <c r="R1185" s="147"/>
      <c r="S1185" s="147"/>
      <c r="T1185" s="138">
        <f t="shared" si="80"/>
        <v>0</v>
      </c>
      <c r="U1185" s="138"/>
      <c r="V1185" s="147"/>
      <c r="W1185" s="148"/>
    </row>
    <row r="1186" spans="1:23" x14ac:dyDescent="0.25">
      <c r="A1186" s="140">
        <f t="shared" si="79"/>
        <v>53</v>
      </c>
      <c r="B1186" s="157"/>
      <c r="C1186" s="157"/>
      <c r="E1186" s="79"/>
      <c r="F1186" s="153"/>
      <c r="G1186" s="137"/>
      <c r="H1186" s="158"/>
      <c r="L1186" s="98"/>
      <c r="M1186" s="79"/>
      <c r="N1186" s="139"/>
      <c r="P1186" s="138"/>
      <c r="Q1186" s="147"/>
      <c r="R1186" s="147"/>
      <c r="S1186" s="147"/>
      <c r="T1186" s="138">
        <f t="shared" si="80"/>
        <v>0</v>
      </c>
      <c r="U1186" s="138"/>
      <c r="V1186" s="147"/>
      <c r="W1186" s="148"/>
    </row>
    <row r="1187" spans="1:23" x14ac:dyDescent="0.25">
      <c r="A1187" s="140">
        <f t="shared" si="79"/>
        <v>53</v>
      </c>
      <c r="B1187" s="157"/>
      <c r="C1187" s="157"/>
      <c r="E1187" s="79"/>
      <c r="F1187" s="153"/>
      <c r="G1187" s="137"/>
      <c r="H1187" s="158"/>
      <c r="L1187" s="98"/>
      <c r="M1187" s="79"/>
      <c r="N1187" s="139"/>
      <c r="P1187" s="138"/>
      <c r="Q1187" s="147"/>
      <c r="R1187" s="147"/>
      <c r="S1187" s="147"/>
      <c r="T1187" s="138">
        <f t="shared" si="80"/>
        <v>0</v>
      </c>
      <c r="U1187" s="138"/>
      <c r="V1187" s="147"/>
      <c r="W1187" s="148"/>
    </row>
    <row r="1188" spans="1:23" x14ac:dyDescent="0.25">
      <c r="A1188" s="140">
        <f t="shared" si="79"/>
        <v>53</v>
      </c>
      <c r="B1188" s="157"/>
      <c r="C1188" s="157"/>
      <c r="E1188" s="79"/>
      <c r="F1188" s="153"/>
      <c r="G1188" s="137"/>
      <c r="H1188" s="158"/>
      <c r="L1188" s="98"/>
      <c r="M1188" s="79"/>
      <c r="N1188" s="139"/>
      <c r="P1188" s="138"/>
      <c r="Q1188" s="147"/>
      <c r="R1188" s="147"/>
      <c r="S1188" s="147"/>
      <c r="T1188" s="138">
        <f t="shared" si="80"/>
        <v>0</v>
      </c>
      <c r="U1188" s="138"/>
      <c r="V1188" s="147"/>
      <c r="W1188" s="148"/>
    </row>
    <row r="1189" spans="1:23" x14ac:dyDescent="0.25">
      <c r="A1189" s="140">
        <f t="shared" si="79"/>
        <v>53</v>
      </c>
      <c r="B1189" s="157"/>
      <c r="C1189" s="157"/>
      <c r="E1189" s="79"/>
      <c r="F1189" s="153"/>
      <c r="G1189" s="137"/>
      <c r="H1189" s="158"/>
      <c r="L1189" s="98"/>
      <c r="M1189" s="79"/>
      <c r="N1189" s="139"/>
      <c r="P1189" s="138"/>
      <c r="Q1189" s="147"/>
      <c r="R1189" s="147"/>
      <c r="S1189" s="147"/>
      <c r="T1189" s="138">
        <f t="shared" si="80"/>
        <v>0</v>
      </c>
      <c r="U1189" s="138"/>
      <c r="V1189" s="147"/>
      <c r="W1189" s="148"/>
    </row>
    <row r="1190" spans="1:23" x14ac:dyDescent="0.25">
      <c r="A1190" s="140">
        <f t="shared" si="79"/>
        <v>53</v>
      </c>
      <c r="B1190" s="157"/>
      <c r="C1190" s="157"/>
      <c r="E1190" s="79"/>
      <c r="F1190" s="153"/>
      <c r="G1190" s="137"/>
      <c r="H1190" s="158"/>
      <c r="L1190" s="98"/>
      <c r="M1190" s="79"/>
      <c r="N1190" s="139"/>
      <c r="P1190" s="138"/>
      <c r="Q1190" s="147"/>
      <c r="R1190" s="147"/>
      <c r="S1190" s="147"/>
      <c r="T1190" s="138">
        <f t="shared" si="80"/>
        <v>0</v>
      </c>
      <c r="U1190" s="138"/>
      <c r="V1190" s="147"/>
      <c r="W1190" s="148"/>
    </row>
    <row r="1191" spans="1:23" x14ac:dyDescent="0.25">
      <c r="A1191" s="140">
        <f t="shared" si="79"/>
        <v>53</v>
      </c>
      <c r="B1191" s="157"/>
      <c r="C1191" s="157"/>
      <c r="E1191" s="79"/>
      <c r="F1191" s="153"/>
      <c r="G1191" s="137"/>
      <c r="H1191" s="158"/>
      <c r="L1191" s="98"/>
      <c r="M1191" s="79"/>
      <c r="N1191" s="139"/>
      <c r="P1191" s="138"/>
      <c r="Q1191" s="147"/>
      <c r="R1191" s="147"/>
      <c r="S1191" s="147"/>
      <c r="T1191" s="138">
        <f t="shared" si="80"/>
        <v>0</v>
      </c>
      <c r="U1191" s="138"/>
      <c r="V1191" s="147"/>
      <c r="W1191" s="148"/>
    </row>
    <row r="1192" spans="1:23" x14ac:dyDescent="0.25">
      <c r="A1192" s="140">
        <f t="shared" si="79"/>
        <v>53</v>
      </c>
      <c r="B1192" s="157"/>
      <c r="C1192" s="157"/>
      <c r="E1192" s="79"/>
      <c r="F1192" s="153"/>
      <c r="G1192" s="137"/>
      <c r="H1192" s="158"/>
      <c r="L1192" s="98"/>
      <c r="M1192" s="79"/>
      <c r="N1192" s="139"/>
      <c r="P1192" s="138"/>
      <c r="Q1192" s="147"/>
      <c r="R1192" s="147"/>
      <c r="S1192" s="147"/>
      <c r="T1192" s="138">
        <f t="shared" si="80"/>
        <v>0</v>
      </c>
      <c r="U1192" s="138"/>
      <c r="V1192" s="147"/>
      <c r="W1192" s="148"/>
    </row>
    <row r="1193" spans="1:23" x14ac:dyDescent="0.25">
      <c r="A1193" s="140">
        <f t="shared" si="79"/>
        <v>53</v>
      </c>
      <c r="B1193" s="157"/>
      <c r="C1193" s="157"/>
      <c r="E1193" s="79"/>
      <c r="F1193" s="153"/>
      <c r="G1193" s="137"/>
      <c r="H1193" s="158"/>
      <c r="L1193" s="98"/>
      <c r="M1193" s="79"/>
      <c r="N1193" s="139"/>
      <c r="P1193" s="138"/>
      <c r="Q1193" s="147"/>
      <c r="R1193" s="147"/>
      <c r="S1193" s="147"/>
      <c r="T1193" s="138">
        <f t="shared" si="80"/>
        <v>0</v>
      </c>
      <c r="U1193" s="138"/>
      <c r="V1193" s="147"/>
      <c r="W1193" s="148"/>
    </row>
    <row r="1194" spans="1:23" x14ac:dyDescent="0.25">
      <c r="A1194" s="140">
        <f t="shared" si="79"/>
        <v>53</v>
      </c>
      <c r="B1194" s="157"/>
      <c r="C1194" s="157"/>
      <c r="E1194" s="79"/>
      <c r="F1194" s="153"/>
      <c r="G1194" s="137"/>
      <c r="H1194" s="158"/>
      <c r="L1194" s="98"/>
      <c r="M1194" s="79"/>
      <c r="N1194" s="139"/>
      <c r="P1194" s="138"/>
      <c r="Q1194" s="147"/>
      <c r="R1194" s="147"/>
      <c r="S1194" s="147"/>
      <c r="T1194" s="138">
        <f t="shared" si="80"/>
        <v>0</v>
      </c>
      <c r="U1194" s="138"/>
      <c r="V1194" s="147"/>
      <c r="W1194" s="148"/>
    </row>
    <row r="1195" spans="1:23" x14ac:dyDescent="0.25">
      <c r="A1195" s="140">
        <f t="shared" si="79"/>
        <v>53</v>
      </c>
      <c r="B1195" s="157"/>
      <c r="C1195" s="157"/>
      <c r="E1195" s="79"/>
      <c r="F1195" s="153"/>
      <c r="G1195" s="137"/>
      <c r="H1195" s="158"/>
      <c r="L1195" s="98"/>
      <c r="M1195" s="79"/>
      <c r="N1195" s="139"/>
      <c r="P1195" s="138"/>
      <c r="Q1195" s="147"/>
      <c r="R1195" s="147"/>
      <c r="S1195" s="147"/>
      <c r="T1195" s="138">
        <f t="shared" si="80"/>
        <v>0</v>
      </c>
      <c r="U1195" s="138"/>
      <c r="V1195" s="147"/>
      <c r="W1195" s="148"/>
    </row>
    <row r="1196" spans="1:23" x14ac:dyDescent="0.25">
      <c r="A1196" s="140">
        <f t="shared" si="79"/>
        <v>53</v>
      </c>
      <c r="B1196" s="157"/>
      <c r="C1196" s="157"/>
      <c r="E1196" s="79"/>
      <c r="F1196" s="153"/>
      <c r="G1196" s="137"/>
      <c r="H1196" s="158"/>
      <c r="L1196" s="98"/>
      <c r="M1196" s="79"/>
      <c r="N1196" s="139"/>
      <c r="P1196" s="138"/>
      <c r="Q1196" s="147"/>
      <c r="R1196" s="147"/>
      <c r="S1196" s="147"/>
      <c r="T1196" s="138">
        <f t="shared" si="80"/>
        <v>0</v>
      </c>
      <c r="U1196" s="138"/>
      <c r="V1196" s="147"/>
      <c r="W1196" s="148"/>
    </row>
    <row r="1197" spans="1:23" x14ac:dyDescent="0.25">
      <c r="A1197" s="140">
        <f t="shared" si="79"/>
        <v>53</v>
      </c>
      <c r="B1197" s="157"/>
      <c r="C1197" s="157"/>
      <c r="E1197" s="79"/>
      <c r="F1197" s="153"/>
      <c r="G1197" s="137"/>
      <c r="H1197" s="158"/>
      <c r="L1197" s="98"/>
      <c r="M1197" s="79"/>
      <c r="N1197" s="139"/>
      <c r="P1197" s="138"/>
      <c r="Q1197" s="147"/>
      <c r="R1197" s="147"/>
      <c r="S1197" s="147"/>
      <c r="T1197" s="138">
        <f t="shared" si="80"/>
        <v>0</v>
      </c>
      <c r="U1197" s="138"/>
      <c r="V1197" s="147"/>
      <c r="W1197" s="148"/>
    </row>
    <row r="1198" spans="1:23" x14ac:dyDescent="0.25">
      <c r="A1198" s="140">
        <f t="shared" si="79"/>
        <v>53</v>
      </c>
      <c r="B1198" s="157"/>
      <c r="C1198" s="157"/>
      <c r="E1198" s="79"/>
      <c r="F1198" s="153"/>
      <c r="G1198" s="137"/>
      <c r="H1198" s="158"/>
      <c r="L1198" s="98"/>
      <c r="M1198" s="79"/>
      <c r="N1198" s="139"/>
      <c r="P1198" s="138"/>
      <c r="Q1198" s="147"/>
      <c r="R1198" s="147"/>
      <c r="S1198" s="147"/>
      <c r="T1198" s="138">
        <f t="shared" si="80"/>
        <v>0</v>
      </c>
      <c r="U1198" s="138"/>
      <c r="V1198" s="147"/>
      <c r="W1198" s="148"/>
    </row>
    <row r="1199" spans="1:23" x14ac:dyDescent="0.25">
      <c r="A1199" s="140">
        <f t="shared" si="79"/>
        <v>53</v>
      </c>
      <c r="B1199" s="157"/>
      <c r="C1199" s="157"/>
      <c r="E1199" s="79"/>
      <c r="F1199" s="153"/>
      <c r="G1199" s="137"/>
      <c r="H1199" s="158"/>
      <c r="L1199" s="98"/>
      <c r="M1199" s="79"/>
      <c r="N1199" s="139"/>
      <c r="P1199" s="138"/>
      <c r="Q1199" s="147"/>
      <c r="R1199" s="147"/>
      <c r="S1199" s="147"/>
      <c r="T1199" s="138">
        <f t="shared" si="80"/>
        <v>0</v>
      </c>
      <c r="U1199" s="138"/>
      <c r="V1199" s="147"/>
      <c r="W1199" s="148"/>
    </row>
    <row r="1200" spans="1:23" x14ac:dyDescent="0.25">
      <c r="A1200" s="140">
        <f t="shared" si="79"/>
        <v>53</v>
      </c>
      <c r="B1200" s="157"/>
      <c r="C1200" s="157"/>
      <c r="E1200" s="79"/>
      <c r="F1200" s="153"/>
      <c r="G1200" s="137"/>
      <c r="H1200" s="158"/>
      <c r="L1200" s="98"/>
      <c r="M1200" s="79"/>
      <c r="N1200" s="139"/>
      <c r="P1200" s="138"/>
      <c r="Q1200" s="147"/>
      <c r="R1200" s="147"/>
      <c r="S1200" s="147"/>
      <c r="T1200" s="138">
        <f t="shared" si="80"/>
        <v>0</v>
      </c>
      <c r="U1200" s="138"/>
      <c r="V1200" s="147"/>
      <c r="W1200" s="148"/>
    </row>
    <row r="1201" spans="1:23" x14ac:dyDescent="0.25">
      <c r="A1201" s="140">
        <f t="shared" si="79"/>
        <v>53</v>
      </c>
      <c r="B1201" s="157"/>
      <c r="C1201" s="157"/>
      <c r="E1201" s="79"/>
      <c r="F1201" s="153"/>
      <c r="G1201" s="137"/>
      <c r="H1201" s="158"/>
      <c r="L1201" s="98"/>
      <c r="M1201" s="79"/>
      <c r="N1201" s="139"/>
      <c r="P1201" s="138"/>
      <c r="Q1201" s="147"/>
      <c r="R1201" s="147"/>
      <c r="S1201" s="147"/>
      <c r="T1201" s="138">
        <f t="shared" si="80"/>
        <v>0</v>
      </c>
      <c r="U1201" s="138"/>
      <c r="V1201" s="147"/>
      <c r="W1201" s="148"/>
    </row>
    <row r="1202" spans="1:23" x14ac:dyDescent="0.25">
      <c r="A1202" s="140">
        <f t="shared" si="79"/>
        <v>53</v>
      </c>
      <c r="B1202" s="157"/>
      <c r="C1202" s="157"/>
      <c r="E1202" s="79"/>
      <c r="F1202" s="153"/>
      <c r="G1202" s="137"/>
      <c r="H1202" s="158"/>
      <c r="L1202" s="98"/>
      <c r="M1202" s="79"/>
      <c r="N1202" s="139"/>
      <c r="P1202" s="138"/>
      <c r="Q1202" s="147"/>
      <c r="R1202" s="147"/>
      <c r="S1202" s="147"/>
      <c r="T1202" s="138">
        <f t="shared" si="80"/>
        <v>0</v>
      </c>
      <c r="U1202" s="138"/>
      <c r="V1202" s="147"/>
      <c r="W1202" s="148"/>
    </row>
    <row r="1203" spans="1:23" x14ac:dyDescent="0.25">
      <c r="A1203" s="140">
        <f t="shared" si="79"/>
        <v>53</v>
      </c>
      <c r="B1203" s="157"/>
      <c r="C1203" s="157"/>
      <c r="E1203" s="79"/>
      <c r="F1203" s="153"/>
      <c r="G1203" s="137"/>
      <c r="H1203" s="158"/>
      <c r="L1203" s="98"/>
      <c r="M1203" s="79"/>
      <c r="N1203" s="139"/>
      <c r="P1203" s="138"/>
      <c r="Q1203" s="147"/>
      <c r="R1203" s="147"/>
      <c r="S1203" s="147"/>
      <c r="T1203" s="138">
        <f t="shared" si="80"/>
        <v>0</v>
      </c>
      <c r="U1203" s="138"/>
      <c r="V1203" s="147"/>
      <c r="W1203" s="148"/>
    </row>
    <row r="1204" spans="1:23" x14ac:dyDescent="0.25">
      <c r="A1204" s="140">
        <f t="shared" si="79"/>
        <v>53</v>
      </c>
      <c r="B1204" s="157"/>
      <c r="C1204" s="157"/>
      <c r="E1204" s="79"/>
      <c r="F1204" s="153"/>
      <c r="G1204" s="137"/>
      <c r="H1204" s="158"/>
      <c r="L1204" s="98"/>
      <c r="M1204" s="79"/>
      <c r="N1204" s="139"/>
      <c r="P1204" s="138"/>
      <c r="Q1204" s="147"/>
      <c r="R1204" s="147"/>
      <c r="S1204" s="147"/>
      <c r="T1204" s="138">
        <f t="shared" si="80"/>
        <v>0</v>
      </c>
      <c r="U1204" s="138"/>
      <c r="V1204" s="147"/>
      <c r="W1204" s="148"/>
    </row>
    <row r="1205" spans="1:23" x14ac:dyDescent="0.25">
      <c r="A1205" s="140">
        <f t="shared" si="79"/>
        <v>53</v>
      </c>
      <c r="B1205" s="157"/>
      <c r="C1205" s="157"/>
      <c r="E1205" s="79"/>
      <c r="F1205" s="153"/>
      <c r="G1205" s="137"/>
      <c r="H1205" s="158"/>
      <c r="L1205" s="98"/>
      <c r="M1205" s="79"/>
      <c r="N1205" s="139"/>
      <c r="P1205" s="138"/>
      <c r="Q1205" s="147"/>
      <c r="R1205" s="147"/>
      <c r="S1205" s="147"/>
      <c r="T1205" s="138">
        <f t="shared" si="80"/>
        <v>0</v>
      </c>
      <c r="U1205" s="138"/>
      <c r="V1205" s="147"/>
      <c r="W1205" s="148"/>
    </row>
    <row r="1206" spans="1:23" x14ac:dyDescent="0.25">
      <c r="A1206" s="140">
        <f t="shared" si="79"/>
        <v>53</v>
      </c>
      <c r="B1206" s="157"/>
      <c r="C1206" s="157"/>
      <c r="E1206" s="79"/>
      <c r="F1206" s="153"/>
      <c r="G1206" s="137"/>
      <c r="H1206" s="158"/>
      <c r="L1206" s="98"/>
      <c r="M1206" s="79"/>
      <c r="N1206" s="139"/>
      <c r="P1206" s="138"/>
      <c r="Q1206" s="147"/>
      <c r="R1206" s="147"/>
      <c r="S1206" s="147"/>
      <c r="T1206" s="138">
        <f t="shared" si="80"/>
        <v>0</v>
      </c>
      <c r="U1206" s="138"/>
      <c r="V1206" s="147"/>
      <c r="W1206" s="148"/>
    </row>
    <row r="1207" spans="1:23" x14ac:dyDescent="0.25">
      <c r="A1207" s="140">
        <f t="shared" si="79"/>
        <v>53</v>
      </c>
      <c r="B1207" s="157"/>
      <c r="C1207" s="157"/>
      <c r="E1207" s="79"/>
      <c r="F1207" s="153"/>
      <c r="G1207" s="137"/>
      <c r="H1207" s="158"/>
      <c r="L1207" s="98"/>
      <c r="M1207" s="79"/>
      <c r="N1207" s="139"/>
      <c r="P1207" s="138"/>
      <c r="Q1207" s="147"/>
      <c r="R1207" s="147"/>
      <c r="S1207" s="147"/>
      <c r="T1207" s="138">
        <f t="shared" si="80"/>
        <v>0</v>
      </c>
      <c r="U1207" s="138"/>
      <c r="V1207" s="147"/>
      <c r="W1207" s="148"/>
    </row>
    <row r="1208" spans="1:23" x14ac:dyDescent="0.25">
      <c r="A1208" s="140">
        <f t="shared" si="79"/>
        <v>53</v>
      </c>
      <c r="B1208" s="157"/>
      <c r="C1208" s="157"/>
      <c r="E1208" s="79"/>
      <c r="F1208" s="153"/>
      <c r="G1208" s="137"/>
      <c r="H1208" s="158"/>
      <c r="L1208" s="98"/>
      <c r="M1208" s="79"/>
      <c r="N1208" s="139"/>
      <c r="P1208" s="138"/>
      <c r="Q1208" s="147"/>
      <c r="R1208" s="147"/>
      <c r="S1208" s="147"/>
      <c r="T1208" s="138">
        <f t="shared" si="80"/>
        <v>0</v>
      </c>
      <c r="U1208" s="138"/>
      <c r="V1208" s="147"/>
      <c r="W1208" s="148"/>
    </row>
    <row r="1209" spans="1:23" x14ac:dyDescent="0.25">
      <c r="A1209" s="140">
        <f t="shared" si="79"/>
        <v>53</v>
      </c>
      <c r="B1209" s="157"/>
      <c r="C1209" s="157"/>
      <c r="E1209" s="79"/>
      <c r="F1209" s="153"/>
      <c r="G1209" s="137"/>
      <c r="H1209" s="158"/>
      <c r="L1209" s="98"/>
      <c r="M1209" s="79"/>
      <c r="N1209" s="139"/>
      <c r="P1209" s="138"/>
      <c r="Q1209" s="147"/>
      <c r="R1209" s="147"/>
      <c r="S1209" s="147"/>
      <c r="T1209" s="138">
        <f t="shared" si="80"/>
        <v>0</v>
      </c>
      <c r="U1209" s="138"/>
      <c r="V1209" s="147"/>
      <c r="W1209" s="148"/>
    </row>
    <row r="1210" spans="1:23" x14ac:dyDescent="0.25">
      <c r="A1210" s="140">
        <f t="shared" si="79"/>
        <v>53</v>
      </c>
      <c r="B1210" s="157"/>
      <c r="C1210" s="157"/>
      <c r="E1210" s="79"/>
      <c r="F1210" s="153"/>
      <c r="G1210" s="137"/>
      <c r="H1210" s="158"/>
      <c r="L1210" s="98"/>
      <c r="M1210" s="79"/>
      <c r="N1210" s="139"/>
      <c r="P1210" s="138"/>
      <c r="Q1210" s="147"/>
      <c r="R1210" s="147"/>
      <c r="S1210" s="147"/>
      <c r="T1210" s="138">
        <f t="shared" si="80"/>
        <v>0</v>
      </c>
      <c r="U1210" s="138"/>
      <c r="V1210" s="147"/>
      <c r="W1210" s="148"/>
    </row>
    <row r="1211" spans="1:23" x14ac:dyDescent="0.25">
      <c r="A1211" s="140">
        <f t="shared" si="79"/>
        <v>53</v>
      </c>
      <c r="B1211" s="157"/>
      <c r="C1211" s="157"/>
      <c r="E1211" s="79"/>
      <c r="F1211" s="153"/>
      <c r="G1211" s="137"/>
      <c r="H1211" s="158"/>
      <c r="L1211" s="98"/>
      <c r="M1211" s="79"/>
      <c r="N1211" s="139"/>
      <c r="P1211" s="138"/>
      <c r="Q1211" s="147"/>
      <c r="R1211" s="147"/>
      <c r="S1211" s="147"/>
      <c r="T1211" s="138">
        <f t="shared" si="80"/>
        <v>0</v>
      </c>
      <c r="U1211" s="138"/>
      <c r="V1211" s="147"/>
      <c r="W1211" s="148"/>
    </row>
    <row r="1212" spans="1:23" x14ac:dyDescent="0.25">
      <c r="A1212" s="140">
        <f t="shared" si="79"/>
        <v>53</v>
      </c>
      <c r="B1212" s="157"/>
      <c r="C1212" s="157"/>
      <c r="E1212" s="79"/>
      <c r="F1212" s="153"/>
      <c r="G1212" s="137"/>
      <c r="H1212" s="158"/>
      <c r="L1212" s="98"/>
      <c r="M1212" s="79"/>
      <c r="N1212" s="139"/>
      <c r="P1212" s="138"/>
      <c r="Q1212" s="147"/>
      <c r="R1212" s="147"/>
      <c r="S1212" s="147"/>
      <c r="T1212" s="138">
        <f t="shared" si="80"/>
        <v>0</v>
      </c>
      <c r="U1212" s="138"/>
      <c r="V1212" s="147"/>
      <c r="W1212" s="148"/>
    </row>
    <row r="1213" spans="1:23" x14ac:dyDescent="0.25">
      <c r="A1213" s="140">
        <f t="shared" si="79"/>
        <v>53</v>
      </c>
      <c r="B1213" s="157"/>
      <c r="C1213" s="157"/>
      <c r="E1213" s="79"/>
      <c r="F1213" s="153"/>
      <c r="G1213" s="137"/>
      <c r="H1213" s="158"/>
      <c r="L1213" s="98"/>
      <c r="M1213" s="79"/>
      <c r="N1213" s="139"/>
      <c r="P1213" s="138"/>
      <c r="Q1213" s="147"/>
      <c r="R1213" s="147"/>
      <c r="S1213" s="147"/>
      <c r="T1213" s="138">
        <f t="shared" si="80"/>
        <v>0</v>
      </c>
      <c r="U1213" s="138"/>
      <c r="V1213" s="147"/>
      <c r="W1213" s="148"/>
    </row>
    <row r="1214" spans="1:23" x14ac:dyDescent="0.25">
      <c r="A1214" s="140">
        <f t="shared" si="79"/>
        <v>53</v>
      </c>
      <c r="B1214" s="157"/>
      <c r="C1214" s="157"/>
      <c r="E1214" s="79"/>
      <c r="F1214" s="153"/>
      <c r="G1214" s="137"/>
      <c r="H1214" s="158"/>
      <c r="L1214" s="98"/>
      <c r="M1214" s="79"/>
      <c r="N1214" s="139"/>
      <c r="P1214" s="138"/>
      <c r="Q1214" s="147"/>
      <c r="R1214" s="147"/>
      <c r="S1214" s="147"/>
      <c r="T1214" s="138">
        <f t="shared" si="80"/>
        <v>0</v>
      </c>
      <c r="U1214" s="138"/>
      <c r="V1214" s="147"/>
      <c r="W1214" s="148"/>
    </row>
    <row r="1215" spans="1:23" x14ac:dyDescent="0.25">
      <c r="A1215" s="140">
        <f t="shared" si="79"/>
        <v>53</v>
      </c>
      <c r="B1215" s="157"/>
      <c r="C1215" s="157"/>
      <c r="E1215" s="79"/>
      <c r="F1215" s="153"/>
      <c r="G1215" s="137"/>
      <c r="H1215" s="158"/>
      <c r="L1215" s="98"/>
      <c r="M1215" s="79"/>
      <c r="N1215" s="139"/>
      <c r="P1215" s="138"/>
      <c r="Q1215" s="147"/>
      <c r="R1215" s="147"/>
      <c r="S1215" s="147"/>
      <c r="T1215" s="138">
        <f t="shared" si="80"/>
        <v>0</v>
      </c>
      <c r="U1215" s="138"/>
      <c r="V1215" s="147"/>
      <c r="W1215" s="148"/>
    </row>
    <row r="1216" spans="1:23" x14ac:dyDescent="0.25">
      <c r="A1216" s="140">
        <f t="shared" si="79"/>
        <v>53</v>
      </c>
      <c r="B1216" s="157"/>
      <c r="C1216" s="157"/>
      <c r="E1216" s="79"/>
      <c r="F1216" s="153"/>
      <c r="G1216" s="137"/>
      <c r="H1216" s="158"/>
      <c r="L1216" s="98"/>
      <c r="M1216" s="79"/>
      <c r="N1216" s="139"/>
      <c r="P1216" s="138"/>
      <c r="Q1216" s="147"/>
      <c r="R1216" s="147"/>
      <c r="S1216" s="147"/>
      <c r="T1216" s="138">
        <f t="shared" si="80"/>
        <v>0</v>
      </c>
      <c r="U1216" s="138"/>
      <c r="V1216" s="147"/>
      <c r="W1216" s="148"/>
    </row>
    <row r="1217" spans="1:23" x14ac:dyDescent="0.25">
      <c r="A1217" s="140">
        <f t="shared" si="79"/>
        <v>53</v>
      </c>
      <c r="B1217" s="157"/>
      <c r="C1217" s="157"/>
      <c r="E1217" s="79"/>
      <c r="F1217" s="153"/>
      <c r="G1217" s="137"/>
      <c r="H1217" s="158"/>
      <c r="L1217" s="98"/>
      <c r="M1217" s="79"/>
      <c r="N1217" s="139"/>
      <c r="P1217" s="138"/>
      <c r="Q1217" s="147"/>
      <c r="R1217" s="147"/>
      <c r="S1217" s="147"/>
      <c r="T1217" s="138">
        <f t="shared" si="80"/>
        <v>0</v>
      </c>
      <c r="U1217" s="138"/>
      <c r="V1217" s="147"/>
      <c r="W1217" s="148"/>
    </row>
    <row r="1218" spans="1:23" x14ac:dyDescent="0.25">
      <c r="A1218" s="140">
        <f t="shared" si="79"/>
        <v>53</v>
      </c>
      <c r="B1218" s="157"/>
      <c r="C1218" s="157"/>
      <c r="E1218" s="79"/>
      <c r="F1218" s="153"/>
      <c r="G1218" s="137"/>
      <c r="H1218" s="158"/>
      <c r="L1218" s="98"/>
      <c r="M1218" s="79"/>
      <c r="N1218" s="139"/>
      <c r="P1218" s="138"/>
      <c r="Q1218" s="147"/>
      <c r="R1218" s="147"/>
      <c r="S1218" s="147"/>
      <c r="T1218" s="138">
        <f t="shared" si="80"/>
        <v>0</v>
      </c>
      <c r="U1218" s="138"/>
      <c r="V1218" s="147"/>
      <c r="W1218" s="148"/>
    </row>
    <row r="1219" spans="1:23" x14ac:dyDescent="0.25">
      <c r="A1219" s="140">
        <f t="shared" si="79"/>
        <v>53</v>
      </c>
      <c r="B1219" s="157"/>
      <c r="C1219" s="157"/>
      <c r="E1219" s="79"/>
      <c r="F1219" s="153"/>
      <c r="G1219" s="137"/>
      <c r="H1219" s="158"/>
      <c r="L1219" s="98"/>
      <c r="M1219" s="79"/>
      <c r="N1219" s="139"/>
      <c r="P1219" s="138"/>
      <c r="Q1219" s="147"/>
      <c r="R1219" s="147"/>
      <c r="S1219" s="147"/>
      <c r="T1219" s="138">
        <f t="shared" si="80"/>
        <v>0</v>
      </c>
      <c r="U1219" s="138"/>
      <c r="V1219" s="147"/>
      <c r="W1219" s="148"/>
    </row>
    <row r="1220" spans="1:23" x14ac:dyDescent="0.25">
      <c r="A1220" s="140">
        <f t="shared" si="79"/>
        <v>53</v>
      </c>
      <c r="B1220" s="157"/>
      <c r="C1220" s="157"/>
      <c r="E1220" s="79"/>
      <c r="F1220" s="153"/>
      <c r="G1220" s="137"/>
      <c r="H1220" s="158"/>
      <c r="L1220" s="98"/>
      <c r="M1220" s="79"/>
      <c r="N1220" s="139"/>
      <c r="P1220" s="138"/>
      <c r="Q1220" s="147"/>
      <c r="R1220" s="147"/>
      <c r="S1220" s="147"/>
      <c r="T1220" s="138">
        <f t="shared" si="80"/>
        <v>0</v>
      </c>
      <c r="U1220" s="138"/>
      <c r="V1220" s="147"/>
      <c r="W1220" s="148"/>
    </row>
    <row r="1221" spans="1:23" x14ac:dyDescent="0.25">
      <c r="A1221" s="140">
        <f t="shared" si="79"/>
        <v>53</v>
      </c>
      <c r="B1221" s="157"/>
      <c r="C1221" s="157"/>
      <c r="E1221" s="79"/>
      <c r="F1221" s="153"/>
      <c r="G1221" s="137"/>
      <c r="H1221" s="158"/>
      <c r="L1221" s="98"/>
      <c r="M1221" s="79"/>
      <c r="N1221" s="139"/>
      <c r="P1221" s="138"/>
      <c r="Q1221" s="147"/>
      <c r="R1221" s="147"/>
      <c r="S1221" s="147"/>
      <c r="T1221" s="138">
        <f t="shared" si="80"/>
        <v>0</v>
      </c>
      <c r="U1221" s="138"/>
      <c r="V1221" s="147"/>
      <c r="W1221" s="148"/>
    </row>
    <row r="1222" spans="1:23" x14ac:dyDescent="0.25">
      <c r="A1222" s="140">
        <f t="shared" si="79"/>
        <v>53</v>
      </c>
      <c r="B1222" s="157"/>
      <c r="C1222" s="157"/>
      <c r="E1222" s="79"/>
      <c r="F1222" s="153"/>
      <c r="G1222" s="137"/>
      <c r="H1222" s="158"/>
      <c r="L1222" s="98"/>
      <c r="M1222" s="79"/>
      <c r="N1222" s="139"/>
      <c r="P1222" s="138"/>
      <c r="Q1222" s="147"/>
      <c r="R1222" s="147"/>
      <c r="S1222" s="147"/>
      <c r="T1222" s="138">
        <f t="shared" si="80"/>
        <v>0</v>
      </c>
      <c r="U1222" s="138"/>
      <c r="V1222" s="147"/>
      <c r="W1222" s="148"/>
    </row>
    <row r="1223" spans="1:23" x14ac:dyDescent="0.25">
      <c r="A1223" s="140">
        <f t="shared" ref="A1223:A1286" si="81">WEEKNUM(B1223,21)</f>
        <v>53</v>
      </c>
      <c r="B1223" s="157"/>
      <c r="C1223" s="157"/>
      <c r="E1223" s="79"/>
      <c r="F1223" s="153"/>
      <c r="G1223" s="137"/>
      <c r="H1223" s="158"/>
      <c r="L1223" s="98"/>
      <c r="M1223" s="79"/>
      <c r="N1223" s="139"/>
      <c r="P1223" s="138"/>
      <c r="Q1223" s="147"/>
      <c r="R1223" s="147"/>
      <c r="S1223" s="147"/>
      <c r="T1223" s="138">
        <f t="shared" si="80"/>
        <v>0</v>
      </c>
      <c r="U1223" s="138"/>
      <c r="V1223" s="147"/>
      <c r="W1223" s="148"/>
    </row>
    <row r="1224" spans="1:23" x14ac:dyDescent="0.25">
      <c r="A1224" s="140">
        <f t="shared" si="81"/>
        <v>53</v>
      </c>
      <c r="B1224" s="157"/>
      <c r="C1224" s="157"/>
      <c r="E1224" s="79"/>
      <c r="F1224" s="153"/>
      <c r="G1224" s="137"/>
      <c r="H1224" s="158"/>
      <c r="L1224" s="98"/>
      <c r="M1224" s="79"/>
      <c r="N1224" s="139"/>
      <c r="P1224" s="138"/>
      <c r="Q1224" s="147"/>
      <c r="R1224" s="147"/>
      <c r="S1224" s="147"/>
      <c r="T1224" s="138">
        <f t="shared" si="80"/>
        <v>0</v>
      </c>
      <c r="U1224" s="138"/>
      <c r="V1224" s="147"/>
      <c r="W1224" s="148"/>
    </row>
    <row r="1225" spans="1:23" x14ac:dyDescent="0.25">
      <c r="A1225" s="140">
        <f t="shared" si="81"/>
        <v>53</v>
      </c>
      <c r="B1225" s="157"/>
      <c r="C1225" s="157"/>
      <c r="E1225" s="79"/>
      <c r="F1225" s="153"/>
      <c r="G1225" s="137"/>
      <c r="H1225" s="158"/>
      <c r="L1225" s="98"/>
      <c r="M1225" s="79"/>
      <c r="N1225" s="139"/>
      <c r="P1225" s="138"/>
      <c r="Q1225" s="147"/>
      <c r="R1225" s="147"/>
      <c r="S1225" s="147"/>
      <c r="T1225" s="138">
        <f t="shared" si="80"/>
        <v>0</v>
      </c>
      <c r="U1225" s="138"/>
      <c r="V1225" s="147"/>
      <c r="W1225" s="148"/>
    </row>
    <row r="1226" spans="1:23" x14ac:dyDescent="0.25">
      <c r="A1226" s="140">
        <f t="shared" si="81"/>
        <v>53</v>
      </c>
      <c r="B1226" s="157"/>
      <c r="C1226" s="157"/>
      <c r="E1226" s="79"/>
      <c r="F1226" s="153"/>
      <c r="G1226" s="137"/>
      <c r="H1226" s="158"/>
      <c r="L1226" s="98"/>
      <c r="M1226" s="79"/>
      <c r="N1226" s="139"/>
      <c r="P1226" s="138"/>
      <c r="Q1226" s="147"/>
      <c r="R1226" s="147"/>
      <c r="S1226" s="147"/>
      <c r="T1226" s="138">
        <f t="shared" si="80"/>
        <v>0</v>
      </c>
      <c r="U1226" s="138"/>
      <c r="V1226" s="147"/>
      <c r="W1226" s="148"/>
    </row>
    <row r="1227" spans="1:23" x14ac:dyDescent="0.25">
      <c r="A1227" s="140">
        <f t="shared" si="81"/>
        <v>53</v>
      </c>
      <c r="B1227" s="157"/>
      <c r="C1227" s="157"/>
      <c r="E1227" s="79"/>
      <c r="F1227" s="153"/>
      <c r="G1227" s="137"/>
      <c r="H1227" s="158"/>
      <c r="L1227" s="98"/>
      <c r="M1227" s="79"/>
      <c r="N1227" s="139"/>
      <c r="P1227" s="138"/>
      <c r="Q1227" s="147"/>
      <c r="R1227" s="147"/>
      <c r="S1227" s="147"/>
      <c r="T1227" s="138">
        <f t="shared" si="80"/>
        <v>0</v>
      </c>
      <c r="U1227" s="138"/>
      <c r="V1227" s="147"/>
      <c r="W1227" s="148"/>
    </row>
    <row r="1228" spans="1:23" x14ac:dyDescent="0.25">
      <c r="A1228" s="140">
        <f t="shared" si="81"/>
        <v>53</v>
      </c>
      <c r="B1228" s="157"/>
      <c r="C1228" s="157"/>
      <c r="E1228" s="79"/>
      <c r="F1228" s="153"/>
      <c r="G1228" s="137"/>
      <c r="H1228" s="158"/>
      <c r="L1228" s="98"/>
      <c r="M1228" s="79"/>
      <c r="N1228" s="139"/>
      <c r="P1228" s="138"/>
      <c r="Q1228" s="147"/>
      <c r="R1228" s="147"/>
      <c r="S1228" s="147"/>
      <c r="T1228" s="138">
        <f t="shared" si="80"/>
        <v>0</v>
      </c>
      <c r="U1228" s="138"/>
      <c r="V1228" s="147"/>
      <c r="W1228" s="148"/>
    </row>
    <row r="1229" spans="1:23" x14ac:dyDescent="0.25">
      <c r="A1229" s="140">
        <f t="shared" si="81"/>
        <v>53</v>
      </c>
      <c r="B1229" s="157"/>
      <c r="C1229" s="157"/>
      <c r="E1229" s="79"/>
      <c r="F1229" s="153"/>
      <c r="G1229" s="137"/>
      <c r="H1229" s="158"/>
      <c r="L1229" s="98"/>
      <c r="M1229" s="79"/>
      <c r="N1229" s="139"/>
      <c r="P1229" s="138"/>
      <c r="Q1229" s="147"/>
      <c r="R1229" s="147"/>
      <c r="S1229" s="147"/>
      <c r="T1229" s="138">
        <f t="shared" si="80"/>
        <v>0</v>
      </c>
      <c r="U1229" s="138"/>
      <c r="V1229" s="147"/>
      <c r="W1229" s="148"/>
    </row>
    <row r="1230" spans="1:23" x14ac:dyDescent="0.25">
      <c r="A1230" s="140">
        <f t="shared" si="81"/>
        <v>53</v>
      </c>
      <c r="B1230" s="157"/>
      <c r="C1230" s="157"/>
      <c r="E1230" s="79"/>
      <c r="F1230" s="153"/>
      <c r="G1230" s="137"/>
      <c r="H1230" s="158"/>
      <c r="L1230" s="98"/>
      <c r="M1230" s="79"/>
      <c r="N1230" s="139"/>
      <c r="P1230" s="138"/>
      <c r="Q1230" s="147"/>
      <c r="R1230" s="147"/>
      <c r="S1230" s="147"/>
      <c r="T1230" s="138">
        <f t="shared" si="80"/>
        <v>0</v>
      </c>
      <c r="U1230" s="138"/>
      <c r="V1230" s="147"/>
      <c r="W1230" s="148"/>
    </row>
    <row r="1231" spans="1:23" x14ac:dyDescent="0.25">
      <c r="A1231" s="140">
        <f t="shared" si="81"/>
        <v>53</v>
      </c>
      <c r="B1231" s="157"/>
      <c r="C1231" s="157"/>
      <c r="E1231" s="79"/>
      <c r="F1231" s="153"/>
      <c r="G1231" s="137"/>
      <c r="H1231" s="158"/>
      <c r="L1231" s="98"/>
      <c r="M1231" s="79"/>
      <c r="N1231" s="139"/>
      <c r="P1231" s="138"/>
      <c r="Q1231" s="147"/>
      <c r="R1231" s="147"/>
      <c r="S1231" s="147"/>
      <c r="T1231" s="138">
        <f t="shared" si="80"/>
        <v>0</v>
      </c>
      <c r="U1231" s="138"/>
      <c r="V1231" s="147"/>
      <c r="W1231" s="148"/>
    </row>
    <row r="1232" spans="1:23" x14ac:dyDescent="0.25">
      <c r="A1232" s="140">
        <f t="shared" si="81"/>
        <v>53</v>
      </c>
      <c r="B1232" s="157"/>
      <c r="C1232" s="157"/>
      <c r="E1232" s="79"/>
      <c r="F1232" s="153"/>
      <c r="G1232" s="137"/>
      <c r="H1232" s="158"/>
      <c r="L1232" s="98"/>
      <c r="M1232" s="79"/>
      <c r="N1232" s="139"/>
      <c r="P1232" s="138"/>
      <c r="Q1232" s="147"/>
      <c r="R1232" s="147"/>
      <c r="S1232" s="147"/>
      <c r="T1232" s="138">
        <f t="shared" si="80"/>
        <v>0</v>
      </c>
      <c r="U1232" s="138"/>
      <c r="V1232" s="147"/>
      <c r="W1232" s="148"/>
    </row>
    <row r="1233" spans="1:23" x14ac:dyDescent="0.25">
      <c r="A1233" s="140">
        <f t="shared" si="81"/>
        <v>53</v>
      </c>
      <c r="B1233" s="157"/>
      <c r="C1233" s="157"/>
      <c r="E1233" s="79"/>
      <c r="F1233" s="153"/>
      <c r="G1233" s="137"/>
      <c r="H1233" s="158"/>
      <c r="L1233" s="98"/>
      <c r="M1233" s="79"/>
      <c r="N1233" s="139"/>
      <c r="P1233" s="138"/>
      <c r="Q1233" s="147"/>
      <c r="R1233" s="147"/>
      <c r="S1233" s="147"/>
      <c r="T1233" s="138">
        <f t="shared" si="80"/>
        <v>0</v>
      </c>
      <c r="U1233" s="138"/>
      <c r="V1233" s="147"/>
      <c r="W1233" s="148"/>
    </row>
    <row r="1234" spans="1:23" x14ac:dyDescent="0.25">
      <c r="A1234" s="140">
        <f t="shared" si="81"/>
        <v>53</v>
      </c>
      <c r="B1234" s="157"/>
      <c r="C1234" s="157"/>
      <c r="E1234" s="79"/>
      <c r="F1234" s="153"/>
      <c r="G1234" s="137"/>
      <c r="H1234" s="158"/>
      <c r="L1234" s="98"/>
      <c r="M1234" s="79"/>
      <c r="N1234" s="139"/>
      <c r="P1234" s="138"/>
      <c r="Q1234" s="147"/>
      <c r="R1234" s="147"/>
      <c r="S1234" s="147"/>
      <c r="T1234" s="138">
        <f t="shared" si="80"/>
        <v>0</v>
      </c>
      <c r="U1234" s="138"/>
      <c r="V1234" s="147"/>
      <c r="W1234" s="148"/>
    </row>
    <row r="1235" spans="1:23" x14ac:dyDescent="0.25">
      <c r="A1235" s="140">
        <f t="shared" si="81"/>
        <v>53</v>
      </c>
      <c r="B1235" s="157"/>
      <c r="C1235" s="157"/>
      <c r="E1235" s="79"/>
      <c r="F1235" s="153"/>
      <c r="G1235" s="137"/>
      <c r="H1235" s="158"/>
      <c r="L1235" s="98"/>
      <c r="M1235" s="79"/>
      <c r="N1235" s="139"/>
      <c r="P1235" s="138"/>
      <c r="Q1235" s="147"/>
      <c r="R1235" s="147"/>
      <c r="S1235" s="147"/>
      <c r="T1235" s="138">
        <f t="shared" si="80"/>
        <v>0</v>
      </c>
      <c r="U1235" s="138"/>
      <c r="V1235" s="147"/>
      <c r="W1235" s="148"/>
    </row>
    <row r="1236" spans="1:23" x14ac:dyDescent="0.25">
      <c r="A1236" s="140">
        <f t="shared" si="81"/>
        <v>53</v>
      </c>
      <c r="B1236" s="157"/>
      <c r="C1236" s="157"/>
      <c r="E1236" s="79"/>
      <c r="F1236" s="153"/>
      <c r="G1236" s="137"/>
      <c r="H1236" s="158"/>
      <c r="L1236" s="98"/>
      <c r="M1236" s="79"/>
      <c r="N1236" s="139"/>
      <c r="P1236" s="138"/>
      <c r="Q1236" s="147"/>
      <c r="R1236" s="147"/>
      <c r="S1236" s="147"/>
      <c r="T1236" s="138">
        <f t="shared" si="80"/>
        <v>0</v>
      </c>
      <c r="U1236" s="138"/>
      <c r="V1236" s="147"/>
      <c r="W1236" s="148"/>
    </row>
    <row r="1237" spans="1:23" x14ac:dyDescent="0.25">
      <c r="A1237" s="140">
        <f t="shared" si="81"/>
        <v>53</v>
      </c>
      <c r="B1237" s="157"/>
      <c r="C1237" s="157"/>
      <c r="E1237" s="79"/>
      <c r="F1237" s="153"/>
      <c r="G1237" s="137"/>
      <c r="H1237" s="158"/>
      <c r="L1237" s="98"/>
      <c r="M1237" s="79"/>
      <c r="N1237" s="139"/>
      <c r="P1237" s="138"/>
      <c r="Q1237" s="147"/>
      <c r="R1237" s="147"/>
      <c r="S1237" s="147"/>
      <c r="T1237" s="138">
        <f t="shared" ref="T1237:T1300" si="82">R1237-Q1237</f>
        <v>0</v>
      </c>
      <c r="U1237" s="138"/>
      <c r="V1237" s="147"/>
      <c r="W1237" s="148"/>
    </row>
    <row r="1238" spans="1:23" x14ac:dyDescent="0.25">
      <c r="A1238" s="140">
        <f t="shared" si="81"/>
        <v>53</v>
      </c>
      <c r="B1238" s="157"/>
      <c r="C1238" s="157"/>
      <c r="E1238" s="79"/>
      <c r="F1238" s="153"/>
      <c r="G1238" s="137"/>
      <c r="H1238" s="158"/>
      <c r="L1238" s="98"/>
      <c r="M1238" s="79"/>
      <c r="N1238" s="139"/>
      <c r="P1238" s="138"/>
      <c r="Q1238" s="147"/>
      <c r="R1238" s="147"/>
      <c r="S1238" s="147"/>
      <c r="T1238" s="138">
        <f t="shared" si="82"/>
        <v>0</v>
      </c>
      <c r="U1238" s="138"/>
      <c r="V1238" s="147"/>
      <c r="W1238" s="148"/>
    </row>
    <row r="1239" spans="1:23" x14ac:dyDescent="0.25">
      <c r="A1239" s="140">
        <f t="shared" si="81"/>
        <v>53</v>
      </c>
      <c r="B1239" s="157"/>
      <c r="C1239" s="157"/>
      <c r="E1239" s="79"/>
      <c r="F1239" s="153"/>
      <c r="G1239" s="137"/>
      <c r="H1239" s="158"/>
      <c r="L1239" s="98"/>
      <c r="M1239" s="79"/>
      <c r="N1239" s="139"/>
      <c r="P1239" s="138"/>
      <c r="Q1239" s="147"/>
      <c r="R1239" s="147"/>
      <c r="S1239" s="147"/>
      <c r="T1239" s="138">
        <f t="shared" si="82"/>
        <v>0</v>
      </c>
      <c r="U1239" s="138"/>
      <c r="V1239" s="147"/>
      <c r="W1239" s="148"/>
    </row>
    <row r="1240" spans="1:23" x14ac:dyDescent="0.25">
      <c r="A1240" s="140">
        <f t="shared" si="81"/>
        <v>53</v>
      </c>
      <c r="B1240" s="157"/>
      <c r="C1240" s="157"/>
      <c r="E1240" s="79"/>
      <c r="F1240" s="153"/>
      <c r="G1240" s="137"/>
      <c r="H1240" s="158"/>
      <c r="L1240" s="98"/>
      <c r="M1240" s="79"/>
      <c r="N1240" s="139"/>
      <c r="P1240" s="138"/>
      <c r="Q1240" s="147"/>
      <c r="R1240" s="147"/>
      <c r="S1240" s="147"/>
      <c r="T1240" s="138">
        <f t="shared" si="82"/>
        <v>0</v>
      </c>
      <c r="U1240" s="138"/>
      <c r="V1240" s="147"/>
      <c r="W1240" s="148"/>
    </row>
    <row r="1241" spans="1:23" x14ac:dyDescent="0.25">
      <c r="A1241" s="140">
        <f t="shared" si="81"/>
        <v>53</v>
      </c>
      <c r="B1241" s="157"/>
      <c r="C1241" s="157"/>
      <c r="E1241" s="79"/>
      <c r="F1241" s="153"/>
      <c r="G1241" s="137"/>
      <c r="H1241" s="158"/>
      <c r="L1241" s="98"/>
      <c r="M1241" s="79"/>
      <c r="N1241" s="139"/>
      <c r="P1241" s="138"/>
      <c r="Q1241" s="147"/>
      <c r="R1241" s="147"/>
      <c r="S1241" s="147"/>
      <c r="T1241" s="138">
        <f t="shared" si="82"/>
        <v>0</v>
      </c>
      <c r="U1241" s="138"/>
      <c r="V1241" s="147"/>
      <c r="W1241" s="148"/>
    </row>
    <row r="1242" spans="1:23" x14ac:dyDescent="0.25">
      <c r="A1242" s="140">
        <f t="shared" si="81"/>
        <v>53</v>
      </c>
      <c r="B1242" s="157"/>
      <c r="C1242" s="157"/>
      <c r="E1242" s="79"/>
      <c r="F1242" s="153"/>
      <c r="G1242" s="137"/>
      <c r="H1242" s="158"/>
      <c r="L1242" s="98"/>
      <c r="M1242" s="79"/>
      <c r="N1242" s="139"/>
      <c r="P1242" s="138"/>
      <c r="Q1242" s="147"/>
      <c r="R1242" s="147"/>
      <c r="S1242" s="147"/>
      <c r="T1242" s="138">
        <f t="shared" si="82"/>
        <v>0</v>
      </c>
      <c r="U1242" s="138"/>
      <c r="V1242" s="147"/>
      <c r="W1242" s="148"/>
    </row>
    <row r="1243" spans="1:23" x14ac:dyDescent="0.25">
      <c r="A1243" s="140">
        <f t="shared" si="81"/>
        <v>53</v>
      </c>
      <c r="B1243" s="157"/>
      <c r="C1243" s="157"/>
      <c r="E1243" s="79"/>
      <c r="F1243" s="153"/>
      <c r="G1243" s="137"/>
      <c r="H1243" s="158"/>
      <c r="L1243" s="98"/>
      <c r="M1243" s="79"/>
      <c r="N1243" s="139"/>
      <c r="P1243" s="138"/>
      <c r="Q1243" s="147"/>
      <c r="R1243" s="147"/>
      <c r="S1243" s="147"/>
      <c r="T1243" s="138">
        <f t="shared" si="82"/>
        <v>0</v>
      </c>
      <c r="U1243" s="138"/>
      <c r="V1243" s="147"/>
      <c r="W1243" s="148"/>
    </row>
    <row r="1244" spans="1:23" x14ac:dyDescent="0.25">
      <c r="A1244" s="140">
        <f t="shared" si="81"/>
        <v>53</v>
      </c>
      <c r="B1244" s="157"/>
      <c r="C1244" s="157"/>
      <c r="E1244" s="79"/>
      <c r="F1244" s="153"/>
      <c r="G1244" s="137"/>
      <c r="H1244" s="158"/>
      <c r="L1244" s="98"/>
      <c r="M1244" s="79"/>
      <c r="N1244" s="139"/>
      <c r="P1244" s="138"/>
      <c r="Q1244" s="147"/>
      <c r="R1244" s="147"/>
      <c r="S1244" s="147"/>
      <c r="T1244" s="138">
        <f t="shared" si="82"/>
        <v>0</v>
      </c>
      <c r="U1244" s="138"/>
      <c r="V1244" s="147"/>
      <c r="W1244" s="148"/>
    </row>
    <row r="1245" spans="1:23" x14ac:dyDescent="0.25">
      <c r="A1245" s="140">
        <f t="shared" si="81"/>
        <v>53</v>
      </c>
      <c r="B1245" s="157"/>
      <c r="C1245" s="157"/>
      <c r="E1245" s="79"/>
      <c r="F1245" s="153"/>
      <c r="G1245" s="137"/>
      <c r="H1245" s="158"/>
      <c r="L1245" s="98"/>
      <c r="M1245" s="79"/>
      <c r="N1245" s="139"/>
      <c r="P1245" s="138"/>
      <c r="Q1245" s="147"/>
      <c r="R1245" s="147"/>
      <c r="S1245" s="147"/>
      <c r="T1245" s="138">
        <f t="shared" si="82"/>
        <v>0</v>
      </c>
      <c r="U1245" s="138"/>
      <c r="V1245" s="147"/>
      <c r="W1245" s="148"/>
    </row>
    <row r="1246" spans="1:23" x14ac:dyDescent="0.25">
      <c r="A1246" s="140">
        <f t="shared" si="81"/>
        <v>53</v>
      </c>
      <c r="B1246" s="157"/>
      <c r="C1246" s="157"/>
      <c r="E1246" s="79"/>
      <c r="F1246" s="153"/>
      <c r="G1246" s="137"/>
      <c r="H1246" s="158"/>
      <c r="L1246" s="98"/>
      <c r="M1246" s="79"/>
      <c r="N1246" s="139"/>
      <c r="P1246" s="138"/>
      <c r="Q1246" s="147"/>
      <c r="R1246" s="147"/>
      <c r="S1246" s="147"/>
      <c r="T1246" s="138">
        <f t="shared" si="82"/>
        <v>0</v>
      </c>
      <c r="U1246" s="138"/>
      <c r="V1246" s="147"/>
      <c r="W1246" s="148"/>
    </row>
    <row r="1247" spans="1:23" x14ac:dyDescent="0.25">
      <c r="A1247" s="140">
        <f t="shared" si="81"/>
        <v>53</v>
      </c>
      <c r="B1247" s="157"/>
      <c r="C1247" s="157"/>
      <c r="E1247" s="79"/>
      <c r="F1247" s="153"/>
      <c r="G1247" s="137"/>
      <c r="H1247" s="158"/>
      <c r="L1247" s="98"/>
      <c r="M1247" s="79"/>
      <c r="N1247" s="139"/>
      <c r="P1247" s="138"/>
      <c r="Q1247" s="147"/>
      <c r="R1247" s="147"/>
      <c r="S1247" s="147"/>
      <c r="T1247" s="138">
        <f t="shared" si="82"/>
        <v>0</v>
      </c>
      <c r="U1247" s="138"/>
      <c r="V1247" s="147"/>
      <c r="W1247" s="148"/>
    </row>
    <row r="1248" spans="1:23" x14ac:dyDescent="0.25">
      <c r="A1248" s="140">
        <f t="shared" si="81"/>
        <v>53</v>
      </c>
      <c r="B1248" s="157"/>
      <c r="C1248" s="157"/>
      <c r="E1248" s="79"/>
      <c r="F1248" s="153"/>
      <c r="G1248" s="137"/>
      <c r="H1248" s="158"/>
      <c r="L1248" s="98"/>
      <c r="M1248" s="79"/>
      <c r="N1248" s="139"/>
      <c r="P1248" s="138"/>
      <c r="Q1248" s="147"/>
      <c r="R1248" s="147"/>
      <c r="S1248" s="147"/>
      <c r="T1248" s="138">
        <f t="shared" si="82"/>
        <v>0</v>
      </c>
      <c r="U1248" s="138"/>
      <c r="V1248" s="147"/>
      <c r="W1248" s="148"/>
    </row>
    <row r="1249" spans="1:23" x14ac:dyDescent="0.25">
      <c r="A1249" s="140">
        <f t="shared" si="81"/>
        <v>53</v>
      </c>
      <c r="B1249" s="157"/>
      <c r="C1249" s="157"/>
      <c r="E1249" s="79"/>
      <c r="F1249" s="153"/>
      <c r="G1249" s="137"/>
      <c r="H1249" s="158"/>
      <c r="L1249" s="98"/>
      <c r="M1249" s="79"/>
      <c r="N1249" s="139"/>
      <c r="P1249" s="138"/>
      <c r="Q1249" s="147"/>
      <c r="R1249" s="147"/>
      <c r="S1249" s="147"/>
      <c r="T1249" s="138">
        <f t="shared" si="82"/>
        <v>0</v>
      </c>
      <c r="U1249" s="138"/>
      <c r="V1249" s="147"/>
      <c r="W1249" s="148"/>
    </row>
    <row r="1250" spans="1:23" x14ac:dyDescent="0.25">
      <c r="A1250" s="140">
        <f t="shared" si="81"/>
        <v>53</v>
      </c>
      <c r="B1250" s="157"/>
      <c r="C1250" s="157"/>
      <c r="E1250" s="79"/>
      <c r="F1250" s="153"/>
      <c r="G1250" s="137"/>
      <c r="H1250" s="158"/>
      <c r="L1250" s="98"/>
      <c r="M1250" s="79"/>
      <c r="N1250" s="139"/>
      <c r="P1250" s="138"/>
      <c r="Q1250" s="147"/>
      <c r="R1250" s="147"/>
      <c r="S1250" s="147"/>
      <c r="T1250" s="138">
        <f t="shared" si="82"/>
        <v>0</v>
      </c>
      <c r="U1250" s="138"/>
      <c r="V1250" s="147"/>
      <c r="W1250" s="148"/>
    </row>
    <row r="1251" spans="1:23" x14ac:dyDescent="0.25">
      <c r="A1251" s="140">
        <f t="shared" si="81"/>
        <v>53</v>
      </c>
      <c r="B1251" s="157"/>
      <c r="C1251" s="157"/>
      <c r="E1251" s="79"/>
      <c r="F1251" s="153"/>
      <c r="G1251" s="137"/>
      <c r="H1251" s="158"/>
      <c r="L1251" s="98"/>
      <c r="M1251" s="79"/>
      <c r="N1251" s="139"/>
      <c r="P1251" s="138"/>
      <c r="Q1251" s="147"/>
      <c r="R1251" s="147"/>
      <c r="S1251" s="147"/>
      <c r="T1251" s="138">
        <f t="shared" si="82"/>
        <v>0</v>
      </c>
      <c r="U1251" s="138"/>
      <c r="V1251" s="147"/>
      <c r="W1251" s="148"/>
    </row>
    <row r="1252" spans="1:23" x14ac:dyDescent="0.25">
      <c r="A1252" s="140">
        <f t="shared" si="81"/>
        <v>53</v>
      </c>
      <c r="B1252" s="157"/>
      <c r="C1252" s="157"/>
      <c r="E1252" s="79"/>
      <c r="F1252" s="153"/>
      <c r="G1252" s="137"/>
      <c r="H1252" s="158"/>
      <c r="L1252" s="98"/>
      <c r="M1252" s="79"/>
      <c r="N1252" s="139"/>
      <c r="P1252" s="138"/>
      <c r="Q1252" s="147"/>
      <c r="R1252" s="147"/>
      <c r="S1252" s="147"/>
      <c r="T1252" s="138">
        <f t="shared" si="82"/>
        <v>0</v>
      </c>
      <c r="U1252" s="138"/>
      <c r="V1252" s="147"/>
      <c r="W1252" s="148"/>
    </row>
    <row r="1253" spans="1:23" x14ac:dyDescent="0.25">
      <c r="A1253" s="140">
        <f t="shared" si="81"/>
        <v>53</v>
      </c>
      <c r="B1253" s="157"/>
      <c r="C1253" s="157"/>
      <c r="E1253" s="79"/>
      <c r="F1253" s="153"/>
      <c r="G1253" s="137"/>
      <c r="H1253" s="158"/>
      <c r="L1253" s="98"/>
      <c r="M1253" s="79"/>
      <c r="N1253" s="139"/>
      <c r="P1253" s="138"/>
      <c r="Q1253" s="147"/>
      <c r="R1253" s="147"/>
      <c r="S1253" s="147"/>
      <c r="T1253" s="138">
        <f t="shared" si="82"/>
        <v>0</v>
      </c>
      <c r="U1253" s="138"/>
      <c r="V1253" s="147"/>
      <c r="W1253" s="148"/>
    </row>
    <row r="1254" spans="1:23" x14ac:dyDescent="0.25">
      <c r="A1254" s="140">
        <f t="shared" si="81"/>
        <v>53</v>
      </c>
      <c r="B1254" s="157"/>
      <c r="C1254" s="157"/>
      <c r="E1254" s="79"/>
      <c r="F1254" s="153"/>
      <c r="G1254" s="137"/>
      <c r="H1254" s="158"/>
      <c r="L1254" s="98"/>
      <c r="M1254" s="79"/>
      <c r="N1254" s="139"/>
      <c r="P1254" s="138"/>
      <c r="Q1254" s="147"/>
      <c r="R1254" s="147"/>
      <c r="S1254" s="147"/>
      <c r="T1254" s="138">
        <f t="shared" si="82"/>
        <v>0</v>
      </c>
      <c r="U1254" s="138"/>
      <c r="V1254" s="147"/>
      <c r="W1254" s="148"/>
    </row>
    <row r="1255" spans="1:23" x14ac:dyDescent="0.25">
      <c r="A1255" s="140">
        <f t="shared" si="81"/>
        <v>53</v>
      </c>
      <c r="B1255" s="157"/>
      <c r="C1255" s="157"/>
      <c r="E1255" s="79"/>
      <c r="F1255" s="153"/>
      <c r="G1255" s="137"/>
      <c r="H1255" s="158"/>
      <c r="L1255" s="98"/>
      <c r="M1255" s="79"/>
      <c r="N1255" s="139"/>
      <c r="P1255" s="138"/>
      <c r="Q1255" s="147"/>
      <c r="R1255" s="147"/>
      <c r="S1255" s="147"/>
      <c r="T1255" s="138">
        <f t="shared" si="82"/>
        <v>0</v>
      </c>
      <c r="U1255" s="138"/>
      <c r="V1255" s="147"/>
      <c r="W1255" s="148"/>
    </row>
    <row r="1256" spans="1:23" x14ac:dyDescent="0.25">
      <c r="A1256" s="140">
        <f t="shared" si="81"/>
        <v>53</v>
      </c>
      <c r="B1256" s="157"/>
      <c r="C1256" s="157"/>
      <c r="E1256" s="79"/>
      <c r="F1256" s="153"/>
      <c r="G1256" s="137"/>
      <c r="H1256" s="158"/>
      <c r="L1256" s="98"/>
      <c r="M1256" s="79"/>
      <c r="N1256" s="139"/>
      <c r="P1256" s="138"/>
      <c r="Q1256" s="147"/>
      <c r="R1256" s="147"/>
      <c r="S1256" s="147"/>
      <c r="T1256" s="138">
        <f t="shared" si="82"/>
        <v>0</v>
      </c>
      <c r="U1256" s="138"/>
      <c r="V1256" s="147"/>
      <c r="W1256" s="148"/>
    </row>
    <row r="1257" spans="1:23" x14ac:dyDescent="0.25">
      <c r="A1257" s="140">
        <f t="shared" si="81"/>
        <v>53</v>
      </c>
      <c r="B1257" s="157"/>
      <c r="C1257" s="157"/>
      <c r="E1257" s="79"/>
      <c r="F1257" s="153"/>
      <c r="G1257" s="137"/>
      <c r="H1257" s="158"/>
      <c r="L1257" s="98"/>
      <c r="M1257" s="79"/>
      <c r="N1257" s="139"/>
      <c r="P1257" s="138"/>
      <c r="Q1257" s="147"/>
      <c r="R1257" s="147"/>
      <c r="S1257" s="147"/>
      <c r="T1257" s="138">
        <f t="shared" si="82"/>
        <v>0</v>
      </c>
      <c r="U1257" s="138"/>
      <c r="V1257" s="147"/>
      <c r="W1257" s="148"/>
    </row>
    <row r="1258" spans="1:23" x14ac:dyDescent="0.25">
      <c r="A1258" s="140">
        <f t="shared" si="81"/>
        <v>53</v>
      </c>
      <c r="B1258" s="157"/>
      <c r="C1258" s="157"/>
      <c r="E1258" s="79"/>
      <c r="F1258" s="153"/>
      <c r="G1258" s="137"/>
      <c r="H1258" s="158"/>
      <c r="L1258" s="98"/>
      <c r="M1258" s="79"/>
      <c r="N1258" s="139"/>
      <c r="P1258" s="138"/>
      <c r="Q1258" s="147"/>
      <c r="R1258" s="147"/>
      <c r="S1258" s="147"/>
      <c r="T1258" s="138">
        <f t="shared" si="82"/>
        <v>0</v>
      </c>
      <c r="U1258" s="138"/>
      <c r="V1258" s="147"/>
      <c r="W1258" s="148"/>
    </row>
    <row r="1259" spans="1:23" x14ac:dyDescent="0.25">
      <c r="A1259" s="140">
        <f t="shared" si="81"/>
        <v>53</v>
      </c>
      <c r="B1259" s="157"/>
      <c r="C1259" s="157"/>
      <c r="E1259" s="79"/>
      <c r="F1259" s="153"/>
      <c r="G1259" s="137"/>
      <c r="H1259" s="158"/>
      <c r="L1259" s="98"/>
      <c r="M1259" s="79"/>
      <c r="N1259" s="139"/>
      <c r="P1259" s="138"/>
      <c r="Q1259" s="147"/>
      <c r="R1259" s="147"/>
      <c r="S1259" s="147"/>
      <c r="T1259" s="138">
        <f t="shared" si="82"/>
        <v>0</v>
      </c>
      <c r="U1259" s="138"/>
      <c r="V1259" s="147"/>
      <c r="W1259" s="148"/>
    </row>
    <row r="1260" spans="1:23" x14ac:dyDescent="0.25">
      <c r="A1260" s="140">
        <f t="shared" si="81"/>
        <v>53</v>
      </c>
      <c r="B1260" s="157"/>
      <c r="C1260" s="157"/>
      <c r="E1260" s="79"/>
      <c r="F1260" s="153"/>
      <c r="G1260" s="137"/>
      <c r="H1260" s="158"/>
      <c r="L1260" s="98"/>
      <c r="M1260" s="79"/>
      <c r="N1260" s="139"/>
      <c r="P1260" s="138"/>
      <c r="Q1260" s="147"/>
      <c r="R1260" s="147"/>
      <c r="S1260" s="147"/>
      <c r="T1260" s="138">
        <f t="shared" si="82"/>
        <v>0</v>
      </c>
      <c r="U1260" s="138"/>
      <c r="V1260" s="147"/>
      <c r="W1260" s="148"/>
    </row>
    <row r="1261" spans="1:23" x14ac:dyDescent="0.25">
      <c r="A1261" s="140">
        <f t="shared" si="81"/>
        <v>53</v>
      </c>
      <c r="B1261" s="157"/>
      <c r="C1261" s="157"/>
      <c r="E1261" s="79"/>
      <c r="F1261" s="153"/>
      <c r="G1261" s="137"/>
      <c r="H1261" s="158"/>
      <c r="L1261" s="98"/>
      <c r="M1261" s="79"/>
      <c r="N1261" s="139"/>
      <c r="P1261" s="138"/>
      <c r="Q1261" s="147"/>
      <c r="R1261" s="147"/>
      <c r="S1261" s="147"/>
      <c r="T1261" s="138">
        <f t="shared" si="82"/>
        <v>0</v>
      </c>
      <c r="U1261" s="138"/>
      <c r="V1261" s="147"/>
      <c r="W1261" s="148"/>
    </row>
    <row r="1262" spans="1:23" x14ac:dyDescent="0.25">
      <c r="A1262" s="140">
        <f t="shared" si="81"/>
        <v>53</v>
      </c>
      <c r="B1262" s="157"/>
      <c r="C1262" s="157"/>
      <c r="E1262" s="79"/>
      <c r="F1262" s="153"/>
      <c r="G1262" s="137"/>
      <c r="H1262" s="158"/>
      <c r="L1262" s="98"/>
      <c r="M1262" s="79"/>
      <c r="N1262" s="139"/>
      <c r="P1262" s="138"/>
      <c r="Q1262" s="147"/>
      <c r="R1262" s="147"/>
      <c r="S1262" s="147"/>
      <c r="T1262" s="138">
        <f t="shared" si="82"/>
        <v>0</v>
      </c>
      <c r="U1262" s="138"/>
      <c r="V1262" s="147"/>
      <c r="W1262" s="148"/>
    </row>
    <row r="1263" spans="1:23" x14ac:dyDescent="0.25">
      <c r="A1263" s="140">
        <f t="shared" si="81"/>
        <v>53</v>
      </c>
      <c r="B1263" s="157"/>
      <c r="C1263" s="157"/>
      <c r="E1263" s="79"/>
      <c r="F1263" s="153"/>
      <c r="G1263" s="137"/>
      <c r="H1263" s="158"/>
      <c r="L1263" s="98"/>
      <c r="M1263" s="79"/>
      <c r="N1263" s="139"/>
      <c r="P1263" s="138"/>
      <c r="Q1263" s="147"/>
      <c r="R1263" s="147"/>
      <c r="S1263" s="147"/>
      <c r="T1263" s="138">
        <f t="shared" si="82"/>
        <v>0</v>
      </c>
      <c r="U1263" s="138"/>
      <c r="V1263" s="147"/>
      <c r="W1263" s="148"/>
    </row>
    <row r="1264" spans="1:23" x14ac:dyDescent="0.25">
      <c r="A1264" s="140">
        <f t="shared" si="81"/>
        <v>53</v>
      </c>
      <c r="B1264" s="157"/>
      <c r="C1264" s="157"/>
      <c r="E1264" s="79"/>
      <c r="F1264" s="153"/>
      <c r="G1264" s="137"/>
      <c r="H1264" s="158"/>
      <c r="L1264" s="98"/>
      <c r="M1264" s="79"/>
      <c r="N1264" s="139"/>
      <c r="P1264" s="138"/>
      <c r="Q1264" s="147"/>
      <c r="R1264" s="147"/>
      <c r="S1264" s="147"/>
      <c r="T1264" s="138">
        <f t="shared" si="82"/>
        <v>0</v>
      </c>
      <c r="U1264" s="138"/>
      <c r="V1264" s="147"/>
      <c r="W1264" s="148"/>
    </row>
    <row r="1265" spans="1:23" x14ac:dyDescent="0.25">
      <c r="A1265" s="140">
        <f t="shared" si="81"/>
        <v>53</v>
      </c>
      <c r="B1265" s="157"/>
      <c r="C1265" s="157"/>
      <c r="E1265" s="79"/>
      <c r="F1265" s="153"/>
      <c r="G1265" s="137"/>
      <c r="H1265" s="158"/>
      <c r="L1265" s="98"/>
      <c r="M1265" s="79"/>
      <c r="N1265" s="139"/>
      <c r="P1265" s="138"/>
      <c r="Q1265" s="147"/>
      <c r="R1265" s="147"/>
      <c r="S1265" s="147"/>
      <c r="T1265" s="138">
        <f t="shared" si="82"/>
        <v>0</v>
      </c>
      <c r="U1265" s="138"/>
      <c r="V1265" s="147"/>
      <c r="W1265" s="148"/>
    </row>
    <row r="1266" spans="1:23" x14ac:dyDescent="0.25">
      <c r="A1266" s="140">
        <f t="shared" si="81"/>
        <v>53</v>
      </c>
      <c r="B1266" s="157"/>
      <c r="C1266" s="157"/>
      <c r="E1266" s="79"/>
      <c r="F1266" s="153"/>
      <c r="G1266" s="137"/>
      <c r="H1266" s="158"/>
      <c r="L1266" s="98"/>
      <c r="M1266" s="79"/>
      <c r="N1266" s="139"/>
      <c r="P1266" s="138"/>
      <c r="Q1266" s="147"/>
      <c r="R1266" s="147"/>
      <c r="S1266" s="147"/>
      <c r="T1266" s="138">
        <f t="shared" si="82"/>
        <v>0</v>
      </c>
      <c r="U1266" s="138"/>
      <c r="V1266" s="147"/>
      <c r="W1266" s="148"/>
    </row>
    <row r="1267" spans="1:23" x14ac:dyDescent="0.25">
      <c r="A1267" s="140">
        <f t="shared" si="81"/>
        <v>53</v>
      </c>
      <c r="B1267" s="157"/>
      <c r="C1267" s="157"/>
      <c r="E1267" s="79"/>
      <c r="F1267" s="153"/>
      <c r="G1267" s="137"/>
      <c r="H1267" s="158"/>
      <c r="L1267" s="98"/>
      <c r="M1267" s="79"/>
      <c r="N1267" s="139"/>
      <c r="P1267" s="138"/>
      <c r="Q1267" s="147"/>
      <c r="R1267" s="147"/>
      <c r="S1267" s="147"/>
      <c r="T1267" s="138">
        <f t="shared" si="82"/>
        <v>0</v>
      </c>
      <c r="U1267" s="138"/>
      <c r="V1267" s="147"/>
      <c r="W1267" s="148"/>
    </row>
    <row r="1268" spans="1:23" x14ac:dyDescent="0.25">
      <c r="A1268" s="140">
        <f t="shared" si="81"/>
        <v>53</v>
      </c>
      <c r="B1268" s="157"/>
      <c r="C1268" s="157"/>
      <c r="E1268" s="79"/>
      <c r="F1268" s="153"/>
      <c r="G1268" s="137"/>
      <c r="H1268" s="158"/>
      <c r="L1268" s="98"/>
      <c r="M1268" s="79"/>
      <c r="N1268" s="139"/>
      <c r="P1268" s="138"/>
      <c r="Q1268" s="147"/>
      <c r="R1268" s="147"/>
      <c r="S1268" s="147"/>
      <c r="T1268" s="138">
        <f t="shared" si="82"/>
        <v>0</v>
      </c>
      <c r="U1268" s="138"/>
      <c r="V1268" s="147"/>
      <c r="W1268" s="148"/>
    </row>
    <row r="1269" spans="1:23" x14ac:dyDescent="0.25">
      <c r="A1269" s="140">
        <f t="shared" si="81"/>
        <v>53</v>
      </c>
      <c r="B1269" s="157"/>
      <c r="C1269" s="157"/>
      <c r="E1269" s="79"/>
      <c r="F1269" s="153"/>
      <c r="G1269" s="137"/>
      <c r="H1269" s="158"/>
      <c r="L1269" s="98"/>
      <c r="M1269" s="79"/>
      <c r="N1269" s="139"/>
      <c r="P1269" s="138"/>
      <c r="Q1269" s="147"/>
      <c r="R1269" s="147"/>
      <c r="S1269" s="147"/>
      <c r="T1269" s="138">
        <f t="shared" si="82"/>
        <v>0</v>
      </c>
      <c r="U1269" s="138"/>
      <c r="V1269" s="147"/>
      <c r="W1269" s="148"/>
    </row>
    <row r="1270" spans="1:23" x14ac:dyDescent="0.25">
      <c r="A1270" s="140">
        <f t="shared" si="81"/>
        <v>53</v>
      </c>
      <c r="B1270" s="157"/>
      <c r="C1270" s="157"/>
      <c r="E1270" s="79"/>
      <c r="F1270" s="153"/>
      <c r="G1270" s="137"/>
      <c r="H1270" s="158"/>
      <c r="L1270" s="98"/>
      <c r="M1270" s="79"/>
      <c r="N1270" s="139"/>
      <c r="P1270" s="138"/>
      <c r="Q1270" s="147"/>
      <c r="R1270" s="147"/>
      <c r="S1270" s="147"/>
      <c r="T1270" s="138">
        <f t="shared" si="82"/>
        <v>0</v>
      </c>
      <c r="U1270" s="138"/>
      <c r="V1270" s="147"/>
      <c r="W1270" s="148"/>
    </row>
    <row r="1271" spans="1:23" x14ac:dyDescent="0.25">
      <c r="A1271" s="140">
        <f t="shared" si="81"/>
        <v>53</v>
      </c>
      <c r="B1271" s="157"/>
      <c r="C1271" s="157"/>
      <c r="E1271" s="79"/>
      <c r="F1271" s="153"/>
      <c r="G1271" s="137"/>
      <c r="H1271" s="158"/>
      <c r="L1271" s="98"/>
      <c r="M1271" s="79"/>
      <c r="N1271" s="139"/>
      <c r="P1271" s="138"/>
      <c r="Q1271" s="147"/>
      <c r="R1271" s="147"/>
      <c r="S1271" s="147"/>
      <c r="T1271" s="138">
        <f t="shared" si="82"/>
        <v>0</v>
      </c>
      <c r="U1271" s="138"/>
      <c r="V1271" s="147"/>
      <c r="W1271" s="148"/>
    </row>
    <row r="1272" spans="1:23" x14ac:dyDescent="0.25">
      <c r="A1272" s="140">
        <f t="shared" si="81"/>
        <v>53</v>
      </c>
      <c r="B1272" s="157"/>
      <c r="C1272" s="157"/>
      <c r="E1272" s="79"/>
      <c r="F1272" s="153"/>
      <c r="G1272" s="137"/>
      <c r="H1272" s="158"/>
      <c r="L1272" s="98"/>
      <c r="M1272" s="79"/>
      <c r="N1272" s="139"/>
      <c r="P1272" s="138"/>
      <c r="Q1272" s="147"/>
      <c r="R1272" s="147"/>
      <c r="S1272" s="147"/>
      <c r="T1272" s="138">
        <f t="shared" si="82"/>
        <v>0</v>
      </c>
      <c r="U1272" s="138"/>
      <c r="V1272" s="147"/>
      <c r="W1272" s="148"/>
    </row>
    <row r="1273" spans="1:23" x14ac:dyDescent="0.25">
      <c r="A1273" s="140">
        <f t="shared" si="81"/>
        <v>53</v>
      </c>
      <c r="B1273" s="157"/>
      <c r="C1273" s="157"/>
      <c r="E1273" s="79"/>
      <c r="F1273" s="153"/>
      <c r="G1273" s="137"/>
      <c r="H1273" s="158"/>
      <c r="L1273" s="98"/>
      <c r="M1273" s="79"/>
      <c r="N1273" s="139"/>
      <c r="P1273" s="138"/>
      <c r="Q1273" s="147"/>
      <c r="R1273" s="147"/>
      <c r="S1273" s="147"/>
      <c r="T1273" s="138">
        <f t="shared" si="82"/>
        <v>0</v>
      </c>
      <c r="U1273" s="138"/>
      <c r="V1273" s="147"/>
      <c r="W1273" s="148"/>
    </row>
    <row r="1274" spans="1:23" x14ac:dyDescent="0.25">
      <c r="A1274" s="140">
        <f t="shared" si="81"/>
        <v>53</v>
      </c>
      <c r="B1274" s="157"/>
      <c r="C1274" s="157"/>
      <c r="E1274" s="79"/>
      <c r="F1274" s="153"/>
      <c r="G1274" s="137"/>
      <c r="H1274" s="158"/>
      <c r="L1274" s="98"/>
      <c r="M1274" s="79"/>
      <c r="N1274" s="139"/>
      <c r="P1274" s="138"/>
      <c r="Q1274" s="147"/>
      <c r="R1274" s="147"/>
      <c r="S1274" s="147"/>
      <c r="T1274" s="138">
        <f t="shared" si="82"/>
        <v>0</v>
      </c>
      <c r="U1274" s="138"/>
      <c r="V1274" s="147"/>
      <c r="W1274" s="148"/>
    </row>
    <row r="1275" spans="1:23" x14ac:dyDescent="0.25">
      <c r="A1275" s="140">
        <f t="shared" si="81"/>
        <v>53</v>
      </c>
      <c r="B1275" s="157"/>
      <c r="C1275" s="157"/>
      <c r="E1275" s="79"/>
      <c r="F1275" s="153"/>
      <c r="G1275" s="137"/>
      <c r="H1275" s="158"/>
      <c r="L1275" s="98"/>
      <c r="M1275" s="79"/>
      <c r="N1275" s="139"/>
      <c r="P1275" s="138"/>
      <c r="Q1275" s="147"/>
      <c r="R1275" s="147"/>
      <c r="S1275" s="147"/>
      <c r="T1275" s="138">
        <f t="shared" si="82"/>
        <v>0</v>
      </c>
      <c r="U1275" s="138"/>
      <c r="V1275" s="147"/>
      <c r="W1275" s="148"/>
    </row>
    <row r="1276" spans="1:23" x14ac:dyDescent="0.25">
      <c r="A1276" s="140">
        <f t="shared" si="81"/>
        <v>53</v>
      </c>
      <c r="B1276" s="157"/>
      <c r="C1276" s="157"/>
      <c r="E1276" s="79"/>
      <c r="F1276" s="153"/>
      <c r="G1276" s="137"/>
      <c r="H1276" s="158"/>
      <c r="L1276" s="98"/>
      <c r="M1276" s="79"/>
      <c r="N1276" s="139"/>
      <c r="P1276" s="138"/>
      <c r="Q1276" s="147"/>
      <c r="R1276" s="147"/>
      <c r="S1276" s="147"/>
      <c r="T1276" s="138">
        <f t="shared" si="82"/>
        <v>0</v>
      </c>
      <c r="U1276" s="138"/>
      <c r="V1276" s="147"/>
      <c r="W1276" s="148"/>
    </row>
    <row r="1277" spans="1:23" x14ac:dyDescent="0.25">
      <c r="A1277" s="140">
        <f t="shared" si="81"/>
        <v>53</v>
      </c>
      <c r="B1277" s="157"/>
      <c r="C1277" s="157"/>
      <c r="E1277" s="79"/>
      <c r="F1277" s="153"/>
      <c r="G1277" s="137"/>
      <c r="H1277" s="158"/>
      <c r="L1277" s="98"/>
      <c r="M1277" s="79"/>
      <c r="N1277" s="139"/>
      <c r="P1277" s="138"/>
      <c r="Q1277" s="147"/>
      <c r="R1277" s="147"/>
      <c r="S1277" s="147"/>
      <c r="T1277" s="138">
        <f t="shared" si="82"/>
        <v>0</v>
      </c>
      <c r="U1277" s="138"/>
      <c r="V1277" s="147"/>
      <c r="W1277" s="148"/>
    </row>
    <row r="1278" spans="1:23" x14ac:dyDescent="0.25">
      <c r="A1278" s="140">
        <f t="shared" si="81"/>
        <v>53</v>
      </c>
      <c r="B1278" s="157"/>
      <c r="C1278" s="157"/>
      <c r="E1278" s="79"/>
      <c r="F1278" s="153"/>
      <c r="G1278" s="137"/>
      <c r="H1278" s="158"/>
      <c r="L1278" s="98"/>
      <c r="M1278" s="79"/>
      <c r="N1278" s="139"/>
      <c r="P1278" s="138"/>
      <c r="Q1278" s="147"/>
      <c r="R1278" s="147"/>
      <c r="S1278" s="147"/>
      <c r="T1278" s="138">
        <f t="shared" si="82"/>
        <v>0</v>
      </c>
      <c r="U1278" s="138"/>
      <c r="V1278" s="147"/>
      <c r="W1278" s="148"/>
    </row>
    <row r="1279" spans="1:23" x14ac:dyDescent="0.25">
      <c r="A1279" s="140">
        <f t="shared" si="81"/>
        <v>53</v>
      </c>
      <c r="B1279" s="157"/>
      <c r="C1279" s="157"/>
      <c r="E1279" s="79"/>
      <c r="F1279" s="153"/>
      <c r="G1279" s="137"/>
      <c r="H1279" s="158"/>
      <c r="L1279" s="98"/>
      <c r="M1279" s="79"/>
      <c r="N1279" s="139"/>
      <c r="P1279" s="138"/>
      <c r="Q1279" s="147"/>
      <c r="R1279" s="147"/>
      <c r="S1279" s="147"/>
      <c r="T1279" s="138">
        <f t="shared" si="82"/>
        <v>0</v>
      </c>
      <c r="U1279" s="138"/>
      <c r="V1279" s="147"/>
      <c r="W1279" s="148"/>
    </row>
    <row r="1280" spans="1:23" x14ac:dyDescent="0.25">
      <c r="A1280" s="140">
        <f t="shared" si="81"/>
        <v>53</v>
      </c>
      <c r="B1280" s="157"/>
      <c r="C1280" s="157"/>
      <c r="E1280" s="79"/>
      <c r="F1280" s="153"/>
      <c r="G1280" s="137"/>
      <c r="H1280" s="158"/>
      <c r="L1280" s="98"/>
      <c r="M1280" s="79"/>
      <c r="N1280" s="139"/>
      <c r="P1280" s="138"/>
      <c r="Q1280" s="147"/>
      <c r="R1280" s="147"/>
      <c r="S1280" s="147"/>
      <c r="T1280" s="138">
        <f t="shared" si="82"/>
        <v>0</v>
      </c>
      <c r="U1280" s="138"/>
      <c r="V1280" s="147"/>
      <c r="W1280" s="148"/>
    </row>
    <row r="1281" spans="1:23" x14ac:dyDescent="0.25">
      <c r="A1281" s="140">
        <f t="shared" si="81"/>
        <v>53</v>
      </c>
      <c r="B1281" s="157"/>
      <c r="C1281" s="157"/>
      <c r="E1281" s="79"/>
      <c r="F1281" s="153"/>
      <c r="G1281" s="137"/>
      <c r="H1281" s="158"/>
      <c r="L1281" s="98"/>
      <c r="M1281" s="79"/>
      <c r="N1281" s="139"/>
      <c r="P1281" s="138"/>
      <c r="Q1281" s="147"/>
      <c r="R1281" s="147"/>
      <c r="S1281" s="147"/>
      <c r="T1281" s="138">
        <f t="shared" si="82"/>
        <v>0</v>
      </c>
      <c r="U1281" s="138"/>
      <c r="V1281" s="147"/>
      <c r="W1281" s="148"/>
    </row>
    <row r="1282" spans="1:23" x14ac:dyDescent="0.25">
      <c r="A1282" s="140">
        <f t="shared" si="81"/>
        <v>53</v>
      </c>
      <c r="B1282" s="157"/>
      <c r="C1282" s="157"/>
      <c r="E1282" s="79"/>
      <c r="F1282" s="153"/>
      <c r="G1282" s="137"/>
      <c r="H1282" s="158"/>
      <c r="L1282" s="98"/>
      <c r="M1282" s="79"/>
      <c r="N1282" s="139"/>
      <c r="P1282" s="138"/>
      <c r="Q1282" s="147"/>
      <c r="R1282" s="147"/>
      <c r="S1282" s="147"/>
      <c r="T1282" s="138">
        <f t="shared" si="82"/>
        <v>0</v>
      </c>
      <c r="U1282" s="138"/>
      <c r="V1282" s="147"/>
      <c r="W1282" s="148"/>
    </row>
    <row r="1283" spans="1:23" x14ac:dyDescent="0.25">
      <c r="A1283" s="140">
        <f t="shared" si="81"/>
        <v>53</v>
      </c>
      <c r="B1283" s="157"/>
      <c r="C1283" s="157"/>
      <c r="E1283" s="79"/>
      <c r="F1283" s="153"/>
      <c r="G1283" s="137"/>
      <c r="H1283" s="158"/>
      <c r="L1283" s="98"/>
      <c r="M1283" s="79"/>
      <c r="N1283" s="139"/>
      <c r="P1283" s="138"/>
      <c r="Q1283" s="147"/>
      <c r="R1283" s="147"/>
      <c r="S1283" s="147"/>
      <c r="T1283" s="138">
        <f t="shared" si="82"/>
        <v>0</v>
      </c>
      <c r="U1283" s="138"/>
      <c r="V1283" s="147"/>
      <c r="W1283" s="148"/>
    </row>
    <row r="1284" spans="1:23" x14ac:dyDescent="0.25">
      <c r="A1284" s="140">
        <f t="shared" si="81"/>
        <v>53</v>
      </c>
      <c r="B1284" s="157"/>
      <c r="C1284" s="157"/>
      <c r="E1284" s="79"/>
      <c r="F1284" s="153"/>
      <c r="G1284" s="137"/>
      <c r="H1284" s="158"/>
      <c r="L1284" s="98"/>
      <c r="M1284" s="79"/>
      <c r="N1284" s="139"/>
      <c r="P1284" s="138"/>
      <c r="Q1284" s="147"/>
      <c r="R1284" s="147"/>
      <c r="S1284" s="147"/>
      <c r="T1284" s="138">
        <f t="shared" si="82"/>
        <v>0</v>
      </c>
      <c r="U1284" s="138"/>
      <c r="V1284" s="147"/>
      <c r="W1284" s="148"/>
    </row>
    <row r="1285" spans="1:23" x14ac:dyDescent="0.25">
      <c r="A1285" s="140">
        <f t="shared" si="81"/>
        <v>53</v>
      </c>
      <c r="B1285" s="157"/>
      <c r="C1285" s="157"/>
      <c r="E1285" s="79"/>
      <c r="F1285" s="153"/>
      <c r="G1285" s="137"/>
      <c r="H1285" s="158"/>
      <c r="L1285" s="98"/>
      <c r="M1285" s="79"/>
      <c r="N1285" s="139"/>
      <c r="P1285" s="138"/>
      <c r="Q1285" s="147"/>
      <c r="R1285" s="147"/>
      <c r="S1285" s="147"/>
      <c r="T1285" s="138">
        <f t="shared" si="82"/>
        <v>0</v>
      </c>
      <c r="U1285" s="138"/>
      <c r="V1285" s="147"/>
      <c r="W1285" s="148"/>
    </row>
    <row r="1286" spans="1:23" x14ac:dyDescent="0.25">
      <c r="A1286" s="140">
        <f t="shared" si="81"/>
        <v>53</v>
      </c>
      <c r="B1286" s="157"/>
      <c r="C1286" s="157"/>
      <c r="E1286" s="79"/>
      <c r="F1286" s="153"/>
      <c r="G1286" s="137"/>
      <c r="H1286" s="158"/>
      <c r="L1286" s="98"/>
      <c r="M1286" s="79"/>
      <c r="N1286" s="139"/>
      <c r="P1286" s="138"/>
      <c r="Q1286" s="147"/>
      <c r="R1286" s="147"/>
      <c r="S1286" s="147"/>
      <c r="T1286" s="138">
        <f t="shared" si="82"/>
        <v>0</v>
      </c>
      <c r="U1286" s="138"/>
      <c r="V1286" s="147"/>
      <c r="W1286" s="148"/>
    </row>
    <row r="1287" spans="1:23" x14ac:dyDescent="0.25">
      <c r="A1287" s="140">
        <f t="shared" ref="A1287:A1320" si="83">WEEKNUM(B1287,21)</f>
        <v>53</v>
      </c>
      <c r="B1287" s="157"/>
      <c r="C1287" s="157"/>
      <c r="E1287" s="79"/>
      <c r="F1287" s="153"/>
      <c r="G1287" s="137"/>
      <c r="H1287" s="158"/>
      <c r="L1287" s="98"/>
      <c r="M1287" s="79"/>
      <c r="N1287" s="139"/>
      <c r="P1287" s="138"/>
      <c r="Q1287" s="147"/>
      <c r="R1287" s="147"/>
      <c r="S1287" s="147"/>
      <c r="T1287" s="138">
        <f t="shared" si="82"/>
        <v>0</v>
      </c>
      <c r="U1287" s="138"/>
      <c r="V1287" s="147"/>
      <c r="W1287" s="148"/>
    </row>
    <row r="1288" spans="1:23" x14ac:dyDescent="0.25">
      <c r="A1288" s="140">
        <f t="shared" si="83"/>
        <v>53</v>
      </c>
      <c r="B1288" s="157"/>
      <c r="C1288" s="157"/>
      <c r="E1288" s="79"/>
      <c r="F1288" s="153"/>
      <c r="G1288" s="137"/>
      <c r="H1288" s="158"/>
      <c r="L1288" s="98"/>
      <c r="M1288" s="79"/>
      <c r="N1288" s="139"/>
      <c r="P1288" s="138"/>
      <c r="Q1288" s="147"/>
      <c r="R1288" s="147"/>
      <c r="S1288" s="147"/>
      <c r="T1288" s="138">
        <f t="shared" si="82"/>
        <v>0</v>
      </c>
      <c r="U1288" s="138"/>
      <c r="V1288" s="147"/>
      <c r="W1288" s="148"/>
    </row>
    <row r="1289" spans="1:23" x14ac:dyDescent="0.25">
      <c r="A1289" s="140">
        <f t="shared" si="83"/>
        <v>53</v>
      </c>
      <c r="B1289" s="157"/>
      <c r="C1289" s="157"/>
      <c r="E1289" s="79"/>
      <c r="F1289" s="153"/>
      <c r="G1289" s="137"/>
      <c r="H1289" s="158"/>
      <c r="L1289" s="98"/>
      <c r="M1289" s="79"/>
      <c r="N1289" s="139"/>
      <c r="P1289" s="138"/>
      <c r="Q1289" s="147"/>
      <c r="R1289" s="147"/>
      <c r="S1289" s="147"/>
      <c r="T1289" s="138">
        <f t="shared" si="82"/>
        <v>0</v>
      </c>
      <c r="U1289" s="138"/>
      <c r="V1289" s="147"/>
      <c r="W1289" s="148"/>
    </row>
    <row r="1290" spans="1:23" x14ac:dyDescent="0.25">
      <c r="A1290" s="140">
        <f t="shared" si="83"/>
        <v>53</v>
      </c>
      <c r="B1290" s="157"/>
      <c r="C1290" s="157"/>
      <c r="E1290" s="79"/>
      <c r="F1290" s="153"/>
      <c r="G1290" s="137"/>
      <c r="H1290" s="158"/>
      <c r="L1290" s="98"/>
      <c r="M1290" s="79"/>
      <c r="N1290" s="139"/>
      <c r="P1290" s="138"/>
      <c r="Q1290" s="147"/>
      <c r="R1290" s="147"/>
      <c r="S1290" s="147"/>
      <c r="T1290" s="138">
        <f t="shared" si="82"/>
        <v>0</v>
      </c>
      <c r="U1290" s="138"/>
      <c r="V1290" s="147"/>
      <c r="W1290" s="148"/>
    </row>
    <row r="1291" spans="1:23" x14ac:dyDescent="0.25">
      <c r="A1291" s="140">
        <f t="shared" si="83"/>
        <v>53</v>
      </c>
      <c r="B1291" s="157"/>
      <c r="C1291" s="157"/>
      <c r="E1291" s="79"/>
      <c r="F1291" s="153"/>
      <c r="G1291" s="137"/>
      <c r="H1291" s="158"/>
      <c r="L1291" s="98"/>
      <c r="M1291" s="79"/>
      <c r="N1291" s="139"/>
      <c r="P1291" s="138"/>
      <c r="Q1291" s="147"/>
      <c r="R1291" s="147"/>
      <c r="S1291" s="147"/>
      <c r="T1291" s="138">
        <f t="shared" si="82"/>
        <v>0</v>
      </c>
      <c r="U1291" s="138"/>
      <c r="V1291" s="147"/>
      <c r="W1291" s="148"/>
    </row>
    <row r="1292" spans="1:23" x14ac:dyDescent="0.25">
      <c r="A1292" s="140">
        <f t="shared" si="83"/>
        <v>53</v>
      </c>
      <c r="B1292" s="157"/>
      <c r="C1292" s="157"/>
      <c r="E1292" s="79"/>
      <c r="F1292" s="153"/>
      <c r="G1292" s="137"/>
      <c r="H1292" s="158"/>
      <c r="L1292" s="98"/>
      <c r="M1292" s="79"/>
      <c r="N1292" s="139"/>
      <c r="P1292" s="138"/>
      <c r="Q1292" s="147"/>
      <c r="R1292" s="147"/>
      <c r="S1292" s="147"/>
      <c r="T1292" s="138">
        <f t="shared" si="82"/>
        <v>0</v>
      </c>
      <c r="U1292" s="138"/>
      <c r="V1292" s="147"/>
      <c r="W1292" s="148"/>
    </row>
    <row r="1293" spans="1:23" x14ac:dyDescent="0.25">
      <c r="A1293" s="140">
        <f t="shared" si="83"/>
        <v>53</v>
      </c>
      <c r="B1293" s="157"/>
      <c r="C1293" s="157"/>
      <c r="E1293" s="79"/>
      <c r="F1293" s="153"/>
      <c r="G1293" s="137"/>
      <c r="H1293" s="158"/>
      <c r="L1293" s="98"/>
      <c r="M1293" s="79"/>
      <c r="N1293" s="139"/>
      <c r="P1293" s="138"/>
      <c r="Q1293" s="147"/>
      <c r="R1293" s="147"/>
      <c r="S1293" s="147"/>
      <c r="T1293" s="138">
        <f t="shared" si="82"/>
        <v>0</v>
      </c>
      <c r="U1293" s="138"/>
      <c r="V1293" s="147"/>
      <c r="W1293" s="148"/>
    </row>
    <row r="1294" spans="1:23" x14ac:dyDescent="0.25">
      <c r="A1294" s="140">
        <f t="shared" si="83"/>
        <v>53</v>
      </c>
      <c r="B1294" s="157"/>
      <c r="C1294" s="157"/>
      <c r="E1294" s="79"/>
      <c r="F1294" s="153"/>
      <c r="G1294" s="137"/>
      <c r="H1294" s="158"/>
      <c r="L1294" s="98"/>
      <c r="M1294" s="79"/>
      <c r="N1294" s="139"/>
      <c r="P1294" s="138"/>
      <c r="Q1294" s="147"/>
      <c r="R1294" s="147"/>
      <c r="S1294" s="147"/>
      <c r="T1294" s="138">
        <f t="shared" si="82"/>
        <v>0</v>
      </c>
      <c r="U1294" s="138"/>
      <c r="V1294" s="147"/>
      <c r="W1294" s="148"/>
    </row>
    <row r="1295" spans="1:23" x14ac:dyDescent="0.25">
      <c r="A1295" s="140">
        <f t="shared" si="83"/>
        <v>53</v>
      </c>
      <c r="B1295" s="157"/>
      <c r="C1295" s="157"/>
      <c r="E1295" s="79"/>
      <c r="F1295" s="153"/>
      <c r="G1295" s="137"/>
      <c r="H1295" s="158"/>
      <c r="L1295" s="98"/>
      <c r="M1295" s="79"/>
      <c r="N1295" s="139"/>
      <c r="P1295" s="138"/>
      <c r="Q1295" s="147"/>
      <c r="R1295" s="147"/>
      <c r="S1295" s="147"/>
      <c r="T1295" s="138">
        <f t="shared" si="82"/>
        <v>0</v>
      </c>
      <c r="U1295" s="138"/>
      <c r="V1295" s="147"/>
      <c r="W1295" s="148"/>
    </row>
    <row r="1296" spans="1:23" x14ac:dyDescent="0.25">
      <c r="A1296" s="140">
        <f t="shared" si="83"/>
        <v>53</v>
      </c>
      <c r="B1296" s="157"/>
      <c r="C1296" s="157"/>
      <c r="E1296" s="79"/>
      <c r="F1296" s="153"/>
      <c r="G1296" s="137"/>
      <c r="H1296" s="158"/>
      <c r="L1296" s="98"/>
      <c r="M1296" s="79"/>
      <c r="N1296" s="139"/>
      <c r="P1296" s="138"/>
      <c r="Q1296" s="147"/>
      <c r="R1296" s="147"/>
      <c r="S1296" s="147"/>
      <c r="T1296" s="138">
        <f t="shared" si="82"/>
        <v>0</v>
      </c>
      <c r="U1296" s="138"/>
      <c r="V1296" s="147"/>
      <c r="W1296" s="148"/>
    </row>
    <row r="1297" spans="1:23" x14ac:dyDescent="0.25">
      <c r="A1297" s="140">
        <f t="shared" si="83"/>
        <v>53</v>
      </c>
      <c r="B1297" s="157"/>
      <c r="C1297" s="157"/>
      <c r="E1297" s="79"/>
      <c r="F1297" s="153"/>
      <c r="G1297" s="137"/>
      <c r="H1297" s="158"/>
      <c r="L1297" s="98"/>
      <c r="M1297" s="79"/>
      <c r="N1297" s="139"/>
      <c r="P1297" s="138"/>
      <c r="Q1297" s="147"/>
      <c r="R1297" s="147"/>
      <c r="S1297" s="147"/>
      <c r="T1297" s="138">
        <f t="shared" si="82"/>
        <v>0</v>
      </c>
      <c r="U1297" s="138"/>
      <c r="V1297" s="147"/>
      <c r="W1297" s="148"/>
    </row>
    <row r="1298" spans="1:23" x14ac:dyDescent="0.25">
      <c r="A1298" s="140">
        <f t="shared" si="83"/>
        <v>53</v>
      </c>
      <c r="B1298" s="157"/>
      <c r="C1298" s="157"/>
      <c r="E1298" s="79"/>
      <c r="F1298" s="153"/>
      <c r="G1298" s="137"/>
      <c r="H1298" s="158"/>
      <c r="L1298" s="98"/>
      <c r="M1298" s="79"/>
      <c r="N1298" s="139"/>
      <c r="P1298" s="138"/>
      <c r="Q1298" s="147"/>
      <c r="R1298" s="147"/>
      <c r="S1298" s="147"/>
      <c r="T1298" s="138">
        <f t="shared" si="82"/>
        <v>0</v>
      </c>
      <c r="U1298" s="138"/>
      <c r="V1298" s="147"/>
      <c r="W1298" s="148"/>
    </row>
    <row r="1299" spans="1:23" x14ac:dyDescent="0.25">
      <c r="A1299" s="140">
        <f t="shared" si="83"/>
        <v>53</v>
      </c>
      <c r="B1299" s="157"/>
      <c r="C1299" s="157"/>
      <c r="E1299" s="79"/>
      <c r="F1299" s="153"/>
      <c r="G1299" s="137"/>
      <c r="H1299" s="158"/>
      <c r="L1299" s="98"/>
      <c r="M1299" s="79"/>
      <c r="N1299" s="139"/>
      <c r="P1299" s="138"/>
      <c r="Q1299" s="147"/>
      <c r="R1299" s="147"/>
      <c r="S1299" s="147"/>
      <c r="T1299" s="138">
        <f t="shared" si="82"/>
        <v>0</v>
      </c>
      <c r="U1299" s="138"/>
      <c r="V1299" s="147"/>
      <c r="W1299" s="148"/>
    </row>
    <row r="1300" spans="1:23" x14ac:dyDescent="0.25">
      <c r="A1300" s="140">
        <f t="shared" si="83"/>
        <v>53</v>
      </c>
      <c r="B1300" s="157"/>
      <c r="C1300" s="157"/>
      <c r="E1300" s="79"/>
      <c r="F1300" s="153"/>
      <c r="G1300" s="137"/>
      <c r="H1300" s="158"/>
      <c r="L1300" s="98"/>
      <c r="M1300" s="79"/>
      <c r="N1300" s="139"/>
      <c r="P1300" s="138"/>
      <c r="Q1300" s="147"/>
      <c r="R1300" s="147"/>
      <c r="S1300" s="147"/>
      <c r="T1300" s="138">
        <f t="shared" si="82"/>
        <v>0</v>
      </c>
      <c r="U1300" s="138"/>
      <c r="V1300" s="147"/>
      <c r="W1300" s="148"/>
    </row>
    <row r="1301" spans="1:23" x14ac:dyDescent="0.25">
      <c r="A1301" s="140">
        <f t="shared" si="83"/>
        <v>53</v>
      </c>
      <c r="B1301" s="157"/>
      <c r="C1301" s="157"/>
      <c r="E1301" s="79"/>
      <c r="F1301" s="153"/>
      <c r="G1301" s="137"/>
      <c r="H1301" s="158"/>
      <c r="L1301" s="98"/>
      <c r="M1301" s="79"/>
      <c r="N1301" s="139"/>
      <c r="P1301" s="138"/>
      <c r="Q1301" s="147"/>
      <c r="R1301" s="147"/>
      <c r="S1301" s="147"/>
      <c r="T1301" s="138">
        <f t="shared" ref="T1301:T1320" si="84">R1301-Q1301</f>
        <v>0</v>
      </c>
      <c r="U1301" s="138"/>
      <c r="V1301" s="147"/>
      <c r="W1301" s="148"/>
    </row>
    <row r="1302" spans="1:23" x14ac:dyDescent="0.25">
      <c r="A1302" s="140">
        <f t="shared" si="83"/>
        <v>53</v>
      </c>
      <c r="B1302" s="157"/>
      <c r="C1302" s="157"/>
      <c r="E1302" s="79"/>
      <c r="F1302" s="153"/>
      <c r="G1302" s="137"/>
      <c r="H1302" s="158"/>
      <c r="L1302" s="98"/>
      <c r="M1302" s="79"/>
      <c r="N1302" s="139"/>
      <c r="P1302" s="138"/>
      <c r="Q1302" s="147"/>
      <c r="R1302" s="147"/>
      <c r="S1302" s="147"/>
      <c r="T1302" s="138">
        <f t="shared" si="84"/>
        <v>0</v>
      </c>
      <c r="U1302" s="138"/>
      <c r="V1302" s="147"/>
      <c r="W1302" s="148"/>
    </row>
    <row r="1303" spans="1:23" x14ac:dyDescent="0.25">
      <c r="A1303" s="140">
        <f t="shared" si="83"/>
        <v>53</v>
      </c>
      <c r="B1303" s="157"/>
      <c r="C1303" s="157"/>
      <c r="E1303" s="79"/>
      <c r="F1303" s="153"/>
      <c r="G1303" s="137"/>
      <c r="H1303" s="158"/>
      <c r="L1303" s="98"/>
      <c r="M1303" s="79"/>
      <c r="N1303" s="139"/>
      <c r="P1303" s="138"/>
      <c r="Q1303" s="147"/>
      <c r="R1303" s="147"/>
      <c r="S1303" s="147"/>
      <c r="T1303" s="138">
        <f t="shared" si="84"/>
        <v>0</v>
      </c>
      <c r="U1303" s="138"/>
      <c r="V1303" s="147"/>
      <c r="W1303" s="148"/>
    </row>
    <row r="1304" spans="1:23" x14ac:dyDescent="0.25">
      <c r="A1304" s="140">
        <f t="shared" si="83"/>
        <v>53</v>
      </c>
      <c r="B1304" s="157"/>
      <c r="C1304" s="157"/>
      <c r="E1304" s="79"/>
      <c r="F1304" s="153"/>
      <c r="G1304" s="137"/>
      <c r="H1304" s="158"/>
      <c r="L1304" s="98"/>
      <c r="M1304" s="79"/>
      <c r="N1304" s="139"/>
      <c r="P1304" s="138"/>
      <c r="Q1304" s="147"/>
      <c r="R1304" s="147"/>
      <c r="S1304" s="147"/>
      <c r="T1304" s="138">
        <f t="shared" si="84"/>
        <v>0</v>
      </c>
      <c r="U1304" s="138"/>
      <c r="V1304" s="147"/>
      <c r="W1304" s="148"/>
    </row>
    <row r="1305" spans="1:23" x14ac:dyDescent="0.25">
      <c r="A1305" s="140">
        <f t="shared" si="83"/>
        <v>53</v>
      </c>
      <c r="B1305" s="157"/>
      <c r="C1305" s="157"/>
      <c r="E1305" s="79"/>
      <c r="F1305" s="153"/>
      <c r="G1305" s="137"/>
      <c r="H1305" s="158"/>
      <c r="L1305" s="98"/>
      <c r="M1305" s="79"/>
      <c r="N1305" s="139"/>
      <c r="P1305" s="138"/>
      <c r="Q1305" s="147"/>
      <c r="R1305" s="147"/>
      <c r="S1305" s="147"/>
      <c r="T1305" s="138">
        <f t="shared" si="84"/>
        <v>0</v>
      </c>
      <c r="U1305" s="138"/>
      <c r="V1305" s="147"/>
      <c r="W1305" s="148"/>
    </row>
    <row r="1306" spans="1:23" x14ac:dyDescent="0.25">
      <c r="A1306" s="140">
        <f t="shared" si="83"/>
        <v>53</v>
      </c>
      <c r="B1306" s="157"/>
      <c r="C1306" s="157"/>
      <c r="E1306" s="79"/>
      <c r="F1306" s="153"/>
      <c r="G1306" s="137"/>
      <c r="H1306" s="158"/>
      <c r="L1306" s="98"/>
      <c r="M1306" s="79"/>
      <c r="N1306" s="139"/>
      <c r="P1306" s="138"/>
      <c r="Q1306" s="147"/>
      <c r="R1306" s="147"/>
      <c r="S1306" s="147"/>
      <c r="T1306" s="138">
        <f t="shared" si="84"/>
        <v>0</v>
      </c>
      <c r="U1306" s="138"/>
      <c r="V1306" s="147"/>
      <c r="W1306" s="148"/>
    </row>
    <row r="1307" spans="1:23" x14ac:dyDescent="0.25">
      <c r="A1307" s="140">
        <f t="shared" si="83"/>
        <v>53</v>
      </c>
      <c r="B1307" s="157"/>
      <c r="C1307" s="157"/>
      <c r="E1307" s="79"/>
      <c r="F1307" s="153"/>
      <c r="G1307" s="137"/>
      <c r="H1307" s="158"/>
      <c r="L1307" s="98"/>
      <c r="M1307" s="79"/>
      <c r="N1307" s="139"/>
      <c r="P1307" s="138"/>
      <c r="Q1307" s="147"/>
      <c r="R1307" s="147"/>
      <c r="S1307" s="147"/>
      <c r="T1307" s="138">
        <f t="shared" si="84"/>
        <v>0</v>
      </c>
      <c r="U1307" s="138"/>
      <c r="V1307" s="147"/>
      <c r="W1307" s="148"/>
    </row>
    <row r="1308" spans="1:23" x14ac:dyDescent="0.25">
      <c r="A1308" s="140">
        <f t="shared" si="83"/>
        <v>53</v>
      </c>
      <c r="B1308" s="157"/>
      <c r="C1308" s="157"/>
      <c r="E1308" s="79"/>
      <c r="F1308" s="153"/>
      <c r="G1308" s="137"/>
      <c r="H1308" s="158"/>
      <c r="L1308" s="98"/>
      <c r="M1308" s="79"/>
      <c r="N1308" s="139"/>
      <c r="P1308" s="138"/>
      <c r="Q1308" s="147"/>
      <c r="R1308" s="147"/>
      <c r="S1308" s="147"/>
      <c r="T1308" s="138">
        <f t="shared" si="84"/>
        <v>0</v>
      </c>
      <c r="U1308" s="138"/>
      <c r="V1308" s="147"/>
      <c r="W1308" s="148"/>
    </row>
    <row r="1309" spans="1:23" x14ac:dyDescent="0.25">
      <c r="A1309" s="140">
        <f t="shared" si="83"/>
        <v>53</v>
      </c>
      <c r="B1309" s="157"/>
      <c r="C1309" s="157"/>
      <c r="E1309" s="79"/>
      <c r="F1309" s="153"/>
      <c r="G1309" s="137"/>
      <c r="H1309" s="158"/>
      <c r="L1309" s="98"/>
      <c r="M1309" s="79"/>
      <c r="N1309" s="139"/>
      <c r="P1309" s="138"/>
      <c r="Q1309" s="147"/>
      <c r="R1309" s="147"/>
      <c r="S1309" s="147"/>
      <c r="T1309" s="138">
        <f t="shared" si="84"/>
        <v>0</v>
      </c>
      <c r="U1309" s="138"/>
      <c r="V1309" s="147"/>
      <c r="W1309" s="148"/>
    </row>
    <row r="1310" spans="1:23" x14ac:dyDescent="0.25">
      <c r="A1310" s="140">
        <f t="shared" si="83"/>
        <v>53</v>
      </c>
      <c r="B1310" s="157"/>
      <c r="C1310" s="157"/>
      <c r="E1310" s="79"/>
      <c r="F1310" s="153"/>
      <c r="G1310" s="137"/>
      <c r="H1310" s="158"/>
      <c r="L1310" s="98"/>
      <c r="M1310" s="79"/>
      <c r="N1310" s="139"/>
      <c r="P1310" s="138"/>
      <c r="Q1310" s="147"/>
      <c r="R1310" s="147"/>
      <c r="S1310" s="147"/>
      <c r="T1310" s="138">
        <f t="shared" si="84"/>
        <v>0</v>
      </c>
      <c r="U1310" s="138"/>
      <c r="V1310" s="147"/>
      <c r="W1310" s="148"/>
    </row>
    <row r="1311" spans="1:23" x14ac:dyDescent="0.25">
      <c r="A1311" s="140">
        <f t="shared" si="83"/>
        <v>53</v>
      </c>
      <c r="B1311" s="157"/>
      <c r="C1311" s="157"/>
      <c r="E1311" s="79"/>
      <c r="F1311" s="153"/>
      <c r="G1311" s="137"/>
      <c r="H1311" s="158"/>
      <c r="L1311" s="98"/>
      <c r="M1311" s="79"/>
      <c r="N1311" s="139"/>
      <c r="P1311" s="138"/>
      <c r="Q1311" s="147"/>
      <c r="R1311" s="147"/>
      <c r="S1311" s="147"/>
      <c r="T1311" s="138">
        <f t="shared" si="84"/>
        <v>0</v>
      </c>
      <c r="U1311" s="138"/>
      <c r="V1311" s="147"/>
      <c r="W1311" s="148"/>
    </row>
    <row r="1312" spans="1:23" x14ac:dyDescent="0.25">
      <c r="A1312" s="140">
        <f t="shared" si="83"/>
        <v>53</v>
      </c>
      <c r="B1312" s="157"/>
      <c r="C1312" s="157"/>
      <c r="E1312" s="79"/>
      <c r="F1312" s="153"/>
      <c r="G1312" s="137"/>
      <c r="H1312" s="158"/>
      <c r="L1312" s="98"/>
      <c r="M1312" s="79"/>
      <c r="N1312" s="139"/>
      <c r="P1312" s="138"/>
      <c r="Q1312" s="147"/>
      <c r="R1312" s="147"/>
      <c r="S1312" s="147"/>
      <c r="T1312" s="138">
        <f t="shared" si="84"/>
        <v>0</v>
      </c>
      <c r="U1312" s="138"/>
      <c r="V1312" s="147"/>
      <c r="W1312" s="148"/>
    </row>
    <row r="1313" spans="1:23" x14ac:dyDescent="0.25">
      <c r="A1313" s="140">
        <f t="shared" si="83"/>
        <v>53</v>
      </c>
      <c r="B1313" s="157"/>
      <c r="C1313" s="157"/>
      <c r="E1313" s="79"/>
      <c r="F1313" s="153"/>
      <c r="G1313" s="137"/>
      <c r="H1313" s="158"/>
      <c r="L1313" s="98"/>
      <c r="M1313" s="79"/>
      <c r="N1313" s="139"/>
      <c r="P1313" s="138"/>
      <c r="Q1313" s="147"/>
      <c r="R1313" s="147"/>
      <c r="S1313" s="147"/>
      <c r="T1313" s="138">
        <f t="shared" si="84"/>
        <v>0</v>
      </c>
      <c r="U1313" s="138"/>
      <c r="V1313" s="147"/>
      <c r="W1313" s="148"/>
    </row>
    <row r="1314" spans="1:23" x14ac:dyDescent="0.25">
      <c r="A1314" s="140">
        <f t="shared" si="83"/>
        <v>53</v>
      </c>
      <c r="B1314" s="157"/>
      <c r="C1314" s="157"/>
      <c r="E1314" s="79"/>
      <c r="F1314" s="153"/>
      <c r="G1314" s="137"/>
      <c r="H1314" s="158"/>
      <c r="L1314" s="98"/>
      <c r="M1314" s="79"/>
      <c r="N1314" s="139"/>
      <c r="P1314" s="138"/>
      <c r="Q1314" s="147"/>
      <c r="R1314" s="147"/>
      <c r="S1314" s="147"/>
      <c r="T1314" s="138">
        <f t="shared" si="84"/>
        <v>0</v>
      </c>
      <c r="U1314" s="138"/>
      <c r="V1314" s="147"/>
      <c r="W1314" s="148"/>
    </row>
    <row r="1315" spans="1:23" x14ac:dyDescent="0.25">
      <c r="A1315" s="140">
        <f t="shared" si="83"/>
        <v>53</v>
      </c>
      <c r="B1315" s="157"/>
      <c r="C1315" s="157"/>
      <c r="E1315" s="79"/>
      <c r="F1315" s="153"/>
      <c r="G1315" s="137"/>
      <c r="H1315" s="158"/>
      <c r="L1315" s="98"/>
      <c r="M1315" s="79"/>
      <c r="N1315" s="139"/>
      <c r="P1315" s="138"/>
      <c r="Q1315" s="147"/>
      <c r="R1315" s="147"/>
      <c r="S1315" s="147"/>
      <c r="T1315" s="138">
        <f t="shared" si="84"/>
        <v>0</v>
      </c>
      <c r="U1315" s="138"/>
      <c r="V1315" s="147"/>
      <c r="W1315" s="148"/>
    </row>
    <row r="1316" spans="1:23" x14ac:dyDescent="0.25">
      <c r="A1316" s="140">
        <f t="shared" si="83"/>
        <v>53</v>
      </c>
      <c r="B1316" s="157"/>
      <c r="C1316" s="157"/>
      <c r="E1316" s="79"/>
      <c r="F1316" s="153"/>
      <c r="G1316" s="137"/>
      <c r="H1316" s="158"/>
      <c r="L1316" s="98"/>
      <c r="M1316" s="79"/>
      <c r="N1316" s="139"/>
      <c r="P1316" s="138"/>
      <c r="Q1316" s="147"/>
      <c r="R1316" s="147"/>
      <c r="S1316" s="147"/>
      <c r="T1316" s="138">
        <f t="shared" si="84"/>
        <v>0</v>
      </c>
      <c r="U1316" s="138"/>
      <c r="V1316" s="147"/>
      <c r="W1316" s="148"/>
    </row>
    <row r="1317" spans="1:23" x14ac:dyDescent="0.25">
      <c r="A1317" s="140">
        <f t="shared" si="83"/>
        <v>53</v>
      </c>
      <c r="B1317" s="157"/>
      <c r="C1317" s="157"/>
      <c r="E1317" s="79"/>
      <c r="F1317" s="153"/>
      <c r="G1317" s="137"/>
      <c r="H1317" s="158"/>
      <c r="L1317" s="98"/>
      <c r="M1317" s="79"/>
      <c r="N1317" s="139"/>
      <c r="P1317" s="138"/>
      <c r="Q1317" s="147"/>
      <c r="R1317" s="147"/>
      <c r="S1317" s="147"/>
      <c r="T1317" s="138">
        <f t="shared" si="84"/>
        <v>0</v>
      </c>
      <c r="U1317" s="138"/>
      <c r="V1317" s="147"/>
      <c r="W1317" s="148"/>
    </row>
    <row r="1318" spans="1:23" x14ac:dyDescent="0.25">
      <c r="A1318" s="140">
        <f t="shared" si="83"/>
        <v>53</v>
      </c>
      <c r="B1318" s="157"/>
      <c r="C1318" s="157"/>
      <c r="E1318" s="79"/>
      <c r="F1318" s="153"/>
      <c r="G1318" s="137"/>
      <c r="H1318" s="158"/>
      <c r="L1318" s="98"/>
      <c r="M1318" s="79"/>
      <c r="N1318" s="139"/>
      <c r="P1318" s="138"/>
      <c r="Q1318" s="147"/>
      <c r="R1318" s="147"/>
      <c r="S1318" s="147"/>
      <c r="T1318" s="138">
        <f t="shared" si="84"/>
        <v>0</v>
      </c>
      <c r="U1318" s="138"/>
      <c r="V1318" s="147"/>
      <c r="W1318" s="148"/>
    </row>
    <row r="1319" spans="1:23" x14ac:dyDescent="0.25">
      <c r="A1319" s="140">
        <f t="shared" si="83"/>
        <v>53</v>
      </c>
      <c r="B1319" s="157"/>
      <c r="C1319" s="157"/>
      <c r="E1319" s="79"/>
      <c r="F1319" s="153"/>
      <c r="G1319" s="137"/>
      <c r="H1319" s="158"/>
      <c r="L1319" s="98"/>
      <c r="M1319" s="79"/>
      <c r="N1319" s="139"/>
      <c r="P1319" s="138"/>
      <c r="Q1319" s="147"/>
      <c r="R1319" s="147"/>
      <c r="S1319" s="147"/>
      <c r="T1319" s="138">
        <f t="shared" si="84"/>
        <v>0</v>
      </c>
      <c r="U1319" s="138"/>
      <c r="V1319" s="147"/>
      <c r="W1319" s="148"/>
    </row>
    <row r="1320" spans="1:23" x14ac:dyDescent="0.25">
      <c r="A1320" s="140">
        <f t="shared" si="83"/>
        <v>53</v>
      </c>
      <c r="B1320" s="157"/>
      <c r="C1320" s="157"/>
      <c r="E1320" s="79"/>
      <c r="F1320" s="153"/>
      <c r="G1320" s="137"/>
      <c r="H1320" s="158"/>
      <c r="L1320" s="98"/>
      <c r="M1320" s="79"/>
      <c r="N1320" s="139"/>
      <c r="P1320" s="138"/>
      <c r="Q1320" s="147"/>
      <c r="R1320" s="147"/>
      <c r="S1320" s="147"/>
      <c r="T1320" s="138">
        <f t="shared" si="84"/>
        <v>0</v>
      </c>
      <c r="U1320" s="138"/>
      <c r="V1320" s="147"/>
      <c r="W1320" s="148"/>
    </row>
    <row r="1321" spans="1:23" x14ac:dyDescent="0.25">
      <c r="A1321" s="140"/>
      <c r="B1321" s="157"/>
      <c r="C1321" s="157"/>
      <c r="E1321" s="79"/>
      <c r="F1321" s="153"/>
      <c r="G1321" s="137"/>
      <c r="H1321" s="158"/>
      <c r="L1321" s="98"/>
      <c r="M1321" s="79"/>
      <c r="N1321" s="139"/>
      <c r="P1321" s="138"/>
      <c r="Q1321" s="147"/>
      <c r="R1321" s="147"/>
      <c r="S1321" s="147"/>
      <c r="T1321" s="138"/>
      <c r="U1321" s="138"/>
      <c r="V1321" s="147"/>
      <c r="W1321" s="148"/>
    </row>
  </sheetData>
  <autoFilter ref="A3:X1320" xr:uid="{8468EFAD-CC97-45FD-B3C6-6AB924619E4E}"/>
  <customSheetViews>
    <customSheetView guid="{4259091D-D0F3-4F37-BEA1-28A56DCE2CAB}" scale="85">
      <pane xSplit="5" ySplit="3" topLeftCell="F2469" activePane="bottomRight" state="frozen"/>
      <selection pane="bottomRight" activeCell="J2497" sqref="J2497"/>
      <pageMargins left="0" right="0" top="0" bottom="0" header="0" footer="0"/>
      <printOptions gridLines="1"/>
      <pageSetup paperSize="9" orientation="landscape" r:id="rId1"/>
    </customSheetView>
    <customSheetView guid="{8A2A5520-166E-4A1F-8192-130B81C2F742}" scale="80">
      <pane xSplit="5" ySplit="3" topLeftCell="F2458" activePane="bottomRight" state="frozen"/>
      <selection pane="bottomRight" activeCell="I2466" sqref="I2466"/>
      <pageMargins left="0" right="0" top="0" bottom="0" header="0" footer="0"/>
      <printOptions gridLines="1"/>
      <pageSetup paperSize="9" orientation="landscape" r:id="rId2"/>
    </customSheetView>
    <customSheetView guid="{5553B17F-5E38-459F-9E7B-3B8FB8EDA0E9}" scale="90" showAutoFilter="1">
      <pane xSplit="5" ySplit="3" topLeftCell="F2452" activePane="bottomRight" state="frozen"/>
      <selection pane="bottomRight" activeCell="F2460" sqref="F2460"/>
      <pageMargins left="0" right="0" top="0" bottom="0" header="0" footer="0"/>
      <printOptions gridLines="1"/>
      <pageSetup paperSize="9" orientation="landscape" r:id="rId3"/>
      <autoFilter ref="A2:X3434" xr:uid="{1741C286-124A-4B77-B860-60B1D5F4C679}"/>
    </customSheetView>
    <customSheetView guid="{8678D424-961C-4F18-8B8A-3E6706CDCB42}" scale="90">
      <pane xSplit="5" ySplit="3" topLeftCell="F2443" activePane="bottomRight" state="frozen"/>
      <selection pane="bottomRight" activeCell="I2463" sqref="I2463"/>
      <pageMargins left="0" right="0" top="0" bottom="0" header="0" footer="0"/>
      <printOptions gridLines="1"/>
      <pageSetup paperSize="9" orientation="landscape" r:id="rId4"/>
    </customSheetView>
    <customSheetView guid="{3AB35397-189E-4694-8731-466CEBD9E15E}" scale="90">
      <pane xSplit="5" ySplit="3" topLeftCell="G2396" activePane="bottomRight" state="frozen"/>
      <selection pane="bottomRight" activeCell="J2410" sqref="J2410"/>
      <pageMargins left="0" right="0" top="0" bottom="0" header="0" footer="0"/>
      <printOptions gridLines="1"/>
      <pageSetup paperSize="9" orientation="landscape" r:id="rId5"/>
    </customSheetView>
    <customSheetView guid="{46754859-9E9B-4D72-AEF3-49F03F505BFF}" scale="90">
      <pane xSplit="5" ySplit="3" topLeftCell="F2029" activePane="bottomRight" state="frozen"/>
      <selection pane="bottomRight" activeCell="H1976" sqref="H1976"/>
      <pageMargins left="0" right="0" top="0" bottom="0" header="0" footer="0"/>
      <printOptions gridLines="1"/>
      <pageSetup paperSize="9" orientation="landscape" r:id="rId6"/>
    </customSheetView>
    <customSheetView guid="{7BFB684F-1C8B-41A8-B2FF-C44E52241A9E}" scale="80">
      <pane xSplit="5" ySplit="3" topLeftCell="F2254" activePane="bottomRight" state="frozen"/>
      <selection pane="bottomRight" activeCell="K2274" sqref="K2274"/>
      <pageMargins left="0" right="0" top="0" bottom="0" header="0" footer="0"/>
      <printOptions gridLines="1"/>
      <pageSetup paperSize="9" orientation="landscape" r:id="rId7"/>
    </customSheetView>
    <customSheetView guid="{F5769495-685A-4661-B576-D2525E43610D}" scale="90">
      <pane xSplit="5" ySplit="3" topLeftCell="F1641" activePane="bottomRight" state="frozen"/>
      <selection pane="bottomRight" activeCell="I1652" sqref="I1652"/>
      <pageMargins left="0" right="0" top="0" bottom="0" header="0" footer="0"/>
      <printOptions gridLines="1"/>
      <pageSetup paperSize="9" orientation="landscape" r:id="rId8"/>
    </customSheetView>
    <customSheetView guid="{A894FC21-9B62-4923-9AEA-28336F4A24F0}" scale="90" showAutoFilter="1">
      <pane xSplit="5" ySplit="3" topLeftCell="F1543" activePane="bottomRight" state="frozen"/>
      <selection pane="bottomRight" activeCell="G1065" sqref="G1065"/>
      <pageMargins left="0" right="0" top="0" bottom="0" header="0" footer="0"/>
      <printOptions gridLines="1"/>
      <pageSetup paperSize="9" orientation="landscape" r:id="rId9"/>
      <autoFilter ref="A2:X3328" xr:uid="{240E8AD5-7777-4824-B6F4-E2F9A0C9FBA8}"/>
    </customSheetView>
    <customSheetView guid="{CC0660E8-37C1-40F5-AEDF-5B63360C20C7}" scale="80">
      <pane xSplit="5" ySplit="3" topLeftCell="F1407" activePane="bottomRight" state="frozen"/>
      <selection pane="bottomRight" activeCell="J1428" sqref="J1428"/>
      <pageMargins left="0" right="0" top="0" bottom="0" header="0" footer="0"/>
      <printOptions gridLines="1"/>
      <pageSetup paperSize="9" orientation="landscape" r:id="rId10"/>
    </customSheetView>
    <customSheetView guid="{3117843E-4833-4777-B7C9-9650C2E61F22}" scale="80">
      <pane xSplit="5" ySplit="3" topLeftCell="F1186" activePane="bottomRight" state="frozen"/>
      <selection pane="bottomRight" activeCell="I1202" sqref="I1202"/>
      <pageMargins left="0" right="0" top="0" bottom="0" header="0" footer="0"/>
      <printOptions gridLines="1"/>
      <pageSetup paperSize="9" orientation="landscape" r:id="rId11"/>
    </customSheetView>
    <customSheetView guid="{AB2C7187-5A96-446F-B354-D7063F47A089}" scale="80">
      <pane xSplit="5" ySplit="3" topLeftCell="F511" activePane="bottomRight" state="frozen"/>
      <selection pane="bottomRight" activeCell="M359" sqref="M359"/>
      <pageMargins left="0" right="0" top="0" bottom="0" header="0" footer="0"/>
      <printOptions gridLines="1"/>
      <pageSetup paperSize="9" orientation="landscape" r:id="rId12"/>
    </customSheetView>
    <customSheetView guid="{E8C93915-5024-4742-8DB6-B346123BB3C8}" scale="80">
      <pane xSplit="5" ySplit="3" topLeftCell="O382" activePane="bottomRight" state="frozen"/>
      <selection pane="bottomRight" activeCell="Z382" sqref="Z382"/>
      <pageMargins left="0" right="0" top="0" bottom="0" header="0" footer="0"/>
      <printOptions gridLines="1"/>
      <pageSetup paperSize="9" orientation="landscape" r:id="rId13"/>
    </customSheetView>
    <customSheetView guid="{859A76EE-6449-413C-B30A-0094CDDE977F}" scale="80">
      <pane xSplit="5" ySplit="3" topLeftCell="F355" activePane="bottomRight" state="frozen"/>
      <selection pane="bottomRight" activeCell="G324" sqref="G324"/>
      <pageMargins left="0" right="0" top="0" bottom="0" header="0" footer="0"/>
      <printOptions gridLines="1"/>
      <pageSetup paperSize="9" orientation="landscape" r:id="rId14"/>
    </customSheetView>
    <customSheetView guid="{39714219-A5D3-4014-9125-5359C513171F}" scale="80">
      <pane xSplit="5" ySplit="3" topLeftCell="F312" activePane="bottomRight" state="frozen"/>
      <selection pane="bottomRight" activeCell="K321" sqref="K321"/>
      <pageMargins left="0" right="0" top="0" bottom="0" header="0" footer="0"/>
      <printOptions gridLines="1"/>
      <pageSetup paperSize="9" orientation="landscape" r:id="rId15"/>
    </customSheetView>
    <customSheetView guid="{99C1F600-3221-4159-9738-C8FA339A6F16}" scale="80">
      <pane xSplit="5" ySplit="3" topLeftCell="L16" activePane="bottomRight" state="frozen"/>
      <selection pane="bottomRight" activeCell="T27" sqref="T27"/>
      <pageMargins left="0" right="0" top="0" bottom="0" header="0" footer="0"/>
      <printOptions gridLines="1"/>
      <pageSetup paperSize="9" orientation="landscape" r:id="rId16"/>
    </customSheetView>
    <customSheetView guid="{1EEB3DE9-1D73-4812-83A7-DCA1466BE783}" scale="80">
      <pane xSplit="5" ySplit="3" topLeftCell="F124" activePane="bottomRight" state="frozen"/>
      <selection pane="bottomRight" activeCell="G137" sqref="G137"/>
      <pageMargins left="0" right="0" top="0" bottom="0" header="0" footer="0"/>
      <printOptions gridLines="1"/>
      <pageSetup paperSize="9" orientation="landscape" r:id="rId17"/>
    </customSheetView>
    <customSheetView guid="{561021F1-64B8-4FE2-B640-82B8FA990848}" scale="80">
      <pane xSplit="5" ySplit="3" topLeftCell="F46" activePane="bottomRight" state="frozen"/>
      <selection pane="bottomRight" activeCell="I50" sqref="I50:I57"/>
      <pageMargins left="0" right="0" top="0" bottom="0" header="0" footer="0"/>
      <printOptions gridLines="1"/>
      <pageSetup paperSize="9" orientation="landscape" r:id="rId18"/>
    </customSheetView>
    <customSheetView guid="{A569235B-BC9F-42BA-B62B-8158EA8F3130}" scale="70" showAutoFilter="1" hiddenColumns="1">
      <pane ySplit="2" topLeftCell="A3" activePane="bottomLeft"/>
      <selection pane="bottomLeft" activeCell="G3" sqref="G3"/>
      <pageMargins left="0" right="0" top="0" bottom="0" header="0" footer="0"/>
      <printOptions gridLines="1"/>
      <pageSetup paperSize="9" orientation="landscape" r:id="rId19"/>
      <autoFilter ref="A2:AM6518" xr:uid="{3B570685-EA4A-4F24-AF52-40343F0F8853}"/>
    </customSheetView>
    <customSheetView guid="{B0DC83C8-18ED-4304-A12D-8222A145327D}" scale="90" hiddenColumns="1">
      <pane ySplit="2" topLeftCell="A2098" activePane="bottomLeft" state="frozen"/>
      <selection pane="bottomLeft" activeCell="O2053" sqref="O2053"/>
      <pageMargins left="0" right="0" top="0" bottom="0" header="0" footer="0"/>
      <printOptions gridLines="1"/>
      <pageSetup paperSize="9" orientation="landscape" r:id="rId20"/>
    </customSheetView>
    <customSheetView guid="{CACFF423-21D1-49C7-8D16-F47AC796CCA1}" scale="70" showAutoFilter="1" hiddenColumns="1">
      <pane xSplit="12" ySplit="2" topLeftCell="M2098" activePane="bottomRight" state="frozen"/>
      <selection pane="bottomRight" activeCell="O2129" sqref="O2129"/>
      <pageMargins left="0" right="0" top="0" bottom="0" header="0" footer="0"/>
      <printOptions gridLines="1"/>
      <pageSetup paperSize="9" orientation="landscape" r:id="rId21"/>
      <autoFilter ref="A2:AM6525" xr:uid="{E20E5DF9-3B20-4B46-9EC5-232165E59D4F}"/>
    </customSheetView>
    <customSheetView guid="{C176B95D-5070-4E7D-A381-43EB087113B9}" scale="80" showAutoFilter="1" hiddenColumns="1">
      <pane xSplit="12" ySplit="2" topLeftCell="T2107" activePane="bottomRight" state="frozen"/>
      <selection pane="bottomRight" activeCell="Z2124" sqref="Z2124"/>
      <pageMargins left="0" right="0" top="0" bottom="0" header="0" footer="0"/>
      <printOptions gridLines="1"/>
      <pageSetup paperSize="9" orientation="landscape" r:id="rId22"/>
      <autoFilter ref="A2:AM6525" xr:uid="{EB670C06-CBCF-42C1-8A6F-7390DF3A03DA}"/>
    </customSheetView>
    <customSheetView guid="{09D34335-39BD-433C-AD93-C6863F2FBFD9}" scale="80" showAutoFilter="1" hiddenColumns="1">
      <pane xSplit="12" ySplit="2" topLeftCell="M2113" activePane="bottomRight" state="frozen"/>
      <selection pane="bottomRight" activeCell="K2124" sqref="K2124"/>
      <pageMargins left="0" right="0" top="0" bottom="0" header="0" footer="0"/>
      <printOptions gridLines="1"/>
      <pageSetup paperSize="9" orientation="landscape" r:id="rId23"/>
      <autoFilter ref="A2:AM6525" xr:uid="{8F404A4E-E256-4CCC-8305-F964A90CD2F6}"/>
    </customSheetView>
    <customSheetView guid="{EBF74CA6-BC4A-492C-8B8E-DB025ABEE7DC}" scale="90" hiddenColumns="1">
      <pane xSplit="12" ySplit="2" topLeftCell="U2066" activePane="bottomRight" state="frozen"/>
      <selection pane="bottomRight" activeCell="V2085" sqref="V2085"/>
      <pageMargins left="0" right="0" top="0" bottom="0" header="0" footer="0"/>
      <printOptions gridLines="1"/>
      <pageSetup paperSize="9" orientation="landscape" r:id="rId24"/>
    </customSheetView>
    <customSheetView guid="{440CD2AA-AA39-4131-97EA-B5C6818F6B4F}" scale="90" hiddenColumns="1">
      <pane ySplit="2" topLeftCell="A729" activePane="bottomLeft" state="frozen"/>
      <selection pane="bottomLeft" activeCell="M736" sqref="M736"/>
      <pageMargins left="0" right="0" top="0" bottom="0" header="0" footer="0"/>
      <printOptions gridLines="1"/>
      <pageSetup paperSize="9" orientation="landscape" r:id="rId25"/>
    </customSheetView>
    <customSheetView guid="{4C0D3DF9-1755-441A-A09D-DCAF9D3ECEB3}" scale="80" showAutoFilter="1" hiddenColumns="1">
      <pane ySplit="2" topLeftCell="A741" activePane="bottomLeft"/>
      <selection pane="bottomLeft" activeCell="B768" sqref="B768"/>
      <pageMargins left="0" right="0" top="0" bottom="0" header="0" footer="0"/>
      <printOptions gridLines="1"/>
      <pageSetup paperSize="9" orientation="landscape" r:id="rId26"/>
      <autoFilter ref="A2:AM6533" xr:uid="{EB6EDE2B-AC9B-4DC4-804B-C3DF5A727EC4}"/>
    </customSheetView>
    <customSheetView guid="{04F0F035-2413-4E25-863C-B99C06B944CE}" scale="80" showAutoFilter="1" hiddenColumns="1">
      <pane ySplit="2" topLeftCell="A741" activePane="bottomLeft"/>
      <selection pane="bottomLeft" activeCell="B768" sqref="B768"/>
      <pageMargins left="0" right="0" top="0" bottom="0" header="0" footer="0"/>
      <printOptions gridLines="1"/>
      <pageSetup paperSize="9" orientation="landscape" r:id="rId27"/>
      <autoFilter ref="A2:AM6559" xr:uid="{5F8BDF9B-A7DF-464E-85F2-7FADDEC1A93F}"/>
    </customSheetView>
    <customSheetView guid="{604F3432-CA08-4655-B951-781160798B8F}" scale="70" filter="1" showAutoFilter="1" hiddenColumns="1" topLeftCell="AE1">
      <pane ySplit="2" topLeftCell="A3" activePane="bottomLeft" state="frozen"/>
      <selection pane="bottomLeft" activeCell="BD238" sqref="BD3:BD238"/>
      <pageMargins left="0" right="0" top="0" bottom="0" header="0" footer="0"/>
      <printOptions gridLines="1"/>
      <pageSetup paperSize="9" orientation="landscape" r:id="rId28"/>
      <autoFilter ref="A2:AM6712" xr:uid="{747B457D-E1F5-4DCF-9D42-219A6C1F077F}">
        <filterColumn colId="11">
          <filters blank="1">
            <filter val="ALCOCHETE"/>
            <filter val="AUGUSTOW"/>
            <filter val="BARCELONA"/>
            <filter val="BASTIA"/>
            <filter val="BERINGE"/>
            <filter val="BOLOGNA"/>
            <filter val="BONCOURT"/>
            <filter val="BORNEM"/>
            <filter val="BRUSSELS AIRPORT"/>
            <filter val="CARNAXIDE"/>
            <filter val="COLOMIERS"/>
            <filter val="COLOMIERS CEDEX"/>
            <filter val="DABROWA"/>
            <filter val="DABROWA GORNICZA"/>
            <filter val="French Guyana"/>
            <filter val="GIBRALTAR"/>
            <filter val="Guadelupe"/>
            <filter val="HAMBURG"/>
            <filter val="Hamburg/Martinique"/>
            <filter val="HOFKIRCHEN"/>
            <filter val="HOFKIRCHEN AN DER TRATTNACH"/>
            <filter val="HOFKIRCHEN_x000a_"/>
            <filter val="KRANJ"/>
            <filter val="LE MANS"/>
            <filter val="LEGANES"/>
            <filter val="LOGNES"/>
            <filter val="LOGNES/Le Mans"/>
            <filter val="LOGRONO"/>
            <filter val="MIONS"/>
            <filter val="Nupaky"/>
            <filter val="VESTBY"/>
          </filters>
        </filterColumn>
      </autoFilter>
    </customSheetView>
    <customSheetView guid="{159AA83F-8DF2-4277-A669-902C9AC20AC1}" scale="80" hiddenColumns="1">
      <pane ySplit="2" topLeftCell="A222" activePane="bottomLeft" state="frozen"/>
      <selection pane="bottomLeft" activeCell="AE254" sqref="AE254"/>
      <pageMargins left="0" right="0" top="0" bottom="0" header="0" footer="0"/>
      <printOptions gridLines="1"/>
      <pageSetup paperSize="9" orientation="landscape" r:id="rId29"/>
    </customSheetView>
    <customSheetView guid="{4DC50F96-4A68-4660-B46C-8F9ED72D7141}" scale="80" showAutoFilter="1" hiddenColumns="1">
      <pane ySplit="2" topLeftCell="A741" activePane="bottomLeft" state="frozen"/>
      <selection pane="bottomLeft" activeCell="B768" sqref="B768"/>
      <pageMargins left="0" right="0" top="0" bottom="0" header="0" footer="0"/>
      <printOptions gridLines="1"/>
      <pageSetup paperSize="9" orientation="landscape" r:id="rId30"/>
      <autoFilter ref="A2:AM6689" xr:uid="{C09FDA9F-F0E5-4913-9762-89DDDFE70466}"/>
    </customSheetView>
    <customSheetView guid="{6136412F-82DF-441B-B7C9-FF92D8397EBB}" scale="70" showAutoFilter="1" hiddenColumns="1">
      <pane xSplit="12" ySplit="2" topLeftCell="R1483" activePane="bottomRight" state="frozen"/>
      <selection pane="bottomRight" activeCell="AC1491" sqref="AC1491"/>
      <pageMargins left="0" right="0" top="0" bottom="0" header="0" footer="0"/>
      <printOptions gridLines="1"/>
      <pageSetup paperSize="9" orientation="landscape" r:id="rId31"/>
      <autoFilter ref="A2:AM6636" xr:uid="{A27D6169-C70B-4D24-8857-EB64B247223C}"/>
    </customSheetView>
    <customSheetView guid="{5127DA54-534D-4F06-BCD8-5C1B021AD3E2}" scale="90" hiddenColumns="1">
      <pane xSplit="12" ySplit="2" topLeftCell="M2101" activePane="bottomRight" state="frozen"/>
      <selection pane="bottomRight" activeCell="O2121" sqref="O2121"/>
      <pageMargins left="0" right="0" top="0" bottom="0" header="0" footer="0"/>
      <printOptions gridLines="1"/>
      <pageSetup paperSize="9" orientation="landscape" r:id="rId32"/>
    </customSheetView>
    <customSheetView guid="{043624C2-16A5-4D36-A14E-D5C68997D8BB}" scale="90" hiddenColumns="1">
      <pane ySplit="2" topLeftCell="A729" activePane="bottomLeft" state="frozen"/>
      <selection pane="bottomLeft" activeCell="M736" sqref="M736"/>
      <pageMargins left="0" right="0" top="0" bottom="0" header="0" footer="0"/>
      <printOptions gridLines="1"/>
      <pageSetup paperSize="9" orientation="landscape" r:id="rId33"/>
    </customSheetView>
    <customSheetView guid="{3DB152C2-6535-4A2B-B910-DBEE64881738}" scale="70" showAutoFilter="1" hiddenColumns="1">
      <pane ySplit="2" topLeftCell="A585" activePane="bottomLeft" state="frozen"/>
      <selection pane="bottomLeft" activeCell="A3" sqref="A3:A327"/>
      <pageMargins left="0" right="0" top="0" bottom="0" header="0" footer="0"/>
      <printOptions gridLines="1"/>
      <pageSetup paperSize="9" orientation="landscape" r:id="rId34"/>
      <autoFilter ref="A2:AM6518" xr:uid="{57EA079E-BD4F-4D14-A593-13DCB74D1D18}"/>
    </customSheetView>
    <customSheetView guid="{262312F2-7F2B-4330-A41E-23BD1F99D6E0}" scale="80" hiddenColumns="1">
      <pane xSplit="12" ySplit="2" topLeftCell="S2112" activePane="bottomRight" state="frozen"/>
      <selection pane="bottomRight" activeCell="Z2137" sqref="Z2137"/>
      <pageMargins left="0" right="0" top="0" bottom="0" header="0" footer="0"/>
      <printOptions gridLines="1"/>
      <pageSetup paperSize="9" orientation="landscape" r:id="rId35"/>
    </customSheetView>
    <customSheetView guid="{83F528CF-0EB0-448F-A134-FC0A4AE93D61}" scale="80">
      <pane xSplit="5" ySplit="3" topLeftCell="F181" activePane="bottomRight" state="frozen"/>
      <selection pane="bottomRight" activeCell="L180" sqref="L180"/>
      <pageMargins left="0" right="0" top="0" bottom="0" header="0" footer="0"/>
      <printOptions gridLines="1"/>
      <pageSetup paperSize="9" orientation="landscape" r:id="rId36"/>
    </customSheetView>
    <customSheetView guid="{4DEBCDA2-AD48-4242-A2C2-0D34C03BCEDF}" scale="80">
      <pane xSplit="5" ySplit="3" topLeftCell="M4" activePane="bottomRight" state="frozen"/>
      <selection pane="bottomRight" activeCell="B4" sqref="B4"/>
      <pageMargins left="0" right="0" top="0" bottom="0" header="0" footer="0"/>
      <printOptions gridLines="1"/>
      <pageSetup paperSize="9" orientation="landscape" r:id="rId37"/>
    </customSheetView>
    <customSheetView guid="{11E0DF8F-1F3E-458C-AFF0-F06D7C733F39}" scale="80">
      <pane xSplit="5" ySplit="3" topLeftCell="F61" activePane="bottomRight" state="frozen"/>
      <selection pane="bottomRight" activeCell="N90" sqref="N90"/>
      <pageMargins left="0" right="0" top="0" bottom="0" header="0" footer="0"/>
      <printOptions gridLines="1"/>
      <pageSetup paperSize="9" orientation="landscape" r:id="rId38"/>
    </customSheetView>
    <customSheetView guid="{1EDAE053-F030-42D5-B05D-E8B32E176EAC}" scale="80">
      <pane xSplit="5" ySplit="3" topLeftCell="G329" activePane="bottomRight" state="frozen"/>
      <selection pane="bottomRight" activeCell="I299" sqref="I299"/>
      <pageMargins left="0" right="0" top="0" bottom="0" header="0" footer="0"/>
      <printOptions gridLines="1"/>
      <pageSetup paperSize="9" orientation="landscape" r:id="rId39"/>
    </customSheetView>
    <customSheetView guid="{797A356B-9844-480F-9B78-76C80E692EAB}" scale="88" showAutoFilter="1">
      <pane xSplit="5" ySplit="3" topLeftCell="F1810" activePane="bottomRight" state="frozen"/>
      <selection pane="bottomRight" activeCell="H1666" sqref="H1666"/>
      <pageMargins left="0" right="0" top="0" bottom="0" header="0" footer="0"/>
      <printOptions gridLines="1"/>
      <pageSetup paperSize="9" orientation="landscape" r:id="rId40"/>
      <autoFilter ref="A2:X3320" xr:uid="{A182E72F-5DB9-4449-BEB6-ACE0D61747A7}"/>
    </customSheetView>
    <customSheetView guid="{1FFB1A3D-D8A0-4A54-B731-DF26CF2F2B94}" scale="80">
      <pane xSplit="5" ySplit="3" topLeftCell="F2376" activePane="bottomRight" state="frozen"/>
      <selection pane="bottomRight" activeCell="N2066" sqref="N2066"/>
      <pageMargins left="0" right="0" top="0" bottom="0" header="0" footer="0"/>
      <printOptions gridLines="1"/>
      <pageSetup paperSize="9" orientation="landscape" r:id="rId41"/>
    </customSheetView>
    <customSheetView guid="{F7C4BDC5-938D-4C0C-B0B7-0A2BAC54DD9F}" hiddenRows="1">
      <pane xSplit="5" ySplit="509" topLeftCell="G2418" activePane="bottomRight" state="frozen"/>
      <selection pane="bottomRight" activeCell="G2436" sqref="G2436"/>
      <pageMargins left="0" right="0" top="0" bottom="0" header="0" footer="0"/>
      <printOptions gridLines="1"/>
      <pageSetup paperSize="9" orientation="landscape" r:id="rId42"/>
    </customSheetView>
    <customSheetView guid="{A9394557-FCE9-432F-BF03-170DE4B28F03}" scale="80" filter="1" showAutoFilter="1">
      <pane xSplit="5" ySplit="2294" topLeftCell="F2416" activePane="bottomRight" state="frozen"/>
      <selection pane="bottomRight" activeCell="G3425" sqref="G3425"/>
      <pageMargins left="0" right="0" top="0" bottom="0" header="0" footer="0"/>
      <printOptions gridLines="1"/>
      <pageSetup paperSize="9" orientation="landscape" r:id="rId43"/>
      <autoFilter ref="A3:X3421" xr:uid="{7E5BF73F-6EE1-4672-805F-A7706205F832}">
        <filterColumn colId="0">
          <filters>
            <filter val="48"/>
            <filter val="49"/>
          </filters>
        </filterColumn>
      </autoFilter>
    </customSheetView>
    <customSheetView guid="{4F7CB51A-553F-442C-9E5D-87682F826BE3}" scale="85">
      <pane xSplit="5" ySplit="3" topLeftCell="F2463" activePane="bottomRight" state="frozen"/>
      <selection pane="bottomRight" activeCell="L2484" sqref="L2484"/>
      <pageMargins left="0" right="0" top="0" bottom="0" header="0" footer="0"/>
      <printOptions gridLines="1"/>
      <pageSetup paperSize="9" orientation="landscape" r:id="rId44"/>
    </customSheetView>
  </customSheetViews>
  <phoneticPr fontId="20" type="noConversion"/>
  <conditionalFormatting sqref="D1:D15 D23:D25 AB324 AZ324 BX324 CV324 DT324 ER324 FP324 GN324 HL324 IJ324 JH324 KF324 LD324 MB324 MZ324 NX324 OV324 PT324 QR324 RP324 SN324 TL324 UJ324 VH324 WF324 XD324 YB324 YZ324 ZX324 AAV324 ABT324 ACR324 ADP324 AEN324 AFL324 AGJ324 AHH324 AIF324 AJD324 AKB324 AKZ324 ALX324 AMV324 ANT324 AOR324 APP324 AQN324 ARL324 ASJ324 ATH324 AUF324 AVD324 AWB324 AWZ324 AXX324 AYV324 AZT324 BAR324 BBP324 BCN324 BDL324 BEJ324 BFH324 BGF324 BHD324 BIB324 BIZ324 BJX324 BKV324 BLT324 BMR324 BNP324 BON324 BPL324 BQJ324 BRH324 BSF324 BTD324 BUB324 BUZ324 BVX324 BWV324 BXT324 BYR324 BZP324 CAN324 CBL324 CCJ324 CDH324 CEF324 CFD324 CGB324 CGZ324 CHX324 CIV324 CJT324 CKR324 CLP324 CMN324 CNL324 COJ324 CPH324 CQF324 CRD324 CSB324 CSZ324 CTX324 CUV324 CVT324 CWR324 CXP324 CYN324 CZL324 DAJ324 DBH324 DCF324 DDD324 DEB324 DEZ324 DFX324 DGV324 DHT324 DIR324 DJP324 DKN324 DLL324 DMJ324 DNH324 DOF324 DPD324 DQB324 DQZ324 DRX324 DSV324 DTT324 DUR324 DVP324 DWN324 DXL324 DYJ324 DZH324 EAF324 EBD324 ECB324 ECZ324 EDX324 EEV324 EFT324 EGR324 EHP324 EIN324 EJL324 EKJ324 ELH324 EMF324 END324 EOB324 EOZ324 EPX324 EQV324 ERT324 ESR324 ETP324 EUN324 EVL324 EWJ324 EXH324 EYF324 EZD324 FAB324 FAZ324 FBX324 FCV324 FDT324 FER324 FFP324 FGN324 FHL324 FIJ324 FJH324 FKF324 FLD324 FMB324 FMZ324 FNX324 FOV324 FPT324 FQR324 FRP324 FSN324 FTL324 FUJ324 FVH324 FWF324 FXD324 FYB324 FYZ324 FZX324 GAV324 GBT324 GCR324 GDP324 GEN324 GFL324 GGJ324 GHH324 GIF324 GJD324 GKB324 GKZ324 GLX324 GMV324 GNT324 GOR324 GPP324 GQN324 GRL324 GSJ324 GTH324 GUF324 GVD324 GWB324 GWZ324 GXX324 GYV324 GZT324 HAR324 HBP324 HCN324 HDL324 HEJ324 HFH324 HGF324 HHD324 HIB324 HIZ324 HJX324 HKV324 HLT324 HMR324 HNP324 HON324 HPL324 HQJ324 HRH324 HSF324 HTD324 HUB324 HUZ324 HVX324 HWV324 HXT324 HYR324 HZP324 IAN324 IBL324 ICJ324 IDH324 IEF324 IFD324 IGB324 IGZ324 IHX324 IIV324 IJT324 IKR324 ILP324 IMN324 INL324 IOJ324 IPH324 IQF324 IRD324 ISB324 ISZ324 ITX324 IUV324 IVT324 IWR324 IXP324 IYN324 IZL324 JAJ324 JBH324 JCF324 JDD324 JEB324 JEZ324 JFX324 JGV324 JHT324 JIR324 JJP324 JKN324 JLL324 JMJ324 JNH324 JOF324 JPD324 JQB324 JQZ324 JRX324 JSV324 JTT324 JUR324 JVP324 JWN324 JXL324 JYJ324 JZH324 KAF324 KBD324 KCB324 KCZ324 KDX324 KEV324 KFT324 KGR324 KHP324 KIN324 KJL324 KKJ324 KLH324 KMF324 KND324 KOB324 KOZ324 KPX324 KQV324 KRT324 KSR324 KTP324 KUN324 KVL324 KWJ324 KXH324 KYF324 KZD324 LAB324 LAZ324 LBX324 LCV324 LDT324 LER324 LFP324 LGN324 LHL324 LIJ324 LJH324 LKF324 LLD324 LMB324 LMZ324 LNX324 LOV324 LPT324 LQR324 LRP324 LSN324 LTL324 LUJ324 LVH324 LWF324 LXD324 LYB324 LYZ324 LZX324 MAV324 MBT324 MCR324 MDP324 MEN324 MFL324 MGJ324 MHH324 MIF324 MJD324 MKB324 MKZ324 MLX324 MMV324 MNT324 MOR324 MPP324 MQN324 MRL324 MSJ324 MTH324 MUF324 MVD324 MWB324 MWZ324 MXX324 MYV324 MZT324 NAR324 NBP324 NCN324 NDL324 NEJ324 NFH324 NGF324 NHD324 NIB324 NIZ324 NJX324 NKV324 NLT324 NMR324 NNP324 NON324 NPL324 NQJ324 NRH324 NSF324 NTD324 NUB324 NUZ324 NVX324 NWV324 NXT324 NYR324 NZP324 OAN324 OBL324 OCJ324 ODH324 OEF324 OFD324 OGB324 OGZ324 OHX324 OIV324 OJT324 OKR324 OLP324 OMN324 ONL324 OOJ324 OPH324 OQF324 ORD324 OSB324 OSZ324 OTX324 OUV324 OVT324 OWR324 OXP324 OYN324 OZL324 PAJ324 PBH324 PCF324 PDD324 PEB324 PEZ324 PFX324 PGV324 PHT324 PIR324 PJP324 PKN324 PLL324 PMJ324 PNH324 POF324 PPD324 PQB324 PQZ324 PRX324 PSV324 PTT324 PUR324 PVP324 PWN324 PXL324 PYJ324 PZH324 QAF324 QBD324 QCB324 QCZ324 QDX324 QEV324 QFT324 QGR324 QHP324 QIN324 QJL324 QKJ324 QLH324 QMF324 QND324 QOB324 QOZ324 QPX324 QQV324 QRT324 QSR324 QTP324 QUN324 QVL324 QWJ324 QXH324 QYF324 QZD324 RAB324 RAZ324 RBX324 RCV324 RDT324 RER324 RFP324 RGN324 RHL324 RIJ324 RJH324 RKF324 RLD324 RMB324 RMZ324 RNX324 ROV324 RPT324 RQR324 RRP324 RSN324 RTL324 RUJ324 RVH324 RWF324 RXD324 RYB324 RYZ324 RZX324 SAV324 SBT324 SCR324 SDP324 SEN324 SFL324 SGJ324 SHH324 SIF324 SJD324 SKB324 SKZ324 SLX324 SMV324 SNT324 SOR324 SPP324 SQN324 SRL324 SSJ324 STH324 SUF324 SVD324 SWB324 SWZ324 SXX324 SYV324 SZT324 TAR324 TBP324 TCN324 TDL324 TEJ324 TFH324 TGF324 THD324 TIB324 TIZ324 TJX324 TKV324 TLT324 TMR324 TNP324 TON324 TPL324 TQJ324 TRH324 TSF324 TTD324 TUB324 TUZ324 TVX324 TWV324 TXT324 TYR324 TZP324 UAN324 UBL324 UCJ324 UDH324 UEF324 UFD324 UGB324 UGZ324 UHX324 UIV324 UJT324 UKR324 ULP324 UMN324 UNL324 UOJ324 UPH324 UQF324 URD324 USB324 USZ324 UTX324 UUV324 UVT324 UWR324 UXP324 UYN324 UZL324 VAJ324 VBH324 VCF324 VDD324 VEB324 VEZ324 VFX324 VGV324 VHT324 VIR324 VJP324 VKN324 VLL324 VMJ324 VNH324 VOF324 VPD324 VQB324 VQZ324 VRX324 VSV324 VTT324 VUR324 VVP324 VWN324 VXL324 VYJ324 VZH324 WAF324 WBD324 WCB324 WCZ324 WDX324 WEV324 WFT324 WGR324 WHP324 WIN324 WJL324 WKJ324 WLH324 WMF324 WND324 WOB324 WOZ324 WPX324 WQV324 WRT324 WSR324 WTP324 WUN324 WVL324 WWJ324 WXH324 WYF324 WZD324 XAB324 XAZ324 XBX324 XCV324 XDT324 XER324 D29:D1048576">
    <cfRule type="cellIs" dxfId="469" priority="12811" operator="equal">
      <formula>"Nein"</formula>
    </cfRule>
    <cfRule type="cellIs" dxfId="468" priority="12816" operator="equal">
      <formula>"Ja"</formula>
    </cfRule>
  </conditionalFormatting>
  <conditionalFormatting sqref="K1:K15 K23:K25 K29:K34 AI324 BG324 CE324 DC324 EA324 EY324 FW324 GU324 HS324 IQ324 JO324 KM324 LK324 MI324 NG324 OE324 PC324 QA324 QY324 RW324 SU324 TS324 UQ324 VO324 WM324 XK324 YI324 ZG324 AAE324 ABC324 ACA324 ACY324 ADW324 AEU324 AFS324 AGQ324 AHO324 AIM324 AJK324 AKI324 ALG324 AME324 ANC324 AOA324 AOY324 APW324 AQU324 ARS324 ASQ324 ATO324 AUM324 AVK324 AWI324 AXG324 AYE324 AZC324 BAA324 BAY324 BBW324 BCU324 BDS324 BEQ324 BFO324 BGM324 BHK324 BII324 BJG324 BKE324 BLC324 BMA324 BMY324 BNW324 BOU324 BPS324 BQQ324 BRO324 BSM324 BTK324 BUI324 BVG324 BWE324 BXC324 BYA324 BYY324 BZW324 CAU324 CBS324 CCQ324 CDO324 CEM324 CFK324 CGI324 CHG324 CIE324 CJC324 CKA324 CKY324 CLW324 CMU324 CNS324 COQ324 CPO324 CQM324 CRK324 CSI324 CTG324 CUE324 CVC324 CWA324 CWY324 CXW324 CYU324 CZS324 DAQ324 DBO324 DCM324 DDK324 DEI324 DFG324 DGE324 DHC324 DIA324 DIY324 DJW324 DKU324 DLS324 DMQ324 DNO324 DOM324 DPK324 DQI324 DRG324 DSE324 DTC324 DUA324 DUY324 DVW324 DWU324 DXS324 DYQ324 DZO324 EAM324 EBK324 ECI324 EDG324 EEE324 EFC324 EGA324 EGY324 EHW324 EIU324 EJS324 EKQ324 ELO324 EMM324 ENK324 EOI324 EPG324 EQE324 ERC324 ESA324 ESY324 ETW324 EUU324 EVS324 EWQ324 EXO324 EYM324 EZK324 FAI324 FBG324 FCE324 FDC324 FEA324 FEY324 FFW324 FGU324 FHS324 FIQ324 FJO324 FKM324 FLK324 FMI324 FNG324 FOE324 FPC324 FQA324 FQY324 FRW324 FSU324 FTS324 FUQ324 FVO324 FWM324 FXK324 FYI324 FZG324 GAE324 GBC324 GCA324 GCY324 GDW324 GEU324 GFS324 GGQ324 GHO324 GIM324 GJK324 GKI324 GLG324 GME324 GNC324 GOA324 GOY324 GPW324 GQU324 GRS324 GSQ324 GTO324 GUM324 GVK324 GWI324 GXG324 GYE324 GZC324 HAA324 HAY324 HBW324 HCU324 HDS324 HEQ324 HFO324 HGM324 HHK324 HII324 HJG324 HKE324 HLC324 HMA324 HMY324 HNW324 HOU324 HPS324 HQQ324 HRO324 HSM324 HTK324 HUI324 HVG324 HWE324 HXC324 HYA324 HYY324 HZW324 IAU324 IBS324 ICQ324 IDO324 IEM324 IFK324 IGI324 IHG324 IIE324 IJC324 IKA324 IKY324 ILW324 IMU324 INS324 IOQ324 IPO324 IQM324 IRK324 ISI324 ITG324 IUE324 IVC324 IWA324 IWY324 IXW324 IYU324 IZS324 JAQ324 JBO324 JCM324 JDK324 JEI324 JFG324 JGE324 JHC324 JIA324 JIY324 JJW324 JKU324 JLS324 JMQ324 JNO324 JOM324 JPK324 JQI324 JRG324 JSE324 JTC324 JUA324 JUY324 JVW324 JWU324 JXS324 JYQ324 JZO324 KAM324 KBK324 KCI324 KDG324 KEE324 KFC324 KGA324 KGY324 KHW324 KIU324 KJS324 KKQ324 KLO324 KMM324 KNK324 KOI324 KPG324 KQE324 KRC324 KSA324 KSY324 KTW324 KUU324 KVS324 KWQ324 KXO324 KYM324 KZK324 LAI324 LBG324 LCE324 LDC324 LEA324 LEY324 LFW324 LGU324 LHS324 LIQ324 LJO324 LKM324 LLK324 LMI324 LNG324 LOE324 LPC324 LQA324 LQY324 LRW324 LSU324 LTS324 LUQ324 LVO324 LWM324 LXK324 LYI324 LZG324 MAE324 MBC324 MCA324 MCY324 MDW324 MEU324 MFS324 MGQ324 MHO324 MIM324 MJK324 MKI324 MLG324 MME324 MNC324 MOA324 MOY324 MPW324 MQU324 MRS324 MSQ324 MTO324 MUM324 MVK324 MWI324 MXG324 MYE324 MZC324 NAA324 NAY324 NBW324 NCU324 NDS324 NEQ324 NFO324 NGM324 NHK324 NII324 NJG324 NKE324 NLC324 NMA324 NMY324 NNW324 NOU324 NPS324 NQQ324 NRO324 NSM324 NTK324 NUI324 NVG324 NWE324 NXC324 NYA324 NYY324 NZW324 OAU324 OBS324 OCQ324 ODO324 OEM324 OFK324 OGI324 OHG324 OIE324 OJC324 OKA324 OKY324 OLW324 OMU324 ONS324 OOQ324 OPO324 OQM324 ORK324 OSI324 OTG324 OUE324 OVC324 OWA324 OWY324 OXW324 OYU324 OZS324 PAQ324 PBO324 PCM324 PDK324 PEI324 PFG324 PGE324 PHC324 PIA324 PIY324 PJW324 PKU324 PLS324 PMQ324 PNO324 POM324 PPK324 PQI324 PRG324 PSE324 PTC324 PUA324 PUY324 PVW324 PWU324 PXS324 PYQ324 PZO324 QAM324 QBK324 QCI324 QDG324 QEE324 QFC324 QGA324 QGY324 QHW324 QIU324 QJS324 QKQ324 QLO324 QMM324 QNK324 QOI324 QPG324 QQE324 QRC324 QSA324 QSY324 QTW324 QUU324 QVS324 QWQ324 QXO324 QYM324 QZK324 RAI324 RBG324 RCE324 RDC324 REA324 REY324 RFW324 RGU324 RHS324 RIQ324 RJO324 RKM324 RLK324 RMI324 RNG324 ROE324 RPC324 RQA324 RQY324 RRW324 RSU324 RTS324 RUQ324 RVO324 RWM324 RXK324 RYI324 RZG324 SAE324 SBC324 SCA324 SCY324 SDW324 SEU324 SFS324 SGQ324 SHO324 SIM324 SJK324 SKI324 SLG324 SME324 SNC324 SOA324 SOY324 SPW324 SQU324 SRS324 SSQ324 STO324 SUM324 SVK324 SWI324 SXG324 SYE324 SZC324 TAA324 TAY324 TBW324 TCU324 TDS324 TEQ324 TFO324 TGM324 THK324 TII324 TJG324 TKE324 TLC324 TMA324 TMY324 TNW324 TOU324 TPS324 TQQ324 TRO324 TSM324 TTK324 TUI324 TVG324 TWE324 TXC324 TYA324 TYY324 TZW324 UAU324 UBS324 UCQ324 UDO324 UEM324 UFK324 UGI324 UHG324 UIE324 UJC324 UKA324 UKY324 ULW324 UMU324 UNS324 UOQ324 UPO324 UQM324 URK324 USI324 UTG324 UUE324 UVC324 UWA324 UWY324 UXW324 UYU324 UZS324 VAQ324 VBO324 VCM324 VDK324 VEI324 VFG324 VGE324 VHC324 VIA324 VIY324 VJW324 VKU324 VLS324 VMQ324 VNO324 VOM324 VPK324 VQI324 VRG324 VSE324 VTC324 VUA324 VUY324 VVW324 VWU324 VXS324 VYQ324 VZO324 WAM324 WBK324 WCI324 WDG324 WEE324 WFC324 WGA324 WGY324 WHW324 WIU324 WJS324 WKQ324 WLO324 WMM324 WNK324 WOI324 WPG324 WQE324 WRC324 WSA324 WSY324 WTW324 WUU324 WVS324 WWQ324 WXO324 WYM324 WZK324 XAI324 XBG324 XCE324 XDC324 XEA324 XEY324 K41:K1048576">
    <cfRule type="cellIs" dxfId="467" priority="12815" operator="equal">
      <formula>"Nein"</formula>
    </cfRule>
    <cfRule type="cellIs" dxfId="466" priority="12817" operator="equal">
      <formula>"Ja"</formula>
    </cfRule>
  </conditionalFormatting>
  <conditionalFormatting sqref="A10:V10 J8:V9 Q4:X7 A11:X15 W8:X10 P5:P8 A4:F9 J4:O7 H4:H9 I7:I8 G7:G9 A23:V25 J17:O22 H17:H22 A17:F22 G20:G22 Q17:V17 X17 W16:W17 A29:X34 J26:O28 H26:H28 A26:F28 G28 Q26:X28 J35:O40 H35:H40 Q35:X40 A35:F40 W19:X25 Q19:V22 Q18:AO18 A41:X44 A56:X61 J62:O67 J45:X55 A45:H55 A62:H67 P62:X70 A68:O70 K90:X90 A90:I90 A91:X92 A71:X89 A95:V100 A93:G94 W93:X100 I93:V94 A101:X128 I133:V134 A136:X142 L131:L132 J148:V148 I143:I144 I147:I148 J143:O147 P143:P144 P147:P148 A130:E130 G130:V130 A143:H143 A144:G144 A133:G134 A135:V135 X133:X135 A129:V129 X129 W129:W135 A155:X155 Q143:X143 A145:H147 A148:G148 J156:X158 I156:I157 Q144:V147 A149:V154 W144:X154 I182:I183 I185:I187 J182:X187 A156:H158 A159:X181 A182:H187 J208:O208 P206:V211 A188:X205 A206:O207 A208:H208 A209:O211 A212:V215 W206:X215 D259:X259 I251:I252 I254:I258 A251:C259 A216:X250 I260:I261 D251:H258 J251:X258 I263:I264 J260:X264 A265:X271 A260:H264 H295:V297 D299:X300 I272 I274:I277 A272:H277 J272:X277 D309:X309 A289:F297 A298:V298 A278:X288 I289:I290 H289:H294 J289:X289 I292:I297 J290:V294 W290:X298 D331:X331 D342:F351 A299:C303 D301:F303 A304:F306 D307:F308 H301:X308 D318:X321 I325:I330 H322:X323 H328:X330 A316:C323 A307:C312 H310:X317 D310:F312 A313:F315 D316:F317 A325:C331 J325:X327 H325:H327 XEV324:XFD324 A324:F324 H324:AD324 AF324:BB324 BD324:BZ324 CB324:CX324 CZ324:DV324 DX324:ET324 EV324:FR324 FT324:GP324 GR324:HN324 HP324:IL324 IN324:JJ324 JL324:KH324 KJ324:LF324 LH324:MD324 MF324:NB324 ND324:NZ324 OB324:OX324 OZ324:PV324 PX324:QT324 QV324:RR324 RT324:SP324 SR324:TN324 TP324:UL324 UN324:VJ324 VL324:WH324 WJ324:XF324 XH324:YD324 YF324:ZB324 ZD324:ZZ324 AAB324:AAX324 AAZ324:ABV324 ABX324:ACT324 ACV324:ADR324 ADT324:AEP324 AER324:AFN324 AFP324:AGL324 AGN324:AHJ324 AHL324:AIH324 AIJ324:AJF324 AJH324:AKD324 AKF324:ALB324 ALD324:ALZ324 AMB324:AMX324 AMZ324:ANV324 ANX324:AOT324 AOV324:APR324 APT324:AQP324 AQR324:ARN324 ARP324:ASL324 ASN324:ATJ324 ATL324:AUH324 AUJ324:AVF324 AVH324:AWD324 AWF324:AXB324 AXD324:AXZ324 AYB324:AYX324 AYZ324:AZV324 AZX324:BAT324 BAV324:BBR324 BBT324:BCP324 BCR324:BDN324 BDP324:BEL324 BEN324:BFJ324 BFL324:BGH324 BGJ324:BHF324 BHH324:BID324 BIF324:BJB324 BJD324:BJZ324 BKB324:BKX324 BKZ324:BLV324 BLX324:BMT324 BMV324:BNR324 BNT324:BOP324 BOR324:BPN324 BPP324:BQL324 BQN324:BRJ324 BRL324:BSH324 BSJ324:BTF324 BTH324:BUD324 BUF324:BVB324 BVD324:BVZ324 BWB324:BWX324 BWZ324:BXV324 BXX324:BYT324 BYV324:BZR324 BZT324:CAP324 CAR324:CBN324 CBP324:CCL324 CCN324:CDJ324 CDL324:CEH324 CEJ324:CFF324 CFH324:CGD324 CGF324:CHB324 CHD324:CHZ324 CIB324:CIX324 CIZ324:CJV324 CJX324:CKT324 CKV324:CLR324 CLT324:CMP324 CMR324:CNN324 CNP324:COL324 CON324:CPJ324 CPL324:CQH324 CQJ324:CRF324 CRH324:CSD324 CSF324:CTB324 CTD324:CTZ324 CUB324:CUX324 CUZ324:CVV324 CVX324:CWT324 CWV324:CXR324 CXT324:CYP324 CYR324:CZN324 CZP324:DAL324 DAN324:DBJ324 DBL324:DCH324 DCJ324:DDF324 DDH324:DED324 DEF324:DFB324 DFD324:DFZ324 DGB324:DGX324 DGZ324:DHV324 DHX324:DIT324 DIV324:DJR324 DJT324:DKP324 DKR324:DLN324 DLP324:DML324 DMN324:DNJ324 DNL324:DOH324 DOJ324:DPF324 DPH324:DQD324 DQF324:DRB324 DRD324:DRZ324 DSB324:DSX324 DSZ324:DTV324 DTX324:DUT324 DUV324:DVR324 DVT324:DWP324 DWR324:DXN324 DXP324:DYL324 DYN324:DZJ324 DZL324:EAH324 EAJ324:EBF324 EBH324:ECD324 ECF324:EDB324 EDD324:EDZ324 EEB324:EEX324 EEZ324:EFV324 EFX324:EGT324 EGV324:EHR324 EHT324:EIP324 EIR324:EJN324 EJP324:EKL324 EKN324:ELJ324 ELL324:EMH324 EMJ324:ENF324 ENH324:EOD324 EOF324:EPB324 EPD324:EPZ324 EQB324:EQX324 EQZ324:ERV324 ERX324:EST324 ESV324:ETR324 ETT324:EUP324 EUR324:EVN324 EVP324:EWL324 EWN324:EXJ324 EXL324:EYH324 EYJ324:EZF324 EZH324:FAD324 FAF324:FBB324 FBD324:FBZ324 FCB324:FCX324 FCZ324:FDV324 FDX324:FET324 FEV324:FFR324 FFT324:FGP324 FGR324:FHN324 FHP324:FIL324 FIN324:FJJ324 FJL324:FKH324 FKJ324:FLF324 FLH324:FMD324 FMF324:FNB324 FND324:FNZ324 FOB324:FOX324 FOZ324:FPV324 FPX324:FQT324 FQV324:FRR324 FRT324:FSP324 FSR324:FTN324 FTP324:FUL324 FUN324:FVJ324 FVL324:FWH324 FWJ324:FXF324 FXH324:FYD324 FYF324:FZB324 FZD324:FZZ324 GAB324:GAX324 GAZ324:GBV324 GBX324:GCT324 GCV324:GDR324 GDT324:GEP324 GER324:GFN324 GFP324:GGL324 GGN324:GHJ324 GHL324:GIH324 GIJ324:GJF324 GJH324:GKD324 GKF324:GLB324 GLD324:GLZ324 GMB324:GMX324 GMZ324:GNV324 GNX324:GOT324 GOV324:GPR324 GPT324:GQP324 GQR324:GRN324 GRP324:GSL324 GSN324:GTJ324 GTL324:GUH324 GUJ324:GVF324 GVH324:GWD324 GWF324:GXB324 GXD324:GXZ324 GYB324:GYX324 GYZ324:GZV324 GZX324:HAT324 HAV324:HBR324 HBT324:HCP324 HCR324:HDN324 HDP324:HEL324 HEN324:HFJ324 HFL324:HGH324 HGJ324:HHF324 HHH324:HID324 HIF324:HJB324 HJD324:HJZ324 HKB324:HKX324 HKZ324:HLV324 HLX324:HMT324 HMV324:HNR324 HNT324:HOP324 HOR324:HPN324 HPP324:HQL324 HQN324:HRJ324 HRL324:HSH324 HSJ324:HTF324 HTH324:HUD324 HUF324:HVB324 HVD324:HVZ324 HWB324:HWX324 HWZ324:HXV324 HXX324:HYT324 HYV324:HZR324 HZT324:IAP324 IAR324:IBN324 IBP324:ICL324 ICN324:IDJ324 IDL324:IEH324 IEJ324:IFF324 IFH324:IGD324 IGF324:IHB324 IHD324:IHZ324 IIB324:IIX324 IIZ324:IJV324 IJX324:IKT324 IKV324:ILR324 ILT324:IMP324 IMR324:INN324 INP324:IOL324 ION324:IPJ324 IPL324:IQH324 IQJ324:IRF324 IRH324:ISD324 ISF324:ITB324 ITD324:ITZ324 IUB324:IUX324 IUZ324:IVV324 IVX324:IWT324 IWV324:IXR324 IXT324:IYP324 IYR324:IZN324 IZP324:JAL324 JAN324:JBJ324 JBL324:JCH324 JCJ324:JDF324 JDH324:JED324 JEF324:JFB324 JFD324:JFZ324 JGB324:JGX324 JGZ324:JHV324 JHX324:JIT324 JIV324:JJR324 JJT324:JKP324 JKR324:JLN324 JLP324:JML324 JMN324:JNJ324 JNL324:JOH324 JOJ324:JPF324 JPH324:JQD324 JQF324:JRB324 JRD324:JRZ324 JSB324:JSX324 JSZ324:JTV324 JTX324:JUT324 JUV324:JVR324 JVT324:JWP324 JWR324:JXN324 JXP324:JYL324 JYN324:JZJ324 JZL324:KAH324 KAJ324:KBF324 KBH324:KCD324 KCF324:KDB324 KDD324:KDZ324 KEB324:KEX324 KEZ324:KFV324 KFX324:KGT324 KGV324:KHR324 KHT324:KIP324 KIR324:KJN324 KJP324:KKL324 KKN324:KLJ324 KLL324:KMH324 KMJ324:KNF324 KNH324:KOD324 KOF324:KPB324 KPD324:KPZ324 KQB324:KQX324 KQZ324:KRV324 KRX324:KST324 KSV324:KTR324 KTT324:KUP324 KUR324:KVN324 KVP324:KWL324 KWN324:KXJ324 KXL324:KYH324 KYJ324:KZF324 KZH324:LAD324 LAF324:LBB324 LBD324:LBZ324 LCB324:LCX324 LCZ324:LDV324 LDX324:LET324 LEV324:LFR324 LFT324:LGP324 LGR324:LHN324 LHP324:LIL324 LIN324:LJJ324 LJL324:LKH324 LKJ324:LLF324 LLH324:LMD324 LMF324:LNB324 LND324:LNZ324 LOB324:LOX324 LOZ324:LPV324 LPX324:LQT324 LQV324:LRR324 LRT324:LSP324 LSR324:LTN324 LTP324:LUL324 LUN324:LVJ324 LVL324:LWH324 LWJ324:LXF324 LXH324:LYD324 LYF324:LZB324 LZD324:LZZ324 MAB324:MAX324 MAZ324:MBV324 MBX324:MCT324 MCV324:MDR324 MDT324:MEP324 MER324:MFN324 MFP324:MGL324 MGN324:MHJ324 MHL324:MIH324 MIJ324:MJF324 MJH324:MKD324 MKF324:MLB324 MLD324:MLZ324 MMB324:MMX324 MMZ324:MNV324 MNX324:MOT324 MOV324:MPR324 MPT324:MQP324 MQR324:MRN324 MRP324:MSL324 MSN324:MTJ324 MTL324:MUH324 MUJ324:MVF324 MVH324:MWD324 MWF324:MXB324 MXD324:MXZ324 MYB324:MYX324 MYZ324:MZV324 MZX324:NAT324 NAV324:NBR324 NBT324:NCP324 NCR324:NDN324 NDP324:NEL324 NEN324:NFJ324 NFL324:NGH324 NGJ324:NHF324 NHH324:NID324 NIF324:NJB324 NJD324:NJZ324 NKB324:NKX324 NKZ324:NLV324 NLX324:NMT324 NMV324:NNR324 NNT324:NOP324 NOR324:NPN324 NPP324:NQL324 NQN324:NRJ324 NRL324:NSH324 NSJ324:NTF324 NTH324:NUD324 NUF324:NVB324 NVD324:NVZ324 NWB324:NWX324 NWZ324:NXV324 NXX324:NYT324 NYV324:NZR324 NZT324:OAP324 OAR324:OBN324 OBP324:OCL324 OCN324:ODJ324 ODL324:OEH324 OEJ324:OFF324 OFH324:OGD324 OGF324:OHB324 OHD324:OHZ324 OIB324:OIX324 OIZ324:OJV324 OJX324:OKT324 OKV324:OLR324 OLT324:OMP324 OMR324:ONN324 ONP324:OOL324 OON324:OPJ324 OPL324:OQH324 OQJ324:ORF324 ORH324:OSD324 OSF324:OTB324 OTD324:OTZ324 OUB324:OUX324 OUZ324:OVV324 OVX324:OWT324 OWV324:OXR324 OXT324:OYP324 OYR324:OZN324 OZP324:PAL324 PAN324:PBJ324 PBL324:PCH324 PCJ324:PDF324 PDH324:PED324 PEF324:PFB324 PFD324:PFZ324 PGB324:PGX324 PGZ324:PHV324 PHX324:PIT324 PIV324:PJR324 PJT324:PKP324 PKR324:PLN324 PLP324:PML324 PMN324:PNJ324 PNL324:POH324 POJ324:PPF324 PPH324:PQD324 PQF324:PRB324 PRD324:PRZ324 PSB324:PSX324 PSZ324:PTV324 PTX324:PUT324 PUV324:PVR324 PVT324:PWP324 PWR324:PXN324 PXP324:PYL324 PYN324:PZJ324 PZL324:QAH324 QAJ324:QBF324 QBH324:QCD324 QCF324:QDB324 QDD324:QDZ324 QEB324:QEX324 QEZ324:QFV324 QFX324:QGT324 QGV324:QHR324 QHT324:QIP324 QIR324:QJN324 QJP324:QKL324 QKN324:QLJ324 QLL324:QMH324 QMJ324:QNF324 QNH324:QOD324 QOF324:QPB324 QPD324:QPZ324 QQB324:QQX324 QQZ324:QRV324 QRX324:QST324 QSV324:QTR324 QTT324:QUP324 QUR324:QVN324 QVP324:QWL324 QWN324:QXJ324 QXL324:QYH324 QYJ324:QZF324 QZH324:RAD324 RAF324:RBB324 RBD324:RBZ324 RCB324:RCX324 RCZ324:RDV324 RDX324:RET324 REV324:RFR324 RFT324:RGP324 RGR324:RHN324 RHP324:RIL324 RIN324:RJJ324 RJL324:RKH324 RKJ324:RLF324 RLH324:RMD324 RMF324:RNB324 RND324:RNZ324 ROB324:ROX324 ROZ324:RPV324 RPX324:RQT324 RQV324:RRR324 RRT324:RSP324 RSR324:RTN324 RTP324:RUL324 RUN324:RVJ324 RVL324:RWH324 RWJ324:RXF324 RXH324:RYD324 RYF324:RZB324 RZD324:RZZ324 SAB324:SAX324 SAZ324:SBV324 SBX324:SCT324 SCV324:SDR324 SDT324:SEP324 SER324:SFN324 SFP324:SGL324 SGN324:SHJ324 SHL324:SIH324 SIJ324:SJF324 SJH324:SKD324 SKF324:SLB324 SLD324:SLZ324 SMB324:SMX324 SMZ324:SNV324 SNX324:SOT324 SOV324:SPR324 SPT324:SQP324 SQR324:SRN324 SRP324:SSL324 SSN324:STJ324 STL324:SUH324 SUJ324:SVF324 SVH324:SWD324 SWF324:SXB324 SXD324:SXZ324 SYB324:SYX324 SYZ324:SZV324 SZX324:TAT324 TAV324:TBR324 TBT324:TCP324 TCR324:TDN324 TDP324:TEL324 TEN324:TFJ324 TFL324:TGH324 TGJ324:THF324 THH324:TID324 TIF324:TJB324 TJD324:TJZ324 TKB324:TKX324 TKZ324:TLV324 TLX324:TMT324 TMV324:TNR324 TNT324:TOP324 TOR324:TPN324 TPP324:TQL324 TQN324:TRJ324 TRL324:TSH324 TSJ324:TTF324 TTH324:TUD324 TUF324:TVB324 TVD324:TVZ324 TWB324:TWX324 TWZ324:TXV324 TXX324:TYT324 TYV324:TZR324 TZT324:UAP324 UAR324:UBN324 UBP324:UCL324 UCN324:UDJ324 UDL324:UEH324 UEJ324:UFF324 UFH324:UGD324 UGF324:UHB324 UHD324:UHZ324 UIB324:UIX324 UIZ324:UJV324 UJX324:UKT324 UKV324:ULR324 ULT324:UMP324 UMR324:UNN324 UNP324:UOL324 UON324:UPJ324 UPL324:UQH324 UQJ324:URF324 URH324:USD324 USF324:UTB324 UTD324:UTZ324 UUB324:UUX324 UUZ324:UVV324 UVX324:UWT324 UWV324:UXR324 UXT324:UYP324 UYR324:UZN324 UZP324:VAL324 VAN324:VBJ324 VBL324:VCH324 VCJ324:VDF324 VDH324:VED324 VEF324:VFB324 VFD324:VFZ324 VGB324:VGX324 VGZ324:VHV324 VHX324:VIT324 VIV324:VJR324 VJT324:VKP324 VKR324:VLN324 VLP324:VML324 VMN324:VNJ324 VNL324:VOH324 VOJ324:VPF324 VPH324:VQD324 VQF324:VRB324 VRD324:VRZ324 VSB324:VSX324 VSZ324:VTV324 VTX324:VUT324 VUV324:VVR324 VVT324:VWP324 VWR324:VXN324 VXP324:VYL324 VYN324:VZJ324 VZL324:WAH324 WAJ324:WBF324 WBH324:WCD324 WCF324:WDB324 WDD324:WDZ324 WEB324:WEX324 WEZ324:WFV324 WFX324:WGT324 WGV324:WHR324 WHT324:WIP324 WIR324:WJN324 WJP324:WKL324 WKN324:WLJ324 WLL324:WMH324 WMJ324:WNF324 WNH324:WOD324 WOF324:WPB324 WPD324:WPZ324 WQB324:WQX324 WQZ324:WRV324 WRX324:WST324 WSV324:WTR324 WTT324:WUP324 WUR324:WVN324 WVP324:WWL324 WWN324:WXJ324 WXL324:WYH324 WYJ324:WZF324 WZH324:XAD324 XAF324:XBB324 XBD324:XBZ324 XCB324:XCX324 XCZ324:XDV324 XDX324:XET324 D325:F330 D322:F323 A332:X341 H342:X351 D352:X352 G361 H353:X362 D353:F362 D363:X376 D386:X388 A342:C388 D377:F385 H377:X385 D422:X425 A394:X399 J392:X393 A392:H393 A389:X391 D410:X411 D435:X438 A410:C420 A400:F409 H403 J403:X403 H404:X409 H400:X402 H421 J421:X421 H433 J433:O433 H431:O432 P431:V433 D412:F420 A421:F421 H412:X420 H434:X434 D459:X461 D471:X474 D462:F470 A422:C440 H426:X426 D426:F434 H427:V430 W427:X433 H447:V447 H475:X482 D483:X487 D475:F482 H439:X439 H445:H446 J445:V446 D439:F440 A457:H457 A441:F447 A448:V449 H440:V444 W440:X449 H488:X495 D496:X497 D488:F495 A450:X452 H455:V455 H456:I456 J454:V454 B1044026:B1048576 A459:C497 H462:O462 H463:H465 H467 P462:X463 P466:X467 J463:O463 J464:X465 H466:O466 J467:O467 H468:X470 A454:H454 A458:X458 A455:G456 A453:V453 J456:V457 W453:X457 A498:X1321">
    <cfRule type="expression" dxfId="465" priority="390">
      <formula>$L4="Gestrichen"</formula>
    </cfRule>
    <cfRule type="expression" dxfId="464" priority="14489">
      <formula>$L4="Vorgestellt"</formula>
    </cfRule>
    <cfRule type="expression" dxfId="463" priority="14490">
      <formula>$L4="Verladung"</formula>
    </cfRule>
    <cfRule type="expression" dxfId="462" priority="14491">
      <formula>$L4="in Vorbereitung"</formula>
    </cfRule>
    <cfRule type="expression" dxfId="461" priority="14492">
      <formula>$L4="Verschoben"</formula>
    </cfRule>
    <cfRule type="expression" dxfId="460" priority="14493">
      <formula>$L4="Verladen + PGI"</formula>
    </cfRule>
  </conditionalFormatting>
  <conditionalFormatting sqref="G4:G6">
    <cfRule type="expression" dxfId="459" priority="2671">
      <formula>$L4="Vorgestellt"</formula>
    </cfRule>
    <cfRule type="expression" dxfId="458" priority="2672">
      <formula>$L4="Gestrichen"</formula>
    </cfRule>
    <cfRule type="expression" dxfId="457" priority="2673">
      <formula>$L4="in Vorbereitung"</formula>
    </cfRule>
    <cfRule type="expression" dxfId="456" priority="2674">
      <formula>$L4="Verschoben"</formula>
    </cfRule>
    <cfRule type="expression" dxfId="455" priority="2675">
      <formula>$L4="Verladen + PGI"</formula>
    </cfRule>
  </conditionalFormatting>
  <conditionalFormatting sqref="I4:I6">
    <cfRule type="expression" dxfId="454" priority="2656">
      <formula>$L4="Vorgestellt"</formula>
    </cfRule>
    <cfRule type="expression" dxfId="453" priority="2657">
      <formula>$L4="Gestrichen"</formula>
    </cfRule>
    <cfRule type="expression" dxfId="452" priority="2658">
      <formula>$L4="in Vorbereitung"</formula>
    </cfRule>
    <cfRule type="expression" dxfId="451" priority="2659">
      <formula>$L4="Verschoben"</formula>
    </cfRule>
    <cfRule type="expression" dxfId="450" priority="2660">
      <formula>$L4="Verladen + PGI"</formula>
    </cfRule>
  </conditionalFormatting>
  <conditionalFormatting sqref="I9">
    <cfRule type="expression" dxfId="449" priority="2616">
      <formula>$L9="Vorgestellt"</formula>
    </cfRule>
    <cfRule type="expression" dxfId="448" priority="2617">
      <formula>$L9="Gestrichen"</formula>
    </cfRule>
    <cfRule type="expression" dxfId="447" priority="2618">
      <formula>$L9="in Vorbereitung"</formula>
    </cfRule>
    <cfRule type="expression" dxfId="446" priority="2619">
      <formula>$L9="Verschoben"</formula>
    </cfRule>
    <cfRule type="expression" dxfId="445" priority="2620">
      <formula>$L9="Verladen + PGI"</formula>
    </cfRule>
  </conditionalFormatting>
  <conditionalFormatting sqref="P4">
    <cfRule type="expression" dxfId="444" priority="2606">
      <formula>$L4="Vorgestellt"</formula>
    </cfRule>
    <cfRule type="expression" dxfId="443" priority="2607">
      <formula>$L4="Gestrichen"</formula>
    </cfRule>
    <cfRule type="expression" dxfId="442" priority="2608">
      <formula>$L4="in Vorbereitung"</formula>
    </cfRule>
    <cfRule type="expression" dxfId="441" priority="2609">
      <formula>$L4="Verschoben"</formula>
    </cfRule>
    <cfRule type="expression" dxfId="440" priority="2610">
      <formula>$L4="Verladen + PGI"</formula>
    </cfRule>
  </conditionalFormatting>
  <conditionalFormatting sqref="D16:D22">
    <cfRule type="cellIs" dxfId="439" priority="2597" operator="equal">
      <formula>"Nein"</formula>
    </cfRule>
    <cfRule type="cellIs" dxfId="438" priority="2599" operator="equal">
      <formula>"Ja"</formula>
    </cfRule>
  </conditionalFormatting>
  <conditionalFormatting sqref="K16:K22">
    <cfRule type="cellIs" dxfId="437" priority="2598" operator="equal">
      <formula>"Nein"</formula>
    </cfRule>
    <cfRule type="cellIs" dxfId="436" priority="2600" operator="equal">
      <formula>"Ja"</formula>
    </cfRule>
  </conditionalFormatting>
  <conditionalFormatting sqref="A16:V16 X16">
    <cfRule type="expression" dxfId="435" priority="2601">
      <formula>$L16="Vorgestellt"</formula>
    </cfRule>
    <cfRule type="expression" dxfId="434" priority="2602">
      <formula>$L16="Gestrichen"</formula>
    </cfRule>
    <cfRule type="expression" dxfId="433" priority="2603">
      <formula>$L16="in Vorbereitung"</formula>
    </cfRule>
    <cfRule type="expression" dxfId="432" priority="2604">
      <formula>$L16="Verschoben"</formula>
    </cfRule>
    <cfRule type="expression" dxfId="431" priority="2605">
      <formula>$L16="Verladen + PGI"</formula>
    </cfRule>
  </conditionalFormatting>
  <conditionalFormatting sqref="G17:G19">
    <cfRule type="expression" dxfId="430" priority="797">
      <formula>$L17="Vorgestellt"</formula>
    </cfRule>
    <cfRule type="expression" dxfId="429" priority="798">
      <formula>$L17="Gestrichen"</formula>
    </cfRule>
    <cfRule type="expression" dxfId="428" priority="799">
      <formula>$L17="in Vorbereitung"</formula>
    </cfRule>
    <cfRule type="expression" dxfId="427" priority="800">
      <formula>$L17="Verschoben"</formula>
    </cfRule>
    <cfRule type="expression" dxfId="426" priority="801">
      <formula>$L17="Verladen + PGI"</formula>
    </cfRule>
  </conditionalFormatting>
  <conditionalFormatting sqref="I17:I19">
    <cfRule type="expression" dxfId="425" priority="792">
      <formula>$L17="Vorgestellt"</formula>
    </cfRule>
    <cfRule type="expression" dxfId="424" priority="793">
      <formula>$L17="Gestrichen"</formula>
    </cfRule>
    <cfRule type="expression" dxfId="423" priority="794">
      <formula>$L17="in Vorbereitung"</formula>
    </cfRule>
    <cfRule type="expression" dxfId="422" priority="795">
      <formula>$L17="Verschoben"</formula>
    </cfRule>
    <cfRule type="expression" dxfId="421" priority="796">
      <formula>$L17="Verladen + PGI"</formula>
    </cfRule>
  </conditionalFormatting>
  <conditionalFormatting sqref="I20:I22">
    <cfRule type="expression" dxfId="420" priority="787">
      <formula>$L20="Vorgestellt"</formula>
    </cfRule>
    <cfRule type="expression" dxfId="419" priority="788">
      <formula>$L20="Gestrichen"</formula>
    </cfRule>
    <cfRule type="expression" dxfId="418" priority="789">
      <formula>$L20="in Vorbereitung"</formula>
    </cfRule>
    <cfRule type="expression" dxfId="417" priority="790">
      <formula>$L20="Verschoben"</formula>
    </cfRule>
    <cfRule type="expression" dxfId="416" priority="791">
      <formula>$L20="Verladen + PGI"</formula>
    </cfRule>
  </conditionalFormatting>
  <conditionalFormatting sqref="P18:P22">
    <cfRule type="expression" dxfId="415" priority="777">
      <formula>$L18="Vorgestellt"</formula>
    </cfRule>
    <cfRule type="expression" dxfId="414" priority="778">
      <formula>$L18="Gestrichen"</formula>
    </cfRule>
    <cfRule type="expression" dxfId="413" priority="779">
      <formula>$L18="in Vorbereitung"</formula>
    </cfRule>
    <cfRule type="expression" dxfId="412" priority="780">
      <formula>$L18="Verschoben"</formula>
    </cfRule>
    <cfRule type="expression" dxfId="411" priority="781">
      <formula>$L18="Verladen + PGI"</formula>
    </cfRule>
  </conditionalFormatting>
  <conditionalFormatting sqref="P17">
    <cfRule type="expression" dxfId="410" priority="772">
      <formula>$L17="Vorgestellt"</formula>
    </cfRule>
    <cfRule type="expression" dxfId="409" priority="773">
      <formula>$L17="Gestrichen"</formula>
    </cfRule>
    <cfRule type="expression" dxfId="408" priority="774">
      <formula>$L17="in Vorbereitung"</formula>
    </cfRule>
    <cfRule type="expression" dxfId="407" priority="775">
      <formula>$L17="Verschoben"</formula>
    </cfRule>
    <cfRule type="expression" dxfId="406" priority="776">
      <formula>$L17="Verladen + PGI"</formula>
    </cfRule>
  </conditionalFormatting>
  <conditionalFormatting sqref="D26:D28">
    <cfRule type="cellIs" dxfId="405" priority="708" operator="equal">
      <formula>"Nein"</formula>
    </cfRule>
    <cfRule type="cellIs" dxfId="404" priority="710" operator="equal">
      <formula>"Ja"</formula>
    </cfRule>
  </conditionalFormatting>
  <conditionalFormatting sqref="K26:K28">
    <cfRule type="cellIs" dxfId="403" priority="709" operator="equal">
      <formula>"Nein"</formula>
    </cfRule>
    <cfRule type="cellIs" dxfId="402" priority="711" operator="equal">
      <formula>"Ja"</formula>
    </cfRule>
  </conditionalFormatting>
  <conditionalFormatting sqref="G26:G27">
    <cfRule type="expression" dxfId="401" priority="703">
      <formula>$L26="Vorgestellt"</formula>
    </cfRule>
    <cfRule type="expression" dxfId="400" priority="704">
      <formula>$L26="Gestrichen"</formula>
    </cfRule>
    <cfRule type="expression" dxfId="399" priority="705">
      <formula>$L26="in Vorbereitung"</formula>
    </cfRule>
    <cfRule type="expression" dxfId="398" priority="706">
      <formula>$L26="Verschoben"</formula>
    </cfRule>
    <cfRule type="expression" dxfId="397" priority="707">
      <formula>$L26="Verladen + PGI"</formula>
    </cfRule>
  </conditionalFormatting>
  <conditionalFormatting sqref="I26:I27">
    <cfRule type="expression" dxfId="396" priority="698">
      <formula>$L26="Vorgestellt"</formula>
    </cfRule>
    <cfRule type="expression" dxfId="395" priority="699">
      <formula>$L26="Gestrichen"</formula>
    </cfRule>
    <cfRule type="expression" dxfId="394" priority="700">
      <formula>$L26="in Vorbereitung"</formula>
    </cfRule>
    <cfRule type="expression" dxfId="393" priority="701">
      <formula>$L26="Verschoben"</formula>
    </cfRule>
    <cfRule type="expression" dxfId="392" priority="702">
      <formula>$L26="Verladen + PGI"</formula>
    </cfRule>
  </conditionalFormatting>
  <conditionalFormatting sqref="I28">
    <cfRule type="expression" dxfId="391" priority="693">
      <formula>$L28="Vorgestellt"</formula>
    </cfRule>
    <cfRule type="expression" dxfId="390" priority="694">
      <formula>$L28="Gestrichen"</formula>
    </cfRule>
    <cfRule type="expression" dxfId="389" priority="695">
      <formula>$L28="in Vorbereitung"</formula>
    </cfRule>
    <cfRule type="expression" dxfId="388" priority="696">
      <formula>$L28="Verschoben"</formula>
    </cfRule>
    <cfRule type="expression" dxfId="387" priority="697">
      <formula>$L28="Verladen + PGI"</formula>
    </cfRule>
  </conditionalFormatting>
  <conditionalFormatting sqref="P26:P28">
    <cfRule type="expression" dxfId="386" priority="688">
      <formula>$L26="Vorgestellt"</formula>
    </cfRule>
    <cfRule type="expression" dxfId="385" priority="689">
      <formula>$L26="Gestrichen"</formula>
    </cfRule>
    <cfRule type="expression" dxfId="384" priority="690">
      <formula>$L26="in Vorbereitung"</formula>
    </cfRule>
    <cfRule type="expression" dxfId="383" priority="691">
      <formula>$L26="Verschoben"</formula>
    </cfRule>
    <cfRule type="expression" dxfId="382" priority="692">
      <formula>$L26="Verladen + PGI"</formula>
    </cfRule>
  </conditionalFormatting>
  <conditionalFormatting sqref="D35:D40">
    <cfRule type="cellIs" dxfId="381" priority="614" operator="equal">
      <formula>"Nein"</formula>
    </cfRule>
    <cfRule type="cellIs" dxfId="380" priority="616" operator="equal">
      <formula>"Ja"</formula>
    </cfRule>
  </conditionalFormatting>
  <conditionalFormatting sqref="K35:K40">
    <cfRule type="cellIs" dxfId="379" priority="615" operator="equal">
      <formula>"Nein"</formula>
    </cfRule>
    <cfRule type="cellIs" dxfId="378" priority="617" operator="equal">
      <formula>"Ja"</formula>
    </cfRule>
  </conditionalFormatting>
  <conditionalFormatting sqref="G35:G40">
    <cfRule type="expression" dxfId="377" priority="609">
      <formula>$L35="Vorgestellt"</formula>
    </cfRule>
    <cfRule type="expression" dxfId="376" priority="610">
      <formula>$L35="Gestrichen"</formula>
    </cfRule>
    <cfRule type="expression" dxfId="375" priority="611">
      <formula>$L35="in Vorbereitung"</formula>
    </cfRule>
    <cfRule type="expression" dxfId="374" priority="612">
      <formula>$L35="Verschoben"</formula>
    </cfRule>
    <cfRule type="expression" dxfId="373" priority="613">
      <formula>$L35="Verladen + PGI"</formula>
    </cfRule>
  </conditionalFormatting>
  <conditionalFormatting sqref="I35:I37">
    <cfRule type="expression" dxfId="372" priority="604">
      <formula>$L35="Vorgestellt"</formula>
    </cfRule>
    <cfRule type="expression" dxfId="371" priority="605">
      <formula>$L35="Gestrichen"</formula>
    </cfRule>
    <cfRule type="expression" dxfId="370" priority="606">
      <formula>$L35="in Vorbereitung"</formula>
    </cfRule>
    <cfRule type="expression" dxfId="369" priority="607">
      <formula>$L35="Verschoben"</formula>
    </cfRule>
    <cfRule type="expression" dxfId="368" priority="608">
      <formula>$L35="Verladen + PGI"</formula>
    </cfRule>
  </conditionalFormatting>
  <conditionalFormatting sqref="P35:P40">
    <cfRule type="expression" dxfId="367" priority="599">
      <formula>$L35="Vorgestellt"</formula>
    </cfRule>
    <cfRule type="expression" dxfId="366" priority="600">
      <formula>$L35="Gestrichen"</formula>
    </cfRule>
    <cfRule type="expression" dxfId="365" priority="601">
      <formula>$L35="in Vorbereitung"</formula>
    </cfRule>
    <cfRule type="expression" dxfId="364" priority="602">
      <formula>$L35="Verschoben"</formula>
    </cfRule>
    <cfRule type="expression" dxfId="363" priority="603">
      <formula>$L35="Verladen + PGI"</formula>
    </cfRule>
  </conditionalFormatting>
  <conditionalFormatting sqref="I38:I40">
    <cfRule type="expression" dxfId="362" priority="594">
      <formula>$L38="Vorgestellt"</formula>
    </cfRule>
    <cfRule type="expression" dxfId="361" priority="595">
      <formula>$L38="Gestrichen"</formula>
    </cfRule>
    <cfRule type="expression" dxfId="360" priority="596">
      <formula>$L38="in Vorbereitung"</formula>
    </cfRule>
    <cfRule type="expression" dxfId="359" priority="597">
      <formula>$L38="Verschoben"</formula>
    </cfRule>
    <cfRule type="expression" dxfId="358" priority="598">
      <formula>$L38="Verladen + PGI"</formula>
    </cfRule>
  </conditionalFormatting>
  <conditionalFormatting sqref="U18">
    <cfRule type="cellIs" dxfId="357" priority="515" operator="equal">
      <formula>"Nein"</formula>
    </cfRule>
    <cfRule type="cellIs" dxfId="356" priority="517" operator="equal">
      <formula>"Ja"</formula>
    </cfRule>
  </conditionalFormatting>
  <conditionalFormatting sqref="AB18">
    <cfRule type="cellIs" dxfId="355" priority="516" operator="equal">
      <formula>"Nein"</formula>
    </cfRule>
    <cfRule type="cellIs" dxfId="354" priority="518" operator="equal">
      <formula>"Ja"</formula>
    </cfRule>
  </conditionalFormatting>
  <conditionalFormatting sqref="U18">
    <cfRule type="cellIs" dxfId="353" priority="511" operator="equal">
      <formula>"Nein"</formula>
    </cfRule>
    <cfRule type="cellIs" dxfId="352" priority="513" operator="equal">
      <formula>"Ja"</formula>
    </cfRule>
  </conditionalFormatting>
  <conditionalFormatting sqref="AB18">
    <cfRule type="cellIs" dxfId="351" priority="512" operator="equal">
      <formula>"Nein"</formula>
    </cfRule>
    <cfRule type="cellIs" dxfId="350" priority="514" operator="equal">
      <formula>"Ja"</formula>
    </cfRule>
  </conditionalFormatting>
  <conditionalFormatting sqref="I45:I47">
    <cfRule type="expression" dxfId="349" priority="506">
      <formula>$L45="Vorgestellt"</formula>
    </cfRule>
    <cfRule type="expression" dxfId="348" priority="507">
      <formula>$L45="Gestrichen"</formula>
    </cfRule>
    <cfRule type="expression" dxfId="347" priority="508">
      <formula>$L45="in Vorbereitung"</formula>
    </cfRule>
    <cfRule type="expression" dxfId="346" priority="509">
      <formula>$L45="Verschoben"</formula>
    </cfRule>
    <cfRule type="expression" dxfId="345" priority="510">
      <formula>$L45="Verladen + PGI"</formula>
    </cfRule>
  </conditionalFormatting>
  <conditionalFormatting sqref="I48:I50">
    <cfRule type="expression" dxfId="344" priority="501">
      <formula>$L48="Vorgestellt"</formula>
    </cfRule>
    <cfRule type="expression" dxfId="343" priority="502">
      <formula>$L48="Gestrichen"</formula>
    </cfRule>
    <cfRule type="expression" dxfId="342" priority="503">
      <formula>$L48="in Vorbereitung"</formula>
    </cfRule>
    <cfRule type="expression" dxfId="341" priority="504">
      <formula>$L48="Verschoben"</formula>
    </cfRule>
    <cfRule type="expression" dxfId="340" priority="505">
      <formula>$L48="Verladen + PGI"</formula>
    </cfRule>
  </conditionalFormatting>
  <conditionalFormatting sqref="I51:I52">
    <cfRule type="expression" dxfId="339" priority="496">
      <formula>$L51="Vorgestellt"</formula>
    </cfRule>
    <cfRule type="expression" dxfId="338" priority="497">
      <formula>$L51="Gestrichen"</formula>
    </cfRule>
    <cfRule type="expression" dxfId="337" priority="498">
      <formula>$L51="in Vorbereitung"</formula>
    </cfRule>
    <cfRule type="expression" dxfId="336" priority="499">
      <formula>$L51="Verschoben"</formula>
    </cfRule>
    <cfRule type="expression" dxfId="335" priority="500">
      <formula>$L51="Verladen + PGI"</formula>
    </cfRule>
  </conditionalFormatting>
  <conditionalFormatting sqref="I53:I55">
    <cfRule type="expression" dxfId="334" priority="491">
      <formula>$L53="Vorgestellt"</formula>
    </cfRule>
    <cfRule type="expression" dxfId="333" priority="492">
      <formula>$L53="Gestrichen"</formula>
    </cfRule>
    <cfRule type="expression" dxfId="332" priority="493">
      <formula>$L53="in Vorbereitung"</formula>
    </cfRule>
    <cfRule type="expression" dxfId="331" priority="494">
      <formula>$L53="Verschoben"</formula>
    </cfRule>
    <cfRule type="expression" dxfId="330" priority="495">
      <formula>$L53="Verladen + PGI"</formula>
    </cfRule>
  </conditionalFormatting>
  <conditionalFormatting sqref="I62:I64">
    <cfRule type="expression" dxfId="329" priority="466">
      <formula>$L62="Vorgestellt"</formula>
    </cfRule>
    <cfRule type="expression" dxfId="328" priority="467">
      <formula>$L62="Gestrichen"</formula>
    </cfRule>
    <cfRule type="expression" dxfId="327" priority="468">
      <formula>$L62="in Vorbereitung"</formula>
    </cfRule>
    <cfRule type="expression" dxfId="326" priority="469">
      <formula>$L62="Verschoben"</formula>
    </cfRule>
    <cfRule type="expression" dxfId="325" priority="470">
      <formula>$L62="Verladen + PGI"</formula>
    </cfRule>
  </conditionalFormatting>
  <conditionalFormatting sqref="I65:I67">
    <cfRule type="expression" dxfId="324" priority="461">
      <formula>$L65="Vorgestellt"</formula>
    </cfRule>
    <cfRule type="expression" dxfId="323" priority="462">
      <formula>$L65="Gestrichen"</formula>
    </cfRule>
    <cfRule type="expression" dxfId="322" priority="463">
      <formula>$L65="in Vorbereitung"</formula>
    </cfRule>
    <cfRule type="expression" dxfId="321" priority="464">
      <formula>$L65="Verschoben"</formula>
    </cfRule>
    <cfRule type="expression" dxfId="320" priority="465">
      <formula>$L65="Verladen + PGI"</formula>
    </cfRule>
  </conditionalFormatting>
  <conditionalFormatting sqref="J90">
    <cfRule type="expression" dxfId="319" priority="14504">
      <formula>$L91="Vorgestellt"</formula>
    </cfRule>
    <cfRule type="expression" dxfId="318" priority="14505">
      <formula>$L91="Gestrichen"</formula>
    </cfRule>
    <cfRule type="expression" dxfId="317" priority="14506">
      <formula>$L91="in Vorbereitung"</formula>
    </cfRule>
    <cfRule type="expression" dxfId="316" priority="14507">
      <formula>$L91="Verschoben"</formula>
    </cfRule>
    <cfRule type="expression" dxfId="315" priority="14508">
      <formula>$L91="Verladen + PGI"</formula>
    </cfRule>
  </conditionalFormatting>
  <conditionalFormatting sqref="H94">
    <cfRule type="expression" dxfId="314" priority="14519">
      <formula>$L93="Vorgestellt"</formula>
    </cfRule>
    <cfRule type="expression" dxfId="313" priority="14520">
      <formula>$L93="Gestrichen"</formula>
    </cfRule>
    <cfRule type="expression" dxfId="312" priority="14521">
      <formula>$L93="in Vorbereitung"</formula>
    </cfRule>
    <cfRule type="expression" dxfId="311" priority="14522">
      <formula>$L93="Verschoben"</formula>
    </cfRule>
    <cfRule type="expression" dxfId="310" priority="14523">
      <formula>$L93="Verladen + PGI"</formula>
    </cfRule>
  </conditionalFormatting>
  <conditionalFormatting sqref="H93">
    <cfRule type="expression" dxfId="309" priority="441">
      <formula>$L93="Vorgestellt"</formula>
    </cfRule>
    <cfRule type="expression" dxfId="308" priority="442">
      <formula>$L93="Gestrichen"</formula>
    </cfRule>
    <cfRule type="expression" dxfId="307" priority="443">
      <formula>$L93="in Vorbereitung"</formula>
    </cfRule>
    <cfRule type="expression" dxfId="306" priority="444">
      <formula>$L93="Verschoben"</formula>
    </cfRule>
    <cfRule type="expression" dxfId="305" priority="445">
      <formula>$L93="Verladen + PGI"</formula>
    </cfRule>
  </conditionalFormatting>
  <conditionalFormatting sqref="A131:G131 L132 M131:V131 I131:K131 X131">
    <cfRule type="expression" dxfId="304" priority="14534">
      <formula>$L132="Vorgestellt"</formula>
    </cfRule>
    <cfRule type="expression" dxfId="303" priority="14535">
      <formula>$L132="Verladung"</formula>
    </cfRule>
    <cfRule type="expression" dxfId="302" priority="14536">
      <formula>$L132="in Vorbereitung"</formula>
    </cfRule>
    <cfRule type="expression" dxfId="301" priority="14537">
      <formula>$L132="Verschoben"</formula>
    </cfRule>
    <cfRule type="expression" dxfId="300" priority="14538">
      <formula>$L132="Verladen + PGI"</formula>
    </cfRule>
  </conditionalFormatting>
  <conditionalFormatting sqref="M132:V132 A132:K132 X132">
    <cfRule type="expression" dxfId="299" priority="14584">
      <formula>#REF!="Vorgestellt"</formula>
    </cfRule>
    <cfRule type="expression" dxfId="298" priority="14585">
      <formula>#REF!="Verladung"</formula>
    </cfRule>
    <cfRule type="expression" dxfId="297" priority="14586">
      <formula>#REF!="in Vorbereitung"</formula>
    </cfRule>
    <cfRule type="expression" dxfId="296" priority="14587">
      <formula>#REF!="Verschoben"</formula>
    </cfRule>
    <cfRule type="expression" dxfId="295" priority="14588">
      <formula>#REF!="Verladen + PGI"</formula>
    </cfRule>
  </conditionalFormatting>
  <conditionalFormatting sqref="H133:H134">
    <cfRule type="expression" dxfId="294" priority="14604">
      <formula>#REF!="Vorgestellt"</formula>
    </cfRule>
    <cfRule type="expression" dxfId="293" priority="14605">
      <formula>#REF!="Verladung"</formula>
    </cfRule>
    <cfRule type="expression" dxfId="292" priority="14606">
      <formula>#REF!="in Vorbereitung"</formula>
    </cfRule>
    <cfRule type="expression" dxfId="291" priority="14607">
      <formula>#REF!="Verschoben"</formula>
    </cfRule>
    <cfRule type="expression" dxfId="290" priority="14608">
      <formula>#REF!="Verladen + PGI"</formula>
    </cfRule>
  </conditionalFormatting>
  <conditionalFormatting sqref="I145">
    <cfRule type="expression" dxfId="289" priority="426">
      <formula>$L146="Vorgestellt"</formula>
    </cfRule>
    <cfRule type="expression" dxfId="288" priority="427">
      <formula>$L146="Verladung"</formula>
    </cfRule>
    <cfRule type="expression" dxfId="287" priority="428">
      <formula>$L146="in Vorbereitung"</formula>
    </cfRule>
    <cfRule type="expression" dxfId="286" priority="429">
      <formula>$L146="Verschoben"</formula>
    </cfRule>
    <cfRule type="expression" dxfId="285" priority="430">
      <formula>$L146="Verladen + PGI"</formula>
    </cfRule>
  </conditionalFormatting>
  <conditionalFormatting sqref="I146">
    <cfRule type="expression" dxfId="284" priority="431">
      <formula>#REF!="Vorgestellt"</formula>
    </cfRule>
    <cfRule type="expression" dxfId="283" priority="432">
      <formula>#REF!="Verladung"</formula>
    </cfRule>
    <cfRule type="expression" dxfId="282" priority="433">
      <formula>#REF!="in Vorbereitung"</formula>
    </cfRule>
    <cfRule type="expression" dxfId="281" priority="434">
      <formula>#REF!="Verschoben"</formula>
    </cfRule>
    <cfRule type="expression" dxfId="280" priority="435">
      <formula>#REF!="Verladen + PGI"</formula>
    </cfRule>
  </conditionalFormatting>
  <conditionalFormatting sqref="P145">
    <cfRule type="expression" dxfId="279" priority="416">
      <formula>$L146="Vorgestellt"</formula>
    </cfRule>
    <cfRule type="expression" dxfId="278" priority="417">
      <formula>$L146="Verladung"</formula>
    </cfRule>
    <cfRule type="expression" dxfId="277" priority="418">
      <formula>$L146="in Vorbereitung"</formula>
    </cfRule>
    <cfRule type="expression" dxfId="276" priority="419">
      <formula>$L146="Verschoben"</formula>
    </cfRule>
    <cfRule type="expression" dxfId="275" priority="420">
      <formula>$L146="Verladen + PGI"</formula>
    </cfRule>
  </conditionalFormatting>
  <conditionalFormatting sqref="P146">
    <cfRule type="expression" dxfId="274" priority="421">
      <formula>#REF!="Vorgestellt"</formula>
    </cfRule>
    <cfRule type="expression" dxfId="273" priority="422">
      <formula>#REF!="Verladung"</formula>
    </cfRule>
    <cfRule type="expression" dxfId="272" priority="423">
      <formula>#REF!="in Vorbereitung"</formula>
    </cfRule>
    <cfRule type="expression" dxfId="271" priority="424">
      <formula>#REF!="Verschoben"</formula>
    </cfRule>
    <cfRule type="expression" dxfId="270" priority="425">
      <formula>#REF!="Verladen + PGI"</formula>
    </cfRule>
  </conditionalFormatting>
  <conditionalFormatting sqref="H131">
    <cfRule type="expression" dxfId="269" priority="411">
      <formula>#REF!="Vorgestellt"</formula>
    </cfRule>
    <cfRule type="expression" dxfId="268" priority="412">
      <formula>#REF!="Verladung"</formula>
    </cfRule>
    <cfRule type="expression" dxfId="267" priority="413">
      <formula>#REF!="in Vorbereitung"</formula>
    </cfRule>
    <cfRule type="expression" dxfId="266" priority="414">
      <formula>#REF!="Verschoben"</formula>
    </cfRule>
    <cfRule type="expression" dxfId="265" priority="415">
      <formula>#REF!="Verladen + PGI"</formula>
    </cfRule>
  </conditionalFormatting>
  <conditionalFormatting sqref="F130">
    <cfRule type="expression" dxfId="264" priority="406">
      <formula>$L131="Vorgestellt"</formula>
    </cfRule>
    <cfRule type="expression" dxfId="263" priority="407">
      <formula>$L131="Verladung"</formula>
    </cfRule>
    <cfRule type="expression" dxfId="262" priority="408">
      <formula>$L131="in Vorbereitung"</formula>
    </cfRule>
    <cfRule type="expression" dxfId="261" priority="409">
      <formula>$L131="Verschoben"</formula>
    </cfRule>
    <cfRule type="expression" dxfId="260" priority="410">
      <formula>$L131="Verladen + PGI"</formula>
    </cfRule>
  </conditionalFormatting>
  <conditionalFormatting sqref="H144">
    <cfRule type="expression" dxfId="259" priority="401">
      <formula>#REF!="Vorgestellt"</formula>
    </cfRule>
    <cfRule type="expression" dxfId="258" priority="402">
      <formula>#REF!="Verladung"</formula>
    </cfRule>
    <cfRule type="expression" dxfId="257" priority="403">
      <formula>#REF!="in Vorbereitung"</formula>
    </cfRule>
    <cfRule type="expression" dxfId="256" priority="404">
      <formula>#REF!="Verschoben"</formula>
    </cfRule>
    <cfRule type="expression" dxfId="255" priority="405">
      <formula>#REF!="Verladen + PGI"</formula>
    </cfRule>
  </conditionalFormatting>
  <conditionalFormatting sqref="H148">
    <cfRule type="expression" dxfId="254" priority="396">
      <formula>#REF!="Vorgestellt"</formula>
    </cfRule>
    <cfRule type="expression" dxfId="253" priority="397">
      <formula>#REF!="Verladung"</formula>
    </cfRule>
    <cfRule type="expression" dxfId="252" priority="398">
      <formula>#REF!="in Vorbereitung"</formula>
    </cfRule>
    <cfRule type="expression" dxfId="251" priority="399">
      <formula>#REF!="Verschoben"</formula>
    </cfRule>
    <cfRule type="expression" dxfId="250" priority="400">
      <formula>#REF!="Verladen + PGI"</formula>
    </cfRule>
  </conditionalFormatting>
  <conditionalFormatting sqref="X130">
    <cfRule type="expression" dxfId="249" priority="391">
      <formula>$L131="Vorgestellt"</formula>
    </cfRule>
    <cfRule type="expression" dxfId="248" priority="392">
      <formula>$L131="Verladung"</formula>
    </cfRule>
    <cfRule type="expression" dxfId="247" priority="393">
      <formula>$L131="in Vorbereitung"</formula>
    </cfRule>
    <cfRule type="expression" dxfId="246" priority="394">
      <formula>$L131="Verschoben"</formula>
    </cfRule>
    <cfRule type="expression" dxfId="245" priority="395">
      <formula>$L131="Verladen + PGI"</formula>
    </cfRule>
  </conditionalFormatting>
  <conditionalFormatting sqref="I158">
    <cfRule type="expression" dxfId="244" priority="385">
      <formula>$L159="Vorgestellt"</formula>
    </cfRule>
    <cfRule type="expression" dxfId="243" priority="386">
      <formula>$L159="Verladung"</formula>
    </cfRule>
    <cfRule type="expression" dxfId="242" priority="387">
      <formula>$L159="in Vorbereitung"</formula>
    </cfRule>
    <cfRule type="expression" dxfId="241" priority="388">
      <formula>$L159="Verschoben"</formula>
    </cfRule>
    <cfRule type="expression" dxfId="240" priority="389">
      <formula>$L159="Verladen + PGI"</formula>
    </cfRule>
  </conditionalFormatting>
  <conditionalFormatting sqref="I184">
    <cfRule type="expression" dxfId="239" priority="375">
      <formula>$L185="Vorgestellt"</formula>
    </cfRule>
    <cfRule type="expression" dxfId="238" priority="376">
      <formula>$L185="Verladung"</formula>
    </cfRule>
    <cfRule type="expression" dxfId="237" priority="377">
      <formula>$L185="in Vorbereitung"</formula>
    </cfRule>
    <cfRule type="expression" dxfId="236" priority="378">
      <formula>$L185="Verschoben"</formula>
    </cfRule>
    <cfRule type="expression" dxfId="235" priority="379">
      <formula>$L185="Verladen + PGI"</formula>
    </cfRule>
  </conditionalFormatting>
  <conditionalFormatting sqref="I208">
    <cfRule type="expression" dxfId="234" priority="345">
      <formula>$L209="Vorgestellt"</formula>
    </cfRule>
    <cfRule type="expression" dxfId="233" priority="346">
      <formula>$L209="Verladung"</formula>
    </cfRule>
    <cfRule type="expression" dxfId="232" priority="347">
      <formula>$L209="in Vorbereitung"</formula>
    </cfRule>
    <cfRule type="expression" dxfId="231" priority="348">
      <formula>$L209="Verschoben"</formula>
    </cfRule>
    <cfRule type="expression" dxfId="230" priority="349">
      <formula>$L209="Verladen + PGI"</formula>
    </cfRule>
  </conditionalFormatting>
  <conditionalFormatting sqref="I253">
    <cfRule type="expression" dxfId="229" priority="324">
      <formula>$L254="Vorgestellt"</formula>
    </cfRule>
    <cfRule type="expression" dxfId="228" priority="325">
      <formula>$L254="Verladung"</formula>
    </cfRule>
    <cfRule type="expression" dxfId="227" priority="326">
      <formula>$L254="in Vorbereitung"</formula>
    </cfRule>
    <cfRule type="expression" dxfId="226" priority="327">
      <formula>$L254="Verschoben"</formula>
    </cfRule>
    <cfRule type="expression" dxfId="225" priority="328">
      <formula>$L254="Verladen + PGI"</formula>
    </cfRule>
  </conditionalFormatting>
  <conditionalFormatting sqref="I262">
    <cfRule type="expression" dxfId="224" priority="319">
      <formula>$L263="Vorgestellt"</formula>
    </cfRule>
    <cfRule type="expression" dxfId="223" priority="320">
      <formula>$L263="Verladung"</formula>
    </cfRule>
    <cfRule type="expression" dxfId="222" priority="321">
      <formula>$L263="in Vorbereitung"</formula>
    </cfRule>
    <cfRule type="expression" dxfId="221" priority="322">
      <formula>$L263="Verschoben"</formula>
    </cfRule>
    <cfRule type="expression" dxfId="220" priority="323">
      <formula>$L263="Verladen + PGI"</formula>
    </cfRule>
  </conditionalFormatting>
  <conditionalFormatting sqref="I273">
    <cfRule type="expression" dxfId="219" priority="314">
      <formula>$L274="Vorgestellt"</formula>
    </cfRule>
    <cfRule type="expression" dxfId="218" priority="315">
      <formula>$L274="Verladung"</formula>
    </cfRule>
    <cfRule type="expression" dxfId="217" priority="316">
      <formula>$L274="in Vorbereitung"</formula>
    </cfRule>
    <cfRule type="expression" dxfId="216" priority="317">
      <formula>$L274="Verschoben"</formula>
    </cfRule>
    <cfRule type="expression" dxfId="215" priority="318">
      <formula>$L274="Verladen + PGI"</formula>
    </cfRule>
  </conditionalFormatting>
  <conditionalFormatting sqref="G289:G297">
    <cfRule type="expression" dxfId="214" priority="308">
      <formula>$L289="Gestrichen"</formula>
    </cfRule>
    <cfRule type="expression" dxfId="213" priority="309">
      <formula>$L289="Vorgestellt"</formula>
    </cfRule>
    <cfRule type="expression" dxfId="212" priority="310">
      <formula>$L289="Verladung"</formula>
    </cfRule>
    <cfRule type="expression" dxfId="211" priority="311">
      <formula>$L289="in Vorbereitung"</formula>
    </cfRule>
    <cfRule type="expression" dxfId="210" priority="312">
      <formula>$L289="Verschoben"</formula>
    </cfRule>
    <cfRule type="expression" dxfId="209" priority="313">
      <formula>$L289="Verladen + PGI"</formula>
    </cfRule>
  </conditionalFormatting>
  <conditionalFormatting sqref="G301:G303 G307:G308">
    <cfRule type="expression" dxfId="208" priority="297">
      <formula>$L301="Gestrichen"</formula>
    </cfRule>
    <cfRule type="expression" dxfId="207" priority="298">
      <formula>$L301="Vorgestellt"</formula>
    </cfRule>
    <cfRule type="expression" dxfId="206" priority="299">
      <formula>$L301="Verladung"</formula>
    </cfRule>
    <cfRule type="expression" dxfId="205" priority="300">
      <formula>$L301="in Vorbereitung"</formula>
    </cfRule>
    <cfRule type="expression" dxfId="204" priority="301">
      <formula>$L301="Verschoben"</formula>
    </cfRule>
    <cfRule type="expression" dxfId="203" priority="302">
      <formula>$L301="Verladen + PGI"</formula>
    </cfRule>
  </conditionalFormatting>
  <conditionalFormatting sqref="I291">
    <cfRule type="expression" dxfId="202" priority="292">
      <formula>$L292="Vorgestellt"</formula>
    </cfRule>
    <cfRule type="expression" dxfId="201" priority="293">
      <formula>$L292="Verladung"</formula>
    </cfRule>
    <cfRule type="expression" dxfId="200" priority="294">
      <formula>$L292="in Vorbereitung"</formula>
    </cfRule>
    <cfRule type="expression" dxfId="199" priority="295">
      <formula>$L292="Verschoben"</formula>
    </cfRule>
    <cfRule type="expression" dxfId="198" priority="296">
      <formula>$L292="Verladen + PGI"</formula>
    </cfRule>
  </conditionalFormatting>
  <conditionalFormatting sqref="G310 G316:G317">
    <cfRule type="expression" dxfId="197" priority="286">
      <formula>$L310="Gestrichen"</formula>
    </cfRule>
    <cfRule type="expression" dxfId="196" priority="287">
      <formula>$L310="Vorgestellt"</formula>
    </cfRule>
    <cfRule type="expression" dxfId="195" priority="288">
      <formula>$L310="Verladung"</formula>
    </cfRule>
    <cfRule type="expression" dxfId="194" priority="289">
      <formula>$L310="in Vorbereitung"</formula>
    </cfRule>
    <cfRule type="expression" dxfId="193" priority="290">
      <formula>$L310="Verschoben"</formula>
    </cfRule>
    <cfRule type="expression" dxfId="192" priority="291">
      <formula>$L310="Verladen + PGI"</formula>
    </cfRule>
  </conditionalFormatting>
  <conditionalFormatting sqref="G322:G330 AE324 BC324 CA324 CY324 DW324 EU324 FS324 GQ324 HO324 IM324 JK324 KI324 LG324 ME324 NC324 OA324 OY324 PW324 QU324 RS324 SQ324 TO324 UM324 VK324 WI324 XG324 YE324 ZC324 AAA324 AAY324 ABW324 ACU324 ADS324 AEQ324 AFO324 AGM324 AHK324 AII324 AJG324 AKE324 ALC324 AMA324 AMY324 ANW324 AOU324 APS324 AQQ324 ARO324 ASM324 ATK324 AUI324 AVG324 AWE324 AXC324 AYA324 AYY324 AZW324 BAU324 BBS324 BCQ324 BDO324 BEM324 BFK324 BGI324 BHG324 BIE324 BJC324 BKA324 BKY324 BLW324 BMU324 BNS324 BOQ324 BPO324 BQM324 BRK324 BSI324 BTG324 BUE324 BVC324 BWA324 BWY324 BXW324 BYU324 BZS324 CAQ324 CBO324 CCM324 CDK324 CEI324 CFG324 CGE324 CHC324 CIA324 CIY324 CJW324 CKU324 CLS324 CMQ324 CNO324 COM324 CPK324 CQI324 CRG324 CSE324 CTC324 CUA324 CUY324 CVW324 CWU324 CXS324 CYQ324 CZO324 DAM324 DBK324 DCI324 DDG324 DEE324 DFC324 DGA324 DGY324 DHW324 DIU324 DJS324 DKQ324 DLO324 DMM324 DNK324 DOI324 DPG324 DQE324 DRC324 DSA324 DSY324 DTW324 DUU324 DVS324 DWQ324 DXO324 DYM324 DZK324 EAI324 EBG324 ECE324 EDC324 EEA324 EEY324 EFW324 EGU324 EHS324 EIQ324 EJO324 EKM324 ELK324 EMI324 ENG324 EOE324 EPC324 EQA324 EQY324 ERW324 ESU324 ETS324 EUQ324 EVO324 EWM324 EXK324 EYI324 EZG324 FAE324 FBC324 FCA324 FCY324 FDW324 FEU324 FFS324 FGQ324 FHO324 FIM324 FJK324 FKI324 FLG324 FME324 FNC324 FOA324 FOY324 FPW324 FQU324 FRS324 FSQ324 FTO324 FUM324 FVK324 FWI324 FXG324 FYE324 FZC324 GAA324 GAY324 GBW324 GCU324 GDS324 GEQ324 GFO324 GGM324 GHK324 GII324 GJG324 GKE324 GLC324 GMA324 GMY324 GNW324 GOU324 GPS324 GQQ324 GRO324 GSM324 GTK324 GUI324 GVG324 GWE324 GXC324 GYA324 GYY324 GZW324 HAU324 HBS324 HCQ324 HDO324 HEM324 HFK324 HGI324 HHG324 HIE324 HJC324 HKA324 HKY324 HLW324 HMU324 HNS324 HOQ324 HPO324 HQM324 HRK324 HSI324 HTG324 HUE324 HVC324 HWA324 HWY324 HXW324 HYU324 HZS324 IAQ324 IBO324 ICM324 IDK324 IEI324 IFG324 IGE324 IHC324 IIA324 IIY324 IJW324 IKU324 ILS324 IMQ324 INO324 IOM324 IPK324 IQI324 IRG324 ISE324 ITC324 IUA324 IUY324 IVW324 IWU324 IXS324 IYQ324 IZO324 JAM324 JBK324 JCI324 JDG324 JEE324 JFC324 JGA324 JGY324 JHW324 JIU324 JJS324 JKQ324 JLO324 JMM324 JNK324 JOI324 JPG324 JQE324 JRC324 JSA324 JSY324 JTW324 JUU324 JVS324 JWQ324 JXO324 JYM324 JZK324 KAI324 KBG324 KCE324 KDC324 KEA324 KEY324 KFW324 KGU324 KHS324 KIQ324 KJO324 KKM324 KLK324 KMI324 KNG324 KOE324 KPC324 KQA324 KQY324 KRW324 KSU324 KTS324 KUQ324 KVO324 KWM324 KXK324 KYI324 KZG324 LAE324 LBC324 LCA324 LCY324 LDW324 LEU324 LFS324 LGQ324 LHO324 LIM324 LJK324 LKI324 LLG324 LME324 LNC324 LOA324 LOY324 LPW324 LQU324 LRS324 LSQ324 LTO324 LUM324 LVK324 LWI324 LXG324 LYE324 LZC324 MAA324 MAY324 MBW324 MCU324 MDS324 MEQ324 MFO324 MGM324 MHK324 MII324 MJG324 MKE324 MLC324 MMA324 MMY324 MNW324 MOU324 MPS324 MQQ324 MRO324 MSM324 MTK324 MUI324 MVG324 MWE324 MXC324 MYA324 MYY324 MZW324 NAU324 NBS324 NCQ324 NDO324 NEM324 NFK324 NGI324 NHG324 NIE324 NJC324 NKA324 NKY324 NLW324 NMU324 NNS324 NOQ324 NPO324 NQM324 NRK324 NSI324 NTG324 NUE324 NVC324 NWA324 NWY324 NXW324 NYU324 NZS324 OAQ324 OBO324 OCM324 ODK324 OEI324 OFG324 OGE324 OHC324 OIA324 OIY324 OJW324 OKU324 OLS324 OMQ324 ONO324 OOM324 OPK324 OQI324 ORG324 OSE324 OTC324 OUA324 OUY324 OVW324 OWU324 OXS324 OYQ324 OZO324 PAM324 PBK324 PCI324 PDG324 PEE324 PFC324 PGA324 PGY324 PHW324 PIU324 PJS324 PKQ324 PLO324 PMM324 PNK324 POI324 PPG324 PQE324 PRC324 PSA324 PSY324 PTW324 PUU324 PVS324 PWQ324 PXO324 PYM324 PZK324 QAI324 QBG324 QCE324 QDC324 QEA324 QEY324 QFW324 QGU324 QHS324 QIQ324 QJO324 QKM324 QLK324 QMI324 QNG324 QOE324 QPC324 QQA324 QQY324 QRW324 QSU324 QTS324 QUQ324 QVO324 QWM324 QXK324 QYI324 QZG324 RAE324 RBC324 RCA324 RCY324 RDW324 REU324 RFS324 RGQ324 RHO324 RIM324 RJK324 RKI324 RLG324 RME324 RNC324 ROA324 ROY324 RPW324 RQU324 RRS324 RSQ324 RTO324 RUM324 RVK324 RWI324 RXG324 RYE324 RZC324 SAA324 SAY324 SBW324 SCU324 SDS324 SEQ324 SFO324 SGM324 SHK324 SII324 SJG324 SKE324 SLC324 SMA324 SMY324 SNW324 SOU324 SPS324 SQQ324 SRO324 SSM324 STK324 SUI324 SVG324 SWE324 SXC324 SYA324 SYY324 SZW324 TAU324 TBS324 TCQ324 TDO324 TEM324 TFK324 TGI324 THG324 TIE324 TJC324 TKA324 TKY324 TLW324 TMU324 TNS324 TOQ324 TPO324 TQM324 TRK324 TSI324 TTG324 TUE324 TVC324 TWA324 TWY324 TXW324 TYU324 TZS324 UAQ324 UBO324 UCM324 UDK324 UEI324 UFG324 UGE324 UHC324 UIA324 UIY324 UJW324 UKU324 ULS324 UMQ324 UNO324 UOM324 UPK324 UQI324 URG324 USE324 UTC324 UUA324 UUY324 UVW324 UWU324 UXS324 UYQ324 UZO324 VAM324 VBK324 VCI324 VDG324 VEE324 VFC324 VGA324 VGY324 VHW324 VIU324 VJS324 VKQ324 VLO324 VMM324 VNK324 VOI324 VPG324 VQE324 VRC324 VSA324 VSY324 VTW324 VUU324 VVS324 VWQ324 VXO324 VYM324 VZK324 WAI324 WBG324 WCE324 WDC324 WEA324 WEY324 WFW324 WGU324 WHS324 WIQ324 WJO324 WKM324 WLK324 WMI324 WNG324 WOE324 WPC324 WQA324 WQY324 WRW324 WSU324 WTS324 WUQ324 WVO324 WWM324 WXK324 WYI324 WZG324 XAE324 XBC324 XCA324 XCY324 XDW324 XEU324">
    <cfRule type="expression" dxfId="191" priority="280">
      <formula>$L322="Gestrichen"</formula>
    </cfRule>
    <cfRule type="expression" dxfId="190" priority="281">
      <formula>$L322="Vorgestellt"</formula>
    </cfRule>
    <cfRule type="expression" dxfId="189" priority="282">
      <formula>$L322="Verladung"</formula>
    </cfRule>
    <cfRule type="expression" dxfId="188" priority="283">
      <formula>$L322="in Vorbereitung"</formula>
    </cfRule>
    <cfRule type="expression" dxfId="187" priority="284">
      <formula>$L322="Verschoben"</formula>
    </cfRule>
    <cfRule type="expression" dxfId="186" priority="285">
      <formula>$L322="Verladen + PGI"</formula>
    </cfRule>
  </conditionalFormatting>
  <conditionalFormatting sqref="G342:G351">
    <cfRule type="expression" dxfId="185" priority="268">
      <formula>$L342="Gestrichen"</formula>
    </cfRule>
    <cfRule type="expression" dxfId="184" priority="269">
      <formula>$L342="Vorgestellt"</formula>
    </cfRule>
    <cfRule type="expression" dxfId="183" priority="270">
      <formula>$L342="Verladung"</formula>
    </cfRule>
    <cfRule type="expression" dxfId="182" priority="271">
      <formula>$L342="in Vorbereitung"</formula>
    </cfRule>
    <cfRule type="expression" dxfId="181" priority="272">
      <formula>$L342="Verschoben"</formula>
    </cfRule>
    <cfRule type="expression" dxfId="180" priority="273">
      <formula>$L342="Verladen + PGI"</formula>
    </cfRule>
  </conditionalFormatting>
  <conditionalFormatting sqref="G304:G306">
    <cfRule type="expression" dxfId="179" priority="252">
      <formula>$L304="Gestrichen"</formula>
    </cfRule>
    <cfRule type="expression" dxfId="178" priority="253">
      <formula>$L304="Vorgestellt"</formula>
    </cfRule>
    <cfRule type="expression" dxfId="177" priority="254">
      <formula>$L304="Verladung"</formula>
    </cfRule>
    <cfRule type="expression" dxfId="176" priority="255">
      <formula>$L304="in Vorbereitung"</formula>
    </cfRule>
    <cfRule type="expression" dxfId="175" priority="256">
      <formula>$L304="Verschoben"</formula>
    </cfRule>
    <cfRule type="expression" dxfId="174" priority="257">
      <formula>$L304="Verladen + PGI"</formula>
    </cfRule>
  </conditionalFormatting>
  <conditionalFormatting sqref="G313:G315">
    <cfRule type="expression" dxfId="173" priority="241">
      <formula>$L313="Gestrichen"</formula>
    </cfRule>
    <cfRule type="expression" dxfId="172" priority="242">
      <formula>$L313="Vorgestellt"</formula>
    </cfRule>
    <cfRule type="expression" dxfId="171" priority="243">
      <formula>$L313="Verladung"</formula>
    </cfRule>
    <cfRule type="expression" dxfId="170" priority="244">
      <formula>$L313="in Vorbereitung"</formula>
    </cfRule>
    <cfRule type="expression" dxfId="169" priority="245">
      <formula>$L313="Verschoben"</formula>
    </cfRule>
    <cfRule type="expression" dxfId="168" priority="246">
      <formula>$L313="Verladen + PGI"</formula>
    </cfRule>
  </conditionalFormatting>
  <conditionalFormatting sqref="G311:G312">
    <cfRule type="expression" dxfId="167" priority="235">
      <formula>$L311="Gestrichen"</formula>
    </cfRule>
    <cfRule type="expression" dxfId="166" priority="236">
      <formula>$L311="Vorgestellt"</formula>
    </cfRule>
    <cfRule type="expression" dxfId="165" priority="237">
      <formula>$L311="Verladung"</formula>
    </cfRule>
    <cfRule type="expression" dxfId="164" priority="238">
      <formula>$L311="in Vorbereitung"</formula>
    </cfRule>
    <cfRule type="expression" dxfId="163" priority="239">
      <formula>$L311="Verschoben"</formula>
    </cfRule>
    <cfRule type="expression" dxfId="162" priority="240">
      <formula>$L311="Verladen + PGI"</formula>
    </cfRule>
  </conditionalFormatting>
  <conditionalFormatting sqref="G362">
    <cfRule type="expression" dxfId="161" priority="217">
      <formula>$L362="Gestrichen"</formula>
    </cfRule>
    <cfRule type="expression" dxfId="160" priority="218">
      <formula>$L362="Vorgestellt"</formula>
    </cfRule>
    <cfRule type="expression" dxfId="159" priority="219">
      <formula>$L362="Verladung"</formula>
    </cfRule>
    <cfRule type="expression" dxfId="158" priority="220">
      <formula>$L362="in Vorbereitung"</formula>
    </cfRule>
    <cfRule type="expression" dxfId="157" priority="221">
      <formula>$L362="Verschoben"</formula>
    </cfRule>
    <cfRule type="expression" dxfId="156" priority="222">
      <formula>$L362="Verladen + PGI"</formula>
    </cfRule>
  </conditionalFormatting>
  <conditionalFormatting sqref="G377:G385">
    <cfRule type="expression" dxfId="155" priority="211">
      <formula>$L377="Gestrichen"</formula>
    </cfRule>
    <cfRule type="expression" dxfId="154" priority="212">
      <formula>$L377="Vorgestellt"</formula>
    </cfRule>
    <cfRule type="expression" dxfId="153" priority="213">
      <formula>$L377="Verladung"</formula>
    </cfRule>
    <cfRule type="expression" dxfId="152" priority="214">
      <formula>$L377="in Vorbereitung"</formula>
    </cfRule>
    <cfRule type="expression" dxfId="151" priority="215">
      <formula>$L377="Verschoben"</formula>
    </cfRule>
    <cfRule type="expression" dxfId="150" priority="216">
      <formula>$L377="Verladen + PGI"</formula>
    </cfRule>
  </conditionalFormatting>
  <conditionalFormatting sqref="U354">
    <cfRule type="expression" dxfId="149" priority="14615">
      <formula>$L355="Gestrichen"</formula>
    </cfRule>
    <cfRule type="expression" dxfId="148" priority="14616">
      <formula>$L355="Vorgestellt"</formula>
    </cfRule>
    <cfRule type="expression" dxfId="147" priority="14617">
      <formula>$L355="Verladung"</formula>
    </cfRule>
    <cfRule type="expression" dxfId="146" priority="14618">
      <formula>$L355="in Vorbereitung"</formula>
    </cfRule>
    <cfRule type="expression" dxfId="145" priority="14619">
      <formula>$L355="Verschoben"</formula>
    </cfRule>
    <cfRule type="expression" dxfId="144" priority="14620">
      <formula>$L355="Verladen + PGI"</formula>
    </cfRule>
  </conditionalFormatting>
  <conditionalFormatting sqref="G353:G355 G359:G360">
    <cfRule type="expression" dxfId="143" priority="199">
      <formula>$L353="Gestrichen"</formula>
    </cfRule>
    <cfRule type="expression" dxfId="142" priority="200">
      <formula>$L353="Vorgestellt"</formula>
    </cfRule>
    <cfRule type="expression" dxfId="141" priority="201">
      <formula>$L353="Verladung"</formula>
    </cfRule>
    <cfRule type="expression" dxfId="140" priority="202">
      <formula>$L353="in Vorbereitung"</formula>
    </cfRule>
    <cfRule type="expression" dxfId="139" priority="203">
      <formula>$L353="Verschoben"</formula>
    </cfRule>
    <cfRule type="expression" dxfId="138" priority="204">
      <formula>$L353="Verladen + PGI"</formula>
    </cfRule>
  </conditionalFormatting>
  <conditionalFormatting sqref="G356:G358">
    <cfRule type="expression" dxfId="137" priority="193">
      <formula>$L356="Gestrichen"</formula>
    </cfRule>
    <cfRule type="expression" dxfId="136" priority="194">
      <formula>$L356="Vorgestellt"</formula>
    </cfRule>
    <cfRule type="expression" dxfId="135" priority="195">
      <formula>$L356="Verladung"</formula>
    </cfRule>
    <cfRule type="expression" dxfId="134" priority="196">
      <formula>$L356="in Vorbereitung"</formula>
    </cfRule>
    <cfRule type="expression" dxfId="133" priority="197">
      <formula>$L356="Verschoben"</formula>
    </cfRule>
    <cfRule type="expression" dxfId="132" priority="198">
      <formula>$L356="Verladen + PGI"</formula>
    </cfRule>
  </conditionalFormatting>
  <conditionalFormatting sqref="G412:G421">
    <cfRule type="expression" dxfId="131" priority="169">
      <formula>$L412="Gestrichen"</formula>
    </cfRule>
    <cfRule type="expression" dxfId="130" priority="170">
      <formula>$L412="Vorgestellt"</formula>
    </cfRule>
    <cfRule type="expression" dxfId="129" priority="171">
      <formula>$L412="Verladung"</formula>
    </cfRule>
    <cfRule type="expression" dxfId="128" priority="172">
      <formula>$L412="in Vorbereitung"</formula>
    </cfRule>
    <cfRule type="expression" dxfId="127" priority="173">
      <formula>$L412="Verschoben"</formula>
    </cfRule>
    <cfRule type="expression" dxfId="126" priority="174">
      <formula>$L412="Verladen + PGI"</formula>
    </cfRule>
  </conditionalFormatting>
  <conditionalFormatting sqref="I393">
    <cfRule type="expression" dxfId="125" priority="163">
      <formula>$L393="Gestrichen"</formula>
    </cfRule>
    <cfRule type="expression" dxfId="124" priority="164">
      <formula>$L393="Vorgestellt"</formula>
    </cfRule>
    <cfRule type="expression" dxfId="123" priority="165">
      <formula>$L393="Verladung"</formula>
    </cfRule>
    <cfRule type="expression" dxfId="122" priority="166">
      <formula>$L393="in Vorbereitung"</formula>
    </cfRule>
    <cfRule type="expression" dxfId="121" priority="167">
      <formula>$L393="Verschoben"</formula>
    </cfRule>
    <cfRule type="expression" dxfId="120" priority="168">
      <formula>$L393="Verladen + PGI"</formula>
    </cfRule>
  </conditionalFormatting>
  <conditionalFormatting sqref="I392">
    <cfRule type="expression" dxfId="119" priority="139">
      <formula>$L392="Gestrichen"</formula>
    </cfRule>
    <cfRule type="expression" dxfId="118" priority="140">
      <formula>$L392="Vorgestellt"</formula>
    </cfRule>
    <cfRule type="expression" dxfId="117" priority="141">
      <formula>$L392="Verladung"</formula>
    </cfRule>
    <cfRule type="expression" dxfId="116" priority="142">
      <formula>$L392="in Vorbereitung"</formula>
    </cfRule>
    <cfRule type="expression" dxfId="115" priority="143">
      <formula>$L392="Verschoben"</formula>
    </cfRule>
    <cfRule type="expression" dxfId="114" priority="144">
      <formula>$L392="Verladen + PGI"</formula>
    </cfRule>
  </conditionalFormatting>
  <conditionalFormatting sqref="G426:G433">
    <cfRule type="expression" dxfId="113" priority="127">
      <formula>$L426="Gestrichen"</formula>
    </cfRule>
    <cfRule type="expression" dxfId="112" priority="128">
      <formula>$L426="Vorgestellt"</formula>
    </cfRule>
    <cfRule type="expression" dxfId="111" priority="129">
      <formula>$L426="Verladung"</formula>
    </cfRule>
    <cfRule type="expression" dxfId="110" priority="130">
      <formula>$L426="in Vorbereitung"</formula>
    </cfRule>
    <cfRule type="expression" dxfId="109" priority="131">
      <formula>$L426="Verschoben"</formula>
    </cfRule>
    <cfRule type="expression" dxfId="108" priority="132">
      <formula>$L426="Verladen + PGI"</formula>
    </cfRule>
  </conditionalFormatting>
  <conditionalFormatting sqref="G400:G409">
    <cfRule type="expression" dxfId="107" priority="115">
      <formula>$L400="Gestrichen"</formula>
    </cfRule>
    <cfRule type="expression" dxfId="106" priority="116">
      <formula>$L400="Vorgestellt"</formula>
    </cfRule>
    <cfRule type="expression" dxfId="105" priority="117">
      <formula>$L400="Verladung"</formula>
    </cfRule>
    <cfRule type="expression" dxfId="104" priority="118">
      <formula>$L400="in Vorbereitung"</formula>
    </cfRule>
    <cfRule type="expression" dxfId="103" priority="119">
      <formula>$L400="Verschoben"</formula>
    </cfRule>
    <cfRule type="expression" dxfId="102" priority="120">
      <formula>$L400="Verladen + PGI"</formula>
    </cfRule>
  </conditionalFormatting>
  <conditionalFormatting sqref="I403">
    <cfRule type="expression" dxfId="101" priority="109">
      <formula>$L403="Gestrichen"</formula>
    </cfRule>
    <cfRule type="expression" dxfId="100" priority="110">
      <formula>$L403="Vorgestellt"</formula>
    </cfRule>
    <cfRule type="expression" dxfId="99" priority="111">
      <formula>$L403="Verladung"</formula>
    </cfRule>
    <cfRule type="expression" dxfId="98" priority="112">
      <formula>$L403="in Vorbereitung"</formula>
    </cfRule>
    <cfRule type="expression" dxfId="97" priority="113">
      <formula>$L403="Verschoben"</formula>
    </cfRule>
    <cfRule type="expression" dxfId="96" priority="114">
      <formula>$L403="Verladen + PGI"</formula>
    </cfRule>
  </conditionalFormatting>
  <conditionalFormatting sqref="G439:G441 G447">
    <cfRule type="expression" dxfId="95" priority="103">
      <formula>$L439="Gestrichen"</formula>
    </cfRule>
    <cfRule type="expression" dxfId="94" priority="104">
      <formula>$L439="Vorgestellt"</formula>
    </cfRule>
    <cfRule type="expression" dxfId="93" priority="105">
      <formula>$L439="Verladung"</formula>
    </cfRule>
    <cfRule type="expression" dxfId="92" priority="106">
      <formula>$L439="in Vorbereitung"</formula>
    </cfRule>
    <cfRule type="expression" dxfId="91" priority="107">
      <formula>$L439="Verschoben"</formula>
    </cfRule>
    <cfRule type="expression" dxfId="90" priority="108">
      <formula>$L439="Verladen + PGI"</formula>
    </cfRule>
  </conditionalFormatting>
  <conditionalFormatting sqref="I421">
    <cfRule type="expression" dxfId="89" priority="97">
      <formula>$L421="Gestrichen"</formula>
    </cfRule>
    <cfRule type="expression" dxfId="88" priority="98">
      <formula>$L421="Vorgestellt"</formula>
    </cfRule>
    <cfRule type="expression" dxfId="87" priority="99">
      <formula>$L421="Verladung"</formula>
    </cfRule>
    <cfRule type="expression" dxfId="86" priority="100">
      <formula>$L421="in Vorbereitung"</formula>
    </cfRule>
    <cfRule type="expression" dxfId="85" priority="101">
      <formula>$L421="Verschoben"</formula>
    </cfRule>
    <cfRule type="expression" dxfId="84" priority="102">
      <formula>$L421="Verladen + PGI"</formula>
    </cfRule>
  </conditionalFormatting>
  <conditionalFormatting sqref="G434">
    <cfRule type="expression" dxfId="83" priority="91">
      <formula>$L434="Gestrichen"</formula>
    </cfRule>
    <cfRule type="expression" dxfId="82" priority="92">
      <formula>$L434="Vorgestellt"</formula>
    </cfRule>
    <cfRule type="expression" dxfId="81" priority="93">
      <formula>$L434="Verladung"</formula>
    </cfRule>
    <cfRule type="expression" dxfId="80" priority="94">
      <formula>$L434="in Vorbereitung"</formula>
    </cfRule>
    <cfRule type="expression" dxfId="79" priority="95">
      <formula>$L434="Verschoben"</formula>
    </cfRule>
    <cfRule type="expression" dxfId="78" priority="96">
      <formula>$L434="Verladen + PGI"</formula>
    </cfRule>
  </conditionalFormatting>
  <conditionalFormatting sqref="I433">
    <cfRule type="expression" dxfId="77" priority="85">
      <formula>$L433="Gestrichen"</formula>
    </cfRule>
    <cfRule type="expression" dxfId="76" priority="86">
      <formula>$L433="Vorgestellt"</formula>
    </cfRule>
    <cfRule type="expression" dxfId="75" priority="87">
      <formula>$L433="Verladung"</formula>
    </cfRule>
    <cfRule type="expression" dxfId="74" priority="88">
      <formula>$L433="in Vorbereitung"</formula>
    </cfRule>
    <cfRule type="expression" dxfId="73" priority="89">
      <formula>$L433="Verschoben"</formula>
    </cfRule>
    <cfRule type="expression" dxfId="72" priority="90">
      <formula>$L433="Verladen + PGI"</formula>
    </cfRule>
  </conditionalFormatting>
  <conditionalFormatting sqref="G462:G469">
    <cfRule type="expression" dxfId="71" priority="73">
      <formula>$L462="Gestrichen"</formula>
    </cfRule>
    <cfRule type="expression" dxfId="70" priority="74">
      <formula>$L462="Vorgestellt"</formula>
    </cfRule>
    <cfRule type="expression" dxfId="69" priority="75">
      <formula>$L462="Verladung"</formula>
    </cfRule>
    <cfRule type="expression" dxfId="68" priority="76">
      <formula>$L462="in Vorbereitung"</formula>
    </cfRule>
    <cfRule type="expression" dxfId="67" priority="77">
      <formula>$L462="Verschoben"</formula>
    </cfRule>
    <cfRule type="expression" dxfId="66" priority="78">
      <formula>$L462="Verladen + PGI"</formula>
    </cfRule>
  </conditionalFormatting>
  <conditionalFormatting sqref="G475:G482">
    <cfRule type="expression" dxfId="65" priority="61">
      <formula>$L475="Gestrichen"</formula>
    </cfRule>
    <cfRule type="expression" dxfId="64" priority="62">
      <formula>$L475="Vorgestellt"</formula>
    </cfRule>
    <cfRule type="expression" dxfId="63" priority="63">
      <formula>$L475="Verladung"</formula>
    </cfRule>
    <cfRule type="expression" dxfId="62" priority="64">
      <formula>$L475="in Vorbereitung"</formula>
    </cfRule>
    <cfRule type="expression" dxfId="61" priority="65">
      <formula>$L475="Verschoben"</formula>
    </cfRule>
    <cfRule type="expression" dxfId="60" priority="66">
      <formula>$L475="Verladen + PGI"</formula>
    </cfRule>
  </conditionalFormatting>
  <conditionalFormatting sqref="G442:G444">
    <cfRule type="expression" dxfId="59" priority="55">
      <formula>$L442="Gestrichen"</formula>
    </cfRule>
    <cfRule type="expression" dxfId="58" priority="56">
      <formula>$L442="Vorgestellt"</formula>
    </cfRule>
    <cfRule type="expression" dxfId="57" priority="57">
      <formula>$L442="Verladung"</formula>
    </cfRule>
    <cfRule type="expression" dxfId="56" priority="58">
      <formula>$L442="in Vorbereitung"</formula>
    </cfRule>
    <cfRule type="expression" dxfId="55" priority="59">
      <formula>$L442="Verschoben"</formula>
    </cfRule>
    <cfRule type="expression" dxfId="54" priority="60">
      <formula>$L442="Verladen + PGI"</formula>
    </cfRule>
  </conditionalFormatting>
  <conditionalFormatting sqref="G445:G446">
    <cfRule type="expression" dxfId="53" priority="49">
      <formula>$L445="Gestrichen"</formula>
    </cfRule>
    <cfRule type="expression" dxfId="52" priority="50">
      <formula>$L445="Vorgestellt"</formula>
    </cfRule>
    <cfRule type="expression" dxfId="51" priority="51">
      <formula>$L445="Verladung"</formula>
    </cfRule>
    <cfRule type="expression" dxfId="50" priority="52">
      <formula>$L445="in Vorbereitung"</formula>
    </cfRule>
    <cfRule type="expression" dxfId="49" priority="53">
      <formula>$L445="Verschoben"</formula>
    </cfRule>
    <cfRule type="expression" dxfId="48" priority="54">
      <formula>$L445="Verladen + PGI"</formula>
    </cfRule>
  </conditionalFormatting>
  <conditionalFormatting sqref="I445:I446">
    <cfRule type="expression" dxfId="47" priority="43">
      <formula>$L445="Gestrichen"</formula>
    </cfRule>
    <cfRule type="expression" dxfId="46" priority="44">
      <formula>$L445="Vorgestellt"</formula>
    </cfRule>
    <cfRule type="expression" dxfId="45" priority="45">
      <formula>$L445="Verladung"</formula>
    </cfRule>
    <cfRule type="expression" dxfId="44" priority="46">
      <formula>$L445="in Vorbereitung"</formula>
    </cfRule>
    <cfRule type="expression" dxfId="43" priority="47">
      <formula>$L445="Verschoben"</formula>
    </cfRule>
    <cfRule type="expression" dxfId="42" priority="48">
      <formula>$L445="Verladen + PGI"</formula>
    </cfRule>
  </conditionalFormatting>
  <conditionalFormatting sqref="I457">
    <cfRule type="expression" dxfId="41" priority="37">
      <formula>$L457="Gestrichen"</formula>
    </cfRule>
    <cfRule type="expression" dxfId="40" priority="38">
      <formula>$L457="Vorgestellt"</formula>
    </cfRule>
    <cfRule type="expression" dxfId="39" priority="39">
      <formula>$L457="Verladung"</formula>
    </cfRule>
    <cfRule type="expression" dxfId="38" priority="40">
      <formula>$L457="in Vorbereitung"</formula>
    </cfRule>
    <cfRule type="expression" dxfId="37" priority="41">
      <formula>$L457="Verschoben"</formula>
    </cfRule>
    <cfRule type="expression" dxfId="36" priority="42">
      <formula>$L457="Verladen + PGI"</formula>
    </cfRule>
  </conditionalFormatting>
  <conditionalFormatting sqref="G488:G495">
    <cfRule type="expression" dxfId="35" priority="31">
      <formula>$L488="Gestrichen"</formula>
    </cfRule>
    <cfRule type="expression" dxfId="34" priority="32">
      <formula>$L488="Vorgestellt"</formula>
    </cfRule>
    <cfRule type="expression" dxfId="33" priority="33">
      <formula>$L488="Verladung"</formula>
    </cfRule>
    <cfRule type="expression" dxfId="32" priority="34">
      <formula>$L488="in Vorbereitung"</formula>
    </cfRule>
    <cfRule type="expression" dxfId="31" priority="35">
      <formula>$L488="Verschoben"</formula>
    </cfRule>
    <cfRule type="expression" dxfId="30" priority="36">
      <formula>$L488="Verladen + PGI"</formula>
    </cfRule>
  </conditionalFormatting>
  <conditionalFormatting sqref="I454">
    <cfRule type="expression" dxfId="29" priority="25">
      <formula>$L454="Gestrichen"</formula>
    </cfRule>
    <cfRule type="expression" dxfId="28" priority="26">
      <formula>$L454="Vorgestellt"</formula>
    </cfRule>
    <cfRule type="expression" dxfId="27" priority="27">
      <formula>$L454="Verladung"</formula>
    </cfRule>
    <cfRule type="expression" dxfId="26" priority="28">
      <formula>$L454="in Vorbereitung"</formula>
    </cfRule>
    <cfRule type="expression" dxfId="25" priority="29">
      <formula>$L454="Verschoben"</formula>
    </cfRule>
    <cfRule type="expression" dxfId="24" priority="30">
      <formula>$L454="Verladen + PGI"</formula>
    </cfRule>
  </conditionalFormatting>
  <conditionalFormatting sqref="G470">
    <cfRule type="expression" dxfId="23" priority="19">
      <formula>$L470="Gestrichen"</formula>
    </cfRule>
    <cfRule type="expression" dxfId="22" priority="20">
      <formula>$L470="Vorgestellt"</formula>
    </cfRule>
    <cfRule type="expression" dxfId="21" priority="21">
      <formula>$L470="Verladung"</formula>
    </cfRule>
    <cfRule type="expression" dxfId="20" priority="22">
      <formula>$L470="in Vorbereitung"</formula>
    </cfRule>
    <cfRule type="expression" dxfId="19" priority="23">
      <formula>$L470="Verschoben"</formula>
    </cfRule>
    <cfRule type="expression" dxfId="18" priority="24">
      <formula>$L470="Verladen + PGI"</formula>
    </cfRule>
  </conditionalFormatting>
  <conditionalFormatting sqref="I463">
    <cfRule type="expression" dxfId="17" priority="13">
      <formula>$L463="Gestrichen"</formula>
    </cfRule>
    <cfRule type="expression" dxfId="16" priority="14">
      <formula>$L463="Vorgestellt"</formula>
    </cfRule>
    <cfRule type="expression" dxfId="15" priority="15">
      <formula>$L463="Verladung"</formula>
    </cfRule>
    <cfRule type="expression" dxfId="14" priority="16">
      <formula>$L463="in Vorbereitung"</formula>
    </cfRule>
    <cfRule type="expression" dxfId="13" priority="17">
      <formula>$L463="Verschoben"</formula>
    </cfRule>
    <cfRule type="expression" dxfId="12" priority="18">
      <formula>$L463="Verladen + PGI"</formula>
    </cfRule>
  </conditionalFormatting>
  <conditionalFormatting sqref="I464:I465">
    <cfRule type="expression" dxfId="11" priority="7">
      <formula>$L464="Gestrichen"</formula>
    </cfRule>
    <cfRule type="expression" dxfId="10" priority="8">
      <formula>$L464="Vorgestellt"</formula>
    </cfRule>
    <cfRule type="expression" dxfId="9" priority="9">
      <formula>$L464="Verladung"</formula>
    </cfRule>
    <cfRule type="expression" dxfId="8" priority="10">
      <formula>$L464="in Vorbereitung"</formula>
    </cfRule>
    <cfRule type="expression" dxfId="7" priority="11">
      <formula>$L464="Verschoben"</formula>
    </cfRule>
    <cfRule type="expression" dxfId="6" priority="12">
      <formula>$L464="Verladen + PGI"</formula>
    </cfRule>
  </conditionalFormatting>
  <conditionalFormatting sqref="I467">
    <cfRule type="expression" dxfId="5" priority="1">
      <formula>$L467="Gestrichen"</formula>
    </cfRule>
    <cfRule type="expression" dxfId="4" priority="2">
      <formula>$L467="Vorgestellt"</formula>
    </cfRule>
    <cfRule type="expression" dxfId="3" priority="3">
      <formula>$L467="Verladung"</formula>
    </cfRule>
    <cfRule type="expression" dxfId="2" priority="4">
      <formula>$L467="in Vorbereitung"</formula>
    </cfRule>
    <cfRule type="expression" dxfId="1" priority="5">
      <formula>$L467="Verschoben"</formula>
    </cfRule>
    <cfRule type="expression" dxfId="0" priority="6">
      <formula>$L467="Verladen + PGI"</formula>
    </cfRule>
  </conditionalFormatting>
  <dataValidations count="1">
    <dataValidation allowBlank="1" showDropDown="1" showInputMessage="1" showErrorMessage="1" sqref="M4:N22 M23 M29:M34 M41:M44 M57:M61" xr:uid="{C433D6B4-7EA0-4628-9191-DDC933049C23}"/>
  </dataValidations>
  <printOptions gridLines="1"/>
  <pageMargins left="0.7" right="0.7" top="0.78740157499999996" bottom="0.78740157499999996" header="0.3" footer="0.3"/>
  <pageSetup paperSize="9" orientation="landscape" r:id="rId45"/>
  <ignoredErrors>
    <ignoredError sqref="B45:C45 B47:C48 B46 B50 B49" twoDigitTextYear="1"/>
    <ignoredError sqref="E72 E74 E233:E235 E236 E244 E245:E246 E248:E249" numberStoredAsText="1"/>
  </ignoredErrors>
  <legacyDrawing r:id="rId46"/>
  <extLst>
    <ext xmlns:x14="http://schemas.microsoft.com/office/spreadsheetml/2009/9/main" uri="{CCE6A557-97BC-4b89-ADB6-D9C93CAAB3DF}">
      <x14:dataValidations xmlns:xm="http://schemas.microsoft.com/office/excel/2006/main" count="4">
        <x14:dataValidation type="list" allowBlank="1" showInputMessage="1" showErrorMessage="1" xr:uid="{585BF952-F145-4CBE-9FE7-03E3231DC73E}">
          <x14:formula1>
            <xm:f>DropDown!$A$17:$A$18</xm:f>
          </x14:formula1>
          <xm:sqref>D4:D22 K4:K1048576</xm:sqref>
        </x14:dataValidation>
        <x14:dataValidation type="list" allowBlank="1" showInputMessage="1" showErrorMessage="1" xr:uid="{83590C82-3824-4815-8A22-B1717D44DB55}">
          <x14:formula1>
            <xm:f>DropDown!$F$5:$F$6</xm:f>
          </x14:formula1>
          <xm:sqref>M95:M112 M115:M1321</xm:sqref>
        </x14:dataValidation>
        <x14:dataValidation type="list" allowBlank="1" showInputMessage="1" showErrorMessage="1" xr:uid="{7D27C025-D35F-4C47-9642-EC8A0312D45D}">
          <x14:formula1>
            <xm:f>DropDown!$A$5:$A$10</xm:f>
          </x14:formula1>
          <xm:sqref>N894:N1048576 M1322:M1048576 M45:M55 M35:M40 M24:M28 L4:L1048576</xm:sqref>
        </x14:dataValidation>
        <x14:dataValidation type="list" allowBlank="1" showInputMessage="1" showErrorMessage="1" xr:uid="{AEDD625C-C4AC-43B5-BD87-B5D8645210C2}">
          <x14:formula1>
            <xm:f>DropDown!$A$13:$A$15</xm:f>
          </x14:formula1>
          <xm:sqref>J4:J310 J312 J314:J443 J445:J1048576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8506D-01F3-4F18-ACCE-129278C53AFA}">
  <sheetPr codeName="Tabelle1">
    <tabColor rgb="FFFFC000"/>
    <pageSetUpPr autoPageBreaks="0"/>
  </sheetPr>
  <dimension ref="A1:V1044657"/>
  <sheetViews>
    <sheetView tabSelected="1" zoomScale="80" zoomScaleNormal="80" workbookViewId="0">
      <pane ySplit="3" topLeftCell="A320" activePane="bottomLeft" state="frozen"/>
      <selection pane="bottomLeft" activeCell="J331" sqref="J331"/>
    </sheetView>
  </sheetViews>
  <sheetFormatPr baseColWidth="10" defaultColWidth="11.42578125" defaultRowHeight="15.75" x14ac:dyDescent="0.25"/>
  <cols>
    <col min="1" max="1" width="9.42578125" style="83" customWidth="1"/>
    <col min="2" max="2" width="16.85546875" style="92" customWidth="1"/>
    <col min="3" max="3" width="15.85546875" style="89" customWidth="1"/>
    <col min="4" max="4" width="17" style="355" customWidth="1"/>
    <col min="5" max="5" width="17.28515625" style="90" bestFit="1" customWidth="1"/>
    <col min="6" max="6" width="18" style="83" customWidth="1"/>
    <col min="7" max="7" width="33" style="90" customWidth="1"/>
    <col min="8" max="8" width="15.7109375" style="90" customWidth="1"/>
    <col min="9" max="11" width="11.7109375" style="90" customWidth="1"/>
    <col min="12" max="12" width="10.7109375" style="91" customWidth="1"/>
    <col min="13" max="13" width="13.140625" style="91" customWidth="1"/>
    <col min="14" max="14" width="13.42578125" style="91" customWidth="1"/>
    <col min="15" max="15" width="15.28515625" style="91" customWidth="1"/>
    <col min="16" max="16" width="15.5703125" style="91" customWidth="1"/>
    <col min="17" max="17" width="16.7109375" style="91" customWidth="1"/>
    <col min="18" max="18" width="90.42578125" style="88" customWidth="1"/>
    <col min="19" max="16384" width="11.42578125" style="84"/>
  </cols>
  <sheetData>
    <row r="1" spans="1:19" ht="47.25" customHeight="1" x14ac:dyDescent="0.25">
      <c r="A1" s="132" t="s">
        <v>90</v>
      </c>
      <c r="B1" s="394" t="s">
        <v>91</v>
      </c>
      <c r="C1" s="394" t="s">
        <v>26</v>
      </c>
      <c r="D1" s="351"/>
      <c r="E1" s="72"/>
      <c r="F1" s="336"/>
      <c r="G1" s="72"/>
      <c r="H1" s="72"/>
      <c r="I1" s="395" t="s">
        <v>92</v>
      </c>
      <c r="J1" s="72"/>
      <c r="K1" s="73"/>
      <c r="L1" s="73" t="s">
        <v>93</v>
      </c>
      <c r="M1" s="73" t="s">
        <v>93</v>
      </c>
      <c r="N1" s="73" t="s">
        <v>93</v>
      </c>
      <c r="O1" s="130" t="s">
        <v>90</v>
      </c>
      <c r="P1" s="130" t="s">
        <v>23</v>
      </c>
      <c r="Q1" s="73" t="s">
        <v>93</v>
      </c>
      <c r="R1" s="85"/>
    </row>
    <row r="2" spans="1:19" s="88" customFormat="1" ht="70.5" customHeight="1" x14ac:dyDescent="0.25">
      <c r="A2" s="130" t="s">
        <v>24</v>
      </c>
      <c r="B2" s="394"/>
      <c r="C2" s="394"/>
      <c r="D2" s="351" t="s">
        <v>28</v>
      </c>
      <c r="E2" s="86" t="s">
        <v>29</v>
      </c>
      <c r="F2" s="336" t="s">
        <v>94</v>
      </c>
      <c r="G2" s="73" t="s">
        <v>32</v>
      </c>
      <c r="H2" s="72" t="s">
        <v>12</v>
      </c>
      <c r="I2" s="395"/>
      <c r="J2" s="73" t="s">
        <v>95</v>
      </c>
      <c r="K2" s="73" t="s">
        <v>37</v>
      </c>
      <c r="L2" s="73" t="s">
        <v>39</v>
      </c>
      <c r="M2" s="73" t="s">
        <v>96</v>
      </c>
      <c r="N2" s="73" t="s">
        <v>97</v>
      </c>
      <c r="O2" s="130" t="s">
        <v>98</v>
      </c>
      <c r="P2" s="130" t="s">
        <v>99</v>
      </c>
      <c r="Q2" s="73" t="s">
        <v>100</v>
      </c>
      <c r="R2" s="87" t="s">
        <v>101</v>
      </c>
    </row>
    <row r="3" spans="1:19" s="95" customFormat="1" ht="31.5" customHeight="1" x14ac:dyDescent="0.25">
      <c r="A3" s="131" t="s">
        <v>13</v>
      </c>
      <c r="B3" s="94" t="s">
        <v>14</v>
      </c>
      <c r="C3" s="94" t="s">
        <v>14</v>
      </c>
      <c r="D3" s="352" t="s">
        <v>102</v>
      </c>
      <c r="E3" s="93" t="s">
        <v>48</v>
      </c>
      <c r="F3" s="337" t="s">
        <v>49</v>
      </c>
      <c r="G3" s="93" t="s">
        <v>49</v>
      </c>
      <c r="H3" s="93" t="s">
        <v>18</v>
      </c>
      <c r="I3" s="93" t="s">
        <v>13</v>
      </c>
      <c r="J3" s="93">
        <v>80</v>
      </c>
      <c r="K3" s="93" t="s">
        <v>51</v>
      </c>
      <c r="L3" s="93" t="s">
        <v>52</v>
      </c>
      <c r="M3" s="93" t="s">
        <v>52</v>
      </c>
      <c r="N3" s="93" t="s">
        <v>52</v>
      </c>
      <c r="O3" s="131" t="s">
        <v>52</v>
      </c>
      <c r="P3" s="131" t="s">
        <v>52</v>
      </c>
      <c r="Q3" s="93" t="s">
        <v>52</v>
      </c>
      <c r="R3" s="93" t="s">
        <v>49</v>
      </c>
    </row>
    <row r="4" spans="1:19" s="112" customFormat="1" x14ac:dyDescent="0.25">
      <c r="A4" s="110">
        <f t="shared" ref="A4:A8" si="0">WEEKNUM(B4,21)</f>
        <v>1</v>
      </c>
      <c r="B4" s="163">
        <v>43832</v>
      </c>
      <c r="C4" s="163">
        <v>43832</v>
      </c>
      <c r="D4" s="353"/>
      <c r="E4" s="110"/>
      <c r="F4" s="110" t="s">
        <v>331</v>
      </c>
      <c r="G4" s="110">
        <v>9185085179</v>
      </c>
      <c r="H4" s="110" t="s">
        <v>105</v>
      </c>
      <c r="I4" s="110">
        <v>33</v>
      </c>
      <c r="J4" s="110" t="s">
        <v>106</v>
      </c>
      <c r="K4" s="110"/>
      <c r="L4" s="167">
        <v>0.26041666666666669</v>
      </c>
      <c r="M4" s="167">
        <v>0.2638888888888889</v>
      </c>
      <c r="N4" s="167">
        <v>0.27777777777777779</v>
      </c>
      <c r="O4" s="167">
        <f t="shared" ref="O4:P8" si="1">M4-L4</f>
        <v>3.4722222222222099E-3</v>
      </c>
      <c r="P4" s="167">
        <f t="shared" si="1"/>
        <v>1.3888888888888895E-2</v>
      </c>
      <c r="Q4" s="167"/>
      <c r="R4" s="168" t="s">
        <v>332</v>
      </c>
    </row>
    <row r="5" spans="1:19" x14ac:dyDescent="0.25">
      <c r="A5" s="83">
        <f t="shared" si="0"/>
        <v>1</v>
      </c>
      <c r="B5" s="163">
        <v>43832</v>
      </c>
      <c r="C5" s="163">
        <v>43832</v>
      </c>
      <c r="D5" s="354" t="s">
        <v>336</v>
      </c>
      <c r="E5" s="83">
        <v>540</v>
      </c>
      <c r="F5" s="83" t="s">
        <v>333</v>
      </c>
      <c r="G5" s="83" t="s">
        <v>334</v>
      </c>
      <c r="H5" s="83" t="s">
        <v>103</v>
      </c>
      <c r="I5" s="83">
        <v>32</v>
      </c>
      <c r="J5" s="83"/>
      <c r="K5" s="83"/>
      <c r="L5" s="162">
        <v>0.31944444444444448</v>
      </c>
      <c r="M5" s="162">
        <v>0.31944444444444448</v>
      </c>
      <c r="N5" s="162">
        <v>0.34375</v>
      </c>
      <c r="O5" s="162">
        <f t="shared" si="1"/>
        <v>0</v>
      </c>
      <c r="P5" s="162">
        <f t="shared" si="1"/>
        <v>2.4305555555555525E-2</v>
      </c>
      <c r="Q5" s="162"/>
      <c r="R5" s="165"/>
    </row>
    <row r="6" spans="1:19" x14ac:dyDescent="0.25">
      <c r="A6" s="83">
        <f t="shared" si="0"/>
        <v>1</v>
      </c>
      <c r="B6" s="163">
        <v>43832</v>
      </c>
      <c r="C6" s="163">
        <v>43832</v>
      </c>
      <c r="D6" s="354"/>
      <c r="E6" s="83"/>
      <c r="F6" s="83" t="s">
        <v>335</v>
      </c>
      <c r="G6" s="83">
        <v>9185085157</v>
      </c>
      <c r="H6" s="83" t="s">
        <v>103</v>
      </c>
      <c r="I6" s="83">
        <v>33</v>
      </c>
      <c r="J6" s="83" t="s">
        <v>51</v>
      </c>
      <c r="K6" s="83"/>
      <c r="L6" s="162">
        <v>0.34027777777777773</v>
      </c>
      <c r="M6" s="162">
        <v>0.34375</v>
      </c>
      <c r="N6" s="162">
        <v>0.3576388888888889</v>
      </c>
      <c r="O6" s="162">
        <f t="shared" si="1"/>
        <v>3.4722222222222654E-3</v>
      </c>
      <c r="P6" s="162">
        <f t="shared" si="1"/>
        <v>1.3888888888888895E-2</v>
      </c>
      <c r="Q6" s="162"/>
      <c r="R6" s="168" t="s">
        <v>332</v>
      </c>
    </row>
    <row r="7" spans="1:19" x14ac:dyDescent="0.25">
      <c r="A7" s="83">
        <f t="shared" si="0"/>
        <v>1</v>
      </c>
      <c r="B7" s="163">
        <v>43832</v>
      </c>
      <c r="C7" s="163">
        <v>43832</v>
      </c>
      <c r="D7" s="354"/>
      <c r="E7" s="83"/>
      <c r="F7" s="194" t="s">
        <v>367</v>
      </c>
      <c r="G7" s="83" t="s">
        <v>351</v>
      </c>
      <c r="H7" s="83" t="s">
        <v>103</v>
      </c>
      <c r="I7" s="83">
        <v>4</v>
      </c>
      <c r="J7" s="83"/>
      <c r="K7" s="83"/>
      <c r="L7" s="162">
        <v>0.42708333333333331</v>
      </c>
      <c r="M7" s="162">
        <v>0.43055555555555558</v>
      </c>
      <c r="N7" s="162">
        <v>0.43402777777777773</v>
      </c>
      <c r="O7" s="162">
        <f t="shared" si="1"/>
        <v>3.4722222222222654E-3</v>
      </c>
      <c r="P7" s="162">
        <f t="shared" si="1"/>
        <v>3.4722222222221544E-3</v>
      </c>
      <c r="Q7" s="162"/>
      <c r="R7" s="166"/>
    </row>
    <row r="8" spans="1:19" x14ac:dyDescent="0.25">
      <c r="A8" s="83">
        <f t="shared" si="0"/>
        <v>1</v>
      </c>
      <c r="B8" s="163">
        <v>43832</v>
      </c>
      <c r="C8" s="163">
        <v>43832</v>
      </c>
      <c r="D8" s="354"/>
      <c r="E8" s="83"/>
      <c r="F8" s="83" t="s">
        <v>343</v>
      </c>
      <c r="G8" s="83">
        <v>9185080870</v>
      </c>
      <c r="H8" s="83" t="s">
        <v>103</v>
      </c>
      <c r="I8" s="83">
        <v>33</v>
      </c>
      <c r="J8" s="83" t="s">
        <v>51</v>
      </c>
      <c r="K8" s="83"/>
      <c r="L8" s="162">
        <v>0.47916666666666669</v>
      </c>
      <c r="M8" s="162">
        <v>0.4826388888888889</v>
      </c>
      <c r="N8" s="162">
        <v>0.49305555555555558</v>
      </c>
      <c r="O8" s="162">
        <f t="shared" si="1"/>
        <v>3.4722222222222099E-3</v>
      </c>
      <c r="P8" s="162">
        <f t="shared" si="1"/>
        <v>1.0416666666666685E-2</v>
      </c>
      <c r="Q8" s="162"/>
      <c r="R8" s="168" t="s">
        <v>344</v>
      </c>
    </row>
    <row r="9" spans="1:19" s="202" customFormat="1" ht="63.75" thickBot="1" x14ac:dyDescent="0.3">
      <c r="A9" s="196">
        <f t="shared" ref="A9:A13" si="2">WEEKNUM(B9,21)</f>
        <v>1</v>
      </c>
      <c r="B9" s="197">
        <v>43832</v>
      </c>
      <c r="C9" s="197">
        <v>43832</v>
      </c>
      <c r="D9" s="238">
        <v>1000448030</v>
      </c>
      <c r="E9" s="196">
        <v>180</v>
      </c>
      <c r="F9" s="196" t="s">
        <v>352</v>
      </c>
      <c r="G9" s="198" t="s">
        <v>353</v>
      </c>
      <c r="H9" s="196" t="s">
        <v>103</v>
      </c>
      <c r="I9" s="199" t="s">
        <v>354</v>
      </c>
      <c r="J9" s="196" t="s">
        <v>51</v>
      </c>
      <c r="K9" s="196" t="s">
        <v>51</v>
      </c>
      <c r="L9" s="200">
        <v>0.53125</v>
      </c>
      <c r="M9" s="200">
        <v>0.54513888888888895</v>
      </c>
      <c r="N9" s="200">
        <v>0.55902777777777779</v>
      </c>
      <c r="O9" s="200">
        <f t="shared" ref="O9:P13" si="3">M9-L9</f>
        <v>1.3888888888888951E-2</v>
      </c>
      <c r="P9" s="200">
        <f t="shared" si="3"/>
        <v>1.388888888888884E-2</v>
      </c>
      <c r="Q9" s="200">
        <v>0.5625</v>
      </c>
      <c r="R9" s="201"/>
      <c r="S9" s="348">
        <f>O9+P9</f>
        <v>2.777777777777779E-2</v>
      </c>
    </row>
    <row r="10" spans="1:19" x14ac:dyDescent="0.25">
      <c r="A10" s="110">
        <f t="shared" si="2"/>
        <v>1</v>
      </c>
      <c r="B10" s="163">
        <v>43833</v>
      </c>
      <c r="C10" s="163">
        <v>43833</v>
      </c>
      <c r="D10" s="353"/>
      <c r="E10" s="110"/>
      <c r="F10" s="110" t="s">
        <v>331</v>
      </c>
      <c r="G10" s="203">
        <v>9185097205</v>
      </c>
      <c r="H10" s="110" t="s">
        <v>103</v>
      </c>
      <c r="I10" s="110">
        <v>33</v>
      </c>
      <c r="J10" s="110" t="s">
        <v>51</v>
      </c>
      <c r="K10" s="110"/>
      <c r="L10" s="167">
        <v>0.25</v>
      </c>
      <c r="M10" s="167">
        <v>0.25</v>
      </c>
      <c r="N10" s="167">
        <v>0.2638888888888889</v>
      </c>
      <c r="O10" s="167">
        <f t="shared" si="3"/>
        <v>0</v>
      </c>
      <c r="P10" s="167">
        <f t="shared" si="3"/>
        <v>1.3888888888888895E-2</v>
      </c>
      <c r="Q10" s="167"/>
      <c r="R10" s="195" t="s">
        <v>332</v>
      </c>
      <c r="S10" s="112"/>
    </row>
    <row r="11" spans="1:19" x14ac:dyDescent="0.25">
      <c r="A11" s="83">
        <f t="shared" si="2"/>
        <v>1</v>
      </c>
      <c r="B11" s="164">
        <v>43833</v>
      </c>
      <c r="C11" s="164">
        <v>43833</v>
      </c>
      <c r="D11" s="354"/>
      <c r="E11" s="83"/>
      <c r="F11" s="83" t="s">
        <v>335</v>
      </c>
      <c r="G11" s="204">
        <v>9185090044</v>
      </c>
      <c r="H11" s="83" t="s">
        <v>103</v>
      </c>
      <c r="I11" s="83">
        <v>33</v>
      </c>
      <c r="J11" s="83" t="s">
        <v>51</v>
      </c>
      <c r="K11" s="83"/>
      <c r="L11" s="162">
        <v>0.27430555555555552</v>
      </c>
      <c r="M11" s="162">
        <v>0.27777777777777779</v>
      </c>
      <c r="N11" s="162">
        <v>0.29166666666666669</v>
      </c>
      <c r="O11" s="162">
        <f t="shared" si="3"/>
        <v>3.4722222222222654E-3</v>
      </c>
      <c r="P11" s="162">
        <f t="shared" si="3"/>
        <v>1.3888888888888895E-2</v>
      </c>
      <c r="Q11" s="162"/>
      <c r="R11" s="166" t="s">
        <v>332</v>
      </c>
    </row>
    <row r="12" spans="1:19" x14ac:dyDescent="0.25">
      <c r="A12" s="83">
        <f t="shared" si="2"/>
        <v>1</v>
      </c>
      <c r="B12" s="164">
        <v>43833</v>
      </c>
      <c r="C12" s="164">
        <v>43833</v>
      </c>
      <c r="D12" s="354"/>
      <c r="E12" s="83"/>
      <c r="F12" s="83" t="s">
        <v>343</v>
      </c>
      <c r="G12" s="204">
        <v>9185068423</v>
      </c>
      <c r="H12" s="83" t="s">
        <v>103</v>
      </c>
      <c r="I12" s="83">
        <v>33</v>
      </c>
      <c r="J12" s="83" t="s">
        <v>51</v>
      </c>
      <c r="K12" s="83"/>
      <c r="L12" s="162">
        <v>0.31944444444444448</v>
      </c>
      <c r="M12" s="162">
        <v>0.32291666666666669</v>
      </c>
      <c r="N12" s="162">
        <v>0.3298611111111111</v>
      </c>
      <c r="O12" s="162">
        <f t="shared" si="3"/>
        <v>3.4722222222222099E-3</v>
      </c>
      <c r="P12" s="162">
        <f t="shared" si="3"/>
        <v>6.9444444444444198E-3</v>
      </c>
      <c r="Q12" s="162"/>
      <c r="R12" s="166" t="s">
        <v>362</v>
      </c>
    </row>
    <row r="13" spans="1:19" ht="32.25" thickBot="1" x14ac:dyDescent="0.3">
      <c r="A13" s="83">
        <f t="shared" si="2"/>
        <v>1</v>
      </c>
      <c r="B13" s="89">
        <v>43833</v>
      </c>
      <c r="C13" s="89">
        <v>43833</v>
      </c>
      <c r="D13" s="355">
        <v>1000448022</v>
      </c>
      <c r="E13" s="90">
        <v>360</v>
      </c>
      <c r="F13" s="83" t="s">
        <v>363</v>
      </c>
      <c r="G13" s="79" t="s">
        <v>364</v>
      </c>
      <c r="H13" s="90" t="s">
        <v>103</v>
      </c>
      <c r="I13" s="205" t="s">
        <v>365</v>
      </c>
      <c r="J13" s="90" t="s">
        <v>51</v>
      </c>
      <c r="K13" s="90" t="s">
        <v>51</v>
      </c>
      <c r="L13" s="91">
        <v>0.3298611111111111</v>
      </c>
      <c r="M13" s="91">
        <v>0.34027777777777773</v>
      </c>
      <c r="N13" s="91">
        <v>0.35416666666666669</v>
      </c>
      <c r="O13" s="91">
        <f t="shared" si="3"/>
        <v>1.041666666666663E-2</v>
      </c>
      <c r="P13" s="91">
        <f t="shared" si="3"/>
        <v>1.3888888888888951E-2</v>
      </c>
      <c r="Q13" s="91">
        <v>0.3576388888888889</v>
      </c>
      <c r="R13" s="166"/>
      <c r="S13" s="348">
        <f>O13+P13</f>
        <v>2.430555555555558E-2</v>
      </c>
    </row>
    <row r="14" spans="1:19" x14ac:dyDescent="0.25">
      <c r="A14" s="83">
        <f t="shared" ref="A14:A41" si="4">WEEKNUM(B14,21)</f>
        <v>1</v>
      </c>
      <c r="B14" s="89">
        <v>43833</v>
      </c>
      <c r="C14" s="89">
        <v>43833</v>
      </c>
      <c r="F14" s="83" t="s">
        <v>368</v>
      </c>
      <c r="G14" s="90">
        <v>9185080162</v>
      </c>
      <c r="H14" s="90" t="s">
        <v>103</v>
      </c>
      <c r="I14" s="90">
        <v>33</v>
      </c>
      <c r="J14" s="90" t="s">
        <v>51</v>
      </c>
      <c r="L14" s="91">
        <v>0.34375</v>
      </c>
      <c r="M14" s="91">
        <v>0.35069444444444442</v>
      </c>
      <c r="N14" s="91">
        <v>0.3611111111111111</v>
      </c>
      <c r="O14" s="91">
        <f t="shared" ref="O14:P53" si="5">M14-L14</f>
        <v>6.9444444444444198E-3</v>
      </c>
      <c r="P14" s="91">
        <f t="shared" si="5"/>
        <v>1.0416666666666685E-2</v>
      </c>
      <c r="R14" s="166" t="s">
        <v>366</v>
      </c>
    </row>
    <row r="15" spans="1:19" ht="16.5" thickBot="1" x14ac:dyDescent="0.3">
      <c r="A15" s="83">
        <f t="shared" si="4"/>
        <v>1</v>
      </c>
      <c r="B15" s="89">
        <v>43833</v>
      </c>
      <c r="C15" s="89">
        <v>43833</v>
      </c>
      <c r="F15" s="83" t="s">
        <v>333</v>
      </c>
      <c r="G15" s="90">
        <v>3202480155</v>
      </c>
      <c r="H15" s="90" t="s">
        <v>103</v>
      </c>
      <c r="I15" s="90">
        <v>3</v>
      </c>
      <c r="J15" s="90" t="s">
        <v>51</v>
      </c>
      <c r="L15" s="91">
        <v>0.375</v>
      </c>
      <c r="M15" s="91">
        <v>0.37847222222222227</v>
      </c>
      <c r="N15" s="91">
        <v>0.38194444444444442</v>
      </c>
      <c r="O15" s="91">
        <f t="shared" si="5"/>
        <v>3.4722222222222654E-3</v>
      </c>
      <c r="P15" s="91">
        <f t="shared" si="5"/>
        <v>3.4722222222221544E-3</v>
      </c>
      <c r="S15" s="348">
        <f>O15+P15</f>
        <v>6.9444444444444198E-3</v>
      </c>
    </row>
    <row r="16" spans="1:19" s="202" customFormat="1" ht="16.5" thickBot="1" x14ac:dyDescent="0.3">
      <c r="A16" s="196">
        <f t="shared" si="4"/>
        <v>1</v>
      </c>
      <c r="B16" s="209">
        <v>43833</v>
      </c>
      <c r="C16" s="209">
        <v>43833</v>
      </c>
      <c r="D16" s="356"/>
      <c r="E16" s="210"/>
      <c r="F16" s="196" t="s">
        <v>369</v>
      </c>
      <c r="G16" s="210">
        <v>9185085798</v>
      </c>
      <c r="H16" s="210" t="s">
        <v>103</v>
      </c>
      <c r="I16" s="210">
        <v>33</v>
      </c>
      <c r="J16" s="210" t="s">
        <v>51</v>
      </c>
      <c r="K16" s="210"/>
      <c r="L16" s="211">
        <v>0.43055555555555558</v>
      </c>
      <c r="M16" s="211">
        <v>0.44097222222222227</v>
      </c>
      <c r="N16" s="211">
        <v>0.4513888888888889</v>
      </c>
      <c r="O16" s="211">
        <f t="shared" si="5"/>
        <v>1.0416666666666685E-2</v>
      </c>
      <c r="P16" s="211">
        <f t="shared" si="5"/>
        <v>1.041666666666663E-2</v>
      </c>
      <c r="Q16" s="211"/>
      <c r="R16" s="201" t="s">
        <v>366</v>
      </c>
    </row>
    <row r="17" spans="1:19" x14ac:dyDescent="0.25">
      <c r="A17" s="110">
        <f t="shared" si="4"/>
        <v>1</v>
      </c>
      <c r="B17" s="111">
        <v>43834</v>
      </c>
      <c r="C17" s="111">
        <v>43834</v>
      </c>
      <c r="D17" s="357"/>
      <c r="E17" s="207"/>
      <c r="F17" s="110" t="s">
        <v>331</v>
      </c>
      <c r="G17" s="207">
        <v>9185105563</v>
      </c>
      <c r="H17" s="207" t="s">
        <v>103</v>
      </c>
      <c r="I17" s="207">
        <v>33</v>
      </c>
      <c r="J17" s="207" t="s">
        <v>51</v>
      </c>
      <c r="K17" s="207"/>
      <c r="L17" s="208">
        <v>0.25</v>
      </c>
      <c r="M17" s="208">
        <v>0.25347222222222221</v>
      </c>
      <c r="N17" s="208">
        <v>0.2673611111111111</v>
      </c>
      <c r="O17" s="208">
        <f t="shared" si="5"/>
        <v>3.4722222222222099E-3</v>
      </c>
      <c r="P17" s="208">
        <f t="shared" si="5"/>
        <v>1.3888888888888895E-2</v>
      </c>
      <c r="Q17" s="208"/>
      <c r="R17" s="166" t="s">
        <v>366</v>
      </c>
      <c r="S17" s="112"/>
    </row>
    <row r="18" spans="1:19" x14ac:dyDescent="0.25">
      <c r="A18" s="83">
        <f t="shared" si="4"/>
        <v>1</v>
      </c>
      <c r="B18" s="111">
        <v>43834</v>
      </c>
      <c r="C18" s="111">
        <v>43834</v>
      </c>
      <c r="F18" s="110" t="s">
        <v>335</v>
      </c>
      <c r="G18" s="90">
        <v>9185123158</v>
      </c>
      <c r="H18" s="90" t="s">
        <v>103</v>
      </c>
      <c r="I18" s="90">
        <v>33</v>
      </c>
      <c r="J18" s="90" t="s">
        <v>51</v>
      </c>
      <c r="L18" s="91">
        <v>0.28472222222222221</v>
      </c>
      <c r="M18" s="91">
        <v>0.2951388888888889</v>
      </c>
      <c r="N18" s="91">
        <v>0.30555555555555552</v>
      </c>
      <c r="O18" s="91">
        <f t="shared" si="5"/>
        <v>1.0416666666666685E-2</v>
      </c>
      <c r="P18" s="91">
        <f t="shared" si="5"/>
        <v>1.041666666666663E-2</v>
      </c>
      <c r="R18" s="166" t="s">
        <v>384</v>
      </c>
    </row>
    <row r="19" spans="1:19" x14ac:dyDescent="0.25">
      <c r="A19" s="83">
        <f t="shared" si="4"/>
        <v>1</v>
      </c>
      <c r="B19" s="111">
        <v>43834</v>
      </c>
      <c r="C19" s="111">
        <v>43834</v>
      </c>
      <c r="F19" s="83" t="s">
        <v>343</v>
      </c>
      <c r="G19" s="90">
        <v>9185123341</v>
      </c>
      <c r="H19" s="90" t="s">
        <v>103</v>
      </c>
      <c r="I19" s="90">
        <v>33</v>
      </c>
      <c r="J19" s="90" t="s">
        <v>51</v>
      </c>
      <c r="L19" s="91">
        <v>0.33333333333333331</v>
      </c>
      <c r="M19" s="91">
        <v>0.33680555555555558</v>
      </c>
      <c r="N19" s="91">
        <v>0.34722222222222227</v>
      </c>
      <c r="O19" s="91">
        <f t="shared" si="5"/>
        <v>3.4722222222222654E-3</v>
      </c>
      <c r="P19" s="91">
        <f t="shared" si="5"/>
        <v>1.0416666666666685E-2</v>
      </c>
      <c r="R19" s="166" t="s">
        <v>384</v>
      </c>
    </row>
    <row r="20" spans="1:19" s="202" customFormat="1" ht="16.5" thickBot="1" x14ac:dyDescent="0.3">
      <c r="A20" s="196">
        <f t="shared" si="4"/>
        <v>1</v>
      </c>
      <c r="B20" s="209">
        <v>43834</v>
      </c>
      <c r="C20" s="209">
        <v>43834</v>
      </c>
      <c r="D20" s="356"/>
      <c r="E20" s="210"/>
      <c r="F20" s="196" t="s">
        <v>368</v>
      </c>
      <c r="G20" s="210">
        <v>9185115532</v>
      </c>
      <c r="H20" s="210" t="s">
        <v>103</v>
      </c>
      <c r="I20" s="210">
        <v>33</v>
      </c>
      <c r="J20" s="210" t="s">
        <v>51</v>
      </c>
      <c r="K20" s="210"/>
      <c r="L20" s="211">
        <v>0.51736111111111105</v>
      </c>
      <c r="M20" s="211">
        <v>0.52083333333333337</v>
      </c>
      <c r="N20" s="211">
        <v>0.53472222222222221</v>
      </c>
      <c r="O20" s="211">
        <f t="shared" si="5"/>
        <v>3.4722222222223209E-3</v>
      </c>
      <c r="P20" s="211">
        <f t="shared" si="5"/>
        <v>1.388888888888884E-2</v>
      </c>
      <c r="Q20" s="211"/>
      <c r="R20" s="212" t="s">
        <v>385</v>
      </c>
    </row>
    <row r="21" spans="1:19" x14ac:dyDescent="0.25">
      <c r="A21" s="83">
        <v>2</v>
      </c>
      <c r="B21" s="111" t="s">
        <v>386</v>
      </c>
      <c r="C21" s="111" t="s">
        <v>386</v>
      </c>
      <c r="F21" s="83" t="s">
        <v>331</v>
      </c>
      <c r="G21" s="90">
        <v>9185136756</v>
      </c>
      <c r="H21" s="90" t="s">
        <v>103</v>
      </c>
      <c r="I21" s="90">
        <v>33</v>
      </c>
      <c r="J21" s="90" t="s">
        <v>51</v>
      </c>
      <c r="L21" s="91">
        <v>0.25347222222222221</v>
      </c>
      <c r="M21" s="91">
        <v>0.25694444444444448</v>
      </c>
      <c r="N21" s="91">
        <v>0.27083333333333331</v>
      </c>
      <c r="O21" s="91">
        <f t="shared" si="5"/>
        <v>3.4722222222222654E-3</v>
      </c>
      <c r="P21" s="91">
        <f t="shared" si="5"/>
        <v>1.388888888888884E-2</v>
      </c>
      <c r="R21" s="213" t="s">
        <v>388</v>
      </c>
    </row>
    <row r="22" spans="1:19" x14ac:dyDescent="0.25">
      <c r="A22" s="83">
        <v>2</v>
      </c>
      <c r="B22" s="164" t="s">
        <v>386</v>
      </c>
      <c r="C22" s="164" t="s">
        <v>386</v>
      </c>
      <c r="D22" s="354"/>
      <c r="E22" s="83"/>
      <c r="F22" s="83" t="s">
        <v>335</v>
      </c>
      <c r="G22" s="214">
        <v>9185126098</v>
      </c>
      <c r="H22" s="83" t="s">
        <v>103</v>
      </c>
      <c r="I22" s="83">
        <v>33</v>
      </c>
      <c r="J22" s="83" t="s">
        <v>51</v>
      </c>
      <c r="K22" s="83"/>
      <c r="L22" s="162">
        <v>0.2986111111111111</v>
      </c>
      <c r="M22" s="162">
        <v>0.3125</v>
      </c>
      <c r="N22" s="162">
        <v>0.32291666666666669</v>
      </c>
      <c r="O22" s="162">
        <f t="shared" si="5"/>
        <v>1.3888888888888895E-2</v>
      </c>
      <c r="P22" s="162">
        <f t="shared" si="5"/>
        <v>1.0416666666666685E-2</v>
      </c>
      <c r="Q22" s="162"/>
      <c r="R22" s="213" t="s">
        <v>389</v>
      </c>
    </row>
    <row r="23" spans="1:19" ht="32.25" thickBot="1" x14ac:dyDescent="0.3">
      <c r="A23" s="83">
        <v>2</v>
      </c>
      <c r="B23" s="164" t="s">
        <v>386</v>
      </c>
      <c r="C23" s="164" t="s">
        <v>386</v>
      </c>
      <c r="D23" s="354">
        <v>1000448038</v>
      </c>
      <c r="E23" s="83">
        <v>480</v>
      </c>
      <c r="F23" s="83" t="s">
        <v>352</v>
      </c>
      <c r="G23" s="215" t="s">
        <v>390</v>
      </c>
      <c r="H23" s="83" t="s">
        <v>103</v>
      </c>
      <c r="I23" s="216" t="s">
        <v>392</v>
      </c>
      <c r="J23" s="83" t="s">
        <v>51</v>
      </c>
      <c r="K23" s="83" t="s">
        <v>51</v>
      </c>
      <c r="L23" s="162">
        <v>0.34722222222222227</v>
      </c>
      <c r="M23" s="162">
        <v>0.35416666666666669</v>
      </c>
      <c r="N23" s="162">
        <v>0.375</v>
      </c>
      <c r="O23" s="162">
        <f t="shared" si="5"/>
        <v>6.9444444444444198E-3</v>
      </c>
      <c r="P23" s="162">
        <f t="shared" si="5"/>
        <v>2.0833333333333315E-2</v>
      </c>
      <c r="Q23" s="162">
        <v>0.38194444444444442</v>
      </c>
      <c r="R23" s="166"/>
      <c r="S23" s="348">
        <f>O23+P23</f>
        <v>2.7777777777777735E-2</v>
      </c>
    </row>
    <row r="24" spans="1:19" s="227" customFormat="1" x14ac:dyDescent="0.25">
      <c r="A24" s="222">
        <v>2</v>
      </c>
      <c r="B24" s="223" t="s">
        <v>386</v>
      </c>
      <c r="C24" s="223" t="s">
        <v>386</v>
      </c>
      <c r="D24" s="358"/>
      <c r="E24" s="222"/>
      <c r="F24" s="222" t="s">
        <v>343</v>
      </c>
      <c r="G24" s="224">
        <v>9185144492</v>
      </c>
      <c r="H24" s="222" t="s">
        <v>103</v>
      </c>
      <c r="I24" s="222">
        <v>33</v>
      </c>
      <c r="J24" s="222" t="s">
        <v>51</v>
      </c>
      <c r="K24" s="222"/>
      <c r="L24" s="225">
        <v>0.3611111111111111</v>
      </c>
      <c r="M24" s="225">
        <v>0.44444444444444442</v>
      </c>
      <c r="N24" s="225">
        <v>0.46180555555555558</v>
      </c>
      <c r="O24" s="225">
        <f t="shared" si="5"/>
        <v>8.3333333333333315E-2</v>
      </c>
      <c r="P24" s="225">
        <f t="shared" si="5"/>
        <v>1.736111111111116E-2</v>
      </c>
      <c r="Q24" s="225"/>
      <c r="R24" s="226" t="s">
        <v>391</v>
      </c>
    </row>
    <row r="25" spans="1:19" s="202" customFormat="1" ht="32.25" thickBot="1" x14ac:dyDescent="0.3">
      <c r="A25" s="196">
        <v>2</v>
      </c>
      <c r="B25" s="197" t="s">
        <v>386</v>
      </c>
      <c r="C25" s="197" t="s">
        <v>386</v>
      </c>
      <c r="D25" s="238">
        <v>1000448014</v>
      </c>
      <c r="E25" s="196">
        <v>360</v>
      </c>
      <c r="F25" s="196" t="s">
        <v>393</v>
      </c>
      <c r="G25" s="220" t="s">
        <v>394</v>
      </c>
      <c r="H25" s="196" t="s">
        <v>103</v>
      </c>
      <c r="I25" s="238" t="s">
        <v>416</v>
      </c>
      <c r="J25" s="196" t="s">
        <v>51</v>
      </c>
      <c r="K25" s="196" t="s">
        <v>51</v>
      </c>
      <c r="L25" s="200">
        <v>0.4548611111111111</v>
      </c>
      <c r="M25" s="200">
        <v>0.46527777777777773</v>
      </c>
      <c r="N25" s="200">
        <v>0.4861111111111111</v>
      </c>
      <c r="O25" s="200">
        <f t="shared" si="5"/>
        <v>1.041666666666663E-2</v>
      </c>
      <c r="P25" s="200">
        <f t="shared" si="5"/>
        <v>2.083333333333337E-2</v>
      </c>
      <c r="Q25" s="200">
        <v>0.48958333333333331</v>
      </c>
      <c r="R25" s="201" t="s">
        <v>412</v>
      </c>
      <c r="S25" s="348">
        <f>O25+P25</f>
        <v>3.125E-2</v>
      </c>
    </row>
    <row r="26" spans="1:19" s="112" customFormat="1" x14ac:dyDescent="0.25">
      <c r="A26" s="110">
        <v>2</v>
      </c>
      <c r="B26" s="163" t="s">
        <v>410</v>
      </c>
      <c r="C26" s="163" t="s">
        <v>410</v>
      </c>
      <c r="D26" s="353"/>
      <c r="E26" s="110"/>
      <c r="F26" s="110" t="s">
        <v>331</v>
      </c>
      <c r="G26" s="219">
        <v>9185137351</v>
      </c>
      <c r="H26" s="110" t="s">
        <v>103</v>
      </c>
      <c r="I26" s="110">
        <v>33</v>
      </c>
      <c r="J26" s="110" t="s">
        <v>51</v>
      </c>
      <c r="K26" s="110"/>
      <c r="L26" s="167">
        <v>0.26041666666666669</v>
      </c>
      <c r="M26" s="167">
        <v>0.45833333333333331</v>
      </c>
      <c r="N26" s="167">
        <v>0.47222222222222227</v>
      </c>
      <c r="O26" s="167">
        <f t="shared" si="5"/>
        <v>0.19791666666666663</v>
      </c>
      <c r="P26" s="167">
        <f t="shared" si="5"/>
        <v>1.3888888888888951E-2</v>
      </c>
      <c r="Q26" s="167"/>
      <c r="R26" s="195" t="s">
        <v>411</v>
      </c>
    </row>
    <row r="27" spans="1:19" ht="16.5" thickBot="1" x14ac:dyDescent="0.3">
      <c r="A27" s="83">
        <v>2</v>
      </c>
      <c r="B27" s="163" t="s">
        <v>410</v>
      </c>
      <c r="C27" s="163" t="s">
        <v>410</v>
      </c>
      <c r="D27" s="354"/>
      <c r="E27" s="83">
        <v>480</v>
      </c>
      <c r="F27" s="83" t="s">
        <v>413</v>
      </c>
      <c r="G27" s="214">
        <v>186887715</v>
      </c>
      <c r="H27" s="83" t="s">
        <v>103</v>
      </c>
      <c r="I27" s="83">
        <v>34</v>
      </c>
      <c r="J27" s="83"/>
      <c r="K27" s="83"/>
      <c r="L27" s="89">
        <v>0.32291666666666669</v>
      </c>
      <c r="M27" s="162">
        <v>0.39930555555555558</v>
      </c>
      <c r="N27" s="162">
        <v>0.41666666666666669</v>
      </c>
      <c r="O27" s="162">
        <f t="shared" si="5"/>
        <v>7.6388888888888895E-2</v>
      </c>
      <c r="P27" s="162">
        <f t="shared" si="5"/>
        <v>1.7361111111111105E-2</v>
      </c>
      <c r="Q27" s="162"/>
      <c r="R27" s="166"/>
      <c r="S27" s="348">
        <f>O27+P27</f>
        <v>9.375E-2</v>
      </c>
    </row>
    <row r="28" spans="1:19" ht="16.5" thickBot="1" x14ac:dyDescent="0.3">
      <c r="A28" s="83">
        <v>2</v>
      </c>
      <c r="B28" s="163" t="s">
        <v>410</v>
      </c>
      <c r="C28" s="163" t="s">
        <v>410</v>
      </c>
      <c r="D28" s="354"/>
      <c r="E28" s="83"/>
      <c r="F28" s="83" t="s">
        <v>333</v>
      </c>
      <c r="G28" s="204" t="s">
        <v>415</v>
      </c>
      <c r="H28" s="83" t="s">
        <v>103</v>
      </c>
      <c r="I28" s="83">
        <v>30</v>
      </c>
      <c r="J28" s="83"/>
      <c r="K28" s="83"/>
      <c r="L28" s="162">
        <v>0.33333333333333331</v>
      </c>
      <c r="M28" s="162">
        <v>0.4236111111111111</v>
      </c>
      <c r="N28" s="162">
        <v>0.4513888888888889</v>
      </c>
      <c r="O28" s="162">
        <f t="shared" si="5"/>
        <v>9.027777777777779E-2</v>
      </c>
      <c r="P28" s="162">
        <f t="shared" si="5"/>
        <v>2.777777777777779E-2</v>
      </c>
      <c r="Q28" s="162">
        <v>0.45833333333333331</v>
      </c>
      <c r="R28" s="166"/>
      <c r="S28" s="348">
        <f>O28+P28</f>
        <v>0.11805555555555558</v>
      </c>
    </row>
    <row r="29" spans="1:19" x14ac:dyDescent="0.25">
      <c r="A29" s="83">
        <v>2</v>
      </c>
      <c r="B29" s="163" t="s">
        <v>410</v>
      </c>
      <c r="C29" s="163" t="s">
        <v>410</v>
      </c>
      <c r="D29" s="354"/>
      <c r="E29" s="83"/>
      <c r="F29" s="83" t="s">
        <v>335</v>
      </c>
      <c r="G29" s="214">
        <v>9185137352</v>
      </c>
      <c r="H29" s="83" t="s">
        <v>103</v>
      </c>
      <c r="I29" s="83">
        <v>33</v>
      </c>
      <c r="J29" s="83" t="s">
        <v>51</v>
      </c>
      <c r="K29" s="83"/>
      <c r="L29" s="162">
        <v>0.49652777777777773</v>
      </c>
      <c r="M29" s="162">
        <v>0.5</v>
      </c>
      <c r="N29" s="162">
        <v>0.51041666666666663</v>
      </c>
      <c r="O29" s="162">
        <f t="shared" si="5"/>
        <v>3.4722222222222654E-3</v>
      </c>
      <c r="P29" s="162">
        <f t="shared" si="5"/>
        <v>1.041666666666663E-2</v>
      </c>
      <c r="Q29" s="162"/>
      <c r="R29" s="166" t="s">
        <v>388</v>
      </c>
    </row>
    <row r="30" spans="1:19" s="202" customFormat="1" ht="32.25" thickBot="1" x14ac:dyDescent="0.3">
      <c r="A30" s="196">
        <v>2</v>
      </c>
      <c r="B30" s="197" t="s">
        <v>410</v>
      </c>
      <c r="C30" s="197" t="s">
        <v>410</v>
      </c>
      <c r="D30" s="238">
        <v>1000449817</v>
      </c>
      <c r="E30" s="196">
        <v>120</v>
      </c>
      <c r="F30" s="196" t="s">
        <v>363</v>
      </c>
      <c r="G30" s="220" t="s">
        <v>417</v>
      </c>
      <c r="H30" s="196" t="s">
        <v>103</v>
      </c>
      <c r="I30" s="241" t="s">
        <v>418</v>
      </c>
      <c r="J30" s="196" t="s">
        <v>51</v>
      </c>
      <c r="K30" s="196" t="s">
        <v>51</v>
      </c>
      <c r="L30" s="200">
        <v>0.68055555555555547</v>
      </c>
      <c r="M30" s="200">
        <v>0.69444444444444453</v>
      </c>
      <c r="N30" s="200">
        <v>0.70833333333333337</v>
      </c>
      <c r="O30" s="200">
        <f t="shared" si="5"/>
        <v>1.3888888888889062E-2</v>
      </c>
      <c r="P30" s="200">
        <f t="shared" si="5"/>
        <v>1.388888888888884E-2</v>
      </c>
      <c r="Q30" s="200">
        <v>0.71180555555555547</v>
      </c>
      <c r="R30" s="201"/>
      <c r="S30" s="348">
        <f>O30+P30</f>
        <v>2.7777777777777901E-2</v>
      </c>
    </row>
    <row r="31" spans="1:19" s="112" customFormat="1" x14ac:dyDescent="0.25">
      <c r="A31" s="110">
        <v>2</v>
      </c>
      <c r="B31" s="163">
        <v>43839</v>
      </c>
      <c r="C31" s="163">
        <v>43839</v>
      </c>
      <c r="D31" s="353"/>
      <c r="E31" s="110"/>
      <c r="F31" s="110" t="s">
        <v>419</v>
      </c>
      <c r="G31" s="219">
        <v>3202645282</v>
      </c>
      <c r="H31" s="110" t="s">
        <v>103</v>
      </c>
      <c r="I31" s="110">
        <v>6</v>
      </c>
      <c r="J31" s="110"/>
      <c r="K31" s="110"/>
      <c r="L31" s="167">
        <v>0.27083333333333331</v>
      </c>
      <c r="M31" s="167">
        <v>0.27777777777777779</v>
      </c>
      <c r="N31" s="167">
        <v>0.28125</v>
      </c>
      <c r="O31" s="167">
        <f t="shared" si="5"/>
        <v>6.9444444444444753E-3</v>
      </c>
      <c r="P31" s="167">
        <f t="shared" si="5"/>
        <v>3.4722222222222099E-3</v>
      </c>
      <c r="Q31" s="167"/>
      <c r="R31" s="195"/>
    </row>
    <row r="32" spans="1:19" ht="16.5" thickBot="1" x14ac:dyDescent="0.3">
      <c r="A32" s="83">
        <v>2</v>
      </c>
      <c r="B32" s="163">
        <v>43839</v>
      </c>
      <c r="C32" s="163">
        <v>43839</v>
      </c>
      <c r="D32" s="354"/>
      <c r="E32" s="83">
        <v>540</v>
      </c>
      <c r="F32" s="83" t="s">
        <v>420</v>
      </c>
      <c r="G32" s="214">
        <v>186905703</v>
      </c>
      <c r="H32" s="83" t="s">
        <v>103</v>
      </c>
      <c r="I32" s="83">
        <v>34</v>
      </c>
      <c r="J32" s="83"/>
      <c r="K32" s="83"/>
      <c r="L32" s="162">
        <v>0.27777777777777779</v>
      </c>
      <c r="M32" s="162">
        <v>0.28819444444444448</v>
      </c>
      <c r="N32" s="162">
        <v>0.30902777777777779</v>
      </c>
      <c r="O32" s="162">
        <f t="shared" si="5"/>
        <v>1.0416666666666685E-2</v>
      </c>
      <c r="P32" s="162">
        <f t="shared" si="5"/>
        <v>2.0833333333333315E-2</v>
      </c>
      <c r="Q32" s="162">
        <v>0.3125</v>
      </c>
      <c r="R32" s="166"/>
      <c r="S32" s="348">
        <f>O32+P32</f>
        <v>3.125E-2</v>
      </c>
    </row>
    <row r="33" spans="1:19" x14ac:dyDescent="0.25">
      <c r="A33" s="83">
        <v>2</v>
      </c>
      <c r="B33" s="163">
        <v>43839</v>
      </c>
      <c r="C33" s="163">
        <v>43839</v>
      </c>
      <c r="D33" s="354"/>
      <c r="E33" s="83"/>
      <c r="F33" s="83" t="s">
        <v>331</v>
      </c>
      <c r="G33" s="214">
        <v>9185163778</v>
      </c>
      <c r="H33" s="83" t="s">
        <v>103</v>
      </c>
      <c r="I33" s="83">
        <v>33</v>
      </c>
      <c r="J33" s="83" t="s">
        <v>51</v>
      </c>
      <c r="K33" s="83"/>
      <c r="L33" s="162">
        <v>0.30555555555555552</v>
      </c>
      <c r="M33" s="162">
        <v>0.30902777777777779</v>
      </c>
      <c r="N33" s="162">
        <v>0.31944444444444448</v>
      </c>
      <c r="O33" s="162">
        <f t="shared" si="5"/>
        <v>3.4722222222222654E-3</v>
      </c>
      <c r="P33" s="162">
        <f t="shared" si="5"/>
        <v>1.0416666666666685E-2</v>
      </c>
      <c r="Q33" s="162"/>
      <c r="R33" s="166" t="s">
        <v>421</v>
      </c>
    </row>
    <row r="34" spans="1:19" x14ac:dyDescent="0.25">
      <c r="A34" s="83">
        <v>2</v>
      </c>
      <c r="B34" s="163">
        <v>43839</v>
      </c>
      <c r="C34" s="163">
        <v>43839</v>
      </c>
      <c r="D34" s="354"/>
      <c r="E34" s="83"/>
      <c r="F34" s="83" t="s">
        <v>335</v>
      </c>
      <c r="G34" s="214">
        <v>9185167598</v>
      </c>
      <c r="H34" s="83" t="s">
        <v>103</v>
      </c>
      <c r="I34" s="83">
        <v>33</v>
      </c>
      <c r="J34" s="83" t="s">
        <v>51</v>
      </c>
      <c r="K34" s="83"/>
      <c r="L34" s="162">
        <v>0.35416666666666669</v>
      </c>
      <c r="M34" s="162">
        <v>0.3576388888888889</v>
      </c>
      <c r="N34" s="162">
        <v>0.36805555555555558</v>
      </c>
      <c r="O34" s="162">
        <f t="shared" si="5"/>
        <v>3.4722222222222099E-3</v>
      </c>
      <c r="P34" s="162">
        <f t="shared" si="5"/>
        <v>1.0416666666666685E-2</v>
      </c>
      <c r="Q34" s="162"/>
      <c r="R34" s="166" t="s">
        <v>421</v>
      </c>
    </row>
    <row r="35" spans="1:19" x14ac:dyDescent="0.25">
      <c r="A35" s="83">
        <f t="shared" si="4"/>
        <v>2</v>
      </c>
      <c r="B35" s="163">
        <v>43839</v>
      </c>
      <c r="C35" s="163">
        <v>43839</v>
      </c>
      <c r="D35" s="354"/>
      <c r="E35" s="83"/>
      <c r="F35" s="83" t="s">
        <v>343</v>
      </c>
      <c r="G35" s="214">
        <v>9185164036</v>
      </c>
      <c r="H35" s="83" t="s">
        <v>103</v>
      </c>
      <c r="I35" s="83">
        <v>33</v>
      </c>
      <c r="J35" s="83" t="s">
        <v>51</v>
      </c>
      <c r="K35" s="83"/>
      <c r="L35" s="162">
        <v>0.3888888888888889</v>
      </c>
      <c r="M35" s="162">
        <v>0.39583333333333331</v>
      </c>
      <c r="N35" s="162">
        <v>0.40625</v>
      </c>
      <c r="O35" s="162">
        <f t="shared" si="5"/>
        <v>6.9444444444444198E-3</v>
      </c>
      <c r="P35" s="162">
        <f t="shared" si="5"/>
        <v>1.0416666666666685E-2</v>
      </c>
      <c r="Q35" s="162"/>
      <c r="R35" s="166" t="s">
        <v>422</v>
      </c>
    </row>
    <row r="36" spans="1:19" ht="16.5" thickBot="1" x14ac:dyDescent="0.3">
      <c r="A36" s="83">
        <f t="shared" si="4"/>
        <v>2</v>
      </c>
      <c r="B36" s="163">
        <v>43839</v>
      </c>
      <c r="C36" s="163">
        <v>43839</v>
      </c>
      <c r="D36" s="354"/>
      <c r="E36" s="83"/>
      <c r="F36" s="83" t="s">
        <v>333</v>
      </c>
      <c r="G36" s="214">
        <v>3202682362</v>
      </c>
      <c r="H36" s="83" t="s">
        <v>103</v>
      </c>
      <c r="I36" s="83">
        <v>1</v>
      </c>
      <c r="J36" s="83"/>
      <c r="K36" s="83"/>
      <c r="L36" s="162">
        <v>0.43402777777777773</v>
      </c>
      <c r="M36" s="162">
        <v>0.43472222222222223</v>
      </c>
      <c r="N36" s="162">
        <v>0.43541666666666662</v>
      </c>
      <c r="O36" s="162">
        <f t="shared" si="5"/>
        <v>6.9444444444449749E-4</v>
      </c>
      <c r="P36" s="162">
        <f t="shared" si="5"/>
        <v>6.9444444444438647E-4</v>
      </c>
      <c r="Q36" s="162"/>
      <c r="R36" s="166"/>
      <c r="S36" s="348">
        <f>O36+P36</f>
        <v>1.388888888888884E-3</v>
      </c>
    </row>
    <row r="37" spans="1:19" x14ac:dyDescent="0.25">
      <c r="A37" s="83">
        <f t="shared" si="4"/>
        <v>2</v>
      </c>
      <c r="B37" s="163">
        <v>43839</v>
      </c>
      <c r="C37" s="163">
        <v>43839</v>
      </c>
      <c r="D37" s="354"/>
      <c r="E37" s="83"/>
      <c r="F37" s="83" t="s">
        <v>368</v>
      </c>
      <c r="G37" s="214">
        <v>9185188830</v>
      </c>
      <c r="H37" s="83" t="s">
        <v>103</v>
      </c>
      <c r="I37" s="83">
        <v>33</v>
      </c>
      <c r="J37" s="83" t="s">
        <v>51</v>
      </c>
      <c r="K37" s="83"/>
      <c r="L37" s="162">
        <v>0.44791666666666669</v>
      </c>
      <c r="M37" s="162">
        <v>0.4513888888888889</v>
      </c>
      <c r="N37" s="162">
        <v>0.46527777777777773</v>
      </c>
      <c r="O37" s="162">
        <f t="shared" si="5"/>
        <v>3.4722222222222099E-3</v>
      </c>
      <c r="P37" s="162">
        <f t="shared" si="5"/>
        <v>1.388888888888884E-2</v>
      </c>
      <c r="Q37" s="162"/>
      <c r="R37" s="166" t="s">
        <v>423</v>
      </c>
    </row>
    <row r="38" spans="1:19" ht="16.5" thickBot="1" x14ac:dyDescent="0.3">
      <c r="A38" s="83">
        <f t="shared" si="4"/>
        <v>2</v>
      </c>
      <c r="B38" s="163">
        <v>43839</v>
      </c>
      <c r="C38" s="163">
        <v>43839</v>
      </c>
      <c r="D38" s="354">
        <v>1000449836</v>
      </c>
      <c r="E38" s="83">
        <v>300</v>
      </c>
      <c r="F38" s="83" t="s">
        <v>425</v>
      </c>
      <c r="G38" s="214" t="s">
        <v>426</v>
      </c>
      <c r="H38" s="83" t="s">
        <v>103</v>
      </c>
      <c r="I38" s="83">
        <v>33</v>
      </c>
      <c r="J38" s="83" t="s">
        <v>51</v>
      </c>
      <c r="K38" s="83" t="s">
        <v>51</v>
      </c>
      <c r="L38" s="162">
        <v>0.48958333333333331</v>
      </c>
      <c r="M38" s="162">
        <v>0.50347222222222221</v>
      </c>
      <c r="N38" s="162">
        <v>0.52430555555555558</v>
      </c>
      <c r="O38" s="162">
        <f t="shared" si="5"/>
        <v>1.3888888888888895E-2</v>
      </c>
      <c r="P38" s="162">
        <f t="shared" si="5"/>
        <v>2.083333333333337E-2</v>
      </c>
      <c r="Q38" s="162">
        <v>0.52430555555555558</v>
      </c>
      <c r="R38" s="166"/>
      <c r="S38" s="348">
        <f>O38+P38</f>
        <v>3.4722222222222265E-2</v>
      </c>
    </row>
    <row r="39" spans="1:19" ht="16.5" thickBot="1" x14ac:dyDescent="0.3">
      <c r="A39" s="83">
        <f t="shared" si="4"/>
        <v>2</v>
      </c>
      <c r="B39" s="163">
        <v>43839</v>
      </c>
      <c r="C39" s="163">
        <v>43839</v>
      </c>
      <c r="D39" s="354">
        <v>1000449789</v>
      </c>
      <c r="E39" s="83">
        <v>300</v>
      </c>
      <c r="F39" s="83" t="s">
        <v>424</v>
      </c>
      <c r="G39" s="214" t="s">
        <v>427</v>
      </c>
      <c r="H39" s="83" t="s">
        <v>103</v>
      </c>
      <c r="I39" s="83">
        <v>34</v>
      </c>
      <c r="J39" s="83" t="s">
        <v>51</v>
      </c>
      <c r="K39" s="83" t="s">
        <v>51</v>
      </c>
      <c r="L39" s="162">
        <v>0.49305555555555558</v>
      </c>
      <c r="M39" s="162">
        <v>0.50694444444444442</v>
      </c>
      <c r="N39" s="162">
        <v>0.52083333333333337</v>
      </c>
      <c r="O39" s="162">
        <f t="shared" si="5"/>
        <v>1.388888888888884E-2</v>
      </c>
      <c r="P39" s="162">
        <f t="shared" si="5"/>
        <v>1.3888888888888951E-2</v>
      </c>
      <c r="Q39" s="162">
        <v>0.53125</v>
      </c>
      <c r="R39" s="166"/>
      <c r="S39" s="348">
        <f>O39+P39</f>
        <v>2.777777777777779E-2</v>
      </c>
    </row>
    <row r="40" spans="1:19" x14ac:dyDescent="0.25">
      <c r="A40" s="83">
        <f t="shared" si="4"/>
        <v>2</v>
      </c>
      <c r="B40" s="163">
        <v>43839</v>
      </c>
      <c r="C40" s="163">
        <v>43839</v>
      </c>
      <c r="F40" s="83" t="s">
        <v>369</v>
      </c>
      <c r="G40" s="90">
        <v>9185185932</v>
      </c>
      <c r="H40" s="90" t="s">
        <v>103</v>
      </c>
      <c r="I40" s="90">
        <v>33</v>
      </c>
      <c r="J40" s="90" t="s">
        <v>51</v>
      </c>
      <c r="L40" s="91">
        <v>0.5</v>
      </c>
      <c r="M40" s="91">
        <v>0.50347222222222221</v>
      </c>
      <c r="N40" s="91">
        <v>0.51388888888888895</v>
      </c>
      <c r="O40" s="91">
        <f t="shared" si="5"/>
        <v>3.4722222222222099E-3</v>
      </c>
      <c r="P40" s="91">
        <f t="shared" si="5"/>
        <v>1.0416666666666741E-2</v>
      </c>
      <c r="R40" s="88" t="s">
        <v>428</v>
      </c>
    </row>
    <row r="41" spans="1:19" s="202" customFormat="1" ht="16.5" thickBot="1" x14ac:dyDescent="0.3">
      <c r="A41" s="196">
        <f t="shared" si="4"/>
        <v>2</v>
      </c>
      <c r="B41" s="197">
        <v>43839</v>
      </c>
      <c r="C41" s="197">
        <v>43839</v>
      </c>
      <c r="D41" s="356">
        <v>1000449838</v>
      </c>
      <c r="E41" s="210">
        <v>300</v>
      </c>
      <c r="F41" s="196" t="s">
        <v>437</v>
      </c>
      <c r="G41" s="210" t="s">
        <v>438</v>
      </c>
      <c r="H41" s="210" t="s">
        <v>103</v>
      </c>
      <c r="I41" s="210">
        <v>33</v>
      </c>
      <c r="J41" s="210" t="s">
        <v>51</v>
      </c>
      <c r="K41" s="210" t="s">
        <v>51</v>
      </c>
      <c r="L41" s="211">
        <v>0.64930555555555558</v>
      </c>
      <c r="M41" s="211">
        <v>0.65277777777777779</v>
      </c>
      <c r="N41" s="211">
        <v>0.66319444444444442</v>
      </c>
      <c r="O41" s="211">
        <f t="shared" si="5"/>
        <v>3.4722222222222099E-3</v>
      </c>
      <c r="P41" s="211">
        <f t="shared" si="5"/>
        <v>1.041666666666663E-2</v>
      </c>
      <c r="Q41" s="211">
        <v>0.66666666666666663</v>
      </c>
      <c r="R41" s="212"/>
      <c r="S41" s="348">
        <f>O41+P41</f>
        <v>1.388888888888884E-2</v>
      </c>
    </row>
    <row r="42" spans="1:19" s="112" customFormat="1" x14ac:dyDescent="0.25">
      <c r="A42" s="110">
        <v>2</v>
      </c>
      <c r="B42" s="111" t="s">
        <v>441</v>
      </c>
      <c r="C42" s="111" t="s">
        <v>441</v>
      </c>
      <c r="D42" s="357"/>
      <c r="E42" s="207"/>
      <c r="F42" s="110" t="s">
        <v>331</v>
      </c>
      <c r="G42" s="207">
        <v>9185185226</v>
      </c>
      <c r="H42" s="207" t="s">
        <v>103</v>
      </c>
      <c r="I42" s="207">
        <v>33</v>
      </c>
      <c r="J42" s="207" t="s">
        <v>51</v>
      </c>
      <c r="K42" s="207"/>
      <c r="L42" s="208">
        <v>0.25347222222222221</v>
      </c>
      <c r="M42" s="208">
        <v>0.25694444444444448</v>
      </c>
      <c r="N42" s="208">
        <v>0.2673611111111111</v>
      </c>
      <c r="O42" s="208">
        <f t="shared" si="5"/>
        <v>3.4722222222222654E-3</v>
      </c>
      <c r="P42" s="208">
        <f t="shared" si="5"/>
        <v>1.041666666666663E-2</v>
      </c>
      <c r="Q42" s="208"/>
      <c r="R42" s="244" t="s">
        <v>428</v>
      </c>
    </row>
    <row r="43" spans="1:19" x14ac:dyDescent="0.25">
      <c r="A43" s="110">
        <v>2</v>
      </c>
      <c r="B43" s="111" t="s">
        <v>441</v>
      </c>
      <c r="C43" s="111" t="s">
        <v>441</v>
      </c>
      <c r="E43" s="90">
        <v>480</v>
      </c>
      <c r="F43" s="83" t="s">
        <v>442</v>
      </c>
      <c r="G43" s="90">
        <v>186842578</v>
      </c>
      <c r="H43" s="90" t="s">
        <v>103</v>
      </c>
      <c r="I43" s="90">
        <v>34</v>
      </c>
      <c r="L43" s="91">
        <v>0.28472222222222221</v>
      </c>
      <c r="M43" s="91">
        <v>0.2986111111111111</v>
      </c>
      <c r="N43" s="91">
        <v>0.31597222222222221</v>
      </c>
      <c r="O43" s="91">
        <f t="shared" si="5"/>
        <v>1.3888888888888895E-2</v>
      </c>
      <c r="P43" s="91">
        <f t="shared" si="5"/>
        <v>1.7361111111111105E-2</v>
      </c>
      <c r="Q43" s="91">
        <v>0.31944444444444448</v>
      </c>
    </row>
    <row r="44" spans="1:19" x14ac:dyDescent="0.25">
      <c r="A44" s="110">
        <v>2</v>
      </c>
      <c r="B44" s="111" t="s">
        <v>441</v>
      </c>
      <c r="C44" s="111" t="s">
        <v>441</v>
      </c>
      <c r="F44" s="83" t="s">
        <v>335</v>
      </c>
      <c r="G44" s="90">
        <v>9185139280</v>
      </c>
      <c r="H44" s="90" t="s">
        <v>103</v>
      </c>
      <c r="I44" s="90">
        <v>33</v>
      </c>
      <c r="J44" s="90" t="s">
        <v>51</v>
      </c>
      <c r="L44" s="91">
        <v>0.29166666666666669</v>
      </c>
      <c r="M44" s="91">
        <v>0.2986111111111111</v>
      </c>
      <c r="N44" s="91">
        <v>0.3125</v>
      </c>
      <c r="O44" s="91">
        <f t="shared" si="5"/>
        <v>6.9444444444444198E-3</v>
      </c>
      <c r="P44" s="91">
        <f t="shared" si="5"/>
        <v>1.3888888888888895E-2</v>
      </c>
      <c r="R44" s="88" t="s">
        <v>428</v>
      </c>
    </row>
    <row r="45" spans="1:19" x14ac:dyDescent="0.25">
      <c r="A45" s="110">
        <v>2</v>
      </c>
      <c r="B45" s="111" t="s">
        <v>441</v>
      </c>
      <c r="C45" s="111" t="s">
        <v>441</v>
      </c>
      <c r="F45" s="83" t="s">
        <v>343</v>
      </c>
      <c r="G45" s="90">
        <v>9185184634</v>
      </c>
      <c r="H45" s="90" t="s">
        <v>103</v>
      </c>
      <c r="I45" s="90">
        <v>33</v>
      </c>
      <c r="J45" s="90" t="s">
        <v>51</v>
      </c>
      <c r="L45" s="91">
        <v>0.3576388888888889</v>
      </c>
      <c r="M45" s="91">
        <v>0.3611111111111111</v>
      </c>
      <c r="N45" s="91">
        <v>0.37847222222222227</v>
      </c>
      <c r="O45" s="91">
        <f t="shared" si="5"/>
        <v>3.4722222222222099E-3</v>
      </c>
      <c r="P45" s="91">
        <f t="shared" si="5"/>
        <v>1.736111111111116E-2</v>
      </c>
      <c r="R45" s="88" t="s">
        <v>444</v>
      </c>
    </row>
    <row r="46" spans="1:19" x14ac:dyDescent="0.25">
      <c r="A46" s="110">
        <v>2</v>
      </c>
      <c r="B46" s="111" t="s">
        <v>441</v>
      </c>
      <c r="C46" s="111" t="s">
        <v>441</v>
      </c>
      <c r="E46" s="90">
        <v>420</v>
      </c>
      <c r="F46" s="83" t="s">
        <v>443</v>
      </c>
      <c r="G46" s="90">
        <v>186906603</v>
      </c>
      <c r="H46" s="90" t="s">
        <v>103</v>
      </c>
      <c r="I46" s="90">
        <v>34</v>
      </c>
      <c r="L46" s="91">
        <v>0.3576388888888889</v>
      </c>
      <c r="M46" s="91">
        <v>0.3611111111111111</v>
      </c>
      <c r="N46" s="91">
        <v>0.36458333333333331</v>
      </c>
      <c r="O46" s="91">
        <f t="shared" si="5"/>
        <v>3.4722222222222099E-3</v>
      </c>
      <c r="P46" s="91">
        <f t="shared" si="5"/>
        <v>3.4722222222222099E-3</v>
      </c>
      <c r="Q46" s="91">
        <v>0.3888888888888889</v>
      </c>
    </row>
    <row r="47" spans="1:19" x14ac:dyDescent="0.25">
      <c r="A47" s="110">
        <v>2</v>
      </c>
      <c r="B47" s="111" t="s">
        <v>441</v>
      </c>
      <c r="C47" s="111" t="s">
        <v>441</v>
      </c>
      <c r="F47" s="83" t="s">
        <v>368</v>
      </c>
      <c r="G47" s="90">
        <v>9185196097</v>
      </c>
      <c r="H47" s="90" t="s">
        <v>103</v>
      </c>
      <c r="I47" s="90">
        <v>33</v>
      </c>
      <c r="J47" s="90" t="s">
        <v>51</v>
      </c>
      <c r="L47" s="91">
        <v>0.41666666666666669</v>
      </c>
      <c r="M47" s="91">
        <v>0.4236111111111111</v>
      </c>
      <c r="N47" s="91">
        <v>0.43402777777777773</v>
      </c>
      <c r="O47" s="91">
        <f t="shared" si="5"/>
        <v>6.9444444444444198E-3</v>
      </c>
      <c r="P47" s="91">
        <f t="shared" si="5"/>
        <v>1.041666666666663E-2</v>
      </c>
      <c r="R47" s="88" t="s">
        <v>428</v>
      </c>
    </row>
    <row r="48" spans="1:19" x14ac:dyDescent="0.25">
      <c r="A48" s="110">
        <v>2</v>
      </c>
      <c r="B48" s="111" t="s">
        <v>441</v>
      </c>
      <c r="C48" s="111" t="s">
        <v>441</v>
      </c>
      <c r="F48" s="83" t="s">
        <v>369</v>
      </c>
      <c r="G48" s="90">
        <v>9185212097</v>
      </c>
      <c r="H48" s="90" t="s">
        <v>103</v>
      </c>
      <c r="I48" s="90">
        <v>33</v>
      </c>
      <c r="J48" s="90" t="s">
        <v>51</v>
      </c>
      <c r="L48" s="91">
        <v>0.48958333333333331</v>
      </c>
      <c r="M48" s="91">
        <v>0.49305555555555558</v>
      </c>
      <c r="N48" s="91">
        <v>0.50347222222222221</v>
      </c>
      <c r="O48" s="91">
        <f t="shared" si="5"/>
        <v>3.4722222222222654E-3</v>
      </c>
      <c r="P48" s="91">
        <f t="shared" si="5"/>
        <v>1.041666666666663E-2</v>
      </c>
      <c r="R48" s="88" t="s">
        <v>428</v>
      </c>
    </row>
    <row r="49" spans="1:18" x14ac:dyDescent="0.25">
      <c r="A49" s="110">
        <v>2</v>
      </c>
      <c r="B49" s="111" t="s">
        <v>441</v>
      </c>
      <c r="C49" s="111" t="s">
        <v>441</v>
      </c>
      <c r="D49" s="355">
        <v>1000450086</v>
      </c>
      <c r="E49" s="90">
        <v>420</v>
      </c>
      <c r="F49" s="83" t="s">
        <v>445</v>
      </c>
      <c r="G49" s="90" t="s">
        <v>446</v>
      </c>
      <c r="H49" s="90" t="s">
        <v>103</v>
      </c>
      <c r="I49" s="90">
        <v>48</v>
      </c>
      <c r="J49" s="90" t="s">
        <v>51</v>
      </c>
      <c r="K49" s="90" t="s">
        <v>51</v>
      </c>
      <c r="L49" s="91">
        <v>0.49305555555555558</v>
      </c>
      <c r="M49" s="91">
        <v>0.5</v>
      </c>
      <c r="N49" s="91">
        <v>0.53125</v>
      </c>
      <c r="O49" s="91">
        <f t="shared" si="5"/>
        <v>6.9444444444444198E-3</v>
      </c>
      <c r="P49" s="91">
        <f t="shared" si="5"/>
        <v>3.125E-2</v>
      </c>
      <c r="Q49" s="91">
        <v>0.53819444444444442</v>
      </c>
    </row>
    <row r="50" spans="1:18" x14ac:dyDescent="0.25">
      <c r="A50" s="110">
        <v>2</v>
      </c>
      <c r="B50" s="111" t="s">
        <v>441</v>
      </c>
      <c r="C50" s="111" t="s">
        <v>441</v>
      </c>
      <c r="D50" s="355">
        <v>1000449792</v>
      </c>
      <c r="E50" s="90">
        <v>360</v>
      </c>
      <c r="F50" s="83" t="s">
        <v>447</v>
      </c>
      <c r="G50" s="90" t="s">
        <v>448</v>
      </c>
      <c r="H50" s="90" t="s">
        <v>103</v>
      </c>
      <c r="I50" s="90">
        <v>33</v>
      </c>
      <c r="J50" s="90" t="s">
        <v>51</v>
      </c>
      <c r="K50" s="90" t="s">
        <v>51</v>
      </c>
      <c r="L50" s="91">
        <v>0.49652777777777773</v>
      </c>
      <c r="M50" s="91">
        <v>0.50694444444444442</v>
      </c>
      <c r="N50" s="91">
        <v>0.52430555555555558</v>
      </c>
      <c r="O50" s="91">
        <f t="shared" si="5"/>
        <v>1.0416666666666685E-2</v>
      </c>
      <c r="P50" s="91">
        <f t="shared" si="5"/>
        <v>1.736111111111116E-2</v>
      </c>
      <c r="Q50" s="91">
        <v>0.5625</v>
      </c>
    </row>
    <row r="51" spans="1:18" s="202" customFormat="1" ht="16.5" thickBot="1" x14ac:dyDescent="0.3">
      <c r="A51" s="196">
        <v>2</v>
      </c>
      <c r="B51" s="209" t="s">
        <v>441</v>
      </c>
      <c r="C51" s="209" t="s">
        <v>441</v>
      </c>
      <c r="D51" s="356"/>
      <c r="E51" s="210"/>
      <c r="F51" s="196" t="s">
        <v>449</v>
      </c>
      <c r="G51" s="210"/>
      <c r="H51" s="210" t="s">
        <v>103</v>
      </c>
      <c r="I51" s="210"/>
      <c r="J51" s="210"/>
      <c r="K51" s="210"/>
      <c r="L51" s="211">
        <v>0.59027777777777779</v>
      </c>
      <c r="M51" s="211">
        <v>0.59375</v>
      </c>
      <c r="N51" s="211">
        <v>0.60069444444444442</v>
      </c>
      <c r="O51" s="211">
        <f t="shared" si="5"/>
        <v>3.4722222222222099E-3</v>
      </c>
      <c r="P51" s="211">
        <f t="shared" si="5"/>
        <v>6.9444444444444198E-3</v>
      </c>
      <c r="Q51" s="211"/>
      <c r="R51" s="212"/>
    </row>
    <row r="52" spans="1:18" s="112" customFormat="1" x14ac:dyDescent="0.25">
      <c r="A52" s="110">
        <v>2</v>
      </c>
      <c r="B52" s="111" t="s">
        <v>450</v>
      </c>
      <c r="C52" s="111" t="s">
        <v>450</v>
      </c>
      <c r="D52" s="357"/>
      <c r="E52" s="207"/>
      <c r="F52" s="110" t="s">
        <v>331</v>
      </c>
      <c r="G52" s="207">
        <v>9185205832</v>
      </c>
      <c r="H52" s="207" t="s">
        <v>103</v>
      </c>
      <c r="I52" s="207">
        <v>33</v>
      </c>
      <c r="J52" s="207" t="s">
        <v>51</v>
      </c>
      <c r="K52" s="207"/>
      <c r="L52" s="208">
        <v>0.26041666666666669</v>
      </c>
      <c r="M52" s="208">
        <v>0.2638888888888889</v>
      </c>
      <c r="N52" s="208">
        <v>0.27083333333333331</v>
      </c>
      <c r="O52" s="208">
        <f t="shared" si="5"/>
        <v>3.4722222222222099E-3</v>
      </c>
      <c r="P52" s="208">
        <f t="shared" si="5"/>
        <v>6.9444444444444198E-3</v>
      </c>
      <c r="Q52" s="208"/>
      <c r="R52" s="244" t="s">
        <v>428</v>
      </c>
    </row>
    <row r="53" spans="1:18" x14ac:dyDescent="0.25">
      <c r="A53" s="110">
        <v>2</v>
      </c>
      <c r="B53" s="111" t="s">
        <v>450</v>
      </c>
      <c r="C53" s="111" t="s">
        <v>450</v>
      </c>
      <c r="F53" s="83" t="s">
        <v>335</v>
      </c>
      <c r="G53" s="90">
        <v>9185214199</v>
      </c>
      <c r="H53" s="90" t="s">
        <v>103</v>
      </c>
      <c r="I53" s="90">
        <v>33</v>
      </c>
      <c r="J53" s="90" t="s">
        <v>51</v>
      </c>
      <c r="L53" s="91">
        <v>0.30208333333333331</v>
      </c>
      <c r="M53" s="91">
        <v>0.30902777777777779</v>
      </c>
      <c r="N53" s="91">
        <v>0.31944444444444448</v>
      </c>
      <c r="O53" s="91">
        <f t="shared" si="5"/>
        <v>6.9444444444444753E-3</v>
      </c>
      <c r="P53" s="91">
        <f t="shared" si="5"/>
        <v>1.0416666666666685E-2</v>
      </c>
      <c r="R53" s="88" t="s">
        <v>452</v>
      </c>
    </row>
    <row r="54" spans="1:18" x14ac:dyDescent="0.25">
      <c r="A54" s="110">
        <v>2</v>
      </c>
      <c r="B54" s="111" t="s">
        <v>450</v>
      </c>
      <c r="C54" s="111" t="s">
        <v>450</v>
      </c>
      <c r="D54" s="355">
        <v>1000449819</v>
      </c>
      <c r="E54" s="90">
        <v>540</v>
      </c>
      <c r="F54" s="83" t="s">
        <v>453</v>
      </c>
      <c r="G54" s="90" t="s">
        <v>454</v>
      </c>
      <c r="H54" s="90" t="s">
        <v>103</v>
      </c>
      <c r="I54" s="90">
        <v>33</v>
      </c>
      <c r="J54" s="90" t="s">
        <v>51</v>
      </c>
      <c r="K54" s="90" t="s">
        <v>51</v>
      </c>
      <c r="L54" s="91">
        <v>0.3263888888888889</v>
      </c>
      <c r="M54" s="91">
        <v>0.33333333333333331</v>
      </c>
      <c r="N54" s="91">
        <v>0.35416666666666669</v>
      </c>
      <c r="O54" s="91">
        <f t="shared" ref="O54:P117" si="6">M54-L54</f>
        <v>6.9444444444444198E-3</v>
      </c>
      <c r="P54" s="91">
        <f t="shared" si="6"/>
        <v>2.083333333333337E-2</v>
      </c>
      <c r="Q54" s="91">
        <v>0.3576388888888889</v>
      </c>
    </row>
    <row r="55" spans="1:18" x14ac:dyDescent="0.25">
      <c r="A55" s="110">
        <v>2</v>
      </c>
      <c r="B55" s="111" t="s">
        <v>450</v>
      </c>
      <c r="C55" s="111" t="s">
        <v>450</v>
      </c>
      <c r="F55" s="83" t="s">
        <v>343</v>
      </c>
      <c r="G55" s="90">
        <v>9185226328</v>
      </c>
      <c r="H55" s="90" t="s">
        <v>103</v>
      </c>
      <c r="I55" s="90">
        <v>33</v>
      </c>
      <c r="J55" s="90" t="s">
        <v>51</v>
      </c>
      <c r="L55" s="91">
        <v>0.35069444444444442</v>
      </c>
      <c r="M55" s="91">
        <v>0.35416666666666669</v>
      </c>
      <c r="N55" s="91">
        <v>0.36458333333333331</v>
      </c>
      <c r="O55" s="91">
        <f t="shared" si="6"/>
        <v>3.4722222222222654E-3</v>
      </c>
      <c r="P55" s="91">
        <f t="shared" si="6"/>
        <v>1.041666666666663E-2</v>
      </c>
      <c r="R55" s="88" t="s">
        <v>422</v>
      </c>
    </row>
    <row r="56" spans="1:18" x14ac:dyDescent="0.25">
      <c r="A56" s="110">
        <v>2</v>
      </c>
      <c r="B56" s="111" t="s">
        <v>450</v>
      </c>
      <c r="C56" s="111" t="s">
        <v>450</v>
      </c>
      <c r="E56" s="90">
        <v>420</v>
      </c>
      <c r="F56" s="83" t="s">
        <v>455</v>
      </c>
      <c r="G56" s="90">
        <v>186850319</v>
      </c>
      <c r="H56" s="90" t="s">
        <v>103</v>
      </c>
      <c r="I56" s="90">
        <v>34</v>
      </c>
      <c r="L56" s="91">
        <v>0.3659722222222222</v>
      </c>
      <c r="M56" s="91">
        <v>0.39583333333333331</v>
      </c>
      <c r="N56" s="91">
        <v>0.41666666666666669</v>
      </c>
      <c r="O56" s="91">
        <f t="shared" si="6"/>
        <v>2.9861111111111116E-2</v>
      </c>
      <c r="P56" s="91">
        <f t="shared" si="6"/>
        <v>2.083333333333337E-2</v>
      </c>
      <c r="Q56" s="91">
        <v>0.4236111111111111</v>
      </c>
      <c r="R56" s="88" t="s">
        <v>456</v>
      </c>
    </row>
    <row r="57" spans="1:18" x14ac:dyDescent="0.25">
      <c r="A57" s="110">
        <v>2</v>
      </c>
      <c r="B57" s="111" t="s">
        <v>450</v>
      </c>
      <c r="C57" s="111" t="s">
        <v>450</v>
      </c>
      <c r="F57" s="83" t="s">
        <v>368</v>
      </c>
      <c r="G57" s="90">
        <v>9185224980</v>
      </c>
      <c r="H57" s="90" t="s">
        <v>103</v>
      </c>
      <c r="I57" s="90">
        <v>33</v>
      </c>
      <c r="J57" s="90" t="s">
        <v>51</v>
      </c>
      <c r="L57" s="91">
        <v>0.39930555555555558</v>
      </c>
      <c r="M57" s="91">
        <v>0.40277777777777773</v>
      </c>
      <c r="N57" s="91">
        <v>0.41666666666666669</v>
      </c>
      <c r="O57" s="91">
        <f t="shared" si="6"/>
        <v>3.4722222222221544E-3</v>
      </c>
      <c r="P57" s="91">
        <f t="shared" si="6"/>
        <v>1.3888888888888951E-2</v>
      </c>
      <c r="R57" s="88" t="s">
        <v>457</v>
      </c>
    </row>
    <row r="58" spans="1:18" x14ac:dyDescent="0.25">
      <c r="A58" s="110">
        <v>2</v>
      </c>
      <c r="B58" s="111" t="s">
        <v>450</v>
      </c>
      <c r="C58" s="111" t="s">
        <v>450</v>
      </c>
      <c r="F58" s="83" t="s">
        <v>333</v>
      </c>
      <c r="G58" s="90">
        <v>3202682361</v>
      </c>
      <c r="H58" s="90" t="s">
        <v>103</v>
      </c>
      <c r="I58" s="90">
        <v>1</v>
      </c>
      <c r="J58" s="90" t="s">
        <v>51</v>
      </c>
      <c r="O58" s="91">
        <f t="shared" si="6"/>
        <v>0</v>
      </c>
      <c r="P58" s="91">
        <f t="shared" si="6"/>
        <v>0</v>
      </c>
      <c r="R58" s="88" t="s">
        <v>458</v>
      </c>
    </row>
    <row r="59" spans="1:18" x14ac:dyDescent="0.25">
      <c r="A59" s="110">
        <v>2</v>
      </c>
      <c r="B59" s="111" t="s">
        <v>450</v>
      </c>
      <c r="C59" s="111" t="s">
        <v>450</v>
      </c>
      <c r="F59" s="83" t="s">
        <v>459</v>
      </c>
      <c r="G59" s="90">
        <v>9185237249</v>
      </c>
      <c r="H59" s="90" t="s">
        <v>103</v>
      </c>
      <c r="I59" s="90">
        <v>33</v>
      </c>
      <c r="J59" s="90" t="s">
        <v>51</v>
      </c>
      <c r="L59" s="91">
        <v>0.49305555555555558</v>
      </c>
      <c r="M59" s="91">
        <v>0.5</v>
      </c>
      <c r="N59" s="91">
        <v>0.51041666666666663</v>
      </c>
      <c r="O59" s="91">
        <f t="shared" si="6"/>
        <v>6.9444444444444198E-3</v>
      </c>
      <c r="P59" s="91">
        <f t="shared" si="6"/>
        <v>1.041666666666663E-2</v>
      </c>
      <c r="R59" s="88" t="s">
        <v>460</v>
      </c>
    </row>
    <row r="60" spans="1:18" x14ac:dyDescent="0.25">
      <c r="A60" s="110">
        <v>2</v>
      </c>
      <c r="B60" s="111" t="s">
        <v>450</v>
      </c>
      <c r="C60" s="111" t="s">
        <v>450</v>
      </c>
      <c r="D60" s="355">
        <v>1000449820</v>
      </c>
      <c r="E60" s="90">
        <v>180</v>
      </c>
      <c r="F60" s="83" t="s">
        <v>461</v>
      </c>
      <c r="G60" s="90" t="s">
        <v>462</v>
      </c>
      <c r="H60" s="90" t="s">
        <v>103</v>
      </c>
      <c r="I60" s="90">
        <v>33</v>
      </c>
      <c r="J60" s="90" t="s">
        <v>51</v>
      </c>
      <c r="K60" s="90" t="s">
        <v>51</v>
      </c>
      <c r="L60" s="91">
        <v>0.5</v>
      </c>
      <c r="M60" s="91">
        <v>0.51736111111111105</v>
      </c>
      <c r="N60" s="91">
        <v>0.53472222222222221</v>
      </c>
      <c r="O60" s="91">
        <f t="shared" si="6"/>
        <v>1.7361111111111049E-2</v>
      </c>
      <c r="P60" s="91">
        <f t="shared" si="6"/>
        <v>1.736111111111116E-2</v>
      </c>
      <c r="Q60" s="91">
        <v>0.54513888888888895</v>
      </c>
    </row>
    <row r="61" spans="1:18" ht="31.5" x14ac:dyDescent="0.25">
      <c r="A61" s="110">
        <v>2</v>
      </c>
      <c r="B61" s="111" t="s">
        <v>450</v>
      </c>
      <c r="C61" s="111" t="s">
        <v>450</v>
      </c>
      <c r="D61" s="355">
        <v>1000450087</v>
      </c>
      <c r="E61" s="90">
        <v>360</v>
      </c>
      <c r="F61" s="83" t="s">
        <v>463</v>
      </c>
      <c r="G61" s="79" t="s">
        <v>464</v>
      </c>
      <c r="H61" s="90" t="s">
        <v>103</v>
      </c>
      <c r="I61" s="205" t="s">
        <v>468</v>
      </c>
      <c r="K61" s="90" t="s">
        <v>51</v>
      </c>
      <c r="L61" s="91">
        <v>0.50347222222222221</v>
      </c>
      <c r="M61" s="91">
        <v>0.54166666666666663</v>
      </c>
      <c r="N61" s="91">
        <v>0.56597222222222221</v>
      </c>
      <c r="O61" s="91">
        <f t="shared" si="6"/>
        <v>3.819444444444442E-2</v>
      </c>
      <c r="P61" s="91">
        <f t="shared" si="6"/>
        <v>2.430555555555558E-2</v>
      </c>
      <c r="Q61" s="91">
        <v>0.57291666666666663</v>
      </c>
    </row>
    <row r="62" spans="1:18" ht="32.25" thickBot="1" x14ac:dyDescent="0.3">
      <c r="A62" s="196">
        <v>2</v>
      </c>
      <c r="B62" s="209" t="s">
        <v>450</v>
      </c>
      <c r="C62" s="209" t="s">
        <v>450</v>
      </c>
      <c r="D62" s="356">
        <v>1000449796</v>
      </c>
      <c r="E62" s="210">
        <v>540</v>
      </c>
      <c r="F62" s="196" t="s">
        <v>465</v>
      </c>
      <c r="G62" s="172" t="s">
        <v>466</v>
      </c>
      <c r="H62" s="210" t="s">
        <v>103</v>
      </c>
      <c r="I62" s="267" t="s">
        <v>469</v>
      </c>
      <c r="J62" s="210" t="s">
        <v>51</v>
      </c>
      <c r="K62" s="210" t="s">
        <v>51</v>
      </c>
      <c r="L62" s="211">
        <v>0.51041666666666663</v>
      </c>
      <c r="M62" s="211">
        <v>0.54166666666666663</v>
      </c>
      <c r="N62" s="211">
        <v>0.5625</v>
      </c>
      <c r="O62" s="211">
        <f t="shared" si="6"/>
        <v>3.125E-2</v>
      </c>
      <c r="P62" s="211">
        <f t="shared" si="6"/>
        <v>2.083333333333337E-2</v>
      </c>
      <c r="Q62" s="211">
        <v>0.56597222222222221</v>
      </c>
      <c r="R62" s="212"/>
    </row>
    <row r="63" spans="1:18" x14ac:dyDescent="0.25">
      <c r="A63" s="110">
        <f t="shared" ref="A63:A117" si="7">WEEKNUM(B63,21)</f>
        <v>3</v>
      </c>
      <c r="B63" s="111">
        <v>43844</v>
      </c>
      <c r="C63" s="111">
        <v>43844</v>
      </c>
      <c r="D63" s="357"/>
      <c r="E63" s="207"/>
      <c r="F63" s="110" t="s">
        <v>331</v>
      </c>
      <c r="G63" s="207">
        <v>9185219581</v>
      </c>
      <c r="H63" s="207" t="s">
        <v>103</v>
      </c>
      <c r="I63" s="207">
        <v>33</v>
      </c>
      <c r="J63" s="207"/>
      <c r="K63" s="207"/>
      <c r="L63" s="208">
        <v>0.25</v>
      </c>
      <c r="M63" s="208">
        <v>0.25347222222222221</v>
      </c>
      <c r="N63" s="208">
        <v>0.2673611111111111</v>
      </c>
      <c r="O63" s="208">
        <f t="shared" si="6"/>
        <v>3.4722222222222099E-3</v>
      </c>
      <c r="P63" s="208">
        <f t="shared" si="6"/>
        <v>1.3888888888888895E-2</v>
      </c>
      <c r="Q63" s="208"/>
      <c r="R63" s="244" t="s">
        <v>472</v>
      </c>
    </row>
    <row r="64" spans="1:18" x14ac:dyDescent="0.25">
      <c r="A64" s="83">
        <f t="shared" si="7"/>
        <v>3</v>
      </c>
      <c r="B64" s="89">
        <v>43844</v>
      </c>
      <c r="C64" s="89">
        <v>43844</v>
      </c>
      <c r="F64" s="83" t="s">
        <v>335</v>
      </c>
      <c r="G64" s="90">
        <v>9185256645</v>
      </c>
      <c r="H64" s="90" t="s">
        <v>103</v>
      </c>
      <c r="I64" s="90">
        <v>33</v>
      </c>
      <c r="L64" s="91">
        <v>0.29166666666666669</v>
      </c>
      <c r="M64" s="91">
        <v>0.2951388888888889</v>
      </c>
      <c r="N64" s="91">
        <v>0.30555555555555552</v>
      </c>
      <c r="O64" s="91">
        <f t="shared" si="6"/>
        <v>3.4722222222222099E-3</v>
      </c>
      <c r="P64" s="91">
        <f t="shared" si="6"/>
        <v>1.041666666666663E-2</v>
      </c>
      <c r="R64" s="88" t="s">
        <v>422</v>
      </c>
    </row>
    <row r="65" spans="1:19" ht="32.25" thickBot="1" x14ac:dyDescent="0.3">
      <c r="A65" s="83">
        <f t="shared" si="7"/>
        <v>3</v>
      </c>
      <c r="B65" s="89">
        <v>43844</v>
      </c>
      <c r="C65" s="89">
        <v>43844</v>
      </c>
      <c r="D65" s="355">
        <v>1000449422</v>
      </c>
      <c r="E65" s="90">
        <v>600</v>
      </c>
      <c r="F65" s="83" t="s">
        <v>473</v>
      </c>
      <c r="G65" s="79" t="s">
        <v>474</v>
      </c>
      <c r="H65" s="90" t="s">
        <v>103</v>
      </c>
      <c r="I65" s="90" t="s">
        <v>476</v>
      </c>
      <c r="K65" s="90" t="s">
        <v>51</v>
      </c>
      <c r="L65" s="91">
        <v>0.33333333333333331</v>
      </c>
      <c r="M65" s="91">
        <v>0.35416666666666669</v>
      </c>
      <c r="N65" s="91">
        <v>0.36805555555555558</v>
      </c>
      <c r="O65" s="91">
        <f t="shared" si="6"/>
        <v>2.083333333333337E-2</v>
      </c>
      <c r="P65" s="91">
        <f t="shared" si="6"/>
        <v>1.3888888888888895E-2</v>
      </c>
      <c r="Q65" s="91">
        <v>0.375</v>
      </c>
      <c r="S65" s="348">
        <f>O65+P65</f>
        <v>3.4722222222222265E-2</v>
      </c>
    </row>
    <row r="66" spans="1:19" ht="32.25" thickBot="1" x14ac:dyDescent="0.3">
      <c r="A66" s="83">
        <f t="shared" si="7"/>
        <v>3</v>
      </c>
      <c r="B66" s="89">
        <v>43844</v>
      </c>
      <c r="C66" s="89">
        <v>43844</v>
      </c>
      <c r="D66" s="355">
        <v>1000449821</v>
      </c>
      <c r="E66" s="90">
        <v>600</v>
      </c>
      <c r="F66" s="83" t="s">
        <v>352</v>
      </c>
      <c r="G66" s="79" t="s">
        <v>475</v>
      </c>
      <c r="H66" s="90" t="s">
        <v>103</v>
      </c>
      <c r="I66" s="90" t="s">
        <v>478</v>
      </c>
      <c r="J66" s="90" t="s">
        <v>51</v>
      </c>
      <c r="K66" s="90" t="s">
        <v>51</v>
      </c>
      <c r="L66" s="91">
        <v>0.34722222222222227</v>
      </c>
      <c r="M66" s="91">
        <v>0.35416666666666669</v>
      </c>
      <c r="N66" s="91">
        <v>0.375</v>
      </c>
      <c r="O66" s="91">
        <f t="shared" si="6"/>
        <v>6.9444444444444198E-3</v>
      </c>
      <c r="P66" s="91">
        <f t="shared" si="6"/>
        <v>2.0833333333333315E-2</v>
      </c>
      <c r="Q66" s="91">
        <v>0.375</v>
      </c>
      <c r="S66" s="348">
        <f>O66+P66</f>
        <v>2.7777777777777735E-2</v>
      </c>
    </row>
    <row r="67" spans="1:19" ht="16.5" thickBot="1" x14ac:dyDescent="0.3">
      <c r="A67" s="83">
        <f t="shared" si="7"/>
        <v>3</v>
      </c>
      <c r="B67" s="89">
        <v>43844</v>
      </c>
      <c r="C67" s="89">
        <v>43844</v>
      </c>
      <c r="E67" s="90">
        <v>120</v>
      </c>
      <c r="F67" s="83" t="s">
        <v>413</v>
      </c>
      <c r="G67" s="90">
        <v>186889166</v>
      </c>
      <c r="H67" s="90" t="s">
        <v>103</v>
      </c>
      <c r="I67" s="90">
        <v>34</v>
      </c>
      <c r="L67" s="91">
        <v>0.35069444444444442</v>
      </c>
      <c r="M67" s="91">
        <v>0.37847222222222227</v>
      </c>
      <c r="N67" s="91">
        <v>0.39583333333333331</v>
      </c>
      <c r="O67" s="91">
        <f t="shared" si="6"/>
        <v>2.7777777777777846E-2</v>
      </c>
      <c r="P67" s="91">
        <f t="shared" si="6"/>
        <v>1.7361111111111049E-2</v>
      </c>
      <c r="Q67" s="91">
        <v>0.40277777777777773</v>
      </c>
      <c r="S67" s="348">
        <f>O67+P67</f>
        <v>4.5138888888888895E-2</v>
      </c>
    </row>
    <row r="68" spans="1:19" x14ac:dyDescent="0.25">
      <c r="A68" s="83">
        <f t="shared" si="7"/>
        <v>3</v>
      </c>
      <c r="B68" s="89">
        <v>43844</v>
      </c>
      <c r="C68" s="89">
        <v>43844</v>
      </c>
      <c r="F68" s="83" t="s">
        <v>343</v>
      </c>
      <c r="G68" s="90">
        <v>9185160574</v>
      </c>
      <c r="H68" s="90" t="s">
        <v>103</v>
      </c>
      <c r="I68" s="90">
        <v>33</v>
      </c>
      <c r="J68" s="90" t="s">
        <v>51</v>
      </c>
      <c r="L68" s="91">
        <v>0.34722222222222227</v>
      </c>
      <c r="M68" s="91">
        <v>0.35416666666666669</v>
      </c>
      <c r="N68" s="91">
        <v>0.36805555555555558</v>
      </c>
      <c r="O68" s="91">
        <f t="shared" si="6"/>
        <v>6.9444444444444198E-3</v>
      </c>
      <c r="P68" s="91">
        <f t="shared" si="6"/>
        <v>1.3888888888888895E-2</v>
      </c>
      <c r="R68" s="88" t="s">
        <v>477</v>
      </c>
    </row>
    <row r="69" spans="1:19" x14ac:dyDescent="0.25">
      <c r="A69" s="83">
        <f t="shared" si="7"/>
        <v>3</v>
      </c>
      <c r="B69" s="89">
        <v>43844</v>
      </c>
      <c r="C69" s="89">
        <v>43844</v>
      </c>
      <c r="F69" s="83" t="s">
        <v>368</v>
      </c>
      <c r="G69" s="90">
        <v>9185257865</v>
      </c>
      <c r="H69" s="90" t="s">
        <v>103</v>
      </c>
      <c r="I69" s="90">
        <v>33</v>
      </c>
      <c r="J69" s="90" t="s">
        <v>51</v>
      </c>
      <c r="L69" s="91">
        <v>0.43402777777777773</v>
      </c>
      <c r="M69" s="91">
        <v>0.4375</v>
      </c>
      <c r="N69" s="91">
        <v>0.4513888888888889</v>
      </c>
      <c r="O69" s="91">
        <f t="shared" si="6"/>
        <v>3.4722222222222654E-3</v>
      </c>
      <c r="P69" s="91">
        <f t="shared" si="6"/>
        <v>1.3888888888888895E-2</v>
      </c>
      <c r="R69" s="88" t="s">
        <v>479</v>
      </c>
    </row>
    <row r="70" spans="1:19" ht="32.25" thickBot="1" x14ac:dyDescent="0.3">
      <c r="A70" s="83">
        <f t="shared" si="7"/>
        <v>3</v>
      </c>
      <c r="B70" s="89">
        <v>43844</v>
      </c>
      <c r="C70" s="89">
        <v>43844</v>
      </c>
      <c r="D70" s="355">
        <v>1000450277</v>
      </c>
      <c r="E70" s="90">
        <v>240</v>
      </c>
      <c r="F70" s="83" t="s">
        <v>480</v>
      </c>
      <c r="G70" s="79" t="s">
        <v>481</v>
      </c>
      <c r="H70" s="90" t="s">
        <v>103</v>
      </c>
      <c r="I70" s="90" t="s">
        <v>483</v>
      </c>
      <c r="J70" s="90" t="s">
        <v>51</v>
      </c>
      <c r="K70" s="90" t="s">
        <v>51</v>
      </c>
      <c r="L70" s="91">
        <v>0.45833333333333331</v>
      </c>
      <c r="M70" s="91">
        <v>0.47916666666666669</v>
      </c>
      <c r="N70" s="91">
        <v>0.49652777777777773</v>
      </c>
      <c r="O70" s="91">
        <f t="shared" si="6"/>
        <v>2.083333333333337E-2</v>
      </c>
      <c r="P70" s="91">
        <f t="shared" si="6"/>
        <v>1.7361111111111049E-2</v>
      </c>
      <c r="Q70" s="91">
        <v>0.50347222222222221</v>
      </c>
      <c r="S70" s="348">
        <f>O70+P70</f>
        <v>3.819444444444442E-2</v>
      </c>
    </row>
    <row r="71" spans="1:19" x14ac:dyDescent="0.25">
      <c r="A71" s="83">
        <f t="shared" si="7"/>
        <v>3</v>
      </c>
      <c r="B71" s="89">
        <v>43844</v>
      </c>
      <c r="C71" s="89">
        <v>43844</v>
      </c>
      <c r="F71" s="83" t="s">
        <v>369</v>
      </c>
      <c r="G71" s="90">
        <v>9185199888</v>
      </c>
      <c r="H71" s="90" t="s">
        <v>103</v>
      </c>
      <c r="I71" s="90">
        <v>33</v>
      </c>
      <c r="J71" s="90">
        <v>80</v>
      </c>
      <c r="L71" s="91">
        <v>0.49652777777777773</v>
      </c>
      <c r="M71" s="91">
        <v>0.5</v>
      </c>
      <c r="N71" s="91">
        <v>0.51388888888888895</v>
      </c>
      <c r="O71" s="91">
        <f t="shared" si="6"/>
        <v>3.4722222222222654E-3</v>
      </c>
      <c r="P71" s="91">
        <f t="shared" si="6"/>
        <v>1.3888888888888951E-2</v>
      </c>
      <c r="R71" s="88" t="s">
        <v>482</v>
      </c>
    </row>
    <row r="72" spans="1:19" x14ac:dyDescent="0.25">
      <c r="A72" s="83">
        <f t="shared" si="7"/>
        <v>3</v>
      </c>
      <c r="B72" s="89">
        <v>43844</v>
      </c>
      <c r="C72" s="89">
        <v>43844</v>
      </c>
      <c r="F72" s="83" t="s">
        <v>489</v>
      </c>
      <c r="G72" s="90">
        <v>9185258189</v>
      </c>
      <c r="H72" s="90" t="s">
        <v>103</v>
      </c>
      <c r="I72" s="90">
        <v>33</v>
      </c>
      <c r="J72" s="90">
        <v>80</v>
      </c>
      <c r="L72" s="91">
        <v>0.625</v>
      </c>
      <c r="M72" s="91">
        <v>0.63194444444444442</v>
      </c>
      <c r="N72" s="91">
        <v>0.64583333333333337</v>
      </c>
      <c r="O72" s="91">
        <f t="shared" si="6"/>
        <v>6.9444444444444198E-3</v>
      </c>
      <c r="P72" s="91">
        <f t="shared" si="6"/>
        <v>1.3888888888888951E-2</v>
      </c>
      <c r="R72" s="88" t="s">
        <v>490</v>
      </c>
    </row>
    <row r="73" spans="1:19" x14ac:dyDescent="0.25">
      <c r="A73" s="83">
        <f t="shared" si="7"/>
        <v>3</v>
      </c>
      <c r="B73" s="89">
        <v>43844</v>
      </c>
      <c r="C73" s="89">
        <v>43844</v>
      </c>
      <c r="F73" s="83" t="s">
        <v>491</v>
      </c>
      <c r="G73" s="90">
        <v>9185266217</v>
      </c>
      <c r="H73" s="90" t="s">
        <v>103</v>
      </c>
      <c r="I73" s="90">
        <v>33</v>
      </c>
      <c r="J73" s="90">
        <v>80</v>
      </c>
      <c r="L73" s="91">
        <v>0.6875</v>
      </c>
      <c r="M73" s="91">
        <v>0.71527777777777779</v>
      </c>
      <c r="N73" s="91">
        <v>0.72916666666666663</v>
      </c>
      <c r="O73" s="91">
        <f t="shared" si="6"/>
        <v>2.777777777777779E-2</v>
      </c>
      <c r="P73" s="91">
        <f t="shared" si="6"/>
        <v>1.388888888888884E-2</v>
      </c>
      <c r="R73" s="88" t="s">
        <v>460</v>
      </c>
    </row>
    <row r="74" spans="1:19" x14ac:dyDescent="0.25">
      <c r="A74" s="83">
        <f t="shared" si="7"/>
        <v>3</v>
      </c>
      <c r="B74" s="89">
        <v>43844</v>
      </c>
      <c r="C74" s="89">
        <v>43844</v>
      </c>
      <c r="F74" s="83" t="s">
        <v>492</v>
      </c>
      <c r="G74" s="90">
        <v>9185267315</v>
      </c>
      <c r="H74" s="90" t="s">
        <v>103</v>
      </c>
      <c r="I74" s="90">
        <v>33</v>
      </c>
      <c r="J74" s="90">
        <v>80</v>
      </c>
      <c r="L74" s="91">
        <v>0.75</v>
      </c>
      <c r="M74" s="91">
        <v>0.83333333333333337</v>
      </c>
      <c r="N74" s="91">
        <v>0.84375</v>
      </c>
      <c r="O74" s="91">
        <f t="shared" si="6"/>
        <v>8.333333333333337E-2</v>
      </c>
      <c r="P74" s="91">
        <f t="shared" si="6"/>
        <v>1.041666666666663E-2</v>
      </c>
      <c r="R74" s="88" t="s">
        <v>460</v>
      </c>
    </row>
    <row r="75" spans="1:19" s="202" customFormat="1" ht="16.5" thickBot="1" x14ac:dyDescent="0.3">
      <c r="A75" s="196">
        <f t="shared" si="7"/>
        <v>3</v>
      </c>
      <c r="B75" s="209">
        <v>43844</v>
      </c>
      <c r="C75" s="209">
        <v>43844</v>
      </c>
      <c r="D75" s="356"/>
      <c r="E75" s="210"/>
      <c r="F75" s="196" t="s">
        <v>499</v>
      </c>
      <c r="G75" s="210">
        <v>9185256167</v>
      </c>
      <c r="H75" s="210" t="s">
        <v>103</v>
      </c>
      <c r="I75" s="210">
        <v>33</v>
      </c>
      <c r="J75" s="210">
        <v>80</v>
      </c>
      <c r="K75" s="210"/>
      <c r="L75" s="211">
        <v>0.875</v>
      </c>
      <c r="M75" s="211">
        <v>0.88541666666666663</v>
      </c>
      <c r="N75" s="211">
        <v>0.89930555555555547</v>
      </c>
      <c r="O75" s="211">
        <f t="shared" si="6"/>
        <v>1.041666666666663E-2</v>
      </c>
      <c r="P75" s="211">
        <f t="shared" si="6"/>
        <v>1.388888888888884E-2</v>
      </c>
      <c r="Q75" s="211"/>
      <c r="R75" s="212" t="s">
        <v>460</v>
      </c>
    </row>
    <row r="76" spans="1:19" x14ac:dyDescent="0.25">
      <c r="A76" s="110">
        <f t="shared" si="7"/>
        <v>3</v>
      </c>
      <c r="B76" s="111">
        <v>43845</v>
      </c>
      <c r="C76" s="111">
        <v>43845</v>
      </c>
      <c r="D76" s="357"/>
      <c r="E76" s="207"/>
      <c r="F76" s="110" t="s">
        <v>331</v>
      </c>
      <c r="G76" s="207">
        <v>9185255974</v>
      </c>
      <c r="H76" s="207" t="s">
        <v>103</v>
      </c>
      <c r="I76" s="207">
        <v>33</v>
      </c>
      <c r="J76" s="207">
        <v>80</v>
      </c>
      <c r="K76" s="207"/>
      <c r="L76" s="208">
        <v>0.2673611111111111</v>
      </c>
      <c r="M76" s="208">
        <v>0.2673611111111111</v>
      </c>
      <c r="N76" s="208">
        <v>0.28819444444444448</v>
      </c>
      <c r="O76" s="208">
        <f t="shared" si="6"/>
        <v>0</v>
      </c>
      <c r="P76" s="208">
        <f t="shared" si="6"/>
        <v>2.083333333333337E-2</v>
      </c>
      <c r="Q76" s="208"/>
      <c r="R76" s="244" t="s">
        <v>477</v>
      </c>
      <c r="S76" s="112"/>
    </row>
    <row r="77" spans="1:19" ht="16.5" thickBot="1" x14ac:dyDescent="0.3">
      <c r="A77" s="83">
        <f t="shared" si="7"/>
        <v>3</v>
      </c>
      <c r="B77" s="89">
        <v>43845</v>
      </c>
      <c r="C77" s="89">
        <v>43845</v>
      </c>
      <c r="E77" s="90">
        <v>600</v>
      </c>
      <c r="F77" s="83" t="s">
        <v>420</v>
      </c>
      <c r="G77" s="90">
        <v>186906923</v>
      </c>
      <c r="H77" s="90" t="s">
        <v>103</v>
      </c>
      <c r="I77" s="90">
        <v>34</v>
      </c>
      <c r="L77" s="91">
        <v>0.30208333333333331</v>
      </c>
      <c r="M77" s="91">
        <v>0.34375</v>
      </c>
      <c r="N77" s="91">
        <v>0.3576388888888889</v>
      </c>
      <c r="O77" s="91">
        <f t="shared" si="6"/>
        <v>4.1666666666666685E-2</v>
      </c>
      <c r="P77" s="91">
        <f t="shared" si="6"/>
        <v>1.3888888888888895E-2</v>
      </c>
      <c r="Q77" s="91">
        <v>0.3611111111111111</v>
      </c>
      <c r="R77" s="88" t="s">
        <v>502</v>
      </c>
      <c r="S77" s="348">
        <f>O77+P77</f>
        <v>5.555555555555558E-2</v>
      </c>
    </row>
    <row r="78" spans="1:19" x14ac:dyDescent="0.25">
      <c r="A78" s="83">
        <f t="shared" si="7"/>
        <v>3</v>
      </c>
      <c r="B78" s="89">
        <v>43845</v>
      </c>
      <c r="C78" s="89">
        <v>43845</v>
      </c>
      <c r="F78" s="83" t="s">
        <v>335</v>
      </c>
      <c r="G78" s="90">
        <v>9185253284</v>
      </c>
      <c r="H78" s="90" t="s">
        <v>103</v>
      </c>
      <c r="I78" s="90">
        <v>33</v>
      </c>
      <c r="J78" s="90">
        <v>80</v>
      </c>
      <c r="L78" s="91">
        <v>0.3298611111111111</v>
      </c>
      <c r="M78" s="91">
        <v>0.3298611111111111</v>
      </c>
      <c r="N78" s="91">
        <v>0.35069444444444442</v>
      </c>
      <c r="O78" s="91">
        <f t="shared" si="6"/>
        <v>0</v>
      </c>
      <c r="P78" s="91">
        <f t="shared" si="6"/>
        <v>2.0833333333333315E-2</v>
      </c>
      <c r="R78" s="88" t="s">
        <v>477</v>
      </c>
    </row>
    <row r="79" spans="1:19" ht="32.25" thickBot="1" x14ac:dyDescent="0.3">
      <c r="A79" s="83">
        <f t="shared" si="7"/>
        <v>3</v>
      </c>
      <c r="B79" s="89">
        <v>43845</v>
      </c>
      <c r="C79" s="89">
        <v>43845</v>
      </c>
      <c r="E79" s="90">
        <v>480</v>
      </c>
      <c r="F79" s="83" t="s">
        <v>393</v>
      </c>
      <c r="G79" s="79" t="s">
        <v>503</v>
      </c>
      <c r="H79" s="90" t="s">
        <v>103</v>
      </c>
      <c r="J79" s="90">
        <v>80</v>
      </c>
      <c r="K79" s="90" t="s">
        <v>51</v>
      </c>
      <c r="L79" s="91">
        <v>0.3611111111111111</v>
      </c>
      <c r="M79" s="91">
        <v>0.38194444444444442</v>
      </c>
      <c r="N79" s="91">
        <v>0.39583333333333331</v>
      </c>
      <c r="O79" s="91">
        <f t="shared" si="6"/>
        <v>2.0833333333333315E-2</v>
      </c>
      <c r="P79" s="91">
        <f t="shared" si="6"/>
        <v>1.3888888888888895E-2</v>
      </c>
      <c r="Q79" s="91">
        <v>0.39930555555555558</v>
      </c>
      <c r="S79" s="348">
        <f>O79+P79</f>
        <v>3.472222222222221E-2</v>
      </c>
    </row>
    <row r="80" spans="1:19" ht="16.5" thickBot="1" x14ac:dyDescent="0.3">
      <c r="A80" s="83">
        <f t="shared" si="7"/>
        <v>3</v>
      </c>
      <c r="B80" s="89">
        <v>43845</v>
      </c>
      <c r="C80" s="89">
        <v>43845</v>
      </c>
      <c r="E80" s="90">
        <v>480</v>
      </c>
      <c r="F80" s="83" t="s">
        <v>442</v>
      </c>
      <c r="G80" s="90">
        <v>186914124</v>
      </c>
      <c r="H80" s="90" t="s">
        <v>103</v>
      </c>
      <c r="I80" s="90">
        <v>34</v>
      </c>
      <c r="L80" s="91">
        <v>0.37152777777777773</v>
      </c>
      <c r="M80" s="91">
        <v>0.39930555555555558</v>
      </c>
      <c r="N80" s="91">
        <v>0.41666666666666669</v>
      </c>
      <c r="O80" s="91">
        <f t="shared" si="6"/>
        <v>2.7777777777777846E-2</v>
      </c>
      <c r="P80" s="91">
        <f t="shared" si="6"/>
        <v>1.7361111111111105E-2</v>
      </c>
      <c r="Q80" s="91">
        <v>0.4201388888888889</v>
      </c>
      <c r="S80" s="348">
        <f>O80+P80</f>
        <v>4.5138888888888951E-2</v>
      </c>
    </row>
    <row r="81" spans="1:19" x14ac:dyDescent="0.25">
      <c r="A81" s="83">
        <f t="shared" si="7"/>
        <v>3</v>
      </c>
      <c r="B81" s="89">
        <v>43845</v>
      </c>
      <c r="C81" s="89">
        <v>43845</v>
      </c>
      <c r="F81" s="83" t="s">
        <v>343</v>
      </c>
      <c r="G81" s="90">
        <v>9185254650</v>
      </c>
      <c r="H81" s="90" t="s">
        <v>103</v>
      </c>
      <c r="I81" s="90">
        <v>33</v>
      </c>
      <c r="J81" s="90">
        <v>80</v>
      </c>
      <c r="L81" s="91">
        <v>0.40277777777777773</v>
      </c>
      <c r="M81" s="91">
        <v>0.40625</v>
      </c>
      <c r="N81" s="91">
        <v>0.4236111111111111</v>
      </c>
      <c r="O81" s="91">
        <f t="shared" si="6"/>
        <v>3.4722222222222654E-3</v>
      </c>
      <c r="P81" s="91">
        <f t="shared" si="6"/>
        <v>1.7361111111111105E-2</v>
      </c>
      <c r="R81" s="88" t="s">
        <v>479</v>
      </c>
    </row>
    <row r="82" spans="1:19" ht="16.5" thickBot="1" x14ac:dyDescent="0.3">
      <c r="A82" s="83">
        <f t="shared" si="7"/>
        <v>3</v>
      </c>
      <c r="B82" s="89">
        <v>43845</v>
      </c>
      <c r="C82" s="89">
        <v>43845</v>
      </c>
      <c r="F82" s="83" t="s">
        <v>333</v>
      </c>
      <c r="G82" s="90" t="s">
        <v>504</v>
      </c>
      <c r="H82" s="90" t="s">
        <v>103</v>
      </c>
      <c r="I82" s="90">
        <v>3</v>
      </c>
      <c r="L82" s="91">
        <v>0.44097222222222227</v>
      </c>
      <c r="M82" s="91">
        <v>0.44097222222222227</v>
      </c>
      <c r="N82" s="91">
        <v>0.44444444444444442</v>
      </c>
      <c r="O82" s="91">
        <f t="shared" si="6"/>
        <v>0</v>
      </c>
      <c r="P82" s="91">
        <f t="shared" si="6"/>
        <v>3.4722222222221544E-3</v>
      </c>
      <c r="Q82" s="91">
        <v>0.44444444444444442</v>
      </c>
      <c r="S82" s="348">
        <f>O82+P82</f>
        <v>3.4722222222221544E-3</v>
      </c>
    </row>
    <row r="83" spans="1:19" x14ac:dyDescent="0.25">
      <c r="A83" s="83">
        <f t="shared" si="7"/>
        <v>3</v>
      </c>
      <c r="B83" s="89">
        <v>43845</v>
      </c>
      <c r="C83" s="89">
        <v>43845</v>
      </c>
      <c r="F83" s="83" t="s">
        <v>368</v>
      </c>
      <c r="G83" s="90">
        <v>9185268778</v>
      </c>
      <c r="H83" s="90" t="s">
        <v>103</v>
      </c>
      <c r="I83" s="90">
        <v>33</v>
      </c>
      <c r="J83" s="90">
        <v>80</v>
      </c>
      <c r="L83" s="91">
        <v>0.47916666666666669</v>
      </c>
      <c r="M83" s="91">
        <v>0.48958333333333331</v>
      </c>
      <c r="N83" s="91">
        <v>0.50347222222222221</v>
      </c>
      <c r="O83" s="91">
        <f t="shared" si="6"/>
        <v>1.041666666666663E-2</v>
      </c>
      <c r="P83" s="91">
        <f t="shared" si="6"/>
        <v>1.3888888888888895E-2</v>
      </c>
      <c r="R83" s="88" t="s">
        <v>477</v>
      </c>
    </row>
    <row r="84" spans="1:19" ht="32.25" thickBot="1" x14ac:dyDescent="0.3">
      <c r="A84" s="83">
        <f t="shared" si="7"/>
        <v>3</v>
      </c>
      <c r="B84" s="89">
        <v>43845</v>
      </c>
      <c r="C84" s="89">
        <v>43845</v>
      </c>
      <c r="D84" s="355">
        <v>1000451826</v>
      </c>
      <c r="E84" s="90">
        <v>360</v>
      </c>
      <c r="F84" s="83" t="s">
        <v>363</v>
      </c>
      <c r="G84" s="79" t="s">
        <v>508</v>
      </c>
      <c r="H84" s="90" t="s">
        <v>103</v>
      </c>
      <c r="I84" s="90" t="s">
        <v>512</v>
      </c>
      <c r="J84" s="90">
        <v>80</v>
      </c>
      <c r="K84" s="90" t="s">
        <v>51</v>
      </c>
      <c r="L84" s="91">
        <v>0.57638888888888895</v>
      </c>
      <c r="M84" s="91">
        <v>0.59375</v>
      </c>
      <c r="N84" s="91">
        <v>0.61458333333333337</v>
      </c>
      <c r="O84" s="91">
        <f t="shared" si="6"/>
        <v>1.7361111111111049E-2</v>
      </c>
      <c r="P84" s="91">
        <f t="shared" si="6"/>
        <v>2.083333333333337E-2</v>
      </c>
      <c r="Q84" s="91">
        <v>0.65972222222222221</v>
      </c>
      <c r="S84" s="348">
        <f>O84+P84</f>
        <v>3.819444444444442E-2</v>
      </c>
    </row>
    <row r="85" spans="1:19" x14ac:dyDescent="0.25">
      <c r="A85" s="83">
        <f t="shared" si="7"/>
        <v>3</v>
      </c>
      <c r="B85" s="89">
        <v>43845</v>
      </c>
      <c r="C85" s="89">
        <v>43845</v>
      </c>
      <c r="F85" s="83" t="s">
        <v>369</v>
      </c>
      <c r="G85" s="90">
        <v>9185266860</v>
      </c>
      <c r="H85" s="90" t="s">
        <v>103</v>
      </c>
      <c r="I85" s="90">
        <v>33</v>
      </c>
      <c r="J85" s="90">
        <v>80</v>
      </c>
      <c r="L85" s="91">
        <v>0.61458333333333337</v>
      </c>
      <c r="M85" s="91">
        <v>0.625</v>
      </c>
      <c r="N85" s="91">
        <v>0.63888888888888895</v>
      </c>
      <c r="O85" s="91">
        <f t="shared" si="6"/>
        <v>1.041666666666663E-2</v>
      </c>
      <c r="P85" s="91">
        <f t="shared" si="6"/>
        <v>1.3888888888888951E-2</v>
      </c>
      <c r="R85" s="88" t="s">
        <v>479</v>
      </c>
    </row>
    <row r="86" spans="1:19" ht="16.5" thickBot="1" x14ac:dyDescent="0.3">
      <c r="A86" s="83">
        <f t="shared" si="7"/>
        <v>3</v>
      </c>
      <c r="B86" s="89">
        <v>43845</v>
      </c>
      <c r="C86" s="89">
        <v>43845</v>
      </c>
      <c r="D86" s="355">
        <v>1000451831</v>
      </c>
      <c r="F86" s="83" t="s">
        <v>425</v>
      </c>
      <c r="G86" s="90" t="s">
        <v>513</v>
      </c>
      <c r="H86" s="90" t="s">
        <v>103</v>
      </c>
      <c r="I86" s="90">
        <v>33</v>
      </c>
      <c r="J86" s="90">
        <v>80</v>
      </c>
      <c r="K86" s="90" t="s">
        <v>51</v>
      </c>
      <c r="L86" s="91">
        <v>0.62847222222222221</v>
      </c>
      <c r="M86" s="91">
        <v>0.63541666666666663</v>
      </c>
      <c r="N86" s="91">
        <v>0.65277777777777779</v>
      </c>
      <c r="O86" s="91">
        <f t="shared" si="6"/>
        <v>6.9444444444444198E-3</v>
      </c>
      <c r="P86" s="91">
        <f t="shared" si="6"/>
        <v>1.736111111111116E-2</v>
      </c>
      <c r="Q86" s="91">
        <v>0.65972222222222221</v>
      </c>
      <c r="S86" s="348">
        <f>O86+P86</f>
        <v>2.430555555555558E-2</v>
      </c>
    </row>
    <row r="87" spans="1:19" x14ac:dyDescent="0.25">
      <c r="A87" s="83">
        <f t="shared" si="7"/>
        <v>3</v>
      </c>
      <c r="B87" s="89">
        <v>43845</v>
      </c>
      <c r="C87" s="89">
        <v>43845</v>
      </c>
      <c r="F87" s="83" t="s">
        <v>489</v>
      </c>
      <c r="G87" s="90">
        <v>9185214384</v>
      </c>
      <c r="H87" s="90" t="s">
        <v>103</v>
      </c>
      <c r="I87" s="90">
        <v>33</v>
      </c>
      <c r="J87" s="90">
        <v>80</v>
      </c>
      <c r="L87" s="91">
        <v>0.67013888888888884</v>
      </c>
      <c r="M87" s="91">
        <v>0.6875</v>
      </c>
      <c r="N87" s="91">
        <v>0.70138888888888884</v>
      </c>
      <c r="O87" s="91">
        <f t="shared" si="6"/>
        <v>1.736111111111116E-2</v>
      </c>
      <c r="P87" s="91">
        <f t="shared" si="6"/>
        <v>1.388888888888884E-2</v>
      </c>
      <c r="R87" s="88" t="s">
        <v>514</v>
      </c>
    </row>
    <row r="88" spans="1:19" x14ac:dyDescent="0.25">
      <c r="A88" s="83">
        <f t="shared" si="7"/>
        <v>3</v>
      </c>
      <c r="B88" s="89">
        <v>43845</v>
      </c>
      <c r="C88" s="89">
        <v>43845</v>
      </c>
      <c r="F88" s="83" t="s">
        <v>491</v>
      </c>
      <c r="G88" s="90">
        <v>9185243807</v>
      </c>
      <c r="H88" s="90" t="s">
        <v>103</v>
      </c>
      <c r="I88" s="90">
        <v>33</v>
      </c>
      <c r="J88" s="90">
        <v>80</v>
      </c>
      <c r="L88" s="91">
        <v>0.72569444444444453</v>
      </c>
      <c r="M88" s="91">
        <v>0.76388888888888884</v>
      </c>
      <c r="N88" s="91">
        <v>0.78125</v>
      </c>
      <c r="O88" s="91">
        <f t="shared" si="6"/>
        <v>3.8194444444444309E-2</v>
      </c>
      <c r="P88" s="91">
        <f t="shared" si="6"/>
        <v>1.736111111111116E-2</v>
      </c>
      <c r="R88" s="88" t="s">
        <v>460</v>
      </c>
    </row>
    <row r="89" spans="1:19" s="202" customFormat="1" ht="16.5" thickBot="1" x14ac:dyDescent="0.3">
      <c r="A89" s="196">
        <f t="shared" si="7"/>
        <v>3</v>
      </c>
      <c r="B89" s="209">
        <v>43845</v>
      </c>
      <c r="C89" s="209">
        <v>43845</v>
      </c>
      <c r="D89" s="356"/>
      <c r="E89" s="210"/>
      <c r="F89" s="196" t="s">
        <v>492</v>
      </c>
      <c r="G89" s="210">
        <v>9185283606</v>
      </c>
      <c r="H89" s="210" t="s">
        <v>103</v>
      </c>
      <c r="I89" s="210">
        <v>33</v>
      </c>
      <c r="J89" s="210">
        <v>80</v>
      </c>
      <c r="K89" s="210"/>
      <c r="L89" s="211">
        <v>0.8125</v>
      </c>
      <c r="M89" s="211">
        <v>0.81944444444444453</v>
      </c>
      <c r="N89" s="211">
        <v>0.82986111111111116</v>
      </c>
      <c r="O89" s="211">
        <f t="shared" si="6"/>
        <v>6.9444444444445308E-3</v>
      </c>
      <c r="P89" s="211">
        <f t="shared" si="6"/>
        <v>1.041666666666663E-2</v>
      </c>
      <c r="Q89" s="211"/>
      <c r="R89" s="212" t="s">
        <v>460</v>
      </c>
    </row>
    <row r="90" spans="1:19" s="112" customFormat="1" x14ac:dyDescent="0.25">
      <c r="A90" s="110">
        <f t="shared" si="7"/>
        <v>3</v>
      </c>
      <c r="B90" s="111">
        <v>43846</v>
      </c>
      <c r="C90" s="111">
        <v>43846</v>
      </c>
      <c r="D90" s="357"/>
      <c r="E90" s="207"/>
      <c r="F90" s="110" t="s">
        <v>331</v>
      </c>
      <c r="G90" s="207">
        <v>9185288748</v>
      </c>
      <c r="H90" s="207" t="s">
        <v>103</v>
      </c>
      <c r="I90" s="207">
        <v>33</v>
      </c>
      <c r="J90" s="207">
        <v>80</v>
      </c>
      <c r="K90" s="207"/>
      <c r="L90" s="208">
        <v>0.26041666666666669</v>
      </c>
      <c r="M90" s="208">
        <v>0.26041666666666669</v>
      </c>
      <c r="N90" s="208">
        <v>0.27430555555555552</v>
      </c>
      <c r="O90" s="208">
        <f t="shared" si="6"/>
        <v>0</v>
      </c>
      <c r="P90" s="208">
        <f t="shared" si="6"/>
        <v>1.388888888888884E-2</v>
      </c>
      <c r="Q90" s="208"/>
      <c r="R90" s="244" t="s">
        <v>479</v>
      </c>
    </row>
    <row r="91" spans="1:19" x14ac:dyDescent="0.25">
      <c r="A91" s="83">
        <f t="shared" si="7"/>
        <v>3</v>
      </c>
      <c r="B91" s="89">
        <v>43846</v>
      </c>
      <c r="C91" s="89">
        <v>43846</v>
      </c>
      <c r="F91" s="83" t="s">
        <v>335</v>
      </c>
      <c r="G91" s="90">
        <v>9185286212</v>
      </c>
      <c r="H91" s="90" t="s">
        <v>103</v>
      </c>
      <c r="I91" s="90">
        <v>33</v>
      </c>
      <c r="J91" s="90">
        <v>80</v>
      </c>
      <c r="L91" s="91">
        <v>0.32291666666666669</v>
      </c>
      <c r="M91" s="91">
        <v>0.32291666666666669</v>
      </c>
      <c r="N91" s="91">
        <v>0.33680555555555558</v>
      </c>
      <c r="O91" s="91">
        <f t="shared" si="6"/>
        <v>0</v>
      </c>
      <c r="P91" s="91">
        <f t="shared" si="6"/>
        <v>1.3888888888888895E-2</v>
      </c>
      <c r="R91" s="88" t="s">
        <v>477</v>
      </c>
    </row>
    <row r="92" spans="1:19" ht="16.5" thickBot="1" x14ac:dyDescent="0.3">
      <c r="A92" s="83">
        <f t="shared" si="7"/>
        <v>3</v>
      </c>
      <c r="B92" s="89">
        <v>43846</v>
      </c>
      <c r="C92" s="89">
        <v>43846</v>
      </c>
      <c r="E92" s="90">
        <v>480</v>
      </c>
      <c r="F92" s="83" t="s">
        <v>443</v>
      </c>
      <c r="G92" s="90">
        <v>186911555</v>
      </c>
      <c r="H92" s="90" t="s">
        <v>103</v>
      </c>
      <c r="I92" s="90">
        <v>34</v>
      </c>
      <c r="L92" s="91">
        <v>0.34722222222222227</v>
      </c>
      <c r="M92" s="91">
        <v>0.35416666666666669</v>
      </c>
      <c r="N92" s="91">
        <v>0.36458333333333331</v>
      </c>
      <c r="O92" s="91">
        <f t="shared" si="6"/>
        <v>6.9444444444444198E-3</v>
      </c>
      <c r="P92" s="91">
        <f t="shared" si="6"/>
        <v>1.041666666666663E-2</v>
      </c>
      <c r="S92" s="348">
        <f>O92+P92</f>
        <v>1.7361111111111049E-2</v>
      </c>
    </row>
    <row r="93" spans="1:19" ht="16.5" thickBot="1" x14ac:dyDescent="0.3">
      <c r="A93" s="83">
        <f t="shared" si="7"/>
        <v>3</v>
      </c>
      <c r="B93" s="89">
        <v>43846</v>
      </c>
      <c r="C93" s="89">
        <v>43846</v>
      </c>
      <c r="E93" s="90">
        <v>420</v>
      </c>
      <c r="F93" s="83" t="s">
        <v>455</v>
      </c>
      <c r="G93" s="90">
        <v>186915483</v>
      </c>
      <c r="H93" s="90" t="s">
        <v>103</v>
      </c>
      <c r="I93" s="90">
        <v>34</v>
      </c>
      <c r="L93" s="91">
        <v>0.36458333333333331</v>
      </c>
      <c r="M93" s="91">
        <v>0.375</v>
      </c>
      <c r="N93" s="91">
        <v>0.38541666666666669</v>
      </c>
      <c r="O93" s="91">
        <f t="shared" si="6"/>
        <v>1.0416666666666685E-2</v>
      </c>
      <c r="P93" s="91">
        <f t="shared" si="6"/>
        <v>1.0416666666666685E-2</v>
      </c>
      <c r="S93" s="348">
        <f>O93+P93</f>
        <v>2.083333333333337E-2</v>
      </c>
    </row>
    <row r="94" spans="1:19" x14ac:dyDescent="0.25">
      <c r="A94" s="83">
        <f t="shared" si="7"/>
        <v>3</v>
      </c>
      <c r="B94" s="89">
        <v>43846</v>
      </c>
      <c r="C94" s="89">
        <v>43846</v>
      </c>
      <c r="F94" s="83" t="s">
        <v>343</v>
      </c>
      <c r="G94" s="90">
        <v>9185291555</v>
      </c>
      <c r="H94" s="90" t="s">
        <v>103</v>
      </c>
      <c r="I94" s="90">
        <v>33</v>
      </c>
      <c r="J94" s="90">
        <v>80</v>
      </c>
      <c r="L94" s="91">
        <v>0.38541666666666669</v>
      </c>
      <c r="M94" s="91">
        <v>0.38541666666666669</v>
      </c>
      <c r="N94" s="91">
        <v>0.39930555555555558</v>
      </c>
      <c r="O94" s="91">
        <f t="shared" si="6"/>
        <v>0</v>
      </c>
      <c r="P94" s="91">
        <f t="shared" si="6"/>
        <v>1.3888888888888895E-2</v>
      </c>
      <c r="R94" s="88" t="s">
        <v>518</v>
      </c>
    </row>
    <row r="95" spans="1:19" x14ac:dyDescent="0.25">
      <c r="A95" s="83">
        <f t="shared" si="7"/>
        <v>3</v>
      </c>
      <c r="B95" s="89">
        <v>43846</v>
      </c>
      <c r="C95" s="89">
        <v>43846</v>
      </c>
      <c r="F95" s="83" t="s">
        <v>368</v>
      </c>
      <c r="G95" s="90">
        <v>9185301098</v>
      </c>
      <c r="H95" s="90" t="s">
        <v>103</v>
      </c>
      <c r="I95" s="90">
        <v>33</v>
      </c>
      <c r="J95" s="90">
        <v>80</v>
      </c>
      <c r="L95" s="91">
        <v>0.5</v>
      </c>
      <c r="M95" s="91">
        <v>0.5</v>
      </c>
      <c r="O95" s="91">
        <f t="shared" si="6"/>
        <v>0</v>
      </c>
      <c r="P95" s="91">
        <f t="shared" si="6"/>
        <v>-0.5</v>
      </c>
      <c r="R95" s="88" t="s">
        <v>519</v>
      </c>
    </row>
    <row r="96" spans="1:19" ht="16.5" thickBot="1" x14ac:dyDescent="0.3">
      <c r="A96" s="83">
        <f t="shared" si="7"/>
        <v>3</v>
      </c>
      <c r="B96" s="89">
        <v>43846</v>
      </c>
      <c r="C96" s="89">
        <v>43846</v>
      </c>
      <c r="D96" s="355">
        <v>1000452131</v>
      </c>
      <c r="E96" s="90">
        <v>150</v>
      </c>
      <c r="F96" s="83" t="s">
        <v>424</v>
      </c>
      <c r="G96" s="90" t="s">
        <v>520</v>
      </c>
      <c r="H96" s="90" t="s">
        <v>103</v>
      </c>
      <c r="I96" s="90">
        <v>33</v>
      </c>
      <c r="K96" s="90" t="s">
        <v>51</v>
      </c>
      <c r="L96" s="91">
        <v>0.52777777777777779</v>
      </c>
      <c r="M96" s="91">
        <v>0.53125</v>
      </c>
      <c r="N96" s="91">
        <v>0.54166666666666663</v>
      </c>
      <c r="O96" s="91">
        <f t="shared" si="6"/>
        <v>3.4722222222222099E-3</v>
      </c>
      <c r="P96" s="91">
        <f t="shared" si="6"/>
        <v>1.041666666666663E-2</v>
      </c>
      <c r="Q96" s="91">
        <v>0.54513888888888895</v>
      </c>
      <c r="S96" s="348">
        <f>O96+P96</f>
        <v>1.388888888888884E-2</v>
      </c>
    </row>
    <row r="97" spans="1:19" ht="32.25" thickBot="1" x14ac:dyDescent="0.3">
      <c r="A97" s="83">
        <f t="shared" si="7"/>
        <v>3</v>
      </c>
      <c r="B97" s="89">
        <v>43846</v>
      </c>
      <c r="C97" s="89">
        <v>43846</v>
      </c>
      <c r="D97" s="355">
        <v>1000451705</v>
      </c>
      <c r="E97" s="90">
        <v>120</v>
      </c>
      <c r="F97" s="83" t="s">
        <v>521</v>
      </c>
      <c r="G97" s="79" t="s">
        <v>522</v>
      </c>
      <c r="H97" s="90" t="s">
        <v>103</v>
      </c>
      <c r="I97" s="90" t="s">
        <v>523</v>
      </c>
      <c r="K97" s="90" t="s">
        <v>51</v>
      </c>
      <c r="L97" s="91">
        <v>0.53819444444444442</v>
      </c>
      <c r="M97" s="91">
        <v>0.54513888888888895</v>
      </c>
      <c r="N97" s="91">
        <v>0.55555555555555558</v>
      </c>
      <c r="O97" s="91">
        <f t="shared" si="6"/>
        <v>6.9444444444445308E-3</v>
      </c>
      <c r="P97" s="91">
        <f t="shared" si="6"/>
        <v>1.041666666666663E-2</v>
      </c>
      <c r="Q97" s="91">
        <v>0.55902777777777779</v>
      </c>
      <c r="S97" s="348">
        <f>O97+P97</f>
        <v>1.736111111111116E-2</v>
      </c>
    </row>
    <row r="98" spans="1:19" x14ac:dyDescent="0.25">
      <c r="A98" s="83">
        <f t="shared" si="7"/>
        <v>3</v>
      </c>
      <c r="B98" s="89">
        <v>43846</v>
      </c>
      <c r="C98" s="89">
        <v>43846</v>
      </c>
      <c r="F98" s="83" t="s">
        <v>369</v>
      </c>
      <c r="G98" s="90">
        <v>9185261409</v>
      </c>
      <c r="H98" s="90" t="s">
        <v>103</v>
      </c>
      <c r="I98" s="90">
        <v>33</v>
      </c>
      <c r="J98" s="90">
        <v>80</v>
      </c>
      <c r="L98" s="91">
        <v>0.54166666666666663</v>
      </c>
      <c r="M98" s="91">
        <v>0.54513888888888895</v>
      </c>
      <c r="N98" s="91">
        <v>0.55902777777777779</v>
      </c>
      <c r="O98" s="91">
        <f t="shared" si="6"/>
        <v>3.4722222222223209E-3</v>
      </c>
      <c r="P98" s="91">
        <f t="shared" si="6"/>
        <v>1.388888888888884E-2</v>
      </c>
      <c r="R98" s="88" t="s">
        <v>460</v>
      </c>
    </row>
    <row r="99" spans="1:19" x14ac:dyDescent="0.25">
      <c r="A99" s="83">
        <f t="shared" si="7"/>
        <v>3</v>
      </c>
      <c r="B99" s="89">
        <v>43846</v>
      </c>
      <c r="C99" s="89">
        <v>43846</v>
      </c>
      <c r="F99" s="83" t="s">
        <v>489</v>
      </c>
      <c r="G99" s="90">
        <v>9185284158</v>
      </c>
      <c r="H99" s="90" t="s">
        <v>103</v>
      </c>
      <c r="I99" s="90">
        <v>33</v>
      </c>
      <c r="J99" s="90">
        <v>80</v>
      </c>
      <c r="L99" s="91">
        <v>0.63194444444444442</v>
      </c>
      <c r="M99" s="91">
        <v>0.63541666666666663</v>
      </c>
      <c r="N99" s="91">
        <v>0.64583333333333337</v>
      </c>
      <c r="O99" s="91">
        <f t="shared" si="6"/>
        <v>3.4722222222222099E-3</v>
      </c>
      <c r="P99" s="91">
        <f t="shared" si="6"/>
        <v>1.0416666666666741E-2</v>
      </c>
      <c r="R99" s="88" t="s">
        <v>460</v>
      </c>
    </row>
    <row r="100" spans="1:19" x14ac:dyDescent="0.25">
      <c r="A100" s="83">
        <f t="shared" si="7"/>
        <v>3</v>
      </c>
      <c r="B100" s="89">
        <v>43846</v>
      </c>
      <c r="C100" s="89">
        <v>43846</v>
      </c>
      <c r="F100" s="83" t="s">
        <v>491</v>
      </c>
      <c r="G100" s="90">
        <v>9185306237</v>
      </c>
      <c r="H100" s="90" t="s">
        <v>103</v>
      </c>
      <c r="I100" s="90">
        <v>33</v>
      </c>
      <c r="J100" s="90">
        <v>80</v>
      </c>
      <c r="L100" s="91">
        <v>0.69444444444444453</v>
      </c>
      <c r="M100" s="91">
        <v>0.70138888888888884</v>
      </c>
      <c r="N100" s="91">
        <v>0.71527777777777779</v>
      </c>
      <c r="O100" s="91">
        <f t="shared" si="6"/>
        <v>6.9444444444443088E-3</v>
      </c>
      <c r="P100" s="91">
        <f t="shared" si="6"/>
        <v>1.3888888888888951E-2</v>
      </c>
      <c r="R100" s="88" t="s">
        <v>460</v>
      </c>
    </row>
    <row r="101" spans="1:19" s="202" customFormat="1" ht="16.5" thickBot="1" x14ac:dyDescent="0.3">
      <c r="A101" s="196">
        <f t="shared" si="7"/>
        <v>3</v>
      </c>
      <c r="B101" s="209">
        <v>43846</v>
      </c>
      <c r="C101" s="209">
        <v>43846</v>
      </c>
      <c r="D101" s="356"/>
      <c r="E101" s="210"/>
      <c r="F101" s="196" t="s">
        <v>492</v>
      </c>
      <c r="G101" s="210">
        <v>9185171801</v>
      </c>
      <c r="H101" s="210" t="s">
        <v>103</v>
      </c>
      <c r="I101" s="210">
        <v>33</v>
      </c>
      <c r="J101" s="210">
        <v>80</v>
      </c>
      <c r="K101" s="210"/>
      <c r="L101" s="211">
        <v>0.76388888888888884</v>
      </c>
      <c r="M101" s="211">
        <v>0.78472222222222221</v>
      </c>
      <c r="N101" s="211">
        <v>0.80208333333333337</v>
      </c>
      <c r="O101" s="211">
        <f t="shared" si="6"/>
        <v>2.083333333333337E-2</v>
      </c>
      <c r="P101" s="211">
        <f t="shared" si="6"/>
        <v>1.736111111111116E-2</v>
      </c>
      <c r="Q101" s="211"/>
      <c r="R101" s="212" t="s">
        <v>460</v>
      </c>
    </row>
    <row r="102" spans="1:19" x14ac:dyDescent="0.25">
      <c r="A102" s="110">
        <f t="shared" si="7"/>
        <v>3</v>
      </c>
      <c r="B102" s="111">
        <v>43847</v>
      </c>
      <c r="C102" s="111">
        <v>43847</v>
      </c>
      <c r="D102" s="357"/>
      <c r="E102" s="207"/>
      <c r="F102" s="110" t="s">
        <v>535</v>
      </c>
      <c r="G102" s="207">
        <v>9185299164</v>
      </c>
      <c r="H102" s="207" t="s">
        <v>103</v>
      </c>
      <c r="I102" s="207">
        <v>33</v>
      </c>
      <c r="J102" s="207">
        <v>80</v>
      </c>
      <c r="K102" s="207"/>
      <c r="L102" s="208">
        <v>0.28125</v>
      </c>
      <c r="M102" s="208">
        <v>0.28472222222222221</v>
      </c>
      <c r="N102" s="208"/>
      <c r="O102" s="208">
        <f t="shared" si="6"/>
        <v>3.4722222222222099E-3</v>
      </c>
      <c r="P102" s="208">
        <f t="shared" si="6"/>
        <v>-0.28472222222222221</v>
      </c>
      <c r="Q102" s="208"/>
      <c r="R102" s="244" t="s">
        <v>384</v>
      </c>
      <c r="S102" s="112"/>
    </row>
    <row r="103" spans="1:19" ht="16.5" thickBot="1" x14ac:dyDescent="0.3">
      <c r="A103" s="83">
        <f t="shared" si="7"/>
        <v>3</v>
      </c>
      <c r="B103" s="89">
        <v>43847</v>
      </c>
      <c r="C103" s="89">
        <v>43847</v>
      </c>
      <c r="E103" s="90">
        <v>360</v>
      </c>
      <c r="F103" s="83" t="s">
        <v>536</v>
      </c>
      <c r="G103" s="90">
        <v>186919875</v>
      </c>
      <c r="H103" s="90" t="s">
        <v>103</v>
      </c>
      <c r="I103" s="90">
        <v>34</v>
      </c>
      <c r="L103" s="91">
        <v>0.29166666666666669</v>
      </c>
      <c r="M103" s="91">
        <v>0.30208333333333331</v>
      </c>
      <c r="N103" s="91">
        <v>0.31944444444444448</v>
      </c>
      <c r="O103" s="91">
        <f t="shared" si="6"/>
        <v>1.041666666666663E-2</v>
      </c>
      <c r="P103" s="91">
        <f t="shared" si="6"/>
        <v>1.736111111111116E-2</v>
      </c>
      <c r="Q103" s="91">
        <v>0.32291666666666669</v>
      </c>
      <c r="S103" s="348">
        <f>O103+P103</f>
        <v>2.777777777777779E-2</v>
      </c>
    </row>
    <row r="104" spans="1:19" ht="16.5" thickBot="1" x14ac:dyDescent="0.3">
      <c r="A104" s="83">
        <f t="shared" si="7"/>
        <v>3</v>
      </c>
      <c r="B104" s="89">
        <v>43847</v>
      </c>
      <c r="C104" s="89">
        <v>43847</v>
      </c>
      <c r="D104" s="355">
        <v>1000451702</v>
      </c>
      <c r="E104" s="90">
        <v>300</v>
      </c>
      <c r="F104" s="83" t="s">
        <v>445</v>
      </c>
      <c r="G104" s="90" t="s">
        <v>537</v>
      </c>
      <c r="H104" s="90" t="s">
        <v>103</v>
      </c>
      <c r="I104" s="90">
        <v>45</v>
      </c>
      <c r="L104" s="91">
        <v>0.31944444444444448</v>
      </c>
      <c r="M104" s="91">
        <v>0.3298611111111111</v>
      </c>
      <c r="N104" s="91">
        <v>0.34722222222222227</v>
      </c>
      <c r="O104" s="91">
        <f t="shared" si="6"/>
        <v>1.041666666666663E-2</v>
      </c>
      <c r="P104" s="91">
        <f t="shared" si="6"/>
        <v>1.736111111111116E-2</v>
      </c>
      <c r="Q104" s="91">
        <v>0.36805555555555558</v>
      </c>
      <c r="S104" s="348">
        <f>O104+P104</f>
        <v>2.777777777777779E-2</v>
      </c>
    </row>
    <row r="105" spans="1:19" x14ac:dyDescent="0.25">
      <c r="A105" s="83">
        <f t="shared" si="7"/>
        <v>3</v>
      </c>
      <c r="B105" s="89">
        <v>43847</v>
      </c>
      <c r="C105" s="89">
        <v>43847</v>
      </c>
      <c r="F105" s="83" t="s">
        <v>335</v>
      </c>
      <c r="G105" s="90">
        <v>9185216919</v>
      </c>
      <c r="H105" s="90" t="s">
        <v>103</v>
      </c>
      <c r="I105" s="90">
        <v>33</v>
      </c>
      <c r="J105" s="90">
        <v>80</v>
      </c>
      <c r="L105" s="91">
        <v>0.33333333333333331</v>
      </c>
      <c r="M105" s="91">
        <v>0.33680555555555558</v>
      </c>
      <c r="N105" s="91">
        <v>8</v>
      </c>
      <c r="O105" s="91">
        <f t="shared" si="6"/>
        <v>3.4722222222222654E-3</v>
      </c>
      <c r="P105" s="91">
        <f t="shared" si="6"/>
        <v>7.6631944444444446</v>
      </c>
      <c r="R105" s="88" t="s">
        <v>541</v>
      </c>
    </row>
    <row r="106" spans="1:19" x14ac:dyDescent="0.25">
      <c r="A106" s="83">
        <f t="shared" si="7"/>
        <v>3</v>
      </c>
      <c r="B106" s="89">
        <v>43847</v>
      </c>
      <c r="C106" s="89">
        <v>43847</v>
      </c>
      <c r="F106" s="83" t="s">
        <v>343</v>
      </c>
      <c r="G106" s="90">
        <v>9185321367</v>
      </c>
      <c r="H106" s="90" t="s">
        <v>103</v>
      </c>
      <c r="I106" s="90">
        <v>33</v>
      </c>
      <c r="J106" s="90">
        <v>80</v>
      </c>
      <c r="L106" s="91">
        <v>0.375</v>
      </c>
      <c r="M106" s="91">
        <v>0.39583333333333331</v>
      </c>
      <c r="N106" s="91">
        <v>0.40625</v>
      </c>
      <c r="O106" s="91">
        <f t="shared" si="6"/>
        <v>2.0833333333333315E-2</v>
      </c>
      <c r="P106" s="91">
        <f t="shared" si="6"/>
        <v>1.0416666666666685E-2</v>
      </c>
      <c r="R106" s="88" t="s">
        <v>542</v>
      </c>
    </row>
    <row r="107" spans="1:19" ht="16.5" thickBot="1" x14ac:dyDescent="0.3">
      <c r="A107" s="83">
        <f t="shared" si="7"/>
        <v>3</v>
      </c>
      <c r="B107" s="89">
        <v>43847</v>
      </c>
      <c r="C107" s="89">
        <v>43847</v>
      </c>
      <c r="E107" s="90">
        <v>600</v>
      </c>
      <c r="F107" s="83" t="s">
        <v>540</v>
      </c>
      <c r="G107" s="90">
        <v>186921454</v>
      </c>
      <c r="H107" s="90" t="s">
        <v>103</v>
      </c>
      <c r="I107" s="90">
        <v>34</v>
      </c>
      <c r="L107" s="91">
        <v>0.40625</v>
      </c>
      <c r="M107" s="91">
        <v>0.40972222222222227</v>
      </c>
      <c r="N107" s="91">
        <v>0.43055555555555558</v>
      </c>
      <c r="O107" s="91">
        <f t="shared" si="6"/>
        <v>3.4722222222222654E-3</v>
      </c>
      <c r="P107" s="91">
        <f t="shared" si="6"/>
        <v>2.0833333333333315E-2</v>
      </c>
      <c r="S107" s="348">
        <f>O107+P107</f>
        <v>2.430555555555558E-2</v>
      </c>
    </row>
    <row r="108" spans="1:19" x14ac:dyDescent="0.25">
      <c r="A108" s="83">
        <f t="shared" si="7"/>
        <v>3</v>
      </c>
      <c r="B108" s="89">
        <v>43847</v>
      </c>
      <c r="C108" s="89">
        <v>43847</v>
      </c>
      <c r="F108" s="83" t="s">
        <v>368</v>
      </c>
      <c r="G108" s="90">
        <v>9184973532</v>
      </c>
      <c r="H108" s="90" t="s">
        <v>103</v>
      </c>
      <c r="I108" s="90">
        <v>33</v>
      </c>
      <c r="J108" s="90">
        <v>80</v>
      </c>
      <c r="L108" s="91">
        <v>0.47569444444444442</v>
      </c>
      <c r="M108" s="91">
        <v>0.47916666666666669</v>
      </c>
      <c r="N108" s="91">
        <v>0.49305555555555558</v>
      </c>
      <c r="O108" s="91">
        <f t="shared" si="6"/>
        <v>3.4722222222222654E-3</v>
      </c>
      <c r="P108" s="91">
        <f t="shared" si="6"/>
        <v>1.3888888888888895E-2</v>
      </c>
      <c r="R108" s="88" t="s">
        <v>460</v>
      </c>
    </row>
    <row r="109" spans="1:19" ht="32.25" thickBot="1" x14ac:dyDescent="0.3">
      <c r="A109" s="83">
        <f t="shared" si="7"/>
        <v>3</v>
      </c>
      <c r="B109" s="89">
        <v>43847</v>
      </c>
      <c r="C109" s="89">
        <v>43847</v>
      </c>
      <c r="D109" s="355">
        <v>1000452127</v>
      </c>
      <c r="E109" s="90">
        <v>180</v>
      </c>
      <c r="F109" s="83" t="s">
        <v>437</v>
      </c>
      <c r="G109" s="79" t="s">
        <v>547</v>
      </c>
      <c r="H109" s="90" t="s">
        <v>103</v>
      </c>
      <c r="I109" s="90" t="s">
        <v>551</v>
      </c>
      <c r="J109" s="90">
        <v>80</v>
      </c>
      <c r="K109" s="90" t="s">
        <v>51</v>
      </c>
      <c r="L109" s="91">
        <v>0.56944444444444442</v>
      </c>
      <c r="M109" s="91">
        <v>0.59027777777777779</v>
      </c>
      <c r="N109" s="91">
        <v>0.61111111111111105</v>
      </c>
      <c r="O109" s="91">
        <f t="shared" si="6"/>
        <v>2.083333333333337E-2</v>
      </c>
      <c r="P109" s="91">
        <f t="shared" si="6"/>
        <v>2.0833333333333259E-2</v>
      </c>
      <c r="Q109" s="91">
        <v>0.64583333333333337</v>
      </c>
      <c r="S109" s="348">
        <f>O109+P109</f>
        <v>4.166666666666663E-2</v>
      </c>
    </row>
    <row r="110" spans="1:19" x14ac:dyDescent="0.25">
      <c r="A110" s="83">
        <f t="shared" si="7"/>
        <v>3</v>
      </c>
      <c r="B110" s="89">
        <v>43847</v>
      </c>
      <c r="C110" s="89">
        <v>43847</v>
      </c>
      <c r="F110" s="83" t="s">
        <v>369</v>
      </c>
      <c r="G110" s="90">
        <v>9185276682</v>
      </c>
      <c r="H110" s="90" t="s">
        <v>103</v>
      </c>
      <c r="I110" s="90">
        <v>33</v>
      </c>
      <c r="J110" s="90">
        <v>80</v>
      </c>
      <c r="L110" s="91">
        <v>0.55902777777777779</v>
      </c>
      <c r="M110" s="91">
        <v>0.5625</v>
      </c>
      <c r="N110" s="91">
        <v>0.57291666666666663</v>
      </c>
      <c r="O110" s="91">
        <f t="shared" si="6"/>
        <v>3.4722222222222099E-3</v>
      </c>
      <c r="P110" s="91">
        <f t="shared" si="6"/>
        <v>1.041666666666663E-2</v>
      </c>
      <c r="R110" s="88" t="s">
        <v>542</v>
      </c>
    </row>
    <row r="111" spans="1:19" x14ac:dyDescent="0.25">
      <c r="A111" s="83">
        <f t="shared" si="7"/>
        <v>3</v>
      </c>
      <c r="B111" s="89">
        <v>43847</v>
      </c>
      <c r="C111" s="89">
        <v>43847</v>
      </c>
      <c r="F111" s="83" t="s">
        <v>489</v>
      </c>
      <c r="G111" s="90">
        <v>9185334585</v>
      </c>
      <c r="H111" s="90" t="s">
        <v>103</v>
      </c>
      <c r="I111" s="90">
        <v>33</v>
      </c>
      <c r="J111" s="90">
        <v>80</v>
      </c>
      <c r="L111" s="91">
        <v>0.625</v>
      </c>
      <c r="M111" s="91">
        <v>0.64930555555555558</v>
      </c>
      <c r="N111" s="91">
        <v>0.65972222222222221</v>
      </c>
      <c r="O111" s="91">
        <f t="shared" si="6"/>
        <v>2.430555555555558E-2</v>
      </c>
      <c r="P111" s="91">
        <f t="shared" si="6"/>
        <v>1.041666666666663E-2</v>
      </c>
      <c r="R111" s="88" t="s">
        <v>552</v>
      </c>
    </row>
    <row r="112" spans="1:19" s="202" customFormat="1" ht="16.5" thickBot="1" x14ac:dyDescent="0.3">
      <c r="A112" s="196">
        <f t="shared" si="7"/>
        <v>3</v>
      </c>
      <c r="B112" s="209">
        <v>43847</v>
      </c>
      <c r="C112" s="209">
        <v>43847</v>
      </c>
      <c r="D112" s="356"/>
      <c r="E112" s="210"/>
      <c r="F112" s="196" t="s">
        <v>491</v>
      </c>
      <c r="G112" s="210">
        <v>9185342785</v>
      </c>
      <c r="H112" s="210" t="s">
        <v>103</v>
      </c>
      <c r="I112" s="210">
        <v>33</v>
      </c>
      <c r="J112" s="210">
        <v>80</v>
      </c>
      <c r="K112" s="210"/>
      <c r="L112" s="211">
        <v>0.72222222222222221</v>
      </c>
      <c r="M112" s="211">
        <v>0.75694444444444453</v>
      </c>
      <c r="N112" s="211">
        <v>0.77083333333333337</v>
      </c>
      <c r="O112" s="211">
        <f t="shared" si="6"/>
        <v>3.4722222222222321E-2</v>
      </c>
      <c r="P112" s="211">
        <f t="shared" si="6"/>
        <v>1.388888888888884E-2</v>
      </c>
      <c r="Q112" s="211"/>
      <c r="R112" s="212" t="s">
        <v>554</v>
      </c>
    </row>
    <row r="113" spans="1:19" s="112" customFormat="1" x14ac:dyDescent="0.25">
      <c r="A113" s="110">
        <f t="shared" si="7"/>
        <v>3</v>
      </c>
      <c r="B113" s="111">
        <v>43848</v>
      </c>
      <c r="C113" s="111">
        <v>43848</v>
      </c>
      <c r="D113" s="357"/>
      <c r="E113" s="207"/>
      <c r="F113" s="110" t="s">
        <v>557</v>
      </c>
      <c r="G113" s="207">
        <v>9185348539</v>
      </c>
      <c r="H113" s="207" t="s">
        <v>103</v>
      </c>
      <c r="I113" s="207">
        <v>33</v>
      </c>
      <c r="J113" s="207">
        <v>80</v>
      </c>
      <c r="K113" s="207"/>
      <c r="L113" s="208">
        <v>0.2638888888888889</v>
      </c>
      <c r="M113" s="208">
        <v>0.2673611111111111</v>
      </c>
      <c r="N113" s="208"/>
      <c r="O113" s="208">
        <f t="shared" si="6"/>
        <v>3.4722222222222099E-3</v>
      </c>
      <c r="P113" s="208">
        <f t="shared" si="6"/>
        <v>-0.2673611111111111</v>
      </c>
      <c r="Q113" s="208"/>
      <c r="R113" s="244" t="s">
        <v>558</v>
      </c>
    </row>
    <row r="114" spans="1:19" ht="16.5" thickBot="1" x14ac:dyDescent="0.3">
      <c r="A114" s="83">
        <f t="shared" si="7"/>
        <v>3</v>
      </c>
      <c r="B114" s="111">
        <v>43848</v>
      </c>
      <c r="C114" s="111">
        <v>43848</v>
      </c>
      <c r="D114" s="355">
        <v>1000451047</v>
      </c>
      <c r="E114" s="90">
        <v>480</v>
      </c>
      <c r="F114" s="83" t="s">
        <v>559</v>
      </c>
      <c r="G114" s="90" t="s">
        <v>560</v>
      </c>
      <c r="H114" s="90" t="s">
        <v>103</v>
      </c>
      <c r="I114" s="90">
        <v>28</v>
      </c>
      <c r="J114" s="91" t="s">
        <v>565</v>
      </c>
      <c r="K114" s="90" t="s">
        <v>51</v>
      </c>
      <c r="L114" s="91">
        <v>0.2986111111111111</v>
      </c>
      <c r="M114" s="91">
        <v>0.3125</v>
      </c>
      <c r="N114" s="91">
        <v>0.3263888888888889</v>
      </c>
      <c r="O114" s="91">
        <f t="shared" si="6"/>
        <v>1.3888888888888895E-2</v>
      </c>
      <c r="P114" s="91">
        <f t="shared" si="6"/>
        <v>1.3888888888888895E-2</v>
      </c>
      <c r="Q114" s="91">
        <v>0.3298611111111111</v>
      </c>
      <c r="S114" s="348">
        <f>O114+P114</f>
        <v>2.777777777777779E-2</v>
      </c>
    </row>
    <row r="115" spans="1:19" x14ac:dyDescent="0.25">
      <c r="A115" s="83">
        <f t="shared" si="7"/>
        <v>3</v>
      </c>
      <c r="B115" s="111">
        <v>43848</v>
      </c>
      <c r="C115" s="111">
        <v>43848</v>
      </c>
      <c r="F115" s="83" t="s">
        <v>335</v>
      </c>
      <c r="G115" s="90">
        <v>9185346730</v>
      </c>
      <c r="H115" s="90" t="s">
        <v>103</v>
      </c>
      <c r="I115" s="90">
        <v>33</v>
      </c>
      <c r="L115" s="91">
        <v>0.31597222222222221</v>
      </c>
      <c r="M115" s="91">
        <v>0.3125</v>
      </c>
      <c r="N115" s="91">
        <v>0.3263888888888889</v>
      </c>
      <c r="O115" s="91">
        <f t="shared" si="6"/>
        <v>-3.4722222222222099E-3</v>
      </c>
      <c r="P115" s="91">
        <f t="shared" si="6"/>
        <v>1.3888888888888895E-2</v>
      </c>
      <c r="R115" s="88" t="s">
        <v>561</v>
      </c>
    </row>
    <row r="116" spans="1:19" ht="32.25" thickBot="1" x14ac:dyDescent="0.3">
      <c r="A116" s="83">
        <f t="shared" si="7"/>
        <v>3</v>
      </c>
      <c r="B116" s="111">
        <v>43848</v>
      </c>
      <c r="C116" s="111">
        <v>43848</v>
      </c>
      <c r="D116" s="355">
        <v>1000452115</v>
      </c>
      <c r="E116" s="90">
        <v>600</v>
      </c>
      <c r="F116" s="83" t="s">
        <v>562</v>
      </c>
      <c r="G116" s="79" t="s">
        <v>563</v>
      </c>
      <c r="H116" s="90" t="s">
        <v>103</v>
      </c>
      <c r="I116" s="90" t="s">
        <v>564</v>
      </c>
      <c r="J116" s="90">
        <v>80</v>
      </c>
      <c r="K116" s="90" t="s">
        <v>51</v>
      </c>
      <c r="L116" s="91">
        <v>0.3263888888888889</v>
      </c>
      <c r="M116" s="91">
        <v>0.35416666666666669</v>
      </c>
      <c r="N116" s="91">
        <v>0.36458333333333331</v>
      </c>
      <c r="O116" s="91">
        <f t="shared" si="6"/>
        <v>2.777777777777779E-2</v>
      </c>
      <c r="P116" s="91">
        <f t="shared" si="6"/>
        <v>1.041666666666663E-2</v>
      </c>
      <c r="S116" s="348">
        <f>O116+P116</f>
        <v>3.819444444444442E-2</v>
      </c>
    </row>
    <row r="117" spans="1:19" ht="16.5" thickBot="1" x14ac:dyDescent="0.3">
      <c r="A117" s="83">
        <f t="shared" si="7"/>
        <v>3</v>
      </c>
      <c r="B117" s="111">
        <v>43848</v>
      </c>
      <c r="C117" s="111">
        <v>43848</v>
      </c>
      <c r="E117" s="90">
        <v>180</v>
      </c>
      <c r="F117" s="83" t="s">
        <v>566</v>
      </c>
      <c r="G117" s="90">
        <v>186901875</v>
      </c>
      <c r="H117" s="90" t="s">
        <v>103</v>
      </c>
      <c r="I117" s="90">
        <v>34</v>
      </c>
      <c r="L117" s="91">
        <v>0.36805555555555558</v>
      </c>
      <c r="M117" s="91">
        <v>0.3888888888888889</v>
      </c>
      <c r="N117" s="91">
        <v>0.40625</v>
      </c>
      <c r="O117" s="91">
        <f t="shared" si="6"/>
        <v>2.0833333333333315E-2</v>
      </c>
      <c r="P117" s="91">
        <f t="shared" si="6"/>
        <v>1.7361111111111105E-2</v>
      </c>
      <c r="Q117" s="91">
        <v>0.40972222222222227</v>
      </c>
      <c r="S117" s="348">
        <f>O117+P117</f>
        <v>3.819444444444442E-2</v>
      </c>
    </row>
    <row r="118" spans="1:19" x14ac:dyDescent="0.25">
      <c r="A118" s="83">
        <f t="shared" ref="A118:A181" si="8">WEEKNUM(B118,21)</f>
        <v>3</v>
      </c>
      <c r="B118" s="111">
        <v>43848</v>
      </c>
      <c r="C118" s="111">
        <v>43848</v>
      </c>
      <c r="F118" s="83" t="s">
        <v>343</v>
      </c>
      <c r="G118" s="90">
        <v>9185308543</v>
      </c>
      <c r="H118" s="90" t="s">
        <v>103</v>
      </c>
      <c r="I118" s="90">
        <v>33</v>
      </c>
      <c r="J118" s="90">
        <v>80</v>
      </c>
      <c r="L118" s="91">
        <v>0.57291666666666663</v>
      </c>
      <c r="M118" s="91">
        <v>0.58333333333333337</v>
      </c>
      <c r="N118" s="91">
        <v>0.59722222222222221</v>
      </c>
      <c r="O118" s="91">
        <f t="shared" ref="O118:P181" si="9">M118-L118</f>
        <v>1.0416666666666741E-2</v>
      </c>
      <c r="P118" s="91">
        <f t="shared" si="9"/>
        <v>1.388888888888884E-2</v>
      </c>
      <c r="R118" s="88" t="s">
        <v>567</v>
      </c>
    </row>
    <row r="119" spans="1:19" s="202" customFormat="1" ht="16.5" thickBot="1" x14ac:dyDescent="0.3">
      <c r="A119" s="196">
        <f t="shared" si="8"/>
        <v>3</v>
      </c>
      <c r="B119" s="209">
        <v>43848</v>
      </c>
      <c r="C119" s="209">
        <v>43848</v>
      </c>
      <c r="D119" s="356"/>
      <c r="E119" s="210"/>
      <c r="F119" s="196" t="s">
        <v>368</v>
      </c>
      <c r="G119" s="210">
        <v>9185340451</v>
      </c>
      <c r="H119" s="210" t="s">
        <v>103</v>
      </c>
      <c r="I119" s="210">
        <v>33</v>
      </c>
      <c r="J119" s="210">
        <v>80</v>
      </c>
      <c r="K119" s="210"/>
      <c r="L119" s="211">
        <v>0.65972222222222221</v>
      </c>
      <c r="M119" s="211">
        <v>0.67361111111111116</v>
      </c>
      <c r="N119" s="211">
        <v>0.6875</v>
      </c>
      <c r="O119" s="211">
        <f t="shared" si="9"/>
        <v>1.3888888888888951E-2</v>
      </c>
      <c r="P119" s="211">
        <f t="shared" si="9"/>
        <v>1.388888888888884E-2</v>
      </c>
      <c r="Q119" s="211"/>
      <c r="R119" s="212" t="s">
        <v>593</v>
      </c>
    </row>
    <row r="120" spans="1:19" s="112" customFormat="1" ht="16.5" thickBot="1" x14ac:dyDescent="0.3">
      <c r="A120" s="110">
        <f t="shared" si="8"/>
        <v>4</v>
      </c>
      <c r="B120" s="111">
        <v>43851</v>
      </c>
      <c r="C120" s="111">
        <v>43851</v>
      </c>
      <c r="D120" s="357">
        <v>1000452117</v>
      </c>
      <c r="E120" s="207">
        <v>300</v>
      </c>
      <c r="F120" s="110" t="s">
        <v>352</v>
      </c>
      <c r="G120" s="207" t="s">
        <v>575</v>
      </c>
      <c r="H120" s="207" t="s">
        <v>103</v>
      </c>
      <c r="I120" s="207">
        <v>33</v>
      </c>
      <c r="J120" s="207">
        <v>80</v>
      </c>
      <c r="K120" s="207" t="s">
        <v>51</v>
      </c>
      <c r="L120" s="208">
        <v>0.30555555555555552</v>
      </c>
      <c r="M120" s="208">
        <v>0.31597222222222221</v>
      </c>
      <c r="N120" s="208">
        <v>0.3298611111111111</v>
      </c>
      <c r="O120" s="208">
        <f t="shared" si="9"/>
        <v>1.0416666666666685E-2</v>
      </c>
      <c r="P120" s="208">
        <f t="shared" si="9"/>
        <v>1.3888888888888895E-2</v>
      </c>
      <c r="Q120" s="208">
        <v>0.34027777777777773</v>
      </c>
      <c r="R120" s="244"/>
      <c r="S120" s="348">
        <f>O120+P120</f>
        <v>2.430555555555558E-2</v>
      </c>
    </row>
    <row r="121" spans="1:19" ht="16.5" thickBot="1" x14ac:dyDescent="0.3">
      <c r="A121" s="83">
        <f t="shared" si="8"/>
        <v>4</v>
      </c>
      <c r="B121" s="111">
        <v>43851</v>
      </c>
      <c r="C121" s="111">
        <v>43851</v>
      </c>
      <c r="F121" s="83" t="s">
        <v>333</v>
      </c>
      <c r="G121" s="90">
        <v>3202694395</v>
      </c>
      <c r="H121" s="90" t="s">
        <v>103</v>
      </c>
      <c r="I121" s="90">
        <v>1</v>
      </c>
      <c r="J121" s="90">
        <v>80</v>
      </c>
      <c r="L121" s="91">
        <v>0.33333333333333331</v>
      </c>
      <c r="M121" s="91">
        <v>0.33680555555555558</v>
      </c>
      <c r="N121" s="91">
        <v>0.33680555555555558</v>
      </c>
      <c r="O121" s="91">
        <f t="shared" si="9"/>
        <v>3.4722222222222654E-3</v>
      </c>
      <c r="P121" s="91">
        <f t="shared" si="9"/>
        <v>0</v>
      </c>
      <c r="Q121" s="91">
        <v>0.33680555555555558</v>
      </c>
      <c r="S121" s="348">
        <f>O121+P121</f>
        <v>3.4722222222222654E-3</v>
      </c>
    </row>
    <row r="122" spans="1:19" ht="32.25" thickBot="1" x14ac:dyDescent="0.3">
      <c r="A122" s="83">
        <f t="shared" si="8"/>
        <v>4</v>
      </c>
      <c r="B122" s="111">
        <v>43851</v>
      </c>
      <c r="C122" s="111">
        <v>43851</v>
      </c>
      <c r="D122" s="355">
        <v>1000451652</v>
      </c>
      <c r="E122" s="90">
        <v>240</v>
      </c>
      <c r="F122" s="83" t="s">
        <v>393</v>
      </c>
      <c r="G122" s="79" t="s">
        <v>576</v>
      </c>
      <c r="H122" s="90" t="s">
        <v>103</v>
      </c>
      <c r="I122" s="90" t="s">
        <v>578</v>
      </c>
      <c r="J122" s="90">
        <v>80</v>
      </c>
      <c r="K122" s="90" t="s">
        <v>51</v>
      </c>
      <c r="L122" s="91">
        <v>0.34027777777777773</v>
      </c>
      <c r="M122" s="91">
        <v>0.3611111111111111</v>
      </c>
      <c r="N122" s="91">
        <v>0.40972222222222227</v>
      </c>
      <c r="O122" s="91">
        <f t="shared" si="9"/>
        <v>2.083333333333337E-2</v>
      </c>
      <c r="P122" s="91">
        <f t="shared" si="9"/>
        <v>4.861111111111116E-2</v>
      </c>
      <c r="Q122" s="91">
        <v>0.41666666666666669</v>
      </c>
      <c r="S122" s="348">
        <f>O122+P122</f>
        <v>6.9444444444444531E-2</v>
      </c>
    </row>
    <row r="123" spans="1:19" ht="16.5" thickBot="1" x14ac:dyDescent="0.3">
      <c r="A123" s="83">
        <f t="shared" si="8"/>
        <v>4</v>
      </c>
      <c r="B123" s="111">
        <v>43851</v>
      </c>
      <c r="C123" s="111">
        <v>43851</v>
      </c>
      <c r="D123" s="355">
        <v>1000453120</v>
      </c>
      <c r="E123" s="90">
        <v>480</v>
      </c>
      <c r="F123" s="83" t="s">
        <v>473</v>
      </c>
      <c r="G123" s="90" t="s">
        <v>577</v>
      </c>
      <c r="H123" s="90" t="s">
        <v>103</v>
      </c>
      <c r="I123" s="90">
        <v>15</v>
      </c>
      <c r="J123" s="90">
        <v>80</v>
      </c>
      <c r="K123" s="90" t="s">
        <v>51</v>
      </c>
      <c r="L123" s="91">
        <v>0.36458333333333331</v>
      </c>
      <c r="M123" s="91">
        <v>0.36805555555555558</v>
      </c>
      <c r="N123" s="91">
        <v>0.38194444444444442</v>
      </c>
      <c r="O123" s="91">
        <f t="shared" si="9"/>
        <v>3.4722222222222654E-3</v>
      </c>
      <c r="P123" s="91">
        <f t="shared" si="9"/>
        <v>1.388888888888884E-2</v>
      </c>
      <c r="Q123" s="91">
        <v>0.4201388888888889</v>
      </c>
      <c r="S123" s="348">
        <f>O123+P123</f>
        <v>1.7361111111111105E-2</v>
      </c>
    </row>
    <row r="124" spans="1:19" x14ac:dyDescent="0.25">
      <c r="A124" s="83">
        <f t="shared" si="8"/>
        <v>4</v>
      </c>
      <c r="B124" s="111">
        <v>43851</v>
      </c>
      <c r="C124" s="111">
        <v>43851</v>
      </c>
      <c r="F124" s="83" t="s">
        <v>331</v>
      </c>
      <c r="G124" s="90">
        <v>9185374125</v>
      </c>
      <c r="H124" s="90" t="s">
        <v>103</v>
      </c>
      <c r="I124" s="90">
        <v>33</v>
      </c>
      <c r="J124" s="90">
        <v>80</v>
      </c>
      <c r="L124" s="91">
        <v>0.38194444444444442</v>
      </c>
      <c r="M124" s="91">
        <v>0.53125</v>
      </c>
      <c r="N124" s="91">
        <v>0.54513888888888895</v>
      </c>
      <c r="O124" s="91">
        <f t="shared" si="9"/>
        <v>0.14930555555555558</v>
      </c>
      <c r="P124" s="91">
        <f t="shared" si="9"/>
        <v>1.3888888888888951E-2</v>
      </c>
      <c r="R124" s="88" t="s">
        <v>592</v>
      </c>
    </row>
    <row r="125" spans="1:19" x14ac:dyDescent="0.25">
      <c r="A125" s="83">
        <f t="shared" si="8"/>
        <v>4</v>
      </c>
      <c r="B125" s="89">
        <v>43851</v>
      </c>
      <c r="C125" s="89">
        <v>43851</v>
      </c>
      <c r="F125" s="83" t="s">
        <v>579</v>
      </c>
      <c r="G125" s="90">
        <v>9185368819</v>
      </c>
      <c r="H125" s="90" t="s">
        <v>103</v>
      </c>
      <c r="I125" s="90">
        <v>33</v>
      </c>
      <c r="J125" s="90">
        <v>80</v>
      </c>
      <c r="K125" s="90" t="s">
        <v>51</v>
      </c>
      <c r="L125" s="91">
        <v>0.40625</v>
      </c>
      <c r="M125" s="91">
        <v>0.4236111111111111</v>
      </c>
      <c r="N125" s="91">
        <v>0.43055555555555558</v>
      </c>
      <c r="O125" s="91">
        <f t="shared" si="9"/>
        <v>1.7361111111111105E-2</v>
      </c>
      <c r="P125" s="91">
        <f t="shared" si="9"/>
        <v>6.9444444444444753E-3</v>
      </c>
      <c r="R125" s="88" t="s">
        <v>422</v>
      </c>
    </row>
    <row r="126" spans="1:19" x14ac:dyDescent="0.25">
      <c r="A126" s="83">
        <f t="shared" si="8"/>
        <v>4</v>
      </c>
      <c r="B126" s="89">
        <v>43851</v>
      </c>
      <c r="C126" s="89">
        <v>43851</v>
      </c>
      <c r="F126" s="83" t="s">
        <v>343</v>
      </c>
      <c r="G126" s="90">
        <v>9185371867</v>
      </c>
      <c r="H126" s="90" t="s">
        <v>103</v>
      </c>
      <c r="I126" s="90">
        <v>33</v>
      </c>
      <c r="J126" s="90">
        <v>80</v>
      </c>
      <c r="L126" s="91">
        <v>0.49305555555555558</v>
      </c>
      <c r="M126" s="91">
        <v>0.5</v>
      </c>
      <c r="N126" s="91">
        <v>0.51736111111111105</v>
      </c>
      <c r="O126" s="91">
        <f t="shared" si="9"/>
        <v>6.9444444444444198E-3</v>
      </c>
      <c r="P126" s="91">
        <f t="shared" si="9"/>
        <v>1.7361111111111049E-2</v>
      </c>
      <c r="R126" s="88" t="s">
        <v>422</v>
      </c>
    </row>
    <row r="127" spans="1:19" ht="16.5" thickBot="1" x14ac:dyDescent="0.3">
      <c r="A127" s="83">
        <f t="shared" si="8"/>
        <v>4</v>
      </c>
      <c r="B127" s="89">
        <v>43851</v>
      </c>
      <c r="C127" s="89">
        <v>43851</v>
      </c>
      <c r="D127" s="355">
        <v>1000452128</v>
      </c>
      <c r="E127" s="90">
        <v>480</v>
      </c>
      <c r="F127" s="83" t="s">
        <v>363</v>
      </c>
      <c r="G127" s="90" t="s">
        <v>591</v>
      </c>
      <c r="H127" s="90" t="s">
        <v>103</v>
      </c>
      <c r="I127" s="90">
        <v>36</v>
      </c>
      <c r="J127" s="90">
        <v>80</v>
      </c>
      <c r="K127" s="90" t="s">
        <v>51</v>
      </c>
      <c r="L127" s="91">
        <v>0.62152777777777779</v>
      </c>
      <c r="M127" s="91">
        <v>0.625</v>
      </c>
      <c r="N127" s="91">
        <v>0.64583333333333337</v>
      </c>
      <c r="O127" s="91">
        <f t="shared" si="9"/>
        <v>3.4722222222222099E-3</v>
      </c>
      <c r="P127" s="91">
        <f t="shared" si="9"/>
        <v>2.083333333333337E-2</v>
      </c>
      <c r="Q127" s="91">
        <v>0.64930555555555558</v>
      </c>
      <c r="S127" s="348">
        <f>O127+P127</f>
        <v>2.430555555555558E-2</v>
      </c>
    </row>
    <row r="128" spans="1:19" s="202" customFormat="1" ht="16.5" thickBot="1" x14ac:dyDescent="0.3">
      <c r="A128" s="196">
        <f t="shared" si="8"/>
        <v>4</v>
      </c>
      <c r="B128" s="209">
        <v>43851</v>
      </c>
      <c r="C128" s="209">
        <v>43851</v>
      </c>
      <c r="D128" s="356">
        <v>1000452118</v>
      </c>
      <c r="E128" s="210">
        <v>300</v>
      </c>
      <c r="F128" s="196" t="s">
        <v>425</v>
      </c>
      <c r="G128" s="210" t="s">
        <v>595</v>
      </c>
      <c r="H128" s="210" t="s">
        <v>103</v>
      </c>
      <c r="I128" s="210">
        <v>33</v>
      </c>
      <c r="J128" s="210">
        <v>80</v>
      </c>
      <c r="K128" s="210" t="s">
        <v>51</v>
      </c>
      <c r="L128" s="211">
        <v>0.64236111111111105</v>
      </c>
      <c r="M128" s="211">
        <v>0.65972222222222221</v>
      </c>
      <c r="N128" s="211">
        <v>0.67361111111111116</v>
      </c>
      <c r="O128" s="211">
        <f t="shared" si="9"/>
        <v>1.736111111111116E-2</v>
      </c>
      <c r="P128" s="211">
        <f t="shared" si="9"/>
        <v>1.3888888888888951E-2</v>
      </c>
      <c r="Q128" s="211">
        <v>0.67708333333333337</v>
      </c>
      <c r="R128" s="212"/>
      <c r="S128" s="348">
        <f>O128+P128</f>
        <v>3.1250000000000111E-2</v>
      </c>
    </row>
    <row r="129" spans="1:20" x14ac:dyDescent="0.25">
      <c r="A129" s="110">
        <f t="shared" si="8"/>
        <v>4</v>
      </c>
      <c r="B129" s="111">
        <v>43852</v>
      </c>
      <c r="C129" s="111">
        <v>43852</v>
      </c>
      <c r="D129" s="357"/>
      <c r="E129" s="207"/>
      <c r="F129" s="110" t="s">
        <v>331</v>
      </c>
      <c r="G129" s="207">
        <v>9185363722</v>
      </c>
      <c r="H129" s="207" t="s">
        <v>103</v>
      </c>
      <c r="I129" s="207">
        <v>33</v>
      </c>
      <c r="J129" s="207">
        <v>80</v>
      </c>
      <c r="K129" s="207"/>
      <c r="L129" s="208">
        <v>0.25694444444444448</v>
      </c>
      <c r="M129" s="208">
        <v>0.26041666666666669</v>
      </c>
      <c r="N129" s="208">
        <v>0.27083333333333331</v>
      </c>
      <c r="O129" s="208">
        <f t="shared" si="9"/>
        <v>3.4722222222222099E-3</v>
      </c>
      <c r="P129" s="208">
        <f t="shared" si="9"/>
        <v>1.041666666666663E-2</v>
      </c>
      <c r="Q129" s="208"/>
      <c r="R129" s="244" t="s">
        <v>422</v>
      </c>
      <c r="S129" s="112"/>
    </row>
    <row r="130" spans="1:20" x14ac:dyDescent="0.25">
      <c r="A130" s="83">
        <f t="shared" si="8"/>
        <v>4</v>
      </c>
      <c r="B130" s="89">
        <v>43852</v>
      </c>
      <c r="C130" s="89">
        <v>43852</v>
      </c>
      <c r="F130" s="83" t="s">
        <v>335</v>
      </c>
      <c r="G130" s="90">
        <v>9185391350</v>
      </c>
      <c r="H130" s="90" t="s">
        <v>103</v>
      </c>
      <c r="I130" s="90">
        <v>33</v>
      </c>
      <c r="J130" s="90">
        <v>80</v>
      </c>
      <c r="L130" s="91">
        <v>0.29166666666666669</v>
      </c>
      <c r="M130" s="91">
        <v>0.30208333333333331</v>
      </c>
      <c r="N130" s="91">
        <v>0.3125</v>
      </c>
      <c r="O130" s="91">
        <f t="shared" si="9"/>
        <v>1.041666666666663E-2</v>
      </c>
      <c r="P130" s="91">
        <f t="shared" si="9"/>
        <v>1.0416666666666685E-2</v>
      </c>
      <c r="R130" s="88" t="s">
        <v>600</v>
      </c>
    </row>
    <row r="131" spans="1:20" x14ac:dyDescent="0.25">
      <c r="A131" s="83">
        <f t="shared" si="8"/>
        <v>4</v>
      </c>
      <c r="B131" s="89">
        <v>43852</v>
      </c>
      <c r="C131" s="89">
        <v>43852</v>
      </c>
      <c r="F131" s="83" t="s">
        <v>343</v>
      </c>
      <c r="G131" s="90">
        <v>9185396156</v>
      </c>
      <c r="H131" s="90" t="s">
        <v>103</v>
      </c>
      <c r="I131" s="90">
        <v>33</v>
      </c>
      <c r="J131" s="90">
        <v>80</v>
      </c>
      <c r="L131" s="91">
        <v>0.34027777777777773</v>
      </c>
      <c r="M131" s="91">
        <v>0.34375</v>
      </c>
      <c r="N131" s="91">
        <v>0.35416666666666669</v>
      </c>
      <c r="O131" s="91">
        <f t="shared" si="9"/>
        <v>3.4722222222222654E-3</v>
      </c>
      <c r="P131" s="91">
        <f t="shared" si="9"/>
        <v>1.0416666666666685E-2</v>
      </c>
      <c r="R131" s="88" t="s">
        <v>601</v>
      </c>
    </row>
    <row r="132" spans="1:20" ht="16.5" thickBot="1" x14ac:dyDescent="0.3">
      <c r="A132" s="83">
        <f t="shared" si="8"/>
        <v>4</v>
      </c>
      <c r="B132" s="89">
        <v>43852</v>
      </c>
      <c r="C132" s="89">
        <v>43852</v>
      </c>
      <c r="E132" s="90">
        <v>480</v>
      </c>
      <c r="F132" s="83" t="s">
        <v>413</v>
      </c>
      <c r="G132" s="90">
        <v>186879051</v>
      </c>
      <c r="H132" s="90" t="s">
        <v>103</v>
      </c>
      <c r="I132" s="90">
        <v>34</v>
      </c>
      <c r="L132" s="91">
        <v>0.33680555555555558</v>
      </c>
      <c r="M132" s="91">
        <v>0.3611111111111111</v>
      </c>
      <c r="N132" s="91">
        <v>0.375</v>
      </c>
      <c r="O132" s="91">
        <f t="shared" si="9"/>
        <v>2.4305555555555525E-2</v>
      </c>
      <c r="P132" s="91">
        <f t="shared" si="9"/>
        <v>1.3888888888888895E-2</v>
      </c>
      <c r="Q132" s="91">
        <v>0.37847222222222227</v>
      </c>
      <c r="S132" s="348">
        <f>O132+P132</f>
        <v>3.819444444444442E-2</v>
      </c>
    </row>
    <row r="133" spans="1:20" ht="16.5" thickBot="1" x14ac:dyDescent="0.3">
      <c r="A133" s="83">
        <f t="shared" si="8"/>
        <v>4</v>
      </c>
      <c r="B133" s="89">
        <v>43852</v>
      </c>
      <c r="C133" s="89">
        <v>43852</v>
      </c>
      <c r="D133" s="355">
        <v>1000453192</v>
      </c>
      <c r="E133" s="90">
        <v>420</v>
      </c>
      <c r="F133" s="83" t="s">
        <v>445</v>
      </c>
      <c r="G133" s="90" t="s">
        <v>602</v>
      </c>
      <c r="H133" s="90" t="s">
        <v>103</v>
      </c>
      <c r="I133" s="90">
        <v>44</v>
      </c>
      <c r="J133" s="90">
        <v>80</v>
      </c>
      <c r="K133" s="90" t="s">
        <v>51</v>
      </c>
      <c r="L133" s="91">
        <v>0.4201388888888889</v>
      </c>
      <c r="M133" s="91">
        <v>0.46180555555555558</v>
      </c>
      <c r="N133" s="91">
        <v>0.4861111111111111</v>
      </c>
      <c r="O133" s="91">
        <f t="shared" si="9"/>
        <v>4.1666666666666685E-2</v>
      </c>
      <c r="P133" s="91">
        <f t="shared" si="9"/>
        <v>2.4305555555555525E-2</v>
      </c>
      <c r="Q133" s="91">
        <v>0.48958333333333331</v>
      </c>
      <c r="S133" s="348">
        <f>O133+P133</f>
        <v>6.597222222222221E-2</v>
      </c>
    </row>
    <row r="134" spans="1:20" x14ac:dyDescent="0.25">
      <c r="A134" s="83">
        <f t="shared" si="8"/>
        <v>4</v>
      </c>
      <c r="B134" s="89">
        <v>43852</v>
      </c>
      <c r="C134" s="89">
        <v>43852</v>
      </c>
      <c r="F134" s="83" t="s">
        <v>368</v>
      </c>
      <c r="G134" s="90">
        <v>9185398927</v>
      </c>
      <c r="H134" s="90" t="s">
        <v>103</v>
      </c>
      <c r="I134" s="90">
        <v>33</v>
      </c>
      <c r="J134" s="90">
        <v>80</v>
      </c>
      <c r="L134" s="91">
        <v>0.4513888888888889</v>
      </c>
      <c r="M134" s="91">
        <v>0.46180555555555558</v>
      </c>
      <c r="N134" s="91">
        <v>0.47569444444444442</v>
      </c>
      <c r="O134" s="91">
        <f t="shared" si="9"/>
        <v>1.0416666666666685E-2</v>
      </c>
      <c r="P134" s="91">
        <f t="shared" si="9"/>
        <v>1.388888888888884E-2</v>
      </c>
      <c r="R134" s="88" t="s">
        <v>422</v>
      </c>
    </row>
    <row r="135" spans="1:20" s="202" customFormat="1" ht="16.5" thickBot="1" x14ac:dyDescent="0.3">
      <c r="A135" s="196">
        <f t="shared" si="8"/>
        <v>4</v>
      </c>
      <c r="B135" s="209">
        <v>43852</v>
      </c>
      <c r="C135" s="209">
        <v>43852</v>
      </c>
      <c r="D135" s="356">
        <v>1000451027</v>
      </c>
      <c r="E135" s="210">
        <v>240</v>
      </c>
      <c r="F135" s="196" t="s">
        <v>521</v>
      </c>
      <c r="G135" s="210" t="s">
        <v>611</v>
      </c>
      <c r="H135" s="210" t="s">
        <v>103</v>
      </c>
      <c r="I135" s="210">
        <v>9</v>
      </c>
      <c r="J135" s="210">
        <v>80</v>
      </c>
      <c r="K135" s="210" t="s">
        <v>51</v>
      </c>
      <c r="L135" s="211">
        <v>0.625</v>
      </c>
      <c r="M135" s="211">
        <v>0.64583333333333337</v>
      </c>
      <c r="N135" s="211">
        <v>0.65277777777777779</v>
      </c>
      <c r="O135" s="211">
        <f t="shared" si="9"/>
        <v>2.083333333333337E-2</v>
      </c>
      <c r="P135" s="211">
        <f t="shared" si="9"/>
        <v>6.9444444444444198E-3</v>
      </c>
      <c r="Q135" s="211">
        <v>0.66319444444444442</v>
      </c>
      <c r="R135" s="212"/>
      <c r="S135" s="348">
        <f>O135+P135</f>
        <v>2.777777777777779E-2</v>
      </c>
    </row>
    <row r="136" spans="1:20" x14ac:dyDescent="0.25">
      <c r="A136" s="110">
        <f t="shared" si="8"/>
        <v>4</v>
      </c>
      <c r="B136" s="111">
        <v>43853</v>
      </c>
      <c r="C136" s="111">
        <v>43853</v>
      </c>
      <c r="D136" s="357"/>
      <c r="E136" s="207"/>
      <c r="F136" s="110" t="s">
        <v>331</v>
      </c>
      <c r="G136" s="207">
        <v>9185405944</v>
      </c>
      <c r="H136" s="207" t="s">
        <v>103</v>
      </c>
      <c r="I136" s="207">
        <v>33</v>
      </c>
      <c r="J136" s="207">
        <v>80</v>
      </c>
      <c r="K136" s="207"/>
      <c r="L136" s="208">
        <v>0.2951388888888889</v>
      </c>
      <c r="M136" s="208">
        <v>0.2986111111111111</v>
      </c>
      <c r="N136" s="208">
        <v>0.30902777777777779</v>
      </c>
      <c r="O136" s="208">
        <f t="shared" si="9"/>
        <v>3.4722222222222099E-3</v>
      </c>
      <c r="P136" s="208">
        <f t="shared" si="9"/>
        <v>1.0416666666666685E-2</v>
      </c>
      <c r="Q136" s="208"/>
      <c r="R136" s="244" t="s">
        <v>422</v>
      </c>
      <c r="S136" s="112"/>
      <c r="T136" s="112"/>
    </row>
    <row r="137" spans="1:20" s="202" customFormat="1" ht="16.5" thickBot="1" x14ac:dyDescent="0.3">
      <c r="A137" s="196">
        <f t="shared" si="8"/>
        <v>4</v>
      </c>
      <c r="B137" s="209">
        <v>43853</v>
      </c>
      <c r="C137" s="209">
        <v>43853</v>
      </c>
      <c r="D137" s="356"/>
      <c r="E137" s="210">
        <v>420</v>
      </c>
      <c r="F137" s="196" t="s">
        <v>420</v>
      </c>
      <c r="G137" s="210">
        <v>186928265</v>
      </c>
      <c r="H137" s="210" t="s">
        <v>103</v>
      </c>
      <c r="I137" s="210">
        <v>34</v>
      </c>
      <c r="J137" s="210"/>
      <c r="K137" s="210"/>
      <c r="L137" s="211">
        <v>0.37152777777777773</v>
      </c>
      <c r="M137" s="211">
        <v>0.38541666666666669</v>
      </c>
      <c r="N137" s="211">
        <v>0.40277777777777773</v>
      </c>
      <c r="O137" s="211">
        <f t="shared" si="9"/>
        <v>1.3888888888888951E-2</v>
      </c>
      <c r="P137" s="211">
        <f t="shared" si="9"/>
        <v>1.7361111111111049E-2</v>
      </c>
      <c r="Q137" s="211">
        <v>0.40625</v>
      </c>
      <c r="R137" s="212"/>
      <c r="S137" s="348">
        <f>O137+P137</f>
        <v>3.125E-2</v>
      </c>
    </row>
    <row r="138" spans="1:20" s="112" customFormat="1" ht="16.5" thickBot="1" x14ac:dyDescent="0.3">
      <c r="A138" s="110">
        <f t="shared" si="8"/>
        <v>4</v>
      </c>
      <c r="B138" s="111">
        <v>43854</v>
      </c>
      <c r="C138" s="111">
        <v>43854</v>
      </c>
      <c r="D138" s="357"/>
      <c r="E138" s="207">
        <v>420</v>
      </c>
      <c r="F138" s="110" t="s">
        <v>442</v>
      </c>
      <c r="G138" s="207">
        <v>186925716</v>
      </c>
      <c r="H138" s="207" t="s">
        <v>103</v>
      </c>
      <c r="I138" s="207">
        <v>34</v>
      </c>
      <c r="J138" s="207"/>
      <c r="K138" s="207"/>
      <c r="L138" s="208">
        <v>0.35069444444444442</v>
      </c>
      <c r="M138" s="208">
        <v>0.3611111111111111</v>
      </c>
      <c r="N138" s="208">
        <v>0.38194444444444442</v>
      </c>
      <c r="O138" s="208">
        <f t="shared" si="9"/>
        <v>1.0416666666666685E-2</v>
      </c>
      <c r="P138" s="208">
        <f t="shared" si="9"/>
        <v>2.0833333333333315E-2</v>
      </c>
      <c r="Q138" s="208">
        <v>0.38541666666666669</v>
      </c>
      <c r="R138" s="244"/>
      <c r="S138" s="348">
        <f>O138+P138</f>
        <v>3.125E-2</v>
      </c>
    </row>
    <row r="139" spans="1:20" x14ac:dyDescent="0.25">
      <c r="A139" s="83">
        <f t="shared" si="8"/>
        <v>4</v>
      </c>
      <c r="B139" s="111">
        <v>43854</v>
      </c>
      <c r="C139" s="111">
        <v>43854</v>
      </c>
      <c r="F139" s="83" t="s">
        <v>331</v>
      </c>
      <c r="G139" s="90">
        <v>9185436138</v>
      </c>
      <c r="H139" s="90" t="s">
        <v>103</v>
      </c>
      <c r="I139" s="90">
        <v>33</v>
      </c>
      <c r="J139" s="90">
        <v>80</v>
      </c>
      <c r="L139" s="91">
        <v>0.38541666666666669</v>
      </c>
      <c r="M139" s="91">
        <v>0.3888888888888889</v>
      </c>
      <c r="N139" s="91">
        <v>0.39930555555555558</v>
      </c>
      <c r="O139" s="91">
        <f t="shared" si="9"/>
        <v>3.4722222222222099E-3</v>
      </c>
      <c r="P139" s="91">
        <f t="shared" si="9"/>
        <v>1.0416666666666685E-2</v>
      </c>
      <c r="R139" s="88" t="s">
        <v>421</v>
      </c>
    </row>
    <row r="140" spans="1:20" ht="16.5" thickBot="1" x14ac:dyDescent="0.3">
      <c r="A140" s="83">
        <f t="shared" si="8"/>
        <v>4</v>
      </c>
      <c r="B140" s="111">
        <v>43854</v>
      </c>
      <c r="C140" s="111">
        <v>43854</v>
      </c>
      <c r="D140" s="355">
        <v>1000453899</v>
      </c>
      <c r="E140" s="90">
        <v>480</v>
      </c>
      <c r="F140" s="83" t="s">
        <v>424</v>
      </c>
      <c r="G140" s="90" t="s">
        <v>633</v>
      </c>
      <c r="H140" s="90" t="s">
        <v>103</v>
      </c>
      <c r="I140" s="90">
        <v>33</v>
      </c>
      <c r="J140" s="90">
        <v>80</v>
      </c>
      <c r="K140" s="90" t="s">
        <v>51</v>
      </c>
      <c r="L140" s="91">
        <v>0.39583333333333331</v>
      </c>
      <c r="M140" s="91">
        <v>0.40972222222222227</v>
      </c>
      <c r="N140" s="91">
        <v>0.43055555555555558</v>
      </c>
      <c r="O140" s="91">
        <f t="shared" si="9"/>
        <v>1.3888888888888951E-2</v>
      </c>
      <c r="P140" s="91">
        <f t="shared" si="9"/>
        <v>2.0833333333333315E-2</v>
      </c>
      <c r="Q140" s="91">
        <v>0.46527777777777773</v>
      </c>
      <c r="S140" s="348">
        <f>O140+P140</f>
        <v>3.4722222222222265E-2</v>
      </c>
    </row>
    <row r="141" spans="1:20" ht="16.5" thickBot="1" x14ac:dyDescent="0.3">
      <c r="A141" s="83">
        <f t="shared" si="8"/>
        <v>4</v>
      </c>
      <c r="B141" s="111">
        <v>43854</v>
      </c>
      <c r="C141" s="111">
        <v>43854</v>
      </c>
      <c r="D141" s="355">
        <v>1000453193</v>
      </c>
      <c r="E141" s="90">
        <v>540</v>
      </c>
      <c r="F141" s="83" t="s">
        <v>463</v>
      </c>
      <c r="G141" s="90" t="s">
        <v>634</v>
      </c>
      <c r="H141" s="90" t="s">
        <v>103</v>
      </c>
      <c r="I141" s="90">
        <v>47</v>
      </c>
      <c r="J141" s="90">
        <v>80</v>
      </c>
      <c r="K141" s="90" t="s">
        <v>51</v>
      </c>
      <c r="L141" s="91">
        <v>0.41666666666666669</v>
      </c>
      <c r="M141" s="91">
        <v>0.46875</v>
      </c>
      <c r="N141" s="91">
        <v>0.49652777777777773</v>
      </c>
      <c r="O141" s="91">
        <f t="shared" si="9"/>
        <v>5.2083333333333315E-2</v>
      </c>
      <c r="P141" s="91">
        <f t="shared" si="9"/>
        <v>2.7777777777777735E-2</v>
      </c>
      <c r="Q141" s="91">
        <v>0.5</v>
      </c>
      <c r="S141" s="348">
        <f>O141+P141</f>
        <v>7.9861111111111049E-2</v>
      </c>
    </row>
    <row r="142" spans="1:20" ht="15.75" customHeight="1" thickBot="1" x14ac:dyDescent="0.3">
      <c r="A142" s="83">
        <f t="shared" si="8"/>
        <v>4</v>
      </c>
      <c r="B142" s="111">
        <v>43854</v>
      </c>
      <c r="C142" s="111">
        <v>43854</v>
      </c>
      <c r="D142" s="355">
        <v>1000454542</v>
      </c>
      <c r="E142" s="90">
        <v>300</v>
      </c>
      <c r="F142" s="83" t="s">
        <v>635</v>
      </c>
      <c r="G142" s="90" t="s">
        <v>636</v>
      </c>
      <c r="H142" s="90" t="s">
        <v>103</v>
      </c>
      <c r="I142" s="90">
        <v>44</v>
      </c>
      <c r="J142" s="90">
        <v>80</v>
      </c>
      <c r="K142" s="90" t="s">
        <v>51</v>
      </c>
      <c r="L142" s="91">
        <v>0.49652777777777773</v>
      </c>
      <c r="M142" s="91">
        <v>0.51041666666666663</v>
      </c>
      <c r="N142" s="91">
        <v>0.54166666666666663</v>
      </c>
      <c r="O142" s="91">
        <f t="shared" si="9"/>
        <v>1.3888888888888895E-2</v>
      </c>
      <c r="P142" s="91">
        <f t="shared" si="9"/>
        <v>3.125E-2</v>
      </c>
      <c r="Q142" s="91">
        <v>0.54861111111111105</v>
      </c>
      <c r="S142" s="348">
        <f>O142+P142</f>
        <v>4.5138888888888895E-2</v>
      </c>
    </row>
    <row r="143" spans="1:20" ht="15.75" customHeight="1" thickBot="1" x14ac:dyDescent="0.3">
      <c r="A143" s="83">
        <f t="shared" si="8"/>
        <v>4</v>
      </c>
      <c r="B143" s="111">
        <v>43854</v>
      </c>
      <c r="C143" s="111">
        <v>43854</v>
      </c>
      <c r="D143" s="355">
        <v>1000453671</v>
      </c>
      <c r="E143" s="90">
        <v>300</v>
      </c>
      <c r="F143" s="83" t="s">
        <v>437</v>
      </c>
      <c r="G143" s="90" t="s">
        <v>637</v>
      </c>
      <c r="H143" s="90" t="s">
        <v>103</v>
      </c>
      <c r="I143" s="90">
        <v>34</v>
      </c>
      <c r="J143" s="90">
        <v>80</v>
      </c>
      <c r="K143" s="90" t="s">
        <v>51</v>
      </c>
      <c r="L143" s="91">
        <v>0.5</v>
      </c>
      <c r="M143" s="91">
        <v>0.55208333333333337</v>
      </c>
      <c r="N143" s="91">
        <v>0.56944444444444442</v>
      </c>
      <c r="O143" s="91">
        <f t="shared" si="9"/>
        <v>5.208333333333337E-2</v>
      </c>
      <c r="P143" s="91">
        <f t="shared" si="9"/>
        <v>1.7361111111111049E-2</v>
      </c>
      <c r="Q143" s="91">
        <v>0.57291666666666663</v>
      </c>
      <c r="S143" s="348">
        <f>O143+P143</f>
        <v>6.944444444444442E-2</v>
      </c>
    </row>
    <row r="144" spans="1:20" s="202" customFormat="1" ht="15.75" customHeight="1" thickBot="1" x14ac:dyDescent="0.3">
      <c r="A144" s="196">
        <f t="shared" si="8"/>
        <v>4</v>
      </c>
      <c r="B144" s="209">
        <v>43854</v>
      </c>
      <c r="C144" s="209">
        <v>43854</v>
      </c>
      <c r="D144" s="356"/>
      <c r="E144" s="210"/>
      <c r="F144" s="196" t="s">
        <v>335</v>
      </c>
      <c r="G144" s="210">
        <v>9185427690</v>
      </c>
      <c r="H144" s="210" t="s">
        <v>103</v>
      </c>
      <c r="I144" s="210">
        <v>33</v>
      </c>
      <c r="J144" s="210">
        <v>80</v>
      </c>
      <c r="K144" s="210"/>
      <c r="L144" s="211">
        <v>0.51388888888888895</v>
      </c>
      <c r="M144" s="211">
        <v>0.51736111111111105</v>
      </c>
      <c r="N144" s="211">
        <v>0.53125</v>
      </c>
      <c r="O144" s="211">
        <f t="shared" si="9"/>
        <v>3.4722222222220989E-3</v>
      </c>
      <c r="P144" s="211">
        <f t="shared" si="9"/>
        <v>1.3888888888888951E-2</v>
      </c>
      <c r="Q144" s="211"/>
      <c r="R144" s="212" t="s">
        <v>638</v>
      </c>
    </row>
    <row r="145" spans="1:21" ht="15.75" customHeight="1" x14ac:dyDescent="0.25">
      <c r="A145" s="110">
        <f t="shared" si="8"/>
        <v>4</v>
      </c>
      <c r="B145" s="111">
        <v>43855</v>
      </c>
      <c r="C145" s="111">
        <v>43855</v>
      </c>
      <c r="D145" s="357"/>
      <c r="E145" s="207"/>
      <c r="F145" s="110" t="s">
        <v>331</v>
      </c>
      <c r="G145" s="207">
        <v>9185462127</v>
      </c>
      <c r="H145" s="207" t="s">
        <v>103</v>
      </c>
      <c r="I145" s="207">
        <v>33</v>
      </c>
      <c r="J145" s="207">
        <v>80</v>
      </c>
      <c r="K145" s="207"/>
      <c r="L145" s="208">
        <v>0.2951388888888889</v>
      </c>
      <c r="M145" s="208">
        <v>0.30208333333333331</v>
      </c>
      <c r="N145" s="208">
        <v>0.30902777777777779</v>
      </c>
      <c r="O145" s="208">
        <f t="shared" si="9"/>
        <v>6.9444444444444198E-3</v>
      </c>
      <c r="P145" s="208">
        <f t="shared" si="9"/>
        <v>6.9444444444444753E-3</v>
      </c>
      <c r="Q145" s="208"/>
      <c r="R145" s="244" t="s">
        <v>460</v>
      </c>
      <c r="S145" s="112"/>
    </row>
    <row r="146" spans="1:21" ht="15.75" customHeight="1" x14ac:dyDescent="0.25">
      <c r="A146" s="83">
        <f t="shared" si="8"/>
        <v>4</v>
      </c>
      <c r="B146" s="111">
        <v>43855</v>
      </c>
      <c r="C146" s="111">
        <v>43855</v>
      </c>
      <c r="F146" s="83" t="s">
        <v>335</v>
      </c>
      <c r="G146" s="90">
        <v>9185424092</v>
      </c>
      <c r="H146" s="90" t="s">
        <v>103</v>
      </c>
      <c r="I146" s="90">
        <v>33</v>
      </c>
      <c r="J146" s="90">
        <v>80</v>
      </c>
      <c r="L146" s="91">
        <v>0.33333333333333331</v>
      </c>
      <c r="M146" s="91">
        <v>0.33680555555555558</v>
      </c>
      <c r="N146" s="91">
        <v>0.34722222222222227</v>
      </c>
      <c r="O146" s="91">
        <f t="shared" si="9"/>
        <v>3.4722222222222654E-3</v>
      </c>
      <c r="P146" s="91">
        <f t="shared" si="9"/>
        <v>1.0416666666666685E-2</v>
      </c>
      <c r="R146" s="88" t="s">
        <v>652</v>
      </c>
    </row>
    <row r="147" spans="1:21" ht="15.75" customHeight="1" thickBot="1" x14ac:dyDescent="0.3">
      <c r="A147" s="83">
        <f t="shared" si="8"/>
        <v>4</v>
      </c>
      <c r="B147" s="111">
        <v>43855</v>
      </c>
      <c r="C147" s="111">
        <v>43855</v>
      </c>
      <c r="E147" s="90">
        <v>420</v>
      </c>
      <c r="F147" s="83" t="s">
        <v>443</v>
      </c>
      <c r="G147" s="90">
        <v>186938093</v>
      </c>
      <c r="H147" s="90" t="s">
        <v>103</v>
      </c>
      <c r="I147" s="90">
        <v>34</v>
      </c>
      <c r="L147" s="91">
        <v>0.34375</v>
      </c>
      <c r="M147" s="91">
        <v>0.3576388888888889</v>
      </c>
      <c r="N147" s="91">
        <v>0.38541666666666669</v>
      </c>
      <c r="O147" s="91">
        <f t="shared" si="9"/>
        <v>1.3888888888888895E-2</v>
      </c>
      <c r="P147" s="91">
        <f t="shared" si="9"/>
        <v>2.777777777777779E-2</v>
      </c>
      <c r="Q147" s="91">
        <v>0.3888888888888889</v>
      </c>
      <c r="S147" s="348">
        <f>O147+P147</f>
        <v>4.1666666666666685E-2</v>
      </c>
    </row>
    <row r="148" spans="1:21" ht="15.75" customHeight="1" thickBot="1" x14ac:dyDescent="0.3">
      <c r="A148" s="83">
        <f t="shared" si="8"/>
        <v>4</v>
      </c>
      <c r="B148" s="111">
        <v>43855</v>
      </c>
      <c r="C148" s="111">
        <v>43855</v>
      </c>
      <c r="E148" s="90">
        <v>390</v>
      </c>
      <c r="F148" s="83" t="s">
        <v>455</v>
      </c>
      <c r="G148" s="90">
        <v>186938092</v>
      </c>
      <c r="H148" s="90" t="s">
        <v>103</v>
      </c>
      <c r="I148" s="90">
        <v>34</v>
      </c>
      <c r="L148" s="91">
        <v>0.35416666666666669</v>
      </c>
      <c r="M148" s="91">
        <v>0.36805555555555558</v>
      </c>
      <c r="N148" s="91">
        <v>0.39583333333333331</v>
      </c>
      <c r="O148" s="91">
        <f t="shared" si="9"/>
        <v>1.3888888888888895E-2</v>
      </c>
      <c r="P148" s="91">
        <f t="shared" si="9"/>
        <v>2.7777777777777735E-2</v>
      </c>
      <c r="Q148" s="91">
        <v>0.39930555555555558</v>
      </c>
      <c r="S148" s="348">
        <f>O148+P148</f>
        <v>4.166666666666663E-2</v>
      </c>
    </row>
    <row r="149" spans="1:21" ht="32.25" thickBot="1" x14ac:dyDescent="0.3">
      <c r="A149" s="83">
        <f t="shared" si="8"/>
        <v>4</v>
      </c>
      <c r="B149" s="111">
        <v>43855</v>
      </c>
      <c r="C149" s="111">
        <v>43855</v>
      </c>
      <c r="D149" s="355">
        <v>1000453194</v>
      </c>
      <c r="E149" s="90">
        <v>300</v>
      </c>
      <c r="F149" s="83" t="s">
        <v>653</v>
      </c>
      <c r="G149" s="79" t="s">
        <v>654</v>
      </c>
      <c r="H149" s="90" t="s">
        <v>103</v>
      </c>
      <c r="I149" s="90" t="s">
        <v>655</v>
      </c>
      <c r="J149" s="90">
        <v>80</v>
      </c>
      <c r="K149" s="90" t="s">
        <v>51</v>
      </c>
      <c r="L149" s="91">
        <v>0.35416666666666669</v>
      </c>
      <c r="M149" s="91">
        <v>0.42708333333333331</v>
      </c>
      <c r="N149" s="91">
        <v>0.44444444444444442</v>
      </c>
      <c r="O149" s="91">
        <f t="shared" si="9"/>
        <v>7.291666666666663E-2</v>
      </c>
      <c r="P149" s="91">
        <f t="shared" si="9"/>
        <v>1.7361111111111105E-2</v>
      </c>
      <c r="Q149" s="91">
        <v>0.44791666666666669</v>
      </c>
      <c r="S149" s="348">
        <f>O149+P149</f>
        <v>9.0277777777777735E-2</v>
      </c>
    </row>
    <row r="150" spans="1:21" s="202" customFormat="1" ht="15.75" customHeight="1" thickBot="1" x14ac:dyDescent="0.3">
      <c r="A150" s="196">
        <f t="shared" si="8"/>
        <v>4</v>
      </c>
      <c r="B150" s="209">
        <v>43855</v>
      </c>
      <c r="C150" s="209">
        <v>43855</v>
      </c>
      <c r="D150" s="356"/>
      <c r="E150" s="210"/>
      <c r="F150" s="196" t="s">
        <v>343</v>
      </c>
      <c r="G150" s="210">
        <v>9185294379</v>
      </c>
      <c r="H150" s="210" t="s">
        <v>103</v>
      </c>
      <c r="I150" s="210">
        <v>33</v>
      </c>
      <c r="J150" s="210">
        <v>80</v>
      </c>
      <c r="K150" s="210"/>
      <c r="L150" s="211">
        <v>0.5</v>
      </c>
      <c r="M150" s="211">
        <v>0.50694444444444442</v>
      </c>
      <c r="N150" s="211">
        <v>0.51736111111111105</v>
      </c>
      <c r="O150" s="211">
        <f t="shared" si="9"/>
        <v>6.9444444444444198E-3</v>
      </c>
      <c r="P150" s="211">
        <f t="shared" si="9"/>
        <v>1.041666666666663E-2</v>
      </c>
      <c r="Q150" s="211"/>
      <c r="R150" s="212" t="s">
        <v>656</v>
      </c>
    </row>
    <row r="151" spans="1:21" ht="15.75" customHeight="1" x14ac:dyDescent="0.25">
      <c r="A151" s="110">
        <f t="shared" si="8"/>
        <v>5</v>
      </c>
      <c r="B151" s="111">
        <v>43858</v>
      </c>
      <c r="C151" s="111">
        <v>43858</v>
      </c>
      <c r="D151" s="357"/>
      <c r="E151" s="207"/>
      <c r="F151" s="110" t="s">
        <v>668</v>
      </c>
      <c r="G151" s="207">
        <v>9185416733</v>
      </c>
      <c r="H151" s="207" t="s">
        <v>103</v>
      </c>
      <c r="I151" s="207">
        <v>33</v>
      </c>
      <c r="J151" s="207">
        <v>80</v>
      </c>
      <c r="K151" s="207"/>
      <c r="L151" s="208">
        <v>0.30902777777777779</v>
      </c>
      <c r="M151" s="208">
        <v>0.3125</v>
      </c>
      <c r="N151" s="208">
        <v>0.32291666666666669</v>
      </c>
      <c r="O151" s="208">
        <f t="shared" si="9"/>
        <v>3.4722222222222099E-3</v>
      </c>
      <c r="P151" s="208">
        <f t="shared" si="9"/>
        <v>1.0416666666666685E-2</v>
      </c>
      <c r="Q151" s="208"/>
      <c r="R151" s="244" t="s">
        <v>460</v>
      </c>
      <c r="S151" s="112"/>
      <c r="T151" s="112"/>
    </row>
    <row r="152" spans="1:21" ht="15.75" customHeight="1" thickBot="1" x14ac:dyDescent="0.3">
      <c r="A152" s="83">
        <f t="shared" si="8"/>
        <v>5</v>
      </c>
      <c r="B152" s="111">
        <v>43858</v>
      </c>
      <c r="C152" s="111">
        <v>43858</v>
      </c>
      <c r="D152" s="355">
        <v>1000453900</v>
      </c>
      <c r="E152" s="90">
        <v>600</v>
      </c>
      <c r="F152" s="83" t="s">
        <v>352</v>
      </c>
      <c r="G152" s="90" t="s">
        <v>669</v>
      </c>
      <c r="H152" s="90" t="s">
        <v>103</v>
      </c>
      <c r="I152" s="90">
        <v>33</v>
      </c>
      <c r="J152" s="90">
        <v>80</v>
      </c>
      <c r="K152" s="90" t="s">
        <v>51</v>
      </c>
      <c r="L152" s="91">
        <v>0.33333333333333331</v>
      </c>
      <c r="M152" s="91">
        <v>0.34375</v>
      </c>
      <c r="N152" s="91">
        <v>0.36458333333333331</v>
      </c>
      <c r="O152" s="91">
        <f t="shared" si="9"/>
        <v>1.0416666666666685E-2</v>
      </c>
      <c r="P152" s="91">
        <f t="shared" si="9"/>
        <v>2.0833333333333315E-2</v>
      </c>
      <c r="Q152" s="91">
        <v>0.40625</v>
      </c>
      <c r="S152" s="348">
        <f>O152+P152</f>
        <v>3.125E-2</v>
      </c>
    </row>
    <row r="153" spans="1:21" ht="15.75" customHeight="1" x14ac:dyDescent="0.25">
      <c r="A153" s="83">
        <f t="shared" si="8"/>
        <v>5</v>
      </c>
      <c r="B153" s="111">
        <v>43858</v>
      </c>
      <c r="C153" s="111">
        <v>43858</v>
      </c>
      <c r="F153" s="83" t="s">
        <v>579</v>
      </c>
      <c r="G153" s="90">
        <v>9185479979</v>
      </c>
      <c r="H153" s="90" t="s">
        <v>103</v>
      </c>
      <c r="I153" s="90">
        <v>33</v>
      </c>
      <c r="J153" s="90">
        <v>80</v>
      </c>
      <c r="L153" s="91">
        <v>0.34375</v>
      </c>
      <c r="M153" s="91">
        <v>0.34375</v>
      </c>
      <c r="N153" s="91">
        <v>0.35069444444444442</v>
      </c>
      <c r="O153" s="91">
        <f t="shared" si="9"/>
        <v>0</v>
      </c>
      <c r="P153" s="91">
        <f t="shared" si="9"/>
        <v>6.9444444444444198E-3</v>
      </c>
      <c r="R153" s="88" t="s">
        <v>460</v>
      </c>
    </row>
    <row r="154" spans="1:21" ht="15.75" customHeight="1" thickBot="1" x14ac:dyDescent="0.3">
      <c r="A154" s="83">
        <f t="shared" si="8"/>
        <v>5</v>
      </c>
      <c r="B154" s="111">
        <v>43858</v>
      </c>
      <c r="C154" s="111">
        <v>43858</v>
      </c>
      <c r="E154" s="90">
        <v>540</v>
      </c>
      <c r="F154" s="83" t="s">
        <v>413</v>
      </c>
      <c r="G154" s="90" t="s">
        <v>670</v>
      </c>
      <c r="H154" s="90" t="s">
        <v>103</v>
      </c>
      <c r="I154" s="90">
        <v>34</v>
      </c>
      <c r="L154" s="91">
        <v>0.34722222222222227</v>
      </c>
      <c r="M154" s="91">
        <v>0.3611111111111111</v>
      </c>
      <c r="N154" s="91">
        <v>0.37847222222222227</v>
      </c>
      <c r="O154" s="91">
        <f t="shared" si="9"/>
        <v>1.388888888888884E-2</v>
      </c>
      <c r="P154" s="91">
        <f t="shared" si="9"/>
        <v>1.736111111111116E-2</v>
      </c>
      <c r="Q154" s="91">
        <v>0.38194444444444442</v>
      </c>
      <c r="S154" s="348">
        <f>O154+P154</f>
        <v>3.125E-2</v>
      </c>
    </row>
    <row r="155" spans="1:21" s="202" customFormat="1" ht="15.75" customHeight="1" thickBot="1" x14ac:dyDescent="0.3">
      <c r="A155" s="196">
        <f t="shared" si="8"/>
        <v>5</v>
      </c>
      <c r="B155" s="209">
        <v>43858</v>
      </c>
      <c r="C155" s="209">
        <v>43858</v>
      </c>
      <c r="D155" s="356"/>
      <c r="E155" s="210"/>
      <c r="F155" s="196" t="s">
        <v>343</v>
      </c>
      <c r="G155" s="210">
        <v>9185482786</v>
      </c>
      <c r="H155" s="210" t="s">
        <v>103</v>
      </c>
      <c r="I155" s="210">
        <v>33</v>
      </c>
      <c r="J155" s="210">
        <v>80</v>
      </c>
      <c r="K155" s="210"/>
      <c r="L155" s="211">
        <v>0.40625</v>
      </c>
      <c r="M155" s="211">
        <v>0.40972222222222227</v>
      </c>
      <c r="N155" s="211">
        <v>0.4236111111111111</v>
      </c>
      <c r="O155" s="211">
        <f t="shared" si="9"/>
        <v>3.4722222222222654E-3</v>
      </c>
      <c r="P155" s="211">
        <f t="shared" si="9"/>
        <v>1.388888888888884E-2</v>
      </c>
      <c r="Q155" s="211"/>
      <c r="R155" s="212" t="s">
        <v>460</v>
      </c>
    </row>
    <row r="156" spans="1:21" s="112" customFormat="1" ht="15.75" customHeight="1" x14ac:dyDescent="0.25">
      <c r="A156" s="110">
        <f t="shared" si="8"/>
        <v>5</v>
      </c>
      <c r="B156" s="111">
        <v>43859</v>
      </c>
      <c r="C156" s="111">
        <v>43859</v>
      </c>
      <c r="D156" s="357"/>
      <c r="E156" s="207"/>
      <c r="F156" s="110" t="s">
        <v>331</v>
      </c>
      <c r="G156" s="207">
        <v>9185484921</v>
      </c>
      <c r="H156" s="207" t="s">
        <v>103</v>
      </c>
      <c r="I156" s="207">
        <v>33</v>
      </c>
      <c r="J156" s="207">
        <v>80</v>
      </c>
      <c r="K156" s="207"/>
      <c r="L156" s="208">
        <v>0.30902777777777779</v>
      </c>
      <c r="M156" s="208">
        <v>0.3125</v>
      </c>
      <c r="N156" s="208">
        <v>0.31944444444444448</v>
      </c>
      <c r="O156" s="208">
        <f t="shared" si="9"/>
        <v>3.4722222222222099E-3</v>
      </c>
      <c r="P156" s="208">
        <f t="shared" si="9"/>
        <v>6.9444444444444753E-3</v>
      </c>
      <c r="Q156" s="208"/>
      <c r="R156" s="88" t="s">
        <v>460</v>
      </c>
    </row>
    <row r="157" spans="1:21" ht="15.75" customHeight="1" thickBot="1" x14ac:dyDescent="0.3">
      <c r="A157" s="83">
        <f t="shared" si="8"/>
        <v>5</v>
      </c>
      <c r="B157" s="111">
        <v>43859</v>
      </c>
      <c r="C157" s="111">
        <v>43859</v>
      </c>
      <c r="D157" s="355">
        <v>1000455762</v>
      </c>
      <c r="E157" s="90">
        <v>600</v>
      </c>
      <c r="F157" s="83" t="s">
        <v>393</v>
      </c>
      <c r="G157" s="90" t="s">
        <v>685</v>
      </c>
      <c r="H157" s="90" t="s">
        <v>103</v>
      </c>
      <c r="I157" s="90">
        <v>48</v>
      </c>
      <c r="J157" s="90">
        <v>80</v>
      </c>
      <c r="K157" s="90" t="s">
        <v>51</v>
      </c>
      <c r="L157" s="91">
        <v>0.3611111111111111</v>
      </c>
      <c r="M157" s="91">
        <v>0.37152777777777773</v>
      </c>
      <c r="N157" s="91">
        <v>0.3923611111111111</v>
      </c>
      <c r="O157" s="91">
        <f t="shared" si="9"/>
        <v>1.041666666666663E-2</v>
      </c>
      <c r="P157" s="91">
        <f t="shared" si="9"/>
        <v>2.083333333333337E-2</v>
      </c>
      <c r="Q157" s="91">
        <v>0.39583333333333331</v>
      </c>
      <c r="S157" s="348">
        <f>O157+P157</f>
        <v>3.125E-2</v>
      </c>
    </row>
    <row r="158" spans="1:21" ht="15.75" customHeight="1" x14ac:dyDescent="0.25">
      <c r="A158" s="83">
        <f t="shared" si="8"/>
        <v>5</v>
      </c>
      <c r="B158" s="111">
        <v>43859</v>
      </c>
      <c r="C158" s="111">
        <v>43859</v>
      </c>
      <c r="F158" s="83" t="s">
        <v>335</v>
      </c>
      <c r="G158" s="90">
        <v>9185508828</v>
      </c>
      <c r="H158" s="90" t="s">
        <v>103</v>
      </c>
      <c r="I158" s="90">
        <v>33</v>
      </c>
      <c r="J158" s="90">
        <v>80</v>
      </c>
      <c r="L158" s="91">
        <v>0.45833333333333331</v>
      </c>
      <c r="M158" s="91">
        <v>0.46180555555555558</v>
      </c>
      <c r="N158" s="91">
        <v>0.46875</v>
      </c>
      <c r="O158" s="91">
        <f t="shared" si="9"/>
        <v>3.4722222222222654E-3</v>
      </c>
      <c r="P158" s="91">
        <f t="shared" si="9"/>
        <v>6.9444444444444198E-3</v>
      </c>
      <c r="R158" s="88" t="s">
        <v>656</v>
      </c>
    </row>
    <row r="159" spans="1:21" s="202" customFormat="1" ht="15.75" customHeight="1" thickBot="1" x14ac:dyDescent="0.3">
      <c r="A159" s="196">
        <f t="shared" si="8"/>
        <v>5</v>
      </c>
      <c r="B159" s="209">
        <v>43859</v>
      </c>
      <c r="C159" s="209">
        <v>43859</v>
      </c>
      <c r="D159" s="356">
        <v>1000454974</v>
      </c>
      <c r="E159" s="210">
        <v>120</v>
      </c>
      <c r="F159" s="196" t="s">
        <v>445</v>
      </c>
      <c r="G159" s="210" t="s">
        <v>692</v>
      </c>
      <c r="H159" s="210" t="s">
        <v>103</v>
      </c>
      <c r="I159" s="210">
        <v>43</v>
      </c>
      <c r="J159" s="210">
        <v>80</v>
      </c>
      <c r="K159" s="210" t="s">
        <v>51</v>
      </c>
      <c r="L159" s="211">
        <v>0.58680555555555558</v>
      </c>
      <c r="M159" s="211">
        <v>0.65277777777777779</v>
      </c>
      <c r="N159" s="211">
        <v>0.67361111111111116</v>
      </c>
      <c r="O159" s="211">
        <f t="shared" si="9"/>
        <v>6.597222222222221E-2</v>
      </c>
      <c r="P159" s="211">
        <f t="shared" si="9"/>
        <v>2.083333333333337E-2</v>
      </c>
      <c r="Q159" s="211">
        <v>16.2</v>
      </c>
      <c r="R159" s="212"/>
      <c r="S159" s="348">
        <f>O159+P159</f>
        <v>8.680555555555558E-2</v>
      </c>
    </row>
    <row r="160" spans="1:21" ht="15.75" customHeight="1" thickBot="1" x14ac:dyDescent="0.3">
      <c r="A160" s="110">
        <f t="shared" si="8"/>
        <v>5</v>
      </c>
      <c r="B160" s="111">
        <v>43860</v>
      </c>
      <c r="C160" s="111">
        <v>43860</v>
      </c>
      <c r="D160" s="357"/>
      <c r="E160" s="207">
        <v>600</v>
      </c>
      <c r="F160" s="110" t="s">
        <v>420</v>
      </c>
      <c r="G160" s="207" t="s">
        <v>702</v>
      </c>
      <c r="H160" s="207" t="s">
        <v>103</v>
      </c>
      <c r="I160" s="207">
        <v>34</v>
      </c>
      <c r="J160" s="207"/>
      <c r="K160" s="207"/>
      <c r="L160" s="208">
        <v>0.34375</v>
      </c>
      <c r="M160" s="208">
        <v>0.34722222222222227</v>
      </c>
      <c r="N160" s="208">
        <v>0.36458333333333331</v>
      </c>
      <c r="O160" s="208">
        <f t="shared" si="9"/>
        <v>3.4722222222222654E-3</v>
      </c>
      <c r="P160" s="208">
        <f t="shared" si="9"/>
        <v>1.7361111111111049E-2</v>
      </c>
      <c r="Q160" s="208">
        <v>0.36805555555555558</v>
      </c>
      <c r="R160" s="244"/>
      <c r="S160" s="348">
        <f>O160+P160</f>
        <v>2.0833333333333315E-2</v>
      </c>
      <c r="T160" s="112"/>
      <c r="U160" s="112"/>
    </row>
    <row r="161" spans="1:22" ht="15.75" customHeight="1" x14ac:dyDescent="0.25">
      <c r="A161" s="110">
        <f t="shared" si="8"/>
        <v>5</v>
      </c>
      <c r="B161" s="111">
        <v>43860</v>
      </c>
      <c r="C161" s="111">
        <v>43860</v>
      </c>
      <c r="D161" s="357"/>
      <c r="E161" s="207"/>
      <c r="F161" s="110" t="s">
        <v>331</v>
      </c>
      <c r="G161" s="207">
        <v>9185515533</v>
      </c>
      <c r="H161" s="207" t="s">
        <v>103</v>
      </c>
      <c r="I161" s="207">
        <v>24</v>
      </c>
      <c r="J161" s="207">
        <v>80</v>
      </c>
      <c r="K161" s="207"/>
      <c r="L161" s="208">
        <v>0.36805555555555558</v>
      </c>
      <c r="M161" s="208">
        <v>0.37152777777777773</v>
      </c>
      <c r="N161" s="208">
        <v>0.37847222222222227</v>
      </c>
      <c r="O161" s="208">
        <f t="shared" si="9"/>
        <v>3.4722222222221544E-3</v>
      </c>
      <c r="P161" s="208">
        <f t="shared" si="9"/>
        <v>6.9444444444445308E-3</v>
      </c>
      <c r="Q161" s="208"/>
      <c r="R161" s="244" t="s">
        <v>460</v>
      </c>
      <c r="S161" s="112"/>
      <c r="T161" s="112"/>
      <c r="U161" s="112"/>
    </row>
    <row r="162" spans="1:22" ht="15.75" customHeight="1" thickBot="1" x14ac:dyDescent="0.3">
      <c r="A162" s="110">
        <f t="shared" si="8"/>
        <v>5</v>
      </c>
      <c r="B162" s="111">
        <v>43860</v>
      </c>
      <c r="C162" s="111">
        <v>43860</v>
      </c>
      <c r="D162" s="357"/>
      <c r="E162" s="207">
        <v>300</v>
      </c>
      <c r="F162" s="110" t="s">
        <v>442</v>
      </c>
      <c r="G162" s="207">
        <v>186942937</v>
      </c>
      <c r="H162" s="207" t="s">
        <v>103</v>
      </c>
      <c r="I162" s="207">
        <v>34</v>
      </c>
      <c r="J162" s="207"/>
      <c r="K162" s="207"/>
      <c r="L162" s="208">
        <v>0.38194444444444442</v>
      </c>
      <c r="M162" s="208">
        <v>0.3888888888888889</v>
      </c>
      <c r="N162" s="208">
        <v>0.41666666666666669</v>
      </c>
      <c r="O162" s="208">
        <f t="shared" si="9"/>
        <v>6.9444444444444753E-3</v>
      </c>
      <c r="P162" s="208">
        <f t="shared" si="9"/>
        <v>2.777777777777779E-2</v>
      </c>
      <c r="Q162" s="208">
        <v>0.4201388888888889</v>
      </c>
      <c r="R162" s="244"/>
      <c r="S162" s="348">
        <f>O162+P162</f>
        <v>3.4722222222222265E-2</v>
      </c>
      <c r="T162" s="112"/>
      <c r="U162" s="112"/>
    </row>
    <row r="163" spans="1:22" ht="15.75" customHeight="1" thickBot="1" x14ac:dyDescent="0.3">
      <c r="A163" s="110">
        <f t="shared" si="8"/>
        <v>5</v>
      </c>
      <c r="B163" s="111">
        <v>43860</v>
      </c>
      <c r="C163" s="111">
        <v>43860</v>
      </c>
      <c r="D163" s="357">
        <v>1000455608</v>
      </c>
      <c r="E163" s="207">
        <v>300</v>
      </c>
      <c r="F163" s="110" t="s">
        <v>363</v>
      </c>
      <c r="G163" s="207" t="s">
        <v>703</v>
      </c>
      <c r="H163" s="207" t="s">
        <v>103</v>
      </c>
      <c r="I163" s="207">
        <v>33</v>
      </c>
      <c r="J163" s="207">
        <v>80</v>
      </c>
      <c r="K163" s="207" t="s">
        <v>51</v>
      </c>
      <c r="L163" s="208">
        <v>0.44444444444444442</v>
      </c>
      <c r="M163" s="208">
        <v>0.4513888888888889</v>
      </c>
      <c r="N163" s="208">
        <v>0.46527777777777773</v>
      </c>
      <c r="O163" s="208">
        <f t="shared" si="9"/>
        <v>6.9444444444444753E-3</v>
      </c>
      <c r="P163" s="208">
        <f t="shared" si="9"/>
        <v>1.388888888888884E-2</v>
      </c>
      <c r="Q163" s="208">
        <v>0.46875</v>
      </c>
      <c r="R163" s="244"/>
      <c r="S163" s="348">
        <f>O163+P163</f>
        <v>2.0833333333333315E-2</v>
      </c>
      <c r="T163" s="112"/>
      <c r="U163" s="112"/>
    </row>
    <row r="164" spans="1:22" ht="15.75" customHeight="1" thickBot="1" x14ac:dyDescent="0.3">
      <c r="A164" s="110">
        <f t="shared" si="8"/>
        <v>5</v>
      </c>
      <c r="B164" s="111">
        <v>43860</v>
      </c>
      <c r="C164" s="111">
        <v>43860</v>
      </c>
      <c r="D164" s="357">
        <v>1000454972</v>
      </c>
      <c r="E164" s="207">
        <v>720</v>
      </c>
      <c r="F164" s="110" t="s">
        <v>463</v>
      </c>
      <c r="G164" s="207" t="s">
        <v>708</v>
      </c>
      <c r="H164" s="207" t="s">
        <v>103</v>
      </c>
      <c r="I164" s="207">
        <v>42</v>
      </c>
      <c r="J164" s="207">
        <v>80</v>
      </c>
      <c r="K164" s="207" t="s">
        <v>51</v>
      </c>
      <c r="L164" s="208">
        <v>0.52777777777777779</v>
      </c>
      <c r="M164" s="208">
        <v>0.54166666666666663</v>
      </c>
      <c r="N164" s="208">
        <v>0.55902777777777779</v>
      </c>
      <c r="O164" s="208">
        <f t="shared" si="9"/>
        <v>1.388888888888884E-2</v>
      </c>
      <c r="P164" s="208">
        <f t="shared" si="9"/>
        <v>1.736111111111116E-2</v>
      </c>
      <c r="Q164" s="208">
        <v>0.5625</v>
      </c>
      <c r="R164" s="244"/>
      <c r="S164" s="348">
        <f>O164+P164</f>
        <v>3.125E-2</v>
      </c>
      <c r="T164" s="112"/>
      <c r="U164" s="112"/>
    </row>
    <row r="165" spans="1:22" s="202" customFormat="1" ht="15.75" customHeight="1" thickBot="1" x14ac:dyDescent="0.3">
      <c r="A165" s="196">
        <f t="shared" si="8"/>
        <v>5</v>
      </c>
      <c r="B165" s="329">
        <v>43860</v>
      </c>
      <c r="C165" s="209">
        <v>43860</v>
      </c>
      <c r="D165" s="356">
        <v>1000454976</v>
      </c>
      <c r="E165" s="210">
        <v>240</v>
      </c>
      <c r="F165" s="196" t="s">
        <v>635</v>
      </c>
      <c r="G165" s="210" t="s">
        <v>709</v>
      </c>
      <c r="H165" s="210" t="s">
        <v>103</v>
      </c>
      <c r="I165" s="210">
        <v>44</v>
      </c>
      <c r="J165" s="210">
        <v>80</v>
      </c>
      <c r="K165" s="210" t="s">
        <v>51</v>
      </c>
      <c r="L165" s="211">
        <v>0.54861111111111105</v>
      </c>
      <c r="M165" s="211">
        <v>0.59027777777777779</v>
      </c>
      <c r="N165" s="211">
        <v>0.61111111111111105</v>
      </c>
      <c r="O165" s="211">
        <f t="shared" si="9"/>
        <v>4.1666666666666741E-2</v>
      </c>
      <c r="P165" s="211">
        <f t="shared" si="9"/>
        <v>2.0833333333333259E-2</v>
      </c>
      <c r="Q165" s="211">
        <v>0.625</v>
      </c>
      <c r="R165" s="212"/>
      <c r="S165" s="348">
        <f>O165+P165</f>
        <v>6.25E-2</v>
      </c>
    </row>
    <row r="166" spans="1:22" s="202" customFormat="1" ht="15.75" customHeight="1" thickBot="1" x14ac:dyDescent="0.3">
      <c r="A166" s="222">
        <f t="shared" si="8"/>
        <v>5</v>
      </c>
      <c r="B166" s="331">
        <v>43861</v>
      </c>
      <c r="C166" s="332">
        <v>43861</v>
      </c>
      <c r="D166" s="357">
        <v>1000454977</v>
      </c>
      <c r="E166" s="207">
        <v>420</v>
      </c>
      <c r="F166" s="110" t="s">
        <v>653</v>
      </c>
      <c r="G166" s="207" t="s">
        <v>710</v>
      </c>
      <c r="H166" s="207" t="s">
        <v>103</v>
      </c>
      <c r="I166" s="207">
        <v>47</v>
      </c>
      <c r="J166" s="207">
        <v>80</v>
      </c>
      <c r="K166" s="207" t="s">
        <v>51</v>
      </c>
      <c r="L166" s="208">
        <v>0.28472222222222221</v>
      </c>
      <c r="M166" s="208">
        <v>0.2986111111111111</v>
      </c>
      <c r="N166" s="208">
        <v>0.3263888888888889</v>
      </c>
      <c r="O166" s="208">
        <f t="shared" si="9"/>
        <v>1.3888888888888895E-2</v>
      </c>
      <c r="P166" s="208">
        <f t="shared" si="9"/>
        <v>2.777777777777779E-2</v>
      </c>
      <c r="Q166" s="208">
        <v>0.3298611111111111</v>
      </c>
      <c r="R166" s="244"/>
    </row>
    <row r="167" spans="1:22" s="202" customFormat="1" ht="15.75" customHeight="1" thickBot="1" x14ac:dyDescent="0.3">
      <c r="A167" s="83">
        <f t="shared" si="8"/>
        <v>5</v>
      </c>
      <c r="B167" s="89">
        <v>43861</v>
      </c>
      <c r="C167" s="89">
        <v>43861</v>
      </c>
      <c r="D167" s="359">
        <v>1000455626</v>
      </c>
      <c r="E167" s="90">
        <v>540</v>
      </c>
      <c r="F167" s="83" t="s">
        <v>425</v>
      </c>
      <c r="G167" s="79" t="s">
        <v>711</v>
      </c>
      <c r="H167" s="90" t="s">
        <v>103</v>
      </c>
      <c r="I167" s="90" t="s">
        <v>712</v>
      </c>
      <c r="J167" s="90">
        <v>80</v>
      </c>
      <c r="K167" s="90" t="s">
        <v>51</v>
      </c>
      <c r="L167" s="91">
        <v>0.28819444444444448</v>
      </c>
      <c r="M167" s="91">
        <v>0.30902777777777779</v>
      </c>
      <c r="N167" s="91">
        <v>0.32291666666666669</v>
      </c>
      <c r="O167" s="91">
        <f t="shared" si="9"/>
        <v>2.0833333333333315E-2</v>
      </c>
      <c r="P167" s="91">
        <f t="shared" si="9"/>
        <v>1.3888888888888895E-2</v>
      </c>
      <c r="Q167" s="91">
        <v>0.3263888888888889</v>
      </c>
      <c r="R167" s="88"/>
    </row>
    <row r="168" spans="1:22" s="202" customFormat="1" ht="15.75" customHeight="1" thickBot="1" x14ac:dyDescent="0.3">
      <c r="A168" s="196">
        <f t="shared" si="8"/>
        <v>5</v>
      </c>
      <c r="B168" s="209">
        <v>43861</v>
      </c>
      <c r="C168" s="209">
        <v>43861</v>
      </c>
      <c r="D168" s="360"/>
      <c r="E168" s="210">
        <v>540</v>
      </c>
      <c r="F168" s="196" t="s">
        <v>443</v>
      </c>
      <c r="G168" s="210" t="s">
        <v>714</v>
      </c>
      <c r="H168" s="210" t="s">
        <v>103</v>
      </c>
      <c r="I168" s="210">
        <v>34</v>
      </c>
      <c r="J168" s="210"/>
      <c r="K168" s="210"/>
      <c r="L168" s="211">
        <v>0.35416666666666669</v>
      </c>
      <c r="M168" s="211">
        <v>0.36458333333333331</v>
      </c>
      <c r="N168" s="211">
        <v>0.38194444444444442</v>
      </c>
      <c r="O168" s="211">
        <f t="shared" si="9"/>
        <v>1.041666666666663E-2</v>
      </c>
      <c r="P168" s="211">
        <f t="shared" si="9"/>
        <v>1.7361111111111105E-2</v>
      </c>
      <c r="Q168" s="211">
        <v>0.3888888888888889</v>
      </c>
      <c r="R168" s="212"/>
      <c r="S168" s="330"/>
    </row>
    <row r="169" spans="1:22" s="202" customFormat="1" ht="15.75" customHeight="1" thickBot="1" x14ac:dyDescent="0.3">
      <c r="A169" s="110">
        <f t="shared" si="8"/>
        <v>5</v>
      </c>
      <c r="B169" s="111">
        <v>43862</v>
      </c>
      <c r="C169" s="111">
        <v>43862</v>
      </c>
      <c r="D169" s="361">
        <v>1000454970</v>
      </c>
      <c r="E169" s="207">
        <v>540</v>
      </c>
      <c r="F169" s="338" t="s">
        <v>729</v>
      </c>
      <c r="G169" s="207" t="s">
        <v>730</v>
      </c>
      <c r="H169" s="207" t="s">
        <v>103</v>
      </c>
      <c r="I169" s="207">
        <v>41</v>
      </c>
      <c r="J169" s="207">
        <v>80</v>
      </c>
      <c r="K169" s="207" t="s">
        <v>51</v>
      </c>
      <c r="L169" s="208">
        <v>0.25347222222222221</v>
      </c>
      <c r="M169" s="208">
        <v>0.29166666666666669</v>
      </c>
      <c r="N169" s="208">
        <v>0.3125</v>
      </c>
      <c r="O169" s="208">
        <f t="shared" si="9"/>
        <v>3.8194444444444475E-2</v>
      </c>
      <c r="P169" s="208">
        <f t="shared" si="9"/>
        <v>2.0833333333333315E-2</v>
      </c>
      <c r="Q169" s="208">
        <v>0.31597222222222221</v>
      </c>
      <c r="R169" s="244"/>
      <c r="S169" s="334"/>
      <c r="T169" s="335"/>
      <c r="U169" s="335"/>
      <c r="V169" s="335"/>
    </row>
    <row r="170" spans="1:22" s="202" customFormat="1" ht="15.75" customHeight="1" thickBot="1" x14ac:dyDescent="0.3">
      <c r="A170" s="83">
        <f t="shared" si="8"/>
        <v>5</v>
      </c>
      <c r="B170" s="111">
        <v>43862</v>
      </c>
      <c r="C170" s="111">
        <v>43862</v>
      </c>
      <c r="D170" s="359"/>
      <c r="E170" s="320">
        <v>540</v>
      </c>
      <c r="F170" s="339" t="s">
        <v>455</v>
      </c>
      <c r="G170" s="333" t="s">
        <v>731</v>
      </c>
      <c r="H170" s="90" t="s">
        <v>103</v>
      </c>
      <c r="I170" s="90">
        <v>34</v>
      </c>
      <c r="J170" s="90"/>
      <c r="K170" s="90"/>
      <c r="L170" s="91">
        <v>0.3298611111111111</v>
      </c>
      <c r="M170" s="91">
        <v>0.34027777777777773</v>
      </c>
      <c r="N170" s="91">
        <v>0.35416666666666669</v>
      </c>
      <c r="O170" s="91">
        <f t="shared" si="9"/>
        <v>1.041666666666663E-2</v>
      </c>
      <c r="P170" s="91">
        <f t="shared" si="9"/>
        <v>1.3888888888888951E-2</v>
      </c>
      <c r="Q170" s="91">
        <v>0.3576388888888889</v>
      </c>
      <c r="R170" s="88"/>
      <c r="S170" s="330"/>
    </row>
    <row r="171" spans="1:22" s="202" customFormat="1" ht="15.75" customHeight="1" thickBot="1" x14ac:dyDescent="0.3">
      <c r="A171" s="83">
        <f t="shared" si="8"/>
        <v>5</v>
      </c>
      <c r="B171" s="111">
        <v>43862</v>
      </c>
      <c r="C171" s="111">
        <v>43862</v>
      </c>
      <c r="D171" s="359"/>
      <c r="E171" s="90">
        <v>540</v>
      </c>
      <c r="F171" s="90" t="s">
        <v>536</v>
      </c>
      <c r="G171" s="90">
        <v>186924771</v>
      </c>
      <c r="H171" s="90" t="s">
        <v>103</v>
      </c>
      <c r="I171" s="90">
        <v>34</v>
      </c>
      <c r="J171" s="90"/>
      <c r="K171" s="90"/>
      <c r="L171" s="91">
        <v>0.3576388888888889</v>
      </c>
      <c r="M171" s="91">
        <v>0.36805555555555558</v>
      </c>
      <c r="N171" s="91">
        <v>0.39583333333333331</v>
      </c>
      <c r="O171" s="91">
        <f t="shared" si="9"/>
        <v>1.0416666666666685E-2</v>
      </c>
      <c r="P171" s="91">
        <f t="shared" si="9"/>
        <v>2.7777777777777735E-2</v>
      </c>
      <c r="Q171" s="91">
        <v>0.40625</v>
      </c>
      <c r="R171" s="88"/>
      <c r="S171" s="330"/>
    </row>
    <row r="172" spans="1:22" s="202" customFormat="1" ht="15.75" customHeight="1" thickBot="1" x14ac:dyDescent="0.3">
      <c r="A172" s="83">
        <f t="shared" si="8"/>
        <v>5</v>
      </c>
      <c r="B172" s="111">
        <v>43862</v>
      </c>
      <c r="C172" s="111">
        <v>43862</v>
      </c>
      <c r="D172" s="359">
        <v>1000455627</v>
      </c>
      <c r="E172" s="90">
        <v>240</v>
      </c>
      <c r="F172" s="83" t="s">
        <v>424</v>
      </c>
      <c r="G172" s="90" t="s">
        <v>732</v>
      </c>
      <c r="H172" s="90" t="s">
        <v>103</v>
      </c>
      <c r="I172" s="90">
        <v>33</v>
      </c>
      <c r="J172" s="90">
        <v>80</v>
      </c>
      <c r="K172" s="90" t="s">
        <v>51</v>
      </c>
      <c r="L172" s="91">
        <v>0.375</v>
      </c>
      <c r="M172" s="91">
        <v>0.40277777777777773</v>
      </c>
      <c r="N172" s="91">
        <v>0.4236111111111111</v>
      </c>
      <c r="O172" s="91">
        <f t="shared" si="9"/>
        <v>2.7777777777777735E-2</v>
      </c>
      <c r="P172" s="91">
        <f t="shared" si="9"/>
        <v>2.083333333333337E-2</v>
      </c>
      <c r="Q172" s="91">
        <v>0.42708333333333331</v>
      </c>
      <c r="R172" s="88"/>
      <c r="S172" s="330"/>
    </row>
    <row r="173" spans="1:22" s="202" customFormat="1" ht="32.25" thickBot="1" x14ac:dyDescent="0.3">
      <c r="A173" s="83">
        <f t="shared" si="8"/>
        <v>5</v>
      </c>
      <c r="B173" s="111">
        <v>43862</v>
      </c>
      <c r="C173" s="111">
        <v>43862</v>
      </c>
      <c r="D173" s="359">
        <v>1000455609</v>
      </c>
      <c r="E173" s="90">
        <v>180</v>
      </c>
      <c r="F173" s="83" t="s">
        <v>437</v>
      </c>
      <c r="G173" s="79" t="s">
        <v>733</v>
      </c>
      <c r="H173" s="90" t="s">
        <v>103</v>
      </c>
      <c r="I173" s="205" t="s">
        <v>469</v>
      </c>
      <c r="J173" s="90">
        <v>80</v>
      </c>
      <c r="K173" s="90" t="s">
        <v>51</v>
      </c>
      <c r="L173" s="91">
        <v>0.43055555555555558</v>
      </c>
      <c r="M173" s="91">
        <v>0.46527777777777773</v>
      </c>
      <c r="N173" s="91">
        <v>0.4826388888888889</v>
      </c>
      <c r="O173" s="91">
        <f t="shared" si="9"/>
        <v>3.4722222222222154E-2</v>
      </c>
      <c r="P173" s="91">
        <f t="shared" si="9"/>
        <v>1.736111111111116E-2</v>
      </c>
      <c r="Q173" s="91">
        <v>0.4861111111111111</v>
      </c>
      <c r="R173" s="88"/>
      <c r="S173" s="330"/>
    </row>
    <row r="174" spans="1:22" s="202" customFormat="1" ht="32.25" thickBot="1" x14ac:dyDescent="0.3">
      <c r="A174" s="196">
        <f t="shared" si="8"/>
        <v>5</v>
      </c>
      <c r="B174" s="341">
        <v>43862</v>
      </c>
      <c r="C174" s="341">
        <v>43862</v>
      </c>
      <c r="D174" s="360">
        <v>1000455662</v>
      </c>
      <c r="E174" s="210">
        <v>180</v>
      </c>
      <c r="F174" s="196" t="s">
        <v>447</v>
      </c>
      <c r="G174" s="172" t="s">
        <v>735</v>
      </c>
      <c r="H174" s="210" t="s">
        <v>103</v>
      </c>
      <c r="I174" s="343" t="s">
        <v>737</v>
      </c>
      <c r="J174" s="210">
        <v>80</v>
      </c>
      <c r="K174" s="210" t="s">
        <v>51</v>
      </c>
      <c r="L174" s="211">
        <v>0.65277777777777779</v>
      </c>
      <c r="M174" s="211">
        <v>0.65625</v>
      </c>
      <c r="N174" s="211">
        <v>0.67361111111111116</v>
      </c>
      <c r="O174" s="211">
        <f t="shared" si="9"/>
        <v>3.4722222222222099E-3</v>
      </c>
      <c r="P174" s="211">
        <f t="shared" si="9"/>
        <v>1.736111111111116E-2</v>
      </c>
      <c r="Q174" s="211">
        <v>0.67708333333333337</v>
      </c>
      <c r="R174" s="212"/>
      <c r="S174" s="330"/>
    </row>
    <row r="175" spans="1:22" s="335" customFormat="1" ht="16.5" thickBot="1" x14ac:dyDescent="0.3">
      <c r="A175" s="110">
        <f t="shared" si="8"/>
        <v>6</v>
      </c>
      <c r="B175" s="111">
        <v>43865</v>
      </c>
      <c r="C175" s="111">
        <v>43865</v>
      </c>
      <c r="D175" s="361"/>
      <c r="E175" s="207"/>
      <c r="F175" s="110" t="s">
        <v>419</v>
      </c>
      <c r="G175" s="207">
        <v>3202464906</v>
      </c>
      <c r="H175" s="207" t="s">
        <v>103</v>
      </c>
      <c r="I175" s="207">
        <v>1</v>
      </c>
      <c r="J175" s="207"/>
      <c r="K175" s="207"/>
      <c r="L175" s="208">
        <v>0.2673611111111111</v>
      </c>
      <c r="M175" s="208">
        <v>0.27083333333333331</v>
      </c>
      <c r="N175" s="208">
        <v>0.27430555555555552</v>
      </c>
      <c r="O175" s="208">
        <f t="shared" si="9"/>
        <v>3.4722222222222099E-3</v>
      </c>
      <c r="P175" s="208">
        <f t="shared" si="9"/>
        <v>3.4722222222222099E-3</v>
      </c>
      <c r="Q175" s="208"/>
      <c r="R175" s="244"/>
      <c r="S175" s="334"/>
    </row>
    <row r="176" spans="1:22" s="202" customFormat="1" ht="16.5" thickBot="1" x14ac:dyDescent="0.3">
      <c r="A176" s="83">
        <f t="shared" si="8"/>
        <v>6</v>
      </c>
      <c r="B176" s="111">
        <v>43865</v>
      </c>
      <c r="C176" s="111">
        <v>43865</v>
      </c>
      <c r="D176" s="359"/>
      <c r="E176" s="90"/>
      <c r="F176" s="83" t="s">
        <v>331</v>
      </c>
      <c r="G176" s="90">
        <v>9185572824</v>
      </c>
      <c r="H176" s="90" t="s">
        <v>103</v>
      </c>
      <c r="I176" s="90">
        <v>33</v>
      </c>
      <c r="J176" s="90">
        <v>80</v>
      </c>
      <c r="K176" s="90"/>
      <c r="L176" s="91">
        <v>0.30902777777777779</v>
      </c>
      <c r="M176" s="91">
        <v>0.3125</v>
      </c>
      <c r="N176" s="91">
        <v>0.32291666666666669</v>
      </c>
      <c r="O176" s="91">
        <f t="shared" si="9"/>
        <v>3.4722222222222099E-3</v>
      </c>
      <c r="P176" s="91">
        <f t="shared" si="9"/>
        <v>1.0416666666666685E-2</v>
      </c>
      <c r="Q176" s="91"/>
      <c r="R176" s="88" t="s">
        <v>460</v>
      </c>
      <c r="S176" s="330"/>
    </row>
    <row r="177" spans="1:19" x14ac:dyDescent="0.25">
      <c r="A177" s="110">
        <f t="shared" si="8"/>
        <v>6</v>
      </c>
      <c r="B177" s="111">
        <v>43865</v>
      </c>
      <c r="C177" s="111">
        <v>43865</v>
      </c>
      <c r="D177" s="357">
        <v>1000455628</v>
      </c>
      <c r="E177" s="207">
        <v>540</v>
      </c>
      <c r="F177" s="110" t="s">
        <v>352</v>
      </c>
      <c r="G177" s="207" t="s">
        <v>739</v>
      </c>
      <c r="H177" s="207" t="s">
        <v>103</v>
      </c>
      <c r="I177" s="207">
        <v>30</v>
      </c>
      <c r="J177" s="207">
        <v>80</v>
      </c>
      <c r="K177" s="207" t="s">
        <v>51</v>
      </c>
      <c r="L177" s="208">
        <v>0.32291666666666669</v>
      </c>
      <c r="M177" s="208">
        <v>0.34027777777777773</v>
      </c>
      <c r="N177" s="208">
        <v>0.35416666666666669</v>
      </c>
      <c r="O177" s="208">
        <f t="shared" si="9"/>
        <v>1.7361111111111049E-2</v>
      </c>
      <c r="P177" s="208">
        <f t="shared" si="9"/>
        <v>1.3888888888888951E-2</v>
      </c>
      <c r="Q177" s="208">
        <v>0.3576388888888889</v>
      </c>
      <c r="R177" s="244"/>
    </row>
    <row r="178" spans="1:19" x14ac:dyDescent="0.25">
      <c r="A178" s="83">
        <f t="shared" si="8"/>
        <v>6</v>
      </c>
      <c r="B178" s="111">
        <v>43865</v>
      </c>
      <c r="C178" s="111">
        <v>43865</v>
      </c>
      <c r="E178" s="90">
        <v>540</v>
      </c>
      <c r="F178" s="83" t="s">
        <v>413</v>
      </c>
      <c r="G178" s="90" t="s">
        <v>740</v>
      </c>
      <c r="H178" s="90" t="s">
        <v>103</v>
      </c>
      <c r="I178" s="90">
        <v>34</v>
      </c>
      <c r="L178" s="91">
        <v>0.33680555555555558</v>
      </c>
      <c r="M178" s="91">
        <v>0.34722222222222227</v>
      </c>
      <c r="N178" s="91">
        <v>0.38194444444444442</v>
      </c>
      <c r="O178" s="91">
        <f t="shared" si="9"/>
        <v>1.0416666666666685E-2</v>
      </c>
      <c r="P178" s="91">
        <f t="shared" si="9"/>
        <v>3.4722222222222154E-2</v>
      </c>
      <c r="Q178" s="91">
        <v>0.38541666666666669</v>
      </c>
    </row>
    <row r="179" spans="1:19" x14ac:dyDescent="0.25">
      <c r="A179" s="83">
        <f t="shared" si="8"/>
        <v>6</v>
      </c>
      <c r="B179" s="111">
        <v>43865</v>
      </c>
      <c r="C179" s="111">
        <v>43865</v>
      </c>
      <c r="F179" s="83" t="s">
        <v>335</v>
      </c>
      <c r="G179" s="90">
        <v>9185520354</v>
      </c>
      <c r="H179" s="90" t="s">
        <v>103</v>
      </c>
      <c r="I179" s="90">
        <v>33</v>
      </c>
      <c r="J179" s="90">
        <v>80</v>
      </c>
      <c r="L179" s="91">
        <v>0.35416666666666669</v>
      </c>
      <c r="M179" s="91">
        <v>0.3611111111111111</v>
      </c>
      <c r="N179" s="91">
        <v>0.37152777777777773</v>
      </c>
      <c r="O179" s="91">
        <f t="shared" si="9"/>
        <v>6.9444444444444198E-3</v>
      </c>
      <c r="P179" s="91">
        <f t="shared" si="9"/>
        <v>1.041666666666663E-2</v>
      </c>
      <c r="R179" s="88" t="s">
        <v>460</v>
      </c>
    </row>
    <row r="180" spans="1:19" x14ac:dyDescent="0.25">
      <c r="A180" s="83">
        <f t="shared" si="8"/>
        <v>6</v>
      </c>
      <c r="B180" s="111">
        <v>43865</v>
      </c>
      <c r="C180" s="111">
        <v>43865</v>
      </c>
      <c r="D180" s="355">
        <v>1000454973</v>
      </c>
      <c r="E180" s="90">
        <v>720</v>
      </c>
      <c r="F180" s="83" t="s">
        <v>393</v>
      </c>
      <c r="G180" s="90" t="s">
        <v>741</v>
      </c>
      <c r="H180" s="90" t="s">
        <v>103</v>
      </c>
      <c r="I180" s="90">
        <v>43</v>
      </c>
      <c r="J180" s="90">
        <v>80</v>
      </c>
      <c r="K180" s="90" t="s">
        <v>51</v>
      </c>
      <c r="L180" s="91">
        <v>0.39583333333333331</v>
      </c>
      <c r="M180" s="91">
        <v>0.4375</v>
      </c>
      <c r="N180" s="91">
        <v>0.4548611111111111</v>
      </c>
      <c r="O180" s="91">
        <f t="shared" si="9"/>
        <v>4.1666666666666685E-2</v>
      </c>
      <c r="P180" s="91">
        <f t="shared" si="9"/>
        <v>1.7361111111111105E-2</v>
      </c>
      <c r="Q180" s="91">
        <v>0.46180555555555558</v>
      </c>
    </row>
    <row r="181" spans="1:19" x14ac:dyDescent="0.25">
      <c r="A181" s="222">
        <f t="shared" si="8"/>
        <v>6</v>
      </c>
      <c r="B181" s="332">
        <v>43865</v>
      </c>
      <c r="C181" s="332">
        <v>43865</v>
      </c>
      <c r="D181" s="362"/>
      <c r="E181" s="345"/>
      <c r="F181" s="222" t="s">
        <v>343</v>
      </c>
      <c r="G181" s="345">
        <v>9185598186</v>
      </c>
      <c r="H181" s="345" t="s">
        <v>103</v>
      </c>
      <c r="I181" s="345">
        <v>33</v>
      </c>
      <c r="J181" s="345">
        <v>80</v>
      </c>
      <c r="K181" s="345"/>
      <c r="L181" s="346">
        <v>0.42708333333333331</v>
      </c>
      <c r="M181" s="346">
        <v>0.43055555555555558</v>
      </c>
      <c r="N181" s="346">
        <v>0.44097222222222227</v>
      </c>
      <c r="O181" s="91">
        <f t="shared" si="9"/>
        <v>3.4722222222222654E-3</v>
      </c>
      <c r="P181" s="91">
        <f t="shared" si="9"/>
        <v>1.0416666666666685E-2</v>
      </c>
      <c r="R181" s="88" t="s">
        <v>460</v>
      </c>
    </row>
    <row r="182" spans="1:19" s="202" customFormat="1" ht="16.5" thickBot="1" x14ac:dyDescent="0.3">
      <c r="A182" s="196">
        <f t="shared" ref="A182:A245" si="10">WEEKNUM(B182,21)</f>
        <v>6</v>
      </c>
      <c r="B182" s="209">
        <v>43865</v>
      </c>
      <c r="C182" s="209">
        <v>43865</v>
      </c>
      <c r="D182" s="356"/>
      <c r="E182" s="210"/>
      <c r="F182" s="196" t="s">
        <v>368</v>
      </c>
      <c r="G182" s="210">
        <v>9185598088</v>
      </c>
      <c r="H182" s="210" t="s">
        <v>103</v>
      </c>
      <c r="I182" s="210">
        <v>33</v>
      </c>
      <c r="J182" s="210">
        <v>80</v>
      </c>
      <c r="K182" s="210"/>
      <c r="L182" s="211">
        <v>0.47916666666666669</v>
      </c>
      <c r="M182" s="211">
        <v>0.49652777777777773</v>
      </c>
      <c r="N182" s="211">
        <v>0.51041666666666663</v>
      </c>
      <c r="O182" s="344">
        <f t="shared" ref="O182:P226" si="11">M182-L182</f>
        <v>1.7361111111111049E-2</v>
      </c>
      <c r="P182" s="211">
        <f t="shared" si="11"/>
        <v>1.3888888888888895E-2</v>
      </c>
      <c r="Q182" s="211"/>
      <c r="R182" s="212" t="s">
        <v>460</v>
      </c>
    </row>
    <row r="183" spans="1:19" x14ac:dyDescent="0.25">
      <c r="A183" s="110">
        <f t="shared" si="10"/>
        <v>6</v>
      </c>
      <c r="B183" s="111">
        <v>43866</v>
      </c>
      <c r="C183" s="111">
        <v>43866</v>
      </c>
      <c r="D183" s="357"/>
      <c r="E183" s="207"/>
      <c r="F183" s="110" t="s">
        <v>331</v>
      </c>
      <c r="G183" s="207">
        <v>9185604841</v>
      </c>
      <c r="H183" s="207" t="s">
        <v>103</v>
      </c>
      <c r="I183" s="207">
        <v>33</v>
      </c>
      <c r="J183" s="207"/>
      <c r="K183" s="207"/>
      <c r="L183" s="208">
        <v>0.26041666666666669</v>
      </c>
      <c r="M183" s="208">
        <v>0.2638888888888889</v>
      </c>
      <c r="N183" s="208">
        <v>0.27777777777777779</v>
      </c>
      <c r="O183" s="208">
        <f t="shared" si="11"/>
        <v>3.4722222222222099E-3</v>
      </c>
      <c r="P183" s="208">
        <f t="shared" si="11"/>
        <v>1.3888888888888895E-2</v>
      </c>
      <c r="Q183" s="208"/>
      <c r="R183" s="244" t="s">
        <v>460</v>
      </c>
      <c r="S183" s="112"/>
    </row>
    <row r="184" spans="1:19" ht="31.5" x14ac:dyDescent="0.25">
      <c r="A184" s="83">
        <f t="shared" si="10"/>
        <v>6</v>
      </c>
      <c r="B184" s="111">
        <v>43866</v>
      </c>
      <c r="C184" s="111">
        <v>43866</v>
      </c>
      <c r="D184" s="355">
        <v>1000456660</v>
      </c>
      <c r="E184" s="90">
        <v>540</v>
      </c>
      <c r="F184" s="83" t="s">
        <v>445</v>
      </c>
      <c r="G184" s="79" t="s">
        <v>751</v>
      </c>
      <c r="H184" s="90" t="s">
        <v>103</v>
      </c>
      <c r="I184" s="90" t="s">
        <v>752</v>
      </c>
      <c r="J184" s="90">
        <v>80</v>
      </c>
      <c r="K184" s="90" t="s">
        <v>51</v>
      </c>
      <c r="L184" s="91">
        <v>0.30902777777777779</v>
      </c>
      <c r="M184" s="91">
        <v>0.34027777777777773</v>
      </c>
      <c r="N184" s="91">
        <v>0.35416666666666669</v>
      </c>
      <c r="O184" s="91">
        <f t="shared" si="11"/>
        <v>3.1249999999999944E-2</v>
      </c>
      <c r="P184" s="91">
        <f t="shared" si="11"/>
        <v>1.3888888888888951E-2</v>
      </c>
      <c r="Q184" s="91">
        <v>0.3611111111111111</v>
      </c>
    </row>
    <row r="185" spans="1:19" x14ac:dyDescent="0.25">
      <c r="A185" s="83">
        <f t="shared" si="10"/>
        <v>6</v>
      </c>
      <c r="B185" s="111">
        <v>43866</v>
      </c>
      <c r="C185" s="111">
        <v>43866</v>
      </c>
      <c r="F185" s="83" t="s">
        <v>335</v>
      </c>
      <c r="G185" s="90">
        <v>9185621486</v>
      </c>
      <c r="H185" s="90" t="s">
        <v>103</v>
      </c>
      <c r="I185" s="90">
        <v>33</v>
      </c>
      <c r="J185" s="90">
        <v>80</v>
      </c>
      <c r="L185" s="91">
        <v>0.3125</v>
      </c>
      <c r="M185" s="91">
        <v>0.31944444444444448</v>
      </c>
      <c r="N185" s="91">
        <v>0.33333333333333331</v>
      </c>
      <c r="O185" s="91">
        <f t="shared" si="11"/>
        <v>6.9444444444444753E-3</v>
      </c>
      <c r="P185" s="91">
        <f t="shared" si="11"/>
        <v>1.388888888888884E-2</v>
      </c>
      <c r="R185" s="88" t="s">
        <v>460</v>
      </c>
    </row>
    <row r="186" spans="1:19" x14ac:dyDescent="0.25">
      <c r="A186" s="83">
        <f t="shared" si="10"/>
        <v>6</v>
      </c>
      <c r="B186" s="111">
        <v>43866</v>
      </c>
      <c r="C186" s="111">
        <v>43866</v>
      </c>
      <c r="F186" s="83" t="s">
        <v>343</v>
      </c>
      <c r="G186" s="90">
        <v>9185614193</v>
      </c>
      <c r="H186" s="90" t="s">
        <v>103</v>
      </c>
      <c r="I186" s="90">
        <v>33</v>
      </c>
      <c r="J186" s="90">
        <v>80</v>
      </c>
      <c r="L186" s="91">
        <v>0.40277777777777773</v>
      </c>
      <c r="M186" s="91">
        <v>0.40972222222222227</v>
      </c>
      <c r="N186" s="91">
        <v>0.4201388888888889</v>
      </c>
      <c r="O186" s="91">
        <f t="shared" si="11"/>
        <v>6.9444444444445308E-3</v>
      </c>
      <c r="P186" s="91">
        <f t="shared" si="11"/>
        <v>1.041666666666663E-2</v>
      </c>
      <c r="R186" s="88" t="s">
        <v>754</v>
      </c>
    </row>
    <row r="187" spans="1:19" x14ac:dyDescent="0.25">
      <c r="A187" s="83">
        <f t="shared" si="10"/>
        <v>6</v>
      </c>
      <c r="B187" s="111">
        <v>43866</v>
      </c>
      <c r="C187" s="111">
        <v>43866</v>
      </c>
      <c r="D187" s="355">
        <v>1000457417</v>
      </c>
      <c r="E187" s="90">
        <v>360</v>
      </c>
      <c r="F187" s="83" t="s">
        <v>463</v>
      </c>
      <c r="G187" s="90" t="s">
        <v>755</v>
      </c>
      <c r="H187" s="90" t="s">
        <v>103</v>
      </c>
      <c r="I187" s="90">
        <v>44</v>
      </c>
      <c r="J187" s="90">
        <v>80</v>
      </c>
      <c r="K187" s="90" t="s">
        <v>51</v>
      </c>
      <c r="L187" s="91">
        <v>0.44097222222222227</v>
      </c>
      <c r="M187" s="91">
        <v>0.46527777777777773</v>
      </c>
      <c r="N187" s="91">
        <v>0.4861111111111111</v>
      </c>
      <c r="O187" s="91">
        <f t="shared" si="11"/>
        <v>2.4305555555555469E-2</v>
      </c>
      <c r="P187" s="91">
        <f t="shared" si="11"/>
        <v>2.083333333333337E-2</v>
      </c>
      <c r="Q187" s="91">
        <v>0.48958333333333331</v>
      </c>
    </row>
    <row r="188" spans="1:19" x14ac:dyDescent="0.25">
      <c r="A188" s="83">
        <f t="shared" si="10"/>
        <v>6</v>
      </c>
      <c r="B188" s="111">
        <v>43866</v>
      </c>
      <c r="C188" s="111">
        <v>43866</v>
      </c>
      <c r="F188" s="83" t="s">
        <v>368</v>
      </c>
      <c r="G188" s="90">
        <v>9185542549</v>
      </c>
      <c r="H188" s="90" t="s">
        <v>103</v>
      </c>
      <c r="I188" s="90">
        <v>33</v>
      </c>
      <c r="J188" s="90">
        <v>80</v>
      </c>
      <c r="L188" s="91">
        <v>0.47569444444444442</v>
      </c>
      <c r="M188" s="91">
        <v>0.52777777777777779</v>
      </c>
      <c r="N188" s="91">
        <v>0.54166666666666663</v>
      </c>
      <c r="O188" s="91">
        <f t="shared" si="11"/>
        <v>5.208333333333337E-2</v>
      </c>
      <c r="P188" s="91">
        <f t="shared" si="11"/>
        <v>1.388888888888884E-2</v>
      </c>
      <c r="R188" s="88" t="s">
        <v>756</v>
      </c>
    </row>
    <row r="189" spans="1:19" s="202" customFormat="1" ht="32.25" thickBot="1" x14ac:dyDescent="0.3">
      <c r="A189" s="196">
        <f t="shared" si="10"/>
        <v>6</v>
      </c>
      <c r="B189" s="209">
        <v>43866</v>
      </c>
      <c r="C189" s="209">
        <v>43866</v>
      </c>
      <c r="D189" s="356">
        <v>1000455629</v>
      </c>
      <c r="E189" s="210">
        <v>180</v>
      </c>
      <c r="F189" s="196" t="s">
        <v>363</v>
      </c>
      <c r="G189" s="172" t="s">
        <v>759</v>
      </c>
      <c r="H189" s="210" t="s">
        <v>103</v>
      </c>
      <c r="I189" s="267" t="s">
        <v>761</v>
      </c>
      <c r="J189" s="210">
        <v>80</v>
      </c>
      <c r="K189" s="210" t="s">
        <v>51</v>
      </c>
      <c r="L189" s="211">
        <v>0.54861111111111105</v>
      </c>
      <c r="M189" s="211">
        <v>0.58333333333333337</v>
      </c>
      <c r="N189" s="211">
        <v>0.60069444444444442</v>
      </c>
      <c r="O189" s="211">
        <f t="shared" si="11"/>
        <v>3.4722222222222321E-2</v>
      </c>
      <c r="P189" s="211">
        <f t="shared" si="11"/>
        <v>1.7361111111111049E-2</v>
      </c>
      <c r="Q189" s="211">
        <v>0.60763888888888895</v>
      </c>
      <c r="R189" s="212"/>
    </row>
    <row r="190" spans="1:19" s="112" customFormat="1" x14ac:dyDescent="0.25">
      <c r="A190" s="110">
        <f t="shared" si="10"/>
        <v>6</v>
      </c>
      <c r="B190" s="111">
        <v>43867</v>
      </c>
      <c r="C190" s="111">
        <v>43867</v>
      </c>
      <c r="D190" s="357"/>
      <c r="E190" s="207"/>
      <c r="F190" s="110" t="s">
        <v>766</v>
      </c>
      <c r="G190" s="207">
        <v>9185624203</v>
      </c>
      <c r="H190" s="207" t="s">
        <v>103</v>
      </c>
      <c r="I190" s="207">
        <v>33</v>
      </c>
      <c r="J190" s="207">
        <v>80</v>
      </c>
      <c r="K190" s="207" t="s">
        <v>51</v>
      </c>
      <c r="L190" s="208">
        <v>0.25347222222222221</v>
      </c>
      <c r="M190" s="208">
        <v>0.25694444444444448</v>
      </c>
      <c r="N190" s="208">
        <v>0.2673611111111111</v>
      </c>
      <c r="O190" s="208">
        <f t="shared" si="11"/>
        <v>3.4722222222222654E-3</v>
      </c>
      <c r="P190" s="208">
        <f t="shared" si="11"/>
        <v>1.041666666666663E-2</v>
      </c>
      <c r="Q190" s="208"/>
      <c r="R190" s="244" t="s">
        <v>767</v>
      </c>
    </row>
    <row r="191" spans="1:19" x14ac:dyDescent="0.25">
      <c r="A191" s="83">
        <f t="shared" si="10"/>
        <v>6</v>
      </c>
      <c r="B191" s="111">
        <v>43867</v>
      </c>
      <c r="C191" s="111">
        <v>43867</v>
      </c>
      <c r="F191" s="110" t="s">
        <v>335</v>
      </c>
      <c r="G191" s="90">
        <v>9185639091</v>
      </c>
      <c r="H191" s="90" t="s">
        <v>103</v>
      </c>
      <c r="I191" s="90">
        <v>33</v>
      </c>
      <c r="J191" s="90">
        <v>80</v>
      </c>
      <c r="K191" s="90" t="s">
        <v>51</v>
      </c>
      <c r="L191" s="91">
        <v>0.2986111111111111</v>
      </c>
      <c r="M191" s="91">
        <v>0.32291666666666669</v>
      </c>
      <c r="N191" s="91">
        <v>0.34027777777777773</v>
      </c>
      <c r="O191" s="91">
        <f t="shared" si="11"/>
        <v>2.430555555555558E-2</v>
      </c>
      <c r="P191" s="91">
        <f t="shared" si="11"/>
        <v>1.7361111111111049E-2</v>
      </c>
      <c r="R191" s="88" t="s">
        <v>460</v>
      </c>
    </row>
    <row r="192" spans="1:19" x14ac:dyDescent="0.25">
      <c r="A192" s="83">
        <f t="shared" si="10"/>
        <v>6</v>
      </c>
      <c r="B192" s="111">
        <v>43867</v>
      </c>
      <c r="C192" s="111">
        <v>43867</v>
      </c>
      <c r="D192" s="355">
        <v>1000457405</v>
      </c>
      <c r="E192" s="90">
        <v>540</v>
      </c>
      <c r="F192" s="83" t="s">
        <v>635</v>
      </c>
      <c r="G192" s="90" t="s">
        <v>768</v>
      </c>
      <c r="H192" s="90" t="s">
        <v>103</v>
      </c>
      <c r="I192" s="90">
        <v>42</v>
      </c>
      <c r="J192" s="90">
        <v>80</v>
      </c>
      <c r="K192" s="90" t="s">
        <v>51</v>
      </c>
      <c r="L192" s="91">
        <v>0.27777777777777779</v>
      </c>
      <c r="M192" s="91">
        <v>0.31944444444444448</v>
      </c>
      <c r="N192" s="91">
        <v>0.34722222222222227</v>
      </c>
      <c r="O192" s="91">
        <f t="shared" si="11"/>
        <v>4.1666666666666685E-2</v>
      </c>
      <c r="P192" s="91">
        <f t="shared" si="11"/>
        <v>2.777777777777779E-2</v>
      </c>
      <c r="Q192" s="91">
        <v>0.35416666666666669</v>
      </c>
    </row>
    <row r="193" spans="1:19" x14ac:dyDescent="0.25">
      <c r="A193" s="83">
        <f t="shared" si="10"/>
        <v>6</v>
      </c>
      <c r="B193" s="111">
        <v>43867</v>
      </c>
      <c r="C193" s="111">
        <v>43867</v>
      </c>
      <c r="D193" s="355">
        <v>1000456661</v>
      </c>
      <c r="E193" s="90">
        <v>360</v>
      </c>
      <c r="F193" s="83" t="s">
        <v>653</v>
      </c>
      <c r="G193" s="90" t="s">
        <v>769</v>
      </c>
      <c r="H193" s="90" t="s">
        <v>103</v>
      </c>
      <c r="I193" s="90">
        <v>44</v>
      </c>
      <c r="J193" s="90">
        <v>80</v>
      </c>
      <c r="K193" s="90" t="s">
        <v>51</v>
      </c>
      <c r="L193" s="91">
        <v>0.3125</v>
      </c>
      <c r="M193" s="91">
        <v>0.4513888888888889</v>
      </c>
      <c r="N193" s="91">
        <v>0.47222222222222227</v>
      </c>
      <c r="O193" s="91">
        <f t="shared" si="11"/>
        <v>0.1388888888888889</v>
      </c>
      <c r="P193" s="91">
        <f t="shared" si="11"/>
        <v>2.083333333333337E-2</v>
      </c>
      <c r="Q193" s="91">
        <v>0.47222222222222227</v>
      </c>
    </row>
    <row r="194" spans="1:19" x14ac:dyDescent="0.25">
      <c r="A194" s="83">
        <f t="shared" si="10"/>
        <v>6</v>
      </c>
      <c r="B194" s="111">
        <v>43867</v>
      </c>
      <c r="C194" s="111">
        <v>43867</v>
      </c>
      <c r="E194" s="90">
        <v>390</v>
      </c>
      <c r="F194" s="83" t="s">
        <v>420</v>
      </c>
      <c r="G194" s="90">
        <v>186958642</v>
      </c>
      <c r="H194" s="90" t="s">
        <v>103</v>
      </c>
      <c r="I194" s="90">
        <v>34</v>
      </c>
      <c r="L194" s="91">
        <v>0.3576388888888889</v>
      </c>
      <c r="M194" s="91">
        <v>0.375</v>
      </c>
      <c r="N194" s="91">
        <v>0.39930555555555558</v>
      </c>
      <c r="O194" s="91">
        <f t="shared" si="11"/>
        <v>1.7361111111111105E-2</v>
      </c>
      <c r="P194" s="91">
        <f t="shared" si="11"/>
        <v>2.430555555555558E-2</v>
      </c>
      <c r="Q194" s="91">
        <v>0.40277777777777773</v>
      </c>
    </row>
    <row r="195" spans="1:19" x14ac:dyDescent="0.25">
      <c r="A195" s="83">
        <f t="shared" si="10"/>
        <v>6</v>
      </c>
      <c r="B195" s="111">
        <v>43867</v>
      </c>
      <c r="C195" s="111">
        <v>43867</v>
      </c>
      <c r="F195" s="83" t="s">
        <v>343</v>
      </c>
      <c r="G195" s="90">
        <v>9185641922</v>
      </c>
      <c r="H195" s="90" t="s">
        <v>103</v>
      </c>
      <c r="I195" s="90">
        <v>33</v>
      </c>
      <c r="J195" s="90">
        <v>80</v>
      </c>
      <c r="K195" s="90" t="s">
        <v>51</v>
      </c>
      <c r="L195" s="91">
        <v>0.37152777777777773</v>
      </c>
      <c r="M195" s="91">
        <v>0.39583333333333331</v>
      </c>
      <c r="N195" s="91">
        <v>0.40625</v>
      </c>
      <c r="O195" s="91">
        <f t="shared" si="11"/>
        <v>2.430555555555558E-2</v>
      </c>
      <c r="P195" s="91">
        <f t="shared" si="11"/>
        <v>1.0416666666666685E-2</v>
      </c>
      <c r="R195" s="88" t="s">
        <v>460</v>
      </c>
    </row>
    <row r="196" spans="1:19" x14ac:dyDescent="0.25">
      <c r="A196" s="83">
        <f t="shared" si="10"/>
        <v>6</v>
      </c>
      <c r="B196" s="111">
        <v>43867</v>
      </c>
      <c r="C196" s="111">
        <v>43867</v>
      </c>
      <c r="F196" s="83" t="s">
        <v>368</v>
      </c>
      <c r="G196" s="90">
        <v>9185629592</v>
      </c>
      <c r="H196" s="90" t="s">
        <v>103</v>
      </c>
      <c r="I196" s="90">
        <v>33</v>
      </c>
      <c r="J196" s="90">
        <v>80</v>
      </c>
      <c r="K196" s="90" t="s">
        <v>51</v>
      </c>
      <c r="L196" s="91">
        <v>0.42708333333333331</v>
      </c>
      <c r="M196" s="91">
        <v>0.4548611111111111</v>
      </c>
      <c r="N196" s="91">
        <v>0.47222222222222227</v>
      </c>
      <c r="O196" s="91">
        <f t="shared" si="11"/>
        <v>2.777777777777779E-2</v>
      </c>
      <c r="P196" s="91">
        <f t="shared" si="11"/>
        <v>1.736111111111116E-2</v>
      </c>
      <c r="R196" s="88" t="s">
        <v>767</v>
      </c>
    </row>
    <row r="197" spans="1:19" x14ac:dyDescent="0.25">
      <c r="A197" s="83">
        <f t="shared" si="10"/>
        <v>6</v>
      </c>
      <c r="B197" s="111">
        <v>43867</v>
      </c>
      <c r="C197" s="111">
        <v>43867</v>
      </c>
      <c r="D197" s="355">
        <v>1000456872</v>
      </c>
      <c r="E197" s="90">
        <v>270</v>
      </c>
      <c r="F197" s="83" t="s">
        <v>425</v>
      </c>
      <c r="G197" s="90" t="s">
        <v>770</v>
      </c>
      <c r="H197" s="90" t="s">
        <v>103</v>
      </c>
      <c r="I197" s="90">
        <v>33</v>
      </c>
      <c r="J197" s="90">
        <v>80</v>
      </c>
      <c r="K197" s="90" t="s">
        <v>51</v>
      </c>
      <c r="L197" s="91">
        <v>0.5</v>
      </c>
      <c r="M197" s="91">
        <v>0.54513888888888895</v>
      </c>
      <c r="N197" s="91">
        <v>0.5625</v>
      </c>
      <c r="O197" s="91">
        <f t="shared" si="11"/>
        <v>4.5138888888888951E-2</v>
      </c>
      <c r="P197" s="91">
        <f t="shared" si="11"/>
        <v>1.7361111111111049E-2</v>
      </c>
      <c r="Q197" s="91">
        <v>0.5625</v>
      </c>
    </row>
    <row r="198" spans="1:19" s="202" customFormat="1" ht="16.5" thickBot="1" x14ac:dyDescent="0.3">
      <c r="A198" s="196">
        <f t="shared" si="10"/>
        <v>6</v>
      </c>
      <c r="B198" s="209">
        <v>43867</v>
      </c>
      <c r="C198" s="209">
        <v>43867</v>
      </c>
      <c r="D198" s="356"/>
      <c r="E198" s="210"/>
      <c r="F198" s="196" t="s">
        <v>369</v>
      </c>
      <c r="G198" s="210">
        <v>9185622222</v>
      </c>
      <c r="H198" s="210" t="s">
        <v>103</v>
      </c>
      <c r="I198" s="210">
        <v>33</v>
      </c>
      <c r="J198" s="210">
        <v>80</v>
      </c>
      <c r="K198" s="210" t="s">
        <v>51</v>
      </c>
      <c r="L198" s="211">
        <v>0.5</v>
      </c>
      <c r="M198" s="211">
        <v>0.52430555555555558</v>
      </c>
      <c r="N198" s="211">
        <v>0.54166666666666663</v>
      </c>
      <c r="O198" s="211">
        <f t="shared" si="11"/>
        <v>2.430555555555558E-2</v>
      </c>
      <c r="P198" s="211">
        <f t="shared" si="11"/>
        <v>1.7361111111111049E-2</v>
      </c>
      <c r="Q198" s="211"/>
      <c r="R198" s="212" t="s">
        <v>771</v>
      </c>
    </row>
    <row r="199" spans="1:19" x14ac:dyDescent="0.25">
      <c r="A199" s="110">
        <f t="shared" si="10"/>
        <v>6</v>
      </c>
      <c r="B199" s="111">
        <v>43868</v>
      </c>
      <c r="C199" s="111">
        <v>43868</v>
      </c>
      <c r="D199" s="357"/>
      <c r="E199" s="207"/>
      <c r="F199" s="110" t="s">
        <v>331</v>
      </c>
      <c r="G199" s="207">
        <v>9185643839</v>
      </c>
      <c r="H199" s="207" t="s">
        <v>103</v>
      </c>
      <c r="I199" s="207">
        <v>33</v>
      </c>
      <c r="J199" s="207">
        <v>80</v>
      </c>
      <c r="K199" s="207"/>
      <c r="L199" s="208">
        <v>0.25347222222222221</v>
      </c>
      <c r="M199" s="208">
        <v>0.25694444444444448</v>
      </c>
      <c r="N199" s="208">
        <v>0.27083333333333331</v>
      </c>
      <c r="O199" s="208">
        <f t="shared" si="11"/>
        <v>3.4722222222222654E-3</v>
      </c>
      <c r="P199" s="208">
        <f t="shared" si="11"/>
        <v>1.388888888888884E-2</v>
      </c>
      <c r="Q199" s="208"/>
      <c r="R199" s="244" t="s">
        <v>774</v>
      </c>
      <c r="S199" s="112"/>
    </row>
    <row r="200" spans="1:19" x14ac:dyDescent="0.25">
      <c r="A200" s="83">
        <f t="shared" si="10"/>
        <v>6</v>
      </c>
      <c r="B200" s="111">
        <v>43868</v>
      </c>
      <c r="C200" s="111">
        <v>43868</v>
      </c>
      <c r="D200" s="355">
        <v>1000457406</v>
      </c>
      <c r="E200" s="90">
        <v>540</v>
      </c>
      <c r="F200" s="83" t="s">
        <v>729</v>
      </c>
      <c r="G200" s="90" t="s">
        <v>775</v>
      </c>
      <c r="H200" s="90" t="s">
        <v>103</v>
      </c>
      <c r="I200" s="90">
        <v>42</v>
      </c>
      <c r="J200" s="90">
        <v>80</v>
      </c>
      <c r="K200" s="90" t="s">
        <v>51</v>
      </c>
      <c r="L200" s="91">
        <v>0.2986111111111111</v>
      </c>
      <c r="M200" s="91">
        <v>0.31944444444444448</v>
      </c>
      <c r="N200" s="91">
        <v>0.33333333333333331</v>
      </c>
      <c r="O200" s="91">
        <f t="shared" si="11"/>
        <v>2.083333333333337E-2</v>
      </c>
      <c r="P200" s="91">
        <f t="shared" si="11"/>
        <v>1.388888888888884E-2</v>
      </c>
      <c r="Q200" s="91">
        <v>0.34027777777777773</v>
      </c>
    </row>
    <row r="201" spans="1:19" x14ac:dyDescent="0.25">
      <c r="A201" s="83">
        <f t="shared" si="10"/>
        <v>6</v>
      </c>
      <c r="B201" s="111">
        <v>43868</v>
      </c>
      <c r="C201" s="111">
        <v>43868</v>
      </c>
      <c r="F201" s="83" t="s">
        <v>335</v>
      </c>
      <c r="G201" s="90">
        <v>9185622664</v>
      </c>
      <c r="H201" s="90" t="s">
        <v>103</v>
      </c>
      <c r="I201" s="90">
        <v>33</v>
      </c>
      <c r="J201" s="90">
        <v>80</v>
      </c>
      <c r="L201" s="91">
        <v>0.3125</v>
      </c>
      <c r="M201" s="91">
        <v>0.31944444444444448</v>
      </c>
      <c r="N201" s="91">
        <v>0.33333333333333331</v>
      </c>
      <c r="O201" s="91">
        <f t="shared" si="11"/>
        <v>6.9444444444444753E-3</v>
      </c>
      <c r="P201" s="91">
        <f t="shared" si="11"/>
        <v>1.388888888888884E-2</v>
      </c>
      <c r="R201" s="88" t="s">
        <v>776</v>
      </c>
    </row>
    <row r="202" spans="1:19" x14ac:dyDescent="0.25">
      <c r="A202" s="83">
        <f t="shared" si="10"/>
        <v>6</v>
      </c>
      <c r="B202" s="111">
        <v>43868</v>
      </c>
      <c r="C202" s="111">
        <v>43868</v>
      </c>
      <c r="D202" s="355">
        <v>1000458042</v>
      </c>
      <c r="E202" s="90">
        <v>540</v>
      </c>
      <c r="F202" s="83" t="s">
        <v>473</v>
      </c>
      <c r="G202" s="90" t="s">
        <v>777</v>
      </c>
      <c r="H202" s="90" t="s">
        <v>103</v>
      </c>
      <c r="I202" s="90">
        <v>17</v>
      </c>
      <c r="J202" s="90" t="s">
        <v>565</v>
      </c>
      <c r="K202" s="90" t="s">
        <v>51</v>
      </c>
      <c r="L202" s="91">
        <v>0.3923611111111111</v>
      </c>
      <c r="M202" s="91">
        <v>0.40277777777777773</v>
      </c>
      <c r="N202" s="91">
        <v>0.41666666666666669</v>
      </c>
      <c r="O202" s="91">
        <f t="shared" si="11"/>
        <v>1.041666666666663E-2</v>
      </c>
      <c r="P202" s="91">
        <f t="shared" si="11"/>
        <v>1.3888888888888951E-2</v>
      </c>
      <c r="Q202" s="91">
        <v>0.4201388888888889</v>
      </c>
    </row>
    <row r="203" spans="1:19" x14ac:dyDescent="0.25">
      <c r="A203" s="83">
        <f t="shared" si="10"/>
        <v>6</v>
      </c>
      <c r="B203" s="111">
        <v>43868</v>
      </c>
      <c r="C203" s="111">
        <v>43868</v>
      </c>
      <c r="D203" s="355">
        <v>1000456440</v>
      </c>
      <c r="E203" s="90">
        <v>300</v>
      </c>
      <c r="F203" s="83" t="s">
        <v>480</v>
      </c>
      <c r="G203" s="90" t="s">
        <v>778</v>
      </c>
      <c r="H203" s="90" t="s">
        <v>103</v>
      </c>
      <c r="I203" s="90">
        <v>10</v>
      </c>
      <c r="J203" s="90" t="s">
        <v>565</v>
      </c>
      <c r="K203" s="90" t="s">
        <v>51</v>
      </c>
      <c r="L203" s="91">
        <v>0.40972222222222227</v>
      </c>
      <c r="M203" s="91">
        <v>0.4236111111111111</v>
      </c>
      <c r="N203" s="91">
        <v>0.43055555555555558</v>
      </c>
      <c r="O203" s="91">
        <f t="shared" si="11"/>
        <v>1.388888888888884E-2</v>
      </c>
      <c r="P203" s="91">
        <f t="shared" si="11"/>
        <v>6.9444444444444753E-3</v>
      </c>
      <c r="Q203" s="91">
        <v>0.43402777777777773</v>
      </c>
    </row>
    <row r="204" spans="1:19" ht="47.25" x14ac:dyDescent="0.25">
      <c r="A204" s="83">
        <f t="shared" si="10"/>
        <v>6</v>
      </c>
      <c r="B204" s="111">
        <v>43868</v>
      </c>
      <c r="C204" s="111">
        <v>43868</v>
      </c>
      <c r="F204" s="83" t="s">
        <v>333</v>
      </c>
      <c r="G204" s="79" t="s">
        <v>779</v>
      </c>
      <c r="H204" s="90" t="s">
        <v>103</v>
      </c>
      <c r="I204" s="90">
        <v>6</v>
      </c>
      <c r="J204" s="90">
        <v>80</v>
      </c>
      <c r="L204" s="91">
        <v>0.3576388888888889</v>
      </c>
      <c r="M204" s="91">
        <v>0.36458333333333331</v>
      </c>
      <c r="N204" s="91">
        <v>0.375</v>
      </c>
      <c r="O204" s="91">
        <f t="shared" si="11"/>
        <v>6.9444444444444198E-3</v>
      </c>
      <c r="P204" s="91">
        <f t="shared" si="11"/>
        <v>1.0416666666666685E-2</v>
      </c>
      <c r="Q204" s="91">
        <v>0.37847222222222227</v>
      </c>
    </row>
    <row r="205" spans="1:19" x14ac:dyDescent="0.25">
      <c r="A205" s="83">
        <f t="shared" si="10"/>
        <v>6</v>
      </c>
      <c r="B205" s="111">
        <v>43868</v>
      </c>
      <c r="C205" s="111">
        <v>43868</v>
      </c>
      <c r="F205" s="83" t="s">
        <v>343</v>
      </c>
      <c r="G205" s="90">
        <v>9185672945</v>
      </c>
      <c r="H205" s="90" t="s">
        <v>103</v>
      </c>
      <c r="I205" s="90">
        <v>20</v>
      </c>
      <c r="J205" s="90">
        <v>80</v>
      </c>
      <c r="L205" s="91">
        <v>0.47222222222222227</v>
      </c>
      <c r="M205" s="91">
        <v>0.4861111111111111</v>
      </c>
      <c r="N205" s="91">
        <v>0.49652777777777773</v>
      </c>
      <c r="O205" s="91">
        <f t="shared" si="11"/>
        <v>1.388888888888884E-2</v>
      </c>
      <c r="P205" s="91">
        <f t="shared" si="11"/>
        <v>1.041666666666663E-2</v>
      </c>
      <c r="R205" s="88" t="s">
        <v>782</v>
      </c>
    </row>
    <row r="206" spans="1:19" x14ac:dyDescent="0.25">
      <c r="A206" s="83">
        <f t="shared" si="10"/>
        <v>6</v>
      </c>
      <c r="B206" s="111">
        <v>43868</v>
      </c>
      <c r="C206" s="111">
        <v>43868</v>
      </c>
      <c r="D206" s="355">
        <v>1000456662</v>
      </c>
      <c r="E206" s="90">
        <v>300</v>
      </c>
      <c r="F206" s="83" t="s">
        <v>785</v>
      </c>
      <c r="G206" s="90" t="s">
        <v>786</v>
      </c>
      <c r="H206" s="90" t="s">
        <v>103</v>
      </c>
      <c r="I206" s="90">
        <v>43</v>
      </c>
      <c r="J206" s="90">
        <v>80</v>
      </c>
      <c r="K206" s="90" t="s">
        <v>51</v>
      </c>
      <c r="L206" s="91">
        <v>0.59722222222222221</v>
      </c>
      <c r="M206" s="91">
        <v>0.61458333333333337</v>
      </c>
      <c r="N206" s="91">
        <v>0.63194444444444442</v>
      </c>
      <c r="O206" s="91">
        <f t="shared" si="11"/>
        <v>1.736111111111116E-2</v>
      </c>
      <c r="P206" s="91">
        <f t="shared" si="11"/>
        <v>1.7361111111111049E-2</v>
      </c>
      <c r="Q206" s="91">
        <v>0.63888888888888895</v>
      </c>
    </row>
    <row r="207" spans="1:19" s="202" customFormat="1" ht="16.5" thickBot="1" x14ac:dyDescent="0.3">
      <c r="A207" s="196">
        <f t="shared" si="10"/>
        <v>6</v>
      </c>
      <c r="B207" s="209">
        <v>43868</v>
      </c>
      <c r="C207" s="209">
        <v>43868</v>
      </c>
      <c r="D207" s="356">
        <v>1000457429</v>
      </c>
      <c r="E207" s="210">
        <v>180</v>
      </c>
      <c r="F207" s="196" t="s">
        <v>789</v>
      </c>
      <c r="G207" s="210" t="s">
        <v>790</v>
      </c>
      <c r="H207" s="210" t="s">
        <v>103</v>
      </c>
      <c r="I207" s="210">
        <v>42</v>
      </c>
      <c r="J207" s="210">
        <v>80</v>
      </c>
      <c r="K207" s="210" t="s">
        <v>51</v>
      </c>
      <c r="L207" s="211">
        <v>0.6875</v>
      </c>
      <c r="M207" s="211">
        <v>0.70486111111111116</v>
      </c>
      <c r="N207" s="211">
        <v>0.72569444444444453</v>
      </c>
      <c r="O207" s="211">
        <f t="shared" si="11"/>
        <v>1.736111111111116E-2</v>
      </c>
      <c r="P207" s="211">
        <f t="shared" si="11"/>
        <v>2.083333333333337E-2</v>
      </c>
      <c r="Q207" s="211">
        <v>0.72916666666666663</v>
      </c>
      <c r="R207" s="212"/>
    </row>
    <row r="208" spans="1:19" s="112" customFormat="1" x14ac:dyDescent="0.25">
      <c r="A208" s="110">
        <f t="shared" si="10"/>
        <v>6</v>
      </c>
      <c r="B208" s="111">
        <v>43869</v>
      </c>
      <c r="C208" s="111">
        <v>43869</v>
      </c>
      <c r="D208" s="231"/>
      <c r="E208" s="207"/>
      <c r="F208" s="110" t="s">
        <v>331</v>
      </c>
      <c r="G208" s="207">
        <v>9185682424</v>
      </c>
      <c r="H208" s="207" t="s">
        <v>103</v>
      </c>
      <c r="I208" s="207">
        <v>32</v>
      </c>
      <c r="J208" s="207">
        <v>80</v>
      </c>
      <c r="K208" s="207"/>
      <c r="L208" s="208">
        <v>0.30208333333333331</v>
      </c>
      <c r="M208" s="208">
        <v>0.30555555555555552</v>
      </c>
      <c r="N208" s="208">
        <v>0.31597222222222221</v>
      </c>
      <c r="O208" s="208">
        <f t="shared" si="11"/>
        <v>3.4722222222222099E-3</v>
      </c>
      <c r="P208" s="208">
        <f t="shared" si="11"/>
        <v>1.0416666666666685E-2</v>
      </c>
      <c r="Q208" s="208"/>
      <c r="R208" s="244" t="s">
        <v>795</v>
      </c>
    </row>
    <row r="209" spans="1:18" x14ac:dyDescent="0.25">
      <c r="A209" s="83">
        <f t="shared" si="10"/>
        <v>6</v>
      </c>
      <c r="B209" s="111">
        <v>43869</v>
      </c>
      <c r="C209" s="111">
        <v>43869</v>
      </c>
      <c r="D209" s="231">
        <v>1000457418</v>
      </c>
      <c r="E209" s="90">
        <v>300</v>
      </c>
      <c r="F209" s="83" t="s">
        <v>796</v>
      </c>
      <c r="G209" s="90" t="s">
        <v>797</v>
      </c>
      <c r="H209" s="90" t="s">
        <v>103</v>
      </c>
      <c r="I209" s="90">
        <v>42</v>
      </c>
      <c r="J209" s="90">
        <v>80</v>
      </c>
      <c r="K209" s="90" t="s">
        <v>51</v>
      </c>
      <c r="L209" s="91">
        <v>0.31597222222222221</v>
      </c>
      <c r="M209" s="91">
        <v>0.34027777777777773</v>
      </c>
      <c r="N209" s="91">
        <v>0.3611111111111111</v>
      </c>
      <c r="O209" s="91">
        <f t="shared" si="11"/>
        <v>2.4305555555555525E-2</v>
      </c>
      <c r="P209" s="91">
        <f t="shared" si="11"/>
        <v>2.083333333333337E-2</v>
      </c>
      <c r="Q209" s="91">
        <v>0.36458333333333331</v>
      </c>
    </row>
    <row r="210" spans="1:18" ht="31.5" x14ac:dyDescent="0.25">
      <c r="A210" s="83">
        <f t="shared" si="10"/>
        <v>6</v>
      </c>
      <c r="B210" s="111">
        <v>43869</v>
      </c>
      <c r="C210" s="111">
        <v>43869</v>
      </c>
      <c r="D210" s="231">
        <v>1000456663</v>
      </c>
      <c r="E210" s="90">
        <v>420</v>
      </c>
      <c r="F210" s="83" t="s">
        <v>798</v>
      </c>
      <c r="G210" s="79" t="s">
        <v>799</v>
      </c>
      <c r="H210" s="90" t="s">
        <v>103</v>
      </c>
      <c r="I210" s="90" t="s">
        <v>800</v>
      </c>
      <c r="J210" s="90">
        <v>80</v>
      </c>
      <c r="K210" s="90" t="s">
        <v>51</v>
      </c>
      <c r="L210" s="91">
        <v>0.3576388888888889</v>
      </c>
      <c r="M210" s="91">
        <v>0.4375</v>
      </c>
      <c r="N210" s="91">
        <v>0.45833333333333331</v>
      </c>
      <c r="O210" s="91">
        <f t="shared" si="11"/>
        <v>7.9861111111111105E-2</v>
      </c>
      <c r="P210" s="91">
        <f t="shared" si="11"/>
        <v>2.0833333333333315E-2</v>
      </c>
      <c r="Q210" s="91">
        <v>0.46875</v>
      </c>
    </row>
    <row r="211" spans="1:18" x14ac:dyDescent="0.25">
      <c r="A211" s="83">
        <f t="shared" si="10"/>
        <v>6</v>
      </c>
      <c r="B211" s="111">
        <v>43869</v>
      </c>
      <c r="C211" s="111">
        <v>43869</v>
      </c>
      <c r="D211" s="231"/>
      <c r="F211" s="83" t="s">
        <v>335</v>
      </c>
      <c r="G211" s="90">
        <v>9185684798</v>
      </c>
      <c r="H211" s="90" t="s">
        <v>103</v>
      </c>
      <c r="I211" s="90">
        <v>33</v>
      </c>
      <c r="J211" s="90">
        <v>80</v>
      </c>
      <c r="L211" s="91">
        <v>0.34722222222222227</v>
      </c>
      <c r="M211" s="91">
        <v>0.3611111111111111</v>
      </c>
      <c r="O211" s="91">
        <f t="shared" si="11"/>
        <v>1.388888888888884E-2</v>
      </c>
      <c r="P211" s="91">
        <f t="shared" si="11"/>
        <v>-0.3611111111111111</v>
      </c>
      <c r="R211" s="88" t="s">
        <v>795</v>
      </c>
    </row>
    <row r="212" spans="1:18" x14ac:dyDescent="0.25">
      <c r="A212" s="83">
        <f t="shared" si="10"/>
        <v>6</v>
      </c>
      <c r="B212" s="111">
        <v>43869</v>
      </c>
      <c r="C212" s="111">
        <v>43869</v>
      </c>
      <c r="D212" s="231"/>
      <c r="E212" s="90">
        <v>360</v>
      </c>
      <c r="F212" s="83" t="s">
        <v>442</v>
      </c>
      <c r="G212" s="90">
        <v>186929366</v>
      </c>
      <c r="H212" s="90" t="s">
        <v>103</v>
      </c>
      <c r="I212" s="90">
        <v>34</v>
      </c>
      <c r="L212" s="91">
        <v>0.38541666666666669</v>
      </c>
      <c r="M212" s="91">
        <v>0.40625</v>
      </c>
      <c r="N212" s="91">
        <v>0.43055555555555558</v>
      </c>
      <c r="O212" s="91">
        <f t="shared" si="11"/>
        <v>2.0833333333333315E-2</v>
      </c>
      <c r="P212" s="91">
        <f t="shared" si="11"/>
        <v>2.430555555555558E-2</v>
      </c>
      <c r="Q212" s="91">
        <v>0.4375</v>
      </c>
    </row>
    <row r="213" spans="1:18" x14ac:dyDescent="0.25">
      <c r="A213" s="83">
        <f t="shared" si="10"/>
        <v>6</v>
      </c>
      <c r="B213" s="111">
        <v>43869</v>
      </c>
      <c r="C213" s="111">
        <v>43869</v>
      </c>
      <c r="D213" s="231"/>
      <c r="F213" s="83" t="s">
        <v>343</v>
      </c>
      <c r="G213" s="90">
        <v>9185680113</v>
      </c>
      <c r="H213" s="90" t="s">
        <v>103</v>
      </c>
      <c r="I213" s="90">
        <v>33</v>
      </c>
      <c r="J213" s="90">
        <v>80</v>
      </c>
      <c r="L213" s="91">
        <v>0.39305555555555555</v>
      </c>
      <c r="M213" s="91">
        <v>0.43402777777777773</v>
      </c>
      <c r="N213" s="91">
        <v>0.44791666666666669</v>
      </c>
      <c r="O213" s="91">
        <f t="shared" si="11"/>
        <v>4.0972222222222188E-2</v>
      </c>
      <c r="P213" s="91">
        <f t="shared" si="11"/>
        <v>1.3888888888888951E-2</v>
      </c>
      <c r="R213" s="88" t="s">
        <v>795</v>
      </c>
    </row>
    <row r="214" spans="1:18" x14ac:dyDescent="0.25">
      <c r="A214" s="83">
        <f t="shared" si="10"/>
        <v>6</v>
      </c>
      <c r="B214" s="111">
        <v>43869</v>
      </c>
      <c r="C214" s="111">
        <v>43869</v>
      </c>
      <c r="D214" s="231"/>
      <c r="F214" s="83" t="s">
        <v>368</v>
      </c>
      <c r="G214" s="90">
        <v>9185586031</v>
      </c>
      <c r="H214" s="90" t="s">
        <v>103</v>
      </c>
      <c r="I214" s="90">
        <v>16</v>
      </c>
      <c r="J214" s="90">
        <v>80</v>
      </c>
      <c r="L214" s="91">
        <v>0.49305555555555558</v>
      </c>
      <c r="M214" s="91">
        <v>0.5</v>
      </c>
      <c r="N214" s="91">
        <v>0.50694444444444442</v>
      </c>
      <c r="O214" s="91">
        <f t="shared" si="11"/>
        <v>6.9444444444444198E-3</v>
      </c>
      <c r="P214" s="91">
        <f t="shared" si="11"/>
        <v>6.9444444444444198E-3</v>
      </c>
      <c r="R214" s="88" t="s">
        <v>801</v>
      </c>
    </row>
    <row r="215" spans="1:18" ht="16.5" thickBot="1" x14ac:dyDescent="0.3">
      <c r="A215" s="196">
        <f t="shared" si="10"/>
        <v>6</v>
      </c>
      <c r="B215" s="209">
        <v>43869</v>
      </c>
      <c r="C215" s="209">
        <v>43869</v>
      </c>
      <c r="D215" s="230"/>
      <c r="E215" s="210"/>
      <c r="F215" s="196" t="s">
        <v>333</v>
      </c>
      <c r="G215" s="210">
        <v>3202668452</v>
      </c>
      <c r="H215" s="210" t="s">
        <v>103</v>
      </c>
      <c r="I215" s="210">
        <v>1</v>
      </c>
      <c r="J215" s="210">
        <v>80</v>
      </c>
      <c r="K215" s="210"/>
      <c r="L215" s="211">
        <v>0.30902777777777779</v>
      </c>
      <c r="M215" s="211">
        <v>0.3125</v>
      </c>
      <c r="N215" s="211">
        <v>0.3125</v>
      </c>
      <c r="O215" s="211">
        <f t="shared" si="11"/>
        <v>3.4722222222222099E-3</v>
      </c>
      <c r="P215" s="211">
        <f t="shared" si="11"/>
        <v>0</v>
      </c>
      <c r="Q215" s="211">
        <v>0.3125</v>
      </c>
      <c r="R215" s="212"/>
    </row>
    <row r="216" spans="1:18" x14ac:dyDescent="0.25">
      <c r="A216" s="110">
        <f t="shared" si="10"/>
        <v>7</v>
      </c>
      <c r="B216" s="111">
        <v>43872</v>
      </c>
      <c r="C216" s="111">
        <v>43872</v>
      </c>
      <c r="D216" s="231"/>
      <c r="E216" s="207"/>
      <c r="F216" s="110" t="s">
        <v>331</v>
      </c>
      <c r="G216" s="207">
        <v>9185565672</v>
      </c>
      <c r="H216" s="207" t="s">
        <v>103</v>
      </c>
      <c r="I216" s="207">
        <v>33</v>
      </c>
      <c r="J216" s="207">
        <v>80</v>
      </c>
      <c r="K216" s="207"/>
      <c r="L216" s="208">
        <v>0.27083333333333331</v>
      </c>
      <c r="M216" s="208">
        <v>0.27430555555555552</v>
      </c>
      <c r="N216" s="208">
        <v>0.28819444444444448</v>
      </c>
      <c r="O216" s="208">
        <f t="shared" si="11"/>
        <v>3.4722222222222099E-3</v>
      </c>
      <c r="P216" s="208">
        <f t="shared" si="11"/>
        <v>1.3888888888888951E-2</v>
      </c>
      <c r="Q216" s="208">
        <v>0.29166666666666669</v>
      </c>
      <c r="R216" s="244" t="s">
        <v>801</v>
      </c>
    </row>
    <row r="217" spans="1:18" x14ac:dyDescent="0.25">
      <c r="A217" s="83">
        <f t="shared" si="10"/>
        <v>7</v>
      </c>
      <c r="B217" s="111">
        <v>43872</v>
      </c>
      <c r="C217" s="111">
        <v>43872</v>
      </c>
      <c r="D217" s="355">
        <v>1000457320</v>
      </c>
      <c r="E217" s="90">
        <v>540</v>
      </c>
      <c r="F217" s="83" t="s">
        <v>473</v>
      </c>
      <c r="G217" s="90" t="s">
        <v>808</v>
      </c>
      <c r="H217" s="90" t="s">
        <v>103</v>
      </c>
      <c r="I217" s="90">
        <v>29</v>
      </c>
      <c r="J217" s="90" t="s">
        <v>565</v>
      </c>
      <c r="K217" s="90" t="s">
        <v>51</v>
      </c>
      <c r="L217" s="91">
        <v>0.3263888888888889</v>
      </c>
      <c r="M217" s="91">
        <v>0.34027777777777773</v>
      </c>
      <c r="N217" s="91">
        <v>0.35416666666666669</v>
      </c>
      <c r="O217" s="91">
        <f t="shared" si="11"/>
        <v>1.388888888888884E-2</v>
      </c>
      <c r="P217" s="91">
        <f t="shared" si="11"/>
        <v>1.3888888888888951E-2</v>
      </c>
      <c r="Q217" s="91">
        <v>0.3576388888888889</v>
      </c>
    </row>
    <row r="218" spans="1:18" x14ac:dyDescent="0.25">
      <c r="A218" s="83">
        <f t="shared" si="10"/>
        <v>7</v>
      </c>
      <c r="B218" s="111">
        <v>43872</v>
      </c>
      <c r="C218" s="111">
        <v>43872</v>
      </c>
      <c r="D218" s="355">
        <v>1000457319</v>
      </c>
      <c r="E218" s="90">
        <v>540</v>
      </c>
      <c r="F218" s="83" t="s">
        <v>521</v>
      </c>
      <c r="G218" s="90" t="s">
        <v>809</v>
      </c>
      <c r="H218" s="90" t="s">
        <v>103</v>
      </c>
      <c r="I218" s="90">
        <v>30</v>
      </c>
      <c r="J218" s="90" t="s">
        <v>565</v>
      </c>
      <c r="K218" s="90" t="s">
        <v>51</v>
      </c>
      <c r="L218" s="91">
        <v>0.3298611111111111</v>
      </c>
      <c r="M218" s="91">
        <v>0.34375</v>
      </c>
      <c r="N218" s="91">
        <v>0.3611111111111111</v>
      </c>
      <c r="O218" s="91">
        <f t="shared" si="11"/>
        <v>1.3888888888888895E-2</v>
      </c>
      <c r="P218" s="91">
        <f t="shared" si="11"/>
        <v>1.7361111111111105E-2</v>
      </c>
      <c r="Q218" s="91">
        <v>0.36458333333333331</v>
      </c>
    </row>
    <row r="219" spans="1:18" x14ac:dyDescent="0.25">
      <c r="A219" s="83">
        <f t="shared" si="10"/>
        <v>7</v>
      </c>
      <c r="B219" s="111">
        <v>43872</v>
      </c>
      <c r="C219" s="111">
        <v>43872</v>
      </c>
      <c r="D219" s="355">
        <v>1000456873</v>
      </c>
      <c r="E219" s="90">
        <v>480</v>
      </c>
      <c r="F219" s="83" t="s">
        <v>352</v>
      </c>
      <c r="G219" s="90" t="s">
        <v>810</v>
      </c>
      <c r="H219" s="90" t="s">
        <v>103</v>
      </c>
      <c r="I219" s="90">
        <v>33</v>
      </c>
      <c r="J219" s="90">
        <v>80</v>
      </c>
      <c r="K219" s="90" t="s">
        <v>51</v>
      </c>
      <c r="L219" s="91">
        <v>0.33680555555555558</v>
      </c>
      <c r="M219" s="91">
        <v>0.36805555555555558</v>
      </c>
      <c r="N219" s="91">
        <v>0.38194444444444442</v>
      </c>
      <c r="O219" s="91">
        <f t="shared" si="11"/>
        <v>3.125E-2</v>
      </c>
      <c r="P219" s="91">
        <f t="shared" si="11"/>
        <v>1.388888888888884E-2</v>
      </c>
      <c r="Q219" s="91">
        <v>0.38194444444444442</v>
      </c>
    </row>
    <row r="220" spans="1:18" x14ac:dyDescent="0.25">
      <c r="A220" s="83">
        <f t="shared" si="10"/>
        <v>7</v>
      </c>
      <c r="B220" s="111">
        <v>43872</v>
      </c>
      <c r="C220" s="111">
        <v>43872</v>
      </c>
      <c r="F220" s="83" t="s">
        <v>335</v>
      </c>
      <c r="G220" s="90">
        <v>9185701167</v>
      </c>
      <c r="H220" s="90" t="s">
        <v>103</v>
      </c>
      <c r="I220" s="90">
        <v>33</v>
      </c>
      <c r="J220" s="90">
        <v>80</v>
      </c>
      <c r="L220" s="91">
        <v>0.32291666666666669</v>
      </c>
      <c r="M220" s="91">
        <v>0.32291666666666669</v>
      </c>
      <c r="N220" s="91">
        <v>0.33680555555555558</v>
      </c>
      <c r="O220" s="91">
        <f t="shared" si="11"/>
        <v>0</v>
      </c>
      <c r="P220" s="91">
        <f t="shared" si="11"/>
        <v>1.3888888888888895E-2</v>
      </c>
      <c r="R220" s="88" t="s">
        <v>811</v>
      </c>
    </row>
    <row r="221" spans="1:18" x14ac:dyDescent="0.25">
      <c r="A221" s="83">
        <f t="shared" si="10"/>
        <v>7</v>
      </c>
      <c r="B221" s="111">
        <v>43872</v>
      </c>
      <c r="C221" s="111">
        <v>43872</v>
      </c>
      <c r="F221" s="83" t="s">
        <v>343</v>
      </c>
      <c r="G221" s="90">
        <v>9185704340</v>
      </c>
      <c r="H221" s="90" t="s">
        <v>103</v>
      </c>
      <c r="I221" s="90">
        <v>33</v>
      </c>
      <c r="J221" s="90">
        <v>80</v>
      </c>
      <c r="L221" s="91">
        <v>0.36805555555555558</v>
      </c>
      <c r="M221" s="91">
        <v>0.38194444444444442</v>
      </c>
      <c r="N221" s="91">
        <v>0.39583333333333331</v>
      </c>
      <c r="O221" s="91">
        <f t="shared" si="11"/>
        <v>1.388888888888884E-2</v>
      </c>
      <c r="P221" s="91">
        <f t="shared" si="11"/>
        <v>1.3888888888888895E-2</v>
      </c>
      <c r="R221" s="88" t="s">
        <v>428</v>
      </c>
    </row>
    <row r="222" spans="1:18" x14ac:dyDescent="0.25">
      <c r="A222" s="83">
        <f t="shared" si="10"/>
        <v>7</v>
      </c>
      <c r="B222" s="111">
        <v>43872</v>
      </c>
      <c r="C222" s="111">
        <v>43872</v>
      </c>
      <c r="F222" s="83" t="s">
        <v>368</v>
      </c>
      <c r="G222" s="90">
        <v>9185680284</v>
      </c>
      <c r="H222" s="90" t="s">
        <v>103</v>
      </c>
      <c r="I222" s="90">
        <v>33</v>
      </c>
      <c r="J222" s="90">
        <v>80</v>
      </c>
      <c r="L222" s="91">
        <v>0.43402777777777773</v>
      </c>
      <c r="M222" s="91">
        <v>0.4375</v>
      </c>
      <c r="N222" s="91">
        <v>0.4513888888888889</v>
      </c>
      <c r="O222" s="91">
        <f t="shared" si="11"/>
        <v>3.4722222222222654E-3</v>
      </c>
      <c r="P222" s="91">
        <f t="shared" si="11"/>
        <v>1.3888888888888895E-2</v>
      </c>
      <c r="R222" s="88" t="s">
        <v>428</v>
      </c>
    </row>
    <row r="223" spans="1:18" x14ac:dyDescent="0.25">
      <c r="A223" s="83">
        <f t="shared" si="10"/>
        <v>7</v>
      </c>
      <c r="B223" s="111">
        <v>43872</v>
      </c>
      <c r="C223" s="111">
        <v>43872</v>
      </c>
      <c r="D223" s="355">
        <v>1000457408</v>
      </c>
      <c r="E223" s="90">
        <v>300</v>
      </c>
      <c r="F223" s="83" t="s">
        <v>393</v>
      </c>
      <c r="G223" s="90" t="s">
        <v>814</v>
      </c>
      <c r="H223" s="90" t="s">
        <v>103</v>
      </c>
      <c r="I223" s="90">
        <v>47</v>
      </c>
      <c r="J223" s="90">
        <v>80</v>
      </c>
      <c r="K223" s="90" t="s">
        <v>51</v>
      </c>
      <c r="L223" s="91">
        <v>0.52430555555555558</v>
      </c>
      <c r="M223" s="91">
        <v>0.53472222222222221</v>
      </c>
      <c r="N223" s="91">
        <v>0.55555555555555558</v>
      </c>
      <c r="O223" s="91">
        <f t="shared" si="11"/>
        <v>1.041666666666663E-2</v>
      </c>
      <c r="P223" s="91">
        <f t="shared" si="11"/>
        <v>2.083333333333337E-2</v>
      </c>
      <c r="Q223" s="91">
        <v>0.55902777777777779</v>
      </c>
    </row>
    <row r="224" spans="1:18" s="202" customFormat="1" ht="16.5" thickBot="1" x14ac:dyDescent="0.3">
      <c r="A224" s="196">
        <f t="shared" si="10"/>
        <v>7</v>
      </c>
      <c r="B224" s="209">
        <v>43872</v>
      </c>
      <c r="C224" s="209">
        <v>43872</v>
      </c>
      <c r="D224" s="356"/>
      <c r="E224" s="210"/>
      <c r="F224" s="196" t="s">
        <v>369</v>
      </c>
      <c r="G224" s="210">
        <v>9185706856</v>
      </c>
      <c r="H224" s="210" t="s">
        <v>103</v>
      </c>
      <c r="I224" s="210">
        <v>33</v>
      </c>
      <c r="J224" s="210">
        <v>80</v>
      </c>
      <c r="K224" s="210"/>
      <c r="L224" s="211">
        <v>0.53125</v>
      </c>
      <c r="M224" s="211">
        <v>0.53125</v>
      </c>
      <c r="N224" s="211">
        <v>0.54861111111111105</v>
      </c>
      <c r="O224" s="211">
        <f t="shared" si="11"/>
        <v>0</v>
      </c>
      <c r="P224" s="211">
        <f t="shared" si="11"/>
        <v>1.7361111111111049E-2</v>
      </c>
      <c r="Q224" s="211"/>
      <c r="R224" s="212" t="s">
        <v>815</v>
      </c>
    </row>
    <row r="225" spans="1:19" x14ac:dyDescent="0.25">
      <c r="A225" s="110">
        <f t="shared" si="10"/>
        <v>7</v>
      </c>
      <c r="B225" s="111">
        <v>43873</v>
      </c>
      <c r="C225" s="111">
        <v>43873</v>
      </c>
      <c r="D225" s="357"/>
      <c r="E225" s="207"/>
      <c r="F225" s="110" t="s">
        <v>331</v>
      </c>
      <c r="G225" s="207">
        <v>9185709993</v>
      </c>
      <c r="H225" s="207" t="s">
        <v>103</v>
      </c>
      <c r="I225" s="207">
        <v>33</v>
      </c>
      <c r="J225" s="207">
        <v>80</v>
      </c>
      <c r="K225" s="207"/>
      <c r="L225" s="208">
        <v>0.26041666666666669</v>
      </c>
      <c r="M225" s="208">
        <v>0.2638888888888889</v>
      </c>
      <c r="N225" s="208">
        <v>0.27777777777777779</v>
      </c>
      <c r="O225" s="208">
        <f t="shared" si="11"/>
        <v>3.4722222222222099E-3</v>
      </c>
      <c r="P225" s="208">
        <f t="shared" si="11"/>
        <v>1.3888888888888895E-2</v>
      </c>
      <c r="Q225" s="208"/>
      <c r="R225" s="244" t="s">
        <v>819</v>
      </c>
      <c r="S225" s="112"/>
    </row>
    <row r="226" spans="1:19" ht="31.5" x14ac:dyDescent="0.25">
      <c r="A226" s="83">
        <f t="shared" si="10"/>
        <v>7</v>
      </c>
      <c r="B226" s="111">
        <v>43873</v>
      </c>
      <c r="C226" s="111">
        <v>43873</v>
      </c>
      <c r="D226" s="355">
        <v>1000458820</v>
      </c>
      <c r="E226" s="90">
        <v>120</v>
      </c>
      <c r="F226" s="83" t="s">
        <v>445</v>
      </c>
      <c r="G226" s="79" t="s">
        <v>820</v>
      </c>
      <c r="H226" s="90" t="s">
        <v>103</v>
      </c>
      <c r="I226" s="90" t="s">
        <v>825</v>
      </c>
      <c r="J226" s="90">
        <v>80</v>
      </c>
      <c r="L226" s="91">
        <v>0.3125</v>
      </c>
      <c r="M226" s="91">
        <v>0.33333333333333331</v>
      </c>
      <c r="N226" s="91">
        <v>0.3576388888888889</v>
      </c>
      <c r="O226" s="91">
        <f t="shared" si="11"/>
        <v>2.0833333333333315E-2</v>
      </c>
      <c r="P226" s="91">
        <f t="shared" si="11"/>
        <v>2.430555555555558E-2</v>
      </c>
      <c r="Q226" s="91">
        <v>0.3611111111111111</v>
      </c>
    </row>
    <row r="227" spans="1:19" x14ac:dyDescent="0.25">
      <c r="A227" s="83">
        <f t="shared" si="10"/>
        <v>7</v>
      </c>
      <c r="B227" s="111">
        <v>43873</v>
      </c>
      <c r="C227" s="111">
        <v>43873</v>
      </c>
      <c r="E227" s="90">
        <v>420</v>
      </c>
      <c r="F227" s="83" t="s">
        <v>413</v>
      </c>
      <c r="G227" s="90">
        <v>186959670</v>
      </c>
      <c r="H227" s="90" t="s">
        <v>103</v>
      </c>
      <c r="I227" s="90">
        <v>34</v>
      </c>
      <c r="J227" s="90" t="s">
        <v>565</v>
      </c>
      <c r="L227" s="91">
        <v>0.31597222222222221</v>
      </c>
      <c r="M227" s="91">
        <v>0.35416666666666669</v>
      </c>
      <c r="N227" s="91">
        <v>0.375</v>
      </c>
      <c r="O227" s="91">
        <f t="shared" ref="O227:O290" si="12">M227-L227</f>
        <v>3.8194444444444475E-2</v>
      </c>
      <c r="P227" s="91">
        <f t="shared" ref="P227:P290" si="13">N227-M227</f>
        <v>2.0833333333333315E-2</v>
      </c>
      <c r="Q227" s="91">
        <v>0.37847222222222227</v>
      </c>
    </row>
    <row r="228" spans="1:19" x14ac:dyDescent="0.25">
      <c r="A228" s="83">
        <f t="shared" si="10"/>
        <v>7</v>
      </c>
      <c r="B228" s="111">
        <v>43873</v>
      </c>
      <c r="C228" s="111">
        <v>43873</v>
      </c>
      <c r="F228" s="83" t="s">
        <v>335</v>
      </c>
      <c r="G228" s="90">
        <v>9185689948</v>
      </c>
      <c r="H228" s="90" t="s">
        <v>103</v>
      </c>
      <c r="I228" s="90">
        <v>33</v>
      </c>
      <c r="J228" s="90">
        <v>80</v>
      </c>
      <c r="L228" s="91">
        <v>0.31597222222222221</v>
      </c>
      <c r="M228" s="91">
        <v>0.31944444444444448</v>
      </c>
      <c r="N228" s="91">
        <v>0.33680555555555558</v>
      </c>
      <c r="O228" s="91">
        <f t="shared" si="12"/>
        <v>3.4722222222222654E-3</v>
      </c>
      <c r="P228" s="91">
        <f t="shared" si="13"/>
        <v>1.7361111111111105E-2</v>
      </c>
      <c r="R228" s="88" t="s">
        <v>422</v>
      </c>
    </row>
    <row r="229" spans="1:19" x14ac:dyDescent="0.25">
      <c r="A229" s="83">
        <f t="shared" si="10"/>
        <v>7</v>
      </c>
      <c r="B229" s="111">
        <v>43873</v>
      </c>
      <c r="C229" s="111">
        <v>43873</v>
      </c>
      <c r="E229" s="90">
        <v>540</v>
      </c>
      <c r="F229" s="83" t="s">
        <v>420</v>
      </c>
      <c r="G229" s="90">
        <v>186967213</v>
      </c>
      <c r="H229" s="90" t="s">
        <v>103</v>
      </c>
      <c r="I229" s="90">
        <v>34</v>
      </c>
      <c r="J229" s="90" t="s">
        <v>565</v>
      </c>
      <c r="L229" s="91">
        <v>0.3298611111111111</v>
      </c>
      <c r="M229" s="91">
        <v>0.3576388888888889</v>
      </c>
      <c r="N229" s="91">
        <v>0.375</v>
      </c>
      <c r="O229" s="91">
        <f t="shared" si="12"/>
        <v>2.777777777777779E-2</v>
      </c>
      <c r="P229" s="91">
        <f t="shared" si="13"/>
        <v>1.7361111111111105E-2</v>
      </c>
      <c r="Q229" s="91">
        <v>0.39027777777777778</v>
      </c>
    </row>
    <row r="230" spans="1:19" x14ac:dyDescent="0.25">
      <c r="A230" s="83">
        <f t="shared" si="10"/>
        <v>7</v>
      </c>
      <c r="B230" s="111">
        <v>43873</v>
      </c>
      <c r="C230" s="111">
        <v>43873</v>
      </c>
      <c r="F230" s="83" t="s">
        <v>333</v>
      </c>
      <c r="G230" s="90" t="s">
        <v>823</v>
      </c>
      <c r="H230" s="90" t="s">
        <v>103</v>
      </c>
      <c r="I230" s="90" t="s">
        <v>824</v>
      </c>
      <c r="J230" s="90">
        <v>80</v>
      </c>
      <c r="L230" s="91">
        <v>0.3576388888888889</v>
      </c>
      <c r="M230" s="91">
        <v>0.3611111111111111</v>
      </c>
      <c r="N230" s="91">
        <v>0.36805555555555558</v>
      </c>
      <c r="O230" s="91">
        <f t="shared" si="12"/>
        <v>3.4722222222222099E-3</v>
      </c>
      <c r="P230" s="91">
        <f t="shared" si="13"/>
        <v>6.9444444444444753E-3</v>
      </c>
    </row>
    <row r="231" spans="1:19" x14ac:dyDescent="0.25">
      <c r="A231" s="83">
        <f t="shared" si="10"/>
        <v>7</v>
      </c>
      <c r="B231" s="111">
        <v>43873</v>
      </c>
      <c r="C231" s="111">
        <v>43873</v>
      </c>
      <c r="F231" s="83" t="s">
        <v>343</v>
      </c>
      <c r="G231" s="90">
        <v>9185713360</v>
      </c>
      <c r="H231" s="90" t="s">
        <v>103</v>
      </c>
      <c r="I231" s="90">
        <v>33</v>
      </c>
      <c r="L231" s="91">
        <v>0.38194444444444442</v>
      </c>
      <c r="M231" s="91">
        <v>0.38541666666666669</v>
      </c>
      <c r="N231" s="91">
        <v>0.39930555555555558</v>
      </c>
      <c r="O231" s="91">
        <f t="shared" si="12"/>
        <v>3.4722222222222654E-3</v>
      </c>
      <c r="P231" s="91">
        <f t="shared" si="13"/>
        <v>1.3888888888888895E-2</v>
      </c>
      <c r="R231" s="88" t="s">
        <v>422</v>
      </c>
    </row>
    <row r="232" spans="1:19" x14ac:dyDescent="0.25">
      <c r="A232" s="83">
        <f t="shared" si="10"/>
        <v>7</v>
      </c>
      <c r="B232" s="111">
        <v>43873</v>
      </c>
      <c r="C232" s="111">
        <v>43873</v>
      </c>
      <c r="F232" s="83" t="s">
        <v>368</v>
      </c>
      <c r="G232" s="90">
        <v>9185724097</v>
      </c>
      <c r="H232" s="90" t="s">
        <v>103</v>
      </c>
      <c r="I232" s="90">
        <v>33</v>
      </c>
      <c r="J232" s="90">
        <v>80</v>
      </c>
      <c r="L232" s="91">
        <v>0.4236111111111111</v>
      </c>
      <c r="M232" s="91">
        <v>0.42708333333333331</v>
      </c>
      <c r="N232" s="91">
        <v>0.44097222222222227</v>
      </c>
      <c r="O232" s="91">
        <f t="shared" si="12"/>
        <v>3.4722222222222099E-3</v>
      </c>
      <c r="P232" s="91">
        <f t="shared" si="13"/>
        <v>1.3888888888888951E-2</v>
      </c>
      <c r="R232" s="88" t="s">
        <v>826</v>
      </c>
    </row>
    <row r="233" spans="1:19" s="202" customFormat="1" ht="16.5" thickBot="1" x14ac:dyDescent="0.3">
      <c r="A233" s="196">
        <f t="shared" si="10"/>
        <v>7</v>
      </c>
      <c r="B233" s="209">
        <v>43873</v>
      </c>
      <c r="C233" s="209">
        <v>43873</v>
      </c>
      <c r="D233" s="356"/>
      <c r="E233" s="210"/>
      <c r="F233" s="196" t="s">
        <v>369</v>
      </c>
      <c r="G233" s="210">
        <v>9185715564</v>
      </c>
      <c r="H233" s="210" t="s">
        <v>103</v>
      </c>
      <c r="I233" s="210">
        <v>33</v>
      </c>
      <c r="J233" s="210">
        <v>80</v>
      </c>
      <c r="K233" s="210"/>
      <c r="L233" s="211">
        <v>0.4826388888888889</v>
      </c>
      <c r="M233" s="211">
        <v>0.4861111111111111</v>
      </c>
      <c r="N233" s="211">
        <v>0.5</v>
      </c>
      <c r="O233" s="211">
        <f t="shared" si="12"/>
        <v>3.4722222222222099E-3</v>
      </c>
      <c r="P233" s="211">
        <f t="shared" si="13"/>
        <v>1.3888888888888895E-2</v>
      </c>
      <c r="Q233" s="211"/>
      <c r="R233" s="212" t="s">
        <v>452</v>
      </c>
    </row>
    <row r="234" spans="1:19" s="112" customFormat="1" x14ac:dyDescent="0.25">
      <c r="A234" s="110">
        <f t="shared" si="10"/>
        <v>7</v>
      </c>
      <c r="B234" s="111">
        <v>43874</v>
      </c>
      <c r="C234" s="111">
        <v>43874</v>
      </c>
      <c r="D234" s="357"/>
      <c r="E234" s="207"/>
      <c r="F234" s="110" t="s">
        <v>331</v>
      </c>
      <c r="G234" s="207">
        <v>9185686991</v>
      </c>
      <c r="H234" s="207" t="s">
        <v>103</v>
      </c>
      <c r="I234" s="207">
        <v>33</v>
      </c>
      <c r="J234" s="207">
        <v>80</v>
      </c>
      <c r="K234" s="207"/>
      <c r="L234" s="208">
        <v>0.28819444444444448</v>
      </c>
      <c r="M234" s="208">
        <v>0.29166666666666669</v>
      </c>
      <c r="N234" s="208">
        <v>0.30277777777777776</v>
      </c>
      <c r="O234" s="208">
        <f t="shared" si="12"/>
        <v>3.4722222222222099E-3</v>
      </c>
      <c r="P234" s="208">
        <f t="shared" si="13"/>
        <v>1.1111111111111072E-2</v>
      </c>
      <c r="Q234" s="208"/>
      <c r="R234" s="244" t="s">
        <v>830</v>
      </c>
    </row>
    <row r="235" spans="1:19" x14ac:dyDescent="0.25">
      <c r="A235" s="83">
        <f t="shared" si="10"/>
        <v>7</v>
      </c>
      <c r="B235" s="111">
        <v>43874</v>
      </c>
      <c r="C235" s="111">
        <v>43874</v>
      </c>
      <c r="F235" s="110" t="s">
        <v>335</v>
      </c>
      <c r="G235" s="90">
        <v>9185745968</v>
      </c>
      <c r="H235" s="90" t="s">
        <v>103</v>
      </c>
      <c r="I235" s="90">
        <v>33</v>
      </c>
      <c r="J235" s="90">
        <v>80</v>
      </c>
      <c r="L235" s="91">
        <v>0.3298611111111111</v>
      </c>
      <c r="M235" s="91">
        <v>0.33333333333333331</v>
      </c>
      <c r="N235" s="91">
        <v>0.34722222222222227</v>
      </c>
      <c r="O235" s="91">
        <f t="shared" si="12"/>
        <v>3.4722222222222099E-3</v>
      </c>
      <c r="P235" s="91">
        <f t="shared" si="13"/>
        <v>1.3888888888888951E-2</v>
      </c>
      <c r="R235" s="88" t="s">
        <v>831</v>
      </c>
    </row>
    <row r="236" spans="1:19" x14ac:dyDescent="0.25">
      <c r="A236" s="83">
        <f t="shared" si="10"/>
        <v>7</v>
      </c>
      <c r="B236" s="111">
        <v>43874</v>
      </c>
      <c r="C236" s="111">
        <v>43874</v>
      </c>
      <c r="D236" s="355">
        <v>1000458833</v>
      </c>
      <c r="E236" s="90">
        <v>480</v>
      </c>
      <c r="F236" s="83" t="s">
        <v>463</v>
      </c>
      <c r="G236" s="90" t="s">
        <v>832</v>
      </c>
      <c r="H236" s="90" t="s">
        <v>103</v>
      </c>
      <c r="I236" s="90">
        <v>45</v>
      </c>
      <c r="J236" s="90">
        <v>80</v>
      </c>
      <c r="K236" s="90" t="s">
        <v>51</v>
      </c>
      <c r="L236" s="91">
        <v>0.31944444444444448</v>
      </c>
      <c r="M236" s="91">
        <v>0.3263888888888889</v>
      </c>
      <c r="N236" s="91">
        <v>0.35069444444444442</v>
      </c>
      <c r="O236" s="91">
        <f t="shared" si="12"/>
        <v>6.9444444444444198E-3</v>
      </c>
      <c r="P236" s="91">
        <f t="shared" si="13"/>
        <v>2.4305555555555525E-2</v>
      </c>
      <c r="Q236" s="91">
        <v>0.35416666666666669</v>
      </c>
    </row>
    <row r="237" spans="1:19" x14ac:dyDescent="0.25">
      <c r="A237" s="83">
        <f t="shared" si="10"/>
        <v>7</v>
      </c>
      <c r="B237" s="111">
        <v>43874</v>
      </c>
      <c r="C237" s="111">
        <v>43874</v>
      </c>
      <c r="E237" s="90">
        <v>540</v>
      </c>
      <c r="F237" s="83" t="s">
        <v>442</v>
      </c>
      <c r="G237" s="90">
        <v>186969662</v>
      </c>
      <c r="H237" s="90" t="s">
        <v>103</v>
      </c>
      <c r="I237" s="90">
        <v>33</v>
      </c>
      <c r="L237" s="91">
        <v>0.34375</v>
      </c>
      <c r="M237" s="91">
        <v>0.3611111111111111</v>
      </c>
      <c r="N237" s="91">
        <v>0.38194444444444442</v>
      </c>
      <c r="O237" s="91">
        <f t="shared" si="12"/>
        <v>1.7361111111111105E-2</v>
      </c>
      <c r="P237" s="91">
        <f t="shared" si="13"/>
        <v>2.0833333333333315E-2</v>
      </c>
      <c r="Q237" s="91">
        <v>0.38541666666666669</v>
      </c>
    </row>
    <row r="238" spans="1:19" x14ac:dyDescent="0.25">
      <c r="A238" s="83">
        <f t="shared" si="10"/>
        <v>7</v>
      </c>
      <c r="B238" s="111">
        <v>43874</v>
      </c>
      <c r="C238" s="111">
        <v>43874</v>
      </c>
      <c r="D238" s="355">
        <v>1000458766</v>
      </c>
      <c r="E238" s="90">
        <v>240</v>
      </c>
      <c r="F238" s="83" t="s">
        <v>833</v>
      </c>
      <c r="G238" s="90" t="s">
        <v>834</v>
      </c>
      <c r="H238" s="90" t="s">
        <v>103</v>
      </c>
      <c r="I238" s="90">
        <v>34</v>
      </c>
      <c r="J238" s="90" t="s">
        <v>565</v>
      </c>
      <c r="K238" s="90" t="s">
        <v>51</v>
      </c>
      <c r="L238" s="91">
        <v>0.3611111111111111</v>
      </c>
      <c r="M238" s="91">
        <v>0.3923611111111111</v>
      </c>
      <c r="N238" s="91">
        <v>0.40277777777777773</v>
      </c>
      <c r="O238" s="91">
        <f t="shared" si="12"/>
        <v>3.125E-2</v>
      </c>
      <c r="P238" s="91">
        <f t="shared" si="13"/>
        <v>1.041666666666663E-2</v>
      </c>
      <c r="Q238" s="91">
        <v>0.40625</v>
      </c>
    </row>
    <row r="239" spans="1:19" ht="31.5" x14ac:dyDescent="0.25">
      <c r="A239" s="83">
        <f t="shared" si="10"/>
        <v>7</v>
      </c>
      <c r="B239" s="111">
        <v>43874</v>
      </c>
      <c r="C239" s="111">
        <v>43874</v>
      </c>
      <c r="D239" s="355">
        <v>1000458812</v>
      </c>
      <c r="E239" s="90">
        <v>360</v>
      </c>
      <c r="F239" s="83" t="s">
        <v>363</v>
      </c>
      <c r="G239" s="79" t="s">
        <v>835</v>
      </c>
      <c r="H239" s="90" t="s">
        <v>103</v>
      </c>
      <c r="I239" s="90" t="s">
        <v>836</v>
      </c>
      <c r="J239" s="90">
        <v>80</v>
      </c>
      <c r="K239" s="90" t="s">
        <v>51</v>
      </c>
      <c r="L239" s="91">
        <v>0.41319444444444442</v>
      </c>
      <c r="M239" s="91">
        <v>0.4201388888888889</v>
      </c>
      <c r="N239" s="91">
        <v>0.4375</v>
      </c>
      <c r="O239" s="91">
        <f t="shared" si="12"/>
        <v>6.9444444444444753E-3</v>
      </c>
      <c r="P239" s="91">
        <f t="shared" si="13"/>
        <v>1.7361111111111105E-2</v>
      </c>
      <c r="Q239" s="91">
        <v>0.44097222222222227</v>
      </c>
    </row>
    <row r="240" spans="1:19" x14ac:dyDescent="0.25">
      <c r="A240" s="83">
        <f t="shared" si="10"/>
        <v>7</v>
      </c>
      <c r="B240" s="111">
        <v>43874</v>
      </c>
      <c r="C240" s="111">
        <v>43874</v>
      </c>
      <c r="F240" s="90" t="s">
        <v>343</v>
      </c>
      <c r="G240" s="90">
        <v>9185745021</v>
      </c>
      <c r="H240" s="90" t="s">
        <v>103</v>
      </c>
      <c r="I240" s="90">
        <v>33</v>
      </c>
      <c r="J240" s="90">
        <v>80</v>
      </c>
      <c r="L240" s="91">
        <v>0.46180555555555558</v>
      </c>
      <c r="M240" s="91">
        <v>0.46527777777777773</v>
      </c>
      <c r="N240" s="91">
        <v>0.47569444444444442</v>
      </c>
      <c r="O240" s="91">
        <f t="shared" si="12"/>
        <v>3.4722222222221544E-3</v>
      </c>
      <c r="P240" s="91">
        <f t="shared" si="13"/>
        <v>1.0416666666666685E-2</v>
      </c>
      <c r="R240" s="88" t="s">
        <v>837</v>
      </c>
    </row>
    <row r="241" spans="1:19" x14ac:dyDescent="0.25">
      <c r="A241" s="83">
        <f t="shared" si="10"/>
        <v>7</v>
      </c>
      <c r="B241" s="111">
        <v>43874</v>
      </c>
      <c r="C241" s="111">
        <v>43874</v>
      </c>
      <c r="F241" s="90" t="s">
        <v>368</v>
      </c>
      <c r="G241" s="90">
        <v>9185745880</v>
      </c>
      <c r="H241" s="90" t="s">
        <v>103</v>
      </c>
      <c r="I241" s="90">
        <v>33</v>
      </c>
      <c r="J241" s="90">
        <v>80</v>
      </c>
      <c r="L241" s="91">
        <v>0.50347222222222221</v>
      </c>
      <c r="M241" s="91">
        <v>0.50694444444444442</v>
      </c>
      <c r="N241" s="91">
        <v>0.52083333333333337</v>
      </c>
      <c r="O241" s="91">
        <f t="shared" si="12"/>
        <v>3.4722222222222099E-3</v>
      </c>
      <c r="P241" s="91">
        <f t="shared" si="13"/>
        <v>1.3888888888888951E-2</v>
      </c>
      <c r="R241" s="88" t="s">
        <v>838</v>
      </c>
    </row>
    <row r="242" spans="1:19" s="202" customFormat="1" ht="16.5" thickBot="1" x14ac:dyDescent="0.3">
      <c r="A242" s="196">
        <f t="shared" si="10"/>
        <v>7</v>
      </c>
      <c r="B242" s="209">
        <v>43874</v>
      </c>
      <c r="C242" s="209">
        <v>43874</v>
      </c>
      <c r="D242" s="356">
        <v>1000458851</v>
      </c>
      <c r="E242" s="210">
        <v>300</v>
      </c>
      <c r="F242" s="196" t="s">
        <v>425</v>
      </c>
      <c r="G242" s="210" t="s">
        <v>839</v>
      </c>
      <c r="H242" s="210" t="s">
        <v>103</v>
      </c>
      <c r="I242" s="210">
        <v>34</v>
      </c>
      <c r="J242" s="210">
        <v>80</v>
      </c>
      <c r="K242" s="210" t="s">
        <v>51</v>
      </c>
      <c r="L242" s="211">
        <v>0.52430555555555558</v>
      </c>
      <c r="M242" s="211">
        <v>0.52777777777777779</v>
      </c>
      <c r="N242" s="211">
        <v>0.54166666666666663</v>
      </c>
      <c r="O242" s="211">
        <f t="shared" si="12"/>
        <v>3.4722222222222099E-3</v>
      </c>
      <c r="P242" s="211">
        <f t="shared" si="13"/>
        <v>1.388888888888884E-2</v>
      </c>
      <c r="Q242" s="211">
        <v>0.54513888888888895</v>
      </c>
      <c r="R242" s="212"/>
    </row>
    <row r="243" spans="1:19" x14ac:dyDescent="0.25">
      <c r="A243" s="110">
        <f t="shared" si="10"/>
        <v>7</v>
      </c>
      <c r="B243" s="111">
        <v>43875</v>
      </c>
      <c r="C243" s="111">
        <v>43875</v>
      </c>
      <c r="D243" s="357"/>
      <c r="E243" s="207"/>
      <c r="F243" s="110" t="s">
        <v>331</v>
      </c>
      <c r="G243" s="207">
        <v>9185708412</v>
      </c>
      <c r="H243" s="207" t="s">
        <v>103</v>
      </c>
      <c r="I243" s="207">
        <v>33</v>
      </c>
      <c r="J243" s="207">
        <v>80</v>
      </c>
      <c r="K243" s="207"/>
      <c r="L243" s="208">
        <v>0.26041666666666669</v>
      </c>
      <c r="M243" s="208">
        <v>0.26041666666666669</v>
      </c>
      <c r="N243" s="208">
        <v>0.27083333333333331</v>
      </c>
      <c r="O243" s="208">
        <f t="shared" si="12"/>
        <v>0</v>
      </c>
      <c r="P243" s="208">
        <f t="shared" si="13"/>
        <v>1.041666666666663E-2</v>
      </c>
      <c r="Q243" s="208"/>
      <c r="R243" s="244" t="s">
        <v>844</v>
      </c>
      <c r="S243" s="112"/>
    </row>
    <row r="244" spans="1:19" x14ac:dyDescent="0.25">
      <c r="A244" s="83">
        <f t="shared" si="10"/>
        <v>7</v>
      </c>
      <c r="B244" s="111">
        <v>43875</v>
      </c>
      <c r="C244" s="111">
        <v>43875</v>
      </c>
      <c r="F244" s="110" t="s">
        <v>335</v>
      </c>
      <c r="G244" s="90">
        <v>918570303</v>
      </c>
      <c r="H244" s="90" t="s">
        <v>103</v>
      </c>
      <c r="I244" s="90">
        <v>33</v>
      </c>
      <c r="J244" s="90">
        <v>80</v>
      </c>
      <c r="L244" s="91">
        <v>0.29166666666666669</v>
      </c>
      <c r="M244" s="91">
        <v>0.2951388888888889</v>
      </c>
      <c r="N244" s="91">
        <v>0.30555555555555552</v>
      </c>
      <c r="O244" s="91">
        <f t="shared" si="12"/>
        <v>3.4722222222222099E-3</v>
      </c>
      <c r="P244" s="91">
        <f t="shared" si="13"/>
        <v>1.041666666666663E-2</v>
      </c>
      <c r="R244" s="88" t="s">
        <v>845</v>
      </c>
    </row>
    <row r="245" spans="1:19" ht="31.5" x14ac:dyDescent="0.25">
      <c r="A245" s="83">
        <f t="shared" si="10"/>
        <v>7</v>
      </c>
      <c r="B245" s="111">
        <v>43875</v>
      </c>
      <c r="C245" s="111">
        <v>43875</v>
      </c>
      <c r="D245" s="355">
        <v>1000458867</v>
      </c>
      <c r="E245" s="90">
        <v>480</v>
      </c>
      <c r="F245" s="83" t="s">
        <v>635</v>
      </c>
      <c r="G245" s="79" t="s">
        <v>846</v>
      </c>
      <c r="H245" s="90" t="s">
        <v>103</v>
      </c>
      <c r="I245" s="90" t="s">
        <v>800</v>
      </c>
      <c r="J245" s="90">
        <v>80</v>
      </c>
      <c r="K245" s="90" t="s">
        <v>51</v>
      </c>
      <c r="L245" s="91">
        <v>0.3923611111111111</v>
      </c>
      <c r="M245" s="91">
        <v>0.4236111111111111</v>
      </c>
      <c r="N245" s="91">
        <v>0.4375</v>
      </c>
      <c r="O245" s="91">
        <f t="shared" si="12"/>
        <v>3.125E-2</v>
      </c>
      <c r="P245" s="91">
        <f t="shared" si="13"/>
        <v>1.3888888888888895E-2</v>
      </c>
      <c r="Q245" s="91">
        <v>0.4548611111111111</v>
      </c>
      <c r="R245" s="88" t="s">
        <v>848</v>
      </c>
    </row>
    <row r="246" spans="1:19" x14ac:dyDescent="0.25">
      <c r="A246" s="83">
        <f t="shared" ref="A246:A309" si="14">WEEKNUM(B246,21)</f>
        <v>7</v>
      </c>
      <c r="B246" s="111">
        <v>43875</v>
      </c>
      <c r="C246" s="111">
        <v>43875</v>
      </c>
      <c r="F246" s="83" t="s">
        <v>343</v>
      </c>
      <c r="G246" s="90">
        <v>9185764471</v>
      </c>
      <c r="H246" s="90" t="s">
        <v>103</v>
      </c>
      <c r="I246" s="90">
        <v>33</v>
      </c>
      <c r="J246" s="90">
        <v>80</v>
      </c>
      <c r="L246" s="91">
        <v>0.38541666666666669</v>
      </c>
      <c r="M246" s="91">
        <v>0.38541666666666669</v>
      </c>
      <c r="N246" s="91">
        <v>0.39583333333333331</v>
      </c>
      <c r="O246" s="91">
        <f t="shared" si="12"/>
        <v>0</v>
      </c>
      <c r="P246" s="91">
        <f t="shared" si="13"/>
        <v>1.041666666666663E-2</v>
      </c>
      <c r="R246" s="88" t="s">
        <v>388</v>
      </c>
    </row>
    <row r="247" spans="1:19" x14ac:dyDescent="0.25">
      <c r="A247" s="83">
        <f t="shared" si="14"/>
        <v>7</v>
      </c>
      <c r="B247" s="111">
        <v>43875</v>
      </c>
      <c r="C247" s="111">
        <v>43875</v>
      </c>
      <c r="E247" s="90">
        <v>120</v>
      </c>
      <c r="F247" s="83" t="s">
        <v>443</v>
      </c>
      <c r="G247" s="90">
        <v>186960586</v>
      </c>
      <c r="H247" s="90" t="s">
        <v>103</v>
      </c>
      <c r="I247" s="90">
        <v>34</v>
      </c>
      <c r="L247" s="91">
        <v>0.3888888888888889</v>
      </c>
      <c r="M247" s="91">
        <v>0.40277777777777773</v>
      </c>
      <c r="N247" s="91">
        <v>0.41319444444444442</v>
      </c>
      <c r="O247" s="91">
        <f t="shared" si="12"/>
        <v>1.388888888888884E-2</v>
      </c>
      <c r="P247" s="91">
        <f t="shared" si="13"/>
        <v>1.0416666666666685E-2</v>
      </c>
      <c r="Q247" s="91">
        <v>0.41666666666666669</v>
      </c>
    </row>
    <row r="248" spans="1:19" x14ac:dyDescent="0.25">
      <c r="A248" s="83">
        <f t="shared" si="14"/>
        <v>7</v>
      </c>
      <c r="B248" s="111">
        <v>43875</v>
      </c>
      <c r="C248" s="111">
        <v>43875</v>
      </c>
      <c r="F248" s="83" t="s">
        <v>368</v>
      </c>
      <c r="G248" s="90">
        <v>9185770505</v>
      </c>
      <c r="H248" s="90" t="s">
        <v>103</v>
      </c>
      <c r="I248" s="90">
        <v>33</v>
      </c>
      <c r="J248" s="90">
        <v>80</v>
      </c>
      <c r="L248" s="91">
        <v>0.43402777777777773</v>
      </c>
      <c r="M248" s="91">
        <v>0.4375</v>
      </c>
      <c r="N248" s="91">
        <v>0.4513888888888889</v>
      </c>
      <c r="O248" s="91">
        <f t="shared" si="12"/>
        <v>3.4722222222222654E-3</v>
      </c>
      <c r="P248" s="91">
        <f t="shared" si="13"/>
        <v>1.3888888888888895E-2</v>
      </c>
      <c r="R248" s="88" t="s">
        <v>847</v>
      </c>
    </row>
    <row r="249" spans="1:19" s="202" customFormat="1" ht="16.5" thickBot="1" x14ac:dyDescent="0.3">
      <c r="A249" s="196">
        <f t="shared" si="14"/>
        <v>7</v>
      </c>
      <c r="B249" s="209">
        <v>43875</v>
      </c>
      <c r="C249" s="209">
        <v>43875</v>
      </c>
      <c r="D249" s="356"/>
      <c r="E249" s="210"/>
      <c r="F249" s="196" t="s">
        <v>369</v>
      </c>
      <c r="G249" s="210">
        <v>9185754101</v>
      </c>
      <c r="H249" s="210" t="s">
        <v>103</v>
      </c>
      <c r="I249" s="210">
        <v>33</v>
      </c>
      <c r="J249" s="210">
        <v>80</v>
      </c>
      <c r="K249" s="210"/>
      <c r="L249" s="211">
        <v>0.48958333333333331</v>
      </c>
      <c r="M249" s="211">
        <v>0.49305555555555558</v>
      </c>
      <c r="N249" s="211"/>
      <c r="O249" s="211">
        <f t="shared" si="12"/>
        <v>3.4722222222222654E-3</v>
      </c>
      <c r="P249" s="211">
        <f t="shared" si="13"/>
        <v>-0.49305555555555558</v>
      </c>
      <c r="Q249" s="211"/>
      <c r="R249" s="212" t="s">
        <v>850</v>
      </c>
    </row>
    <row r="250" spans="1:19" s="112" customFormat="1" x14ac:dyDescent="0.25">
      <c r="A250" s="110">
        <f t="shared" si="14"/>
        <v>7</v>
      </c>
      <c r="B250" s="111">
        <v>43876</v>
      </c>
      <c r="C250" s="111">
        <v>43876</v>
      </c>
      <c r="D250" s="357"/>
      <c r="E250" s="207"/>
      <c r="F250" s="110" t="s">
        <v>668</v>
      </c>
      <c r="G250" s="207">
        <v>9185708673</v>
      </c>
      <c r="H250" s="207" t="s">
        <v>103</v>
      </c>
      <c r="I250" s="207">
        <v>33</v>
      </c>
      <c r="J250" s="207">
        <v>80</v>
      </c>
      <c r="K250" s="207"/>
      <c r="L250" s="208">
        <v>0.25347222222222221</v>
      </c>
      <c r="M250" s="208">
        <v>0.25694444444444448</v>
      </c>
      <c r="N250" s="208">
        <v>0.2673611111111111</v>
      </c>
      <c r="O250" s="208">
        <f t="shared" si="12"/>
        <v>3.4722222222222654E-3</v>
      </c>
      <c r="P250" s="208">
        <f t="shared" si="13"/>
        <v>1.041666666666663E-2</v>
      </c>
      <c r="Q250" s="208"/>
      <c r="R250" s="244" t="s">
        <v>460</v>
      </c>
    </row>
    <row r="251" spans="1:19" x14ac:dyDescent="0.25">
      <c r="A251" s="83">
        <f t="shared" si="14"/>
        <v>7</v>
      </c>
      <c r="B251" s="111">
        <v>43876</v>
      </c>
      <c r="C251" s="111">
        <v>43876</v>
      </c>
      <c r="F251" s="110" t="s">
        <v>579</v>
      </c>
      <c r="G251" s="90">
        <v>9185768851</v>
      </c>
      <c r="H251" s="90" t="s">
        <v>103</v>
      </c>
      <c r="I251" s="90">
        <v>33</v>
      </c>
      <c r="J251" s="90">
        <v>80</v>
      </c>
      <c r="L251" s="91">
        <v>0.2951388888888889</v>
      </c>
      <c r="M251" s="91">
        <v>0.2986111111111111</v>
      </c>
      <c r="N251" s="91">
        <v>0.30555555555555552</v>
      </c>
      <c r="O251" s="91">
        <f t="shared" si="12"/>
        <v>3.4722222222222099E-3</v>
      </c>
      <c r="P251" s="91">
        <f t="shared" si="13"/>
        <v>6.9444444444444198E-3</v>
      </c>
      <c r="R251" s="244" t="s">
        <v>460</v>
      </c>
    </row>
    <row r="252" spans="1:19" x14ac:dyDescent="0.25">
      <c r="A252" s="83">
        <f t="shared" si="14"/>
        <v>7</v>
      </c>
      <c r="B252" s="111">
        <v>43876</v>
      </c>
      <c r="C252" s="111">
        <v>43876</v>
      </c>
      <c r="E252" s="90">
        <v>480</v>
      </c>
      <c r="F252" s="83" t="s">
        <v>455</v>
      </c>
      <c r="G252" s="90">
        <v>186957838</v>
      </c>
      <c r="H252" s="90" t="s">
        <v>103</v>
      </c>
      <c r="I252" s="90">
        <v>34</v>
      </c>
      <c r="L252" s="91">
        <v>0.34375</v>
      </c>
      <c r="M252" s="91">
        <v>0.34375</v>
      </c>
      <c r="N252" s="91">
        <v>0.3611111111111111</v>
      </c>
      <c r="O252" s="91">
        <f t="shared" si="12"/>
        <v>0</v>
      </c>
      <c r="P252" s="91">
        <f t="shared" si="13"/>
        <v>1.7361111111111105E-2</v>
      </c>
      <c r="Q252" s="91">
        <v>0.36458333333333331</v>
      </c>
    </row>
    <row r="253" spans="1:19" ht="31.5" x14ac:dyDescent="0.25">
      <c r="A253" s="83">
        <f t="shared" si="14"/>
        <v>7</v>
      </c>
      <c r="B253" s="111">
        <v>43876</v>
      </c>
      <c r="C253" s="111">
        <v>43876</v>
      </c>
      <c r="D253" s="355">
        <v>1000458852</v>
      </c>
      <c r="E253" s="90">
        <v>480</v>
      </c>
      <c r="F253" s="83" t="s">
        <v>424</v>
      </c>
      <c r="G253" s="79" t="s">
        <v>853</v>
      </c>
      <c r="H253" s="90" t="s">
        <v>103</v>
      </c>
      <c r="I253" s="90" t="s">
        <v>855</v>
      </c>
      <c r="J253" s="90">
        <v>80</v>
      </c>
      <c r="K253" s="90" t="s">
        <v>51</v>
      </c>
      <c r="L253" s="91">
        <v>0.35069444444444442</v>
      </c>
      <c r="M253" s="91">
        <v>0.3611111111111111</v>
      </c>
      <c r="N253" s="91">
        <v>0.375</v>
      </c>
      <c r="O253" s="91">
        <f t="shared" si="12"/>
        <v>1.0416666666666685E-2</v>
      </c>
      <c r="P253" s="91">
        <f t="shared" si="13"/>
        <v>1.3888888888888895E-2</v>
      </c>
      <c r="Q253" s="91">
        <v>0.38541666666666669</v>
      </c>
    </row>
    <row r="254" spans="1:19" x14ac:dyDescent="0.25">
      <c r="A254" s="83">
        <f t="shared" si="14"/>
        <v>7</v>
      </c>
      <c r="B254" s="111">
        <v>43876</v>
      </c>
      <c r="C254" s="111">
        <v>43876</v>
      </c>
      <c r="D254" s="355">
        <v>1000458868</v>
      </c>
      <c r="E254" s="90">
        <v>480</v>
      </c>
      <c r="F254" s="83" t="s">
        <v>653</v>
      </c>
      <c r="G254" s="90" t="s">
        <v>854</v>
      </c>
      <c r="H254" s="90" t="s">
        <v>103</v>
      </c>
      <c r="I254" s="90">
        <v>47</v>
      </c>
      <c r="K254" s="90" t="s">
        <v>51</v>
      </c>
      <c r="L254" s="91">
        <v>0.38541666666666669</v>
      </c>
      <c r="M254" s="91">
        <v>0.39583333333333331</v>
      </c>
      <c r="N254" s="91">
        <v>0.41666666666666669</v>
      </c>
      <c r="O254" s="91">
        <f t="shared" si="12"/>
        <v>1.041666666666663E-2</v>
      </c>
      <c r="P254" s="91">
        <f t="shared" si="13"/>
        <v>2.083333333333337E-2</v>
      </c>
      <c r="Q254" s="91">
        <v>0.41666666666666669</v>
      </c>
    </row>
    <row r="255" spans="1:19" s="202" customFormat="1" ht="16.5" thickBot="1" x14ac:dyDescent="0.3">
      <c r="A255" s="196">
        <f t="shared" si="14"/>
        <v>7</v>
      </c>
      <c r="B255" s="209">
        <v>43876</v>
      </c>
      <c r="C255" s="209">
        <v>43876</v>
      </c>
      <c r="D255" s="356">
        <v>1000458813</v>
      </c>
      <c r="E255" s="210">
        <v>480</v>
      </c>
      <c r="F255" s="196" t="s">
        <v>437</v>
      </c>
      <c r="G255" s="210" t="s">
        <v>856</v>
      </c>
      <c r="H255" s="210" t="s">
        <v>103</v>
      </c>
      <c r="I255" s="210">
        <v>34</v>
      </c>
      <c r="J255" s="210"/>
      <c r="K255" s="210"/>
      <c r="L255" s="211">
        <v>0.44444444444444442</v>
      </c>
      <c r="M255" s="211">
        <v>0.45833333333333331</v>
      </c>
      <c r="N255" s="211">
        <v>0.46875</v>
      </c>
      <c r="O255" s="211">
        <f t="shared" si="12"/>
        <v>1.3888888888888895E-2</v>
      </c>
      <c r="P255" s="211">
        <f t="shared" si="13"/>
        <v>1.0416666666666685E-2</v>
      </c>
      <c r="Q255" s="211">
        <v>0.47222222222222227</v>
      </c>
      <c r="R255" s="212"/>
    </row>
    <row r="256" spans="1:19" s="112" customFormat="1" x14ac:dyDescent="0.25">
      <c r="A256" s="110">
        <f t="shared" si="14"/>
        <v>8</v>
      </c>
      <c r="B256" s="111">
        <v>43879</v>
      </c>
      <c r="C256" s="111">
        <v>43879</v>
      </c>
      <c r="D256" s="357"/>
      <c r="E256" s="207"/>
      <c r="F256" s="110" t="s">
        <v>331</v>
      </c>
      <c r="G256" s="207">
        <v>9185815950</v>
      </c>
      <c r="H256" s="207" t="s">
        <v>103</v>
      </c>
      <c r="I256" s="207">
        <v>30</v>
      </c>
      <c r="J256" s="207">
        <v>80</v>
      </c>
      <c r="K256" s="207"/>
      <c r="L256" s="208">
        <v>0.25</v>
      </c>
      <c r="M256" s="208">
        <v>0.25347222222222221</v>
      </c>
      <c r="N256" s="208">
        <v>0.2638888888888889</v>
      </c>
      <c r="O256" s="208">
        <f t="shared" si="12"/>
        <v>3.4722222222222099E-3</v>
      </c>
      <c r="P256" s="208">
        <f t="shared" si="13"/>
        <v>1.0416666666666685E-2</v>
      </c>
      <c r="Q256" s="208"/>
      <c r="R256" s="244" t="s">
        <v>864</v>
      </c>
    </row>
    <row r="257" spans="1:18" x14ac:dyDescent="0.25">
      <c r="A257" s="83">
        <f t="shared" si="14"/>
        <v>8</v>
      </c>
      <c r="B257" s="111">
        <v>43879</v>
      </c>
      <c r="C257" s="111">
        <v>43879</v>
      </c>
      <c r="F257" s="83" t="s">
        <v>335</v>
      </c>
      <c r="G257" s="90">
        <v>9185791101</v>
      </c>
      <c r="H257" s="90" t="s">
        <v>103</v>
      </c>
      <c r="I257" s="90">
        <v>33</v>
      </c>
      <c r="J257" s="90">
        <v>80</v>
      </c>
      <c r="L257" s="91">
        <v>0.28472222222222221</v>
      </c>
      <c r="M257" s="91">
        <v>0.2951388888888889</v>
      </c>
      <c r="N257" s="91">
        <v>0.30555555555555552</v>
      </c>
      <c r="O257" s="91">
        <f t="shared" si="12"/>
        <v>1.0416666666666685E-2</v>
      </c>
      <c r="P257" s="91">
        <f t="shared" si="13"/>
        <v>1.041666666666663E-2</v>
      </c>
      <c r="R257" s="88" t="s">
        <v>863</v>
      </c>
    </row>
    <row r="258" spans="1:18" ht="31.5" x14ac:dyDescent="0.25">
      <c r="A258" s="83">
        <f t="shared" si="14"/>
        <v>8</v>
      </c>
      <c r="B258" s="111">
        <v>43879</v>
      </c>
      <c r="C258" s="111">
        <v>43879</v>
      </c>
      <c r="D258" s="355">
        <v>1000460372</v>
      </c>
      <c r="E258" s="90">
        <v>300</v>
      </c>
      <c r="F258" s="83" t="s">
        <v>393</v>
      </c>
      <c r="G258" s="79" t="s">
        <v>862</v>
      </c>
      <c r="H258" s="90" t="s">
        <v>103</v>
      </c>
      <c r="I258" s="90" t="s">
        <v>868</v>
      </c>
      <c r="J258" s="90">
        <v>80</v>
      </c>
      <c r="K258" s="90" t="s">
        <v>51</v>
      </c>
      <c r="L258" s="91">
        <v>0.28819444444444448</v>
      </c>
      <c r="M258" s="91">
        <v>0.30902777777777779</v>
      </c>
      <c r="N258" s="91">
        <v>0.3263888888888889</v>
      </c>
      <c r="O258" s="91">
        <f t="shared" si="12"/>
        <v>2.0833333333333315E-2</v>
      </c>
      <c r="P258" s="91">
        <f t="shared" si="13"/>
        <v>1.7361111111111105E-2</v>
      </c>
      <c r="Q258" s="91">
        <v>0.33333333333333331</v>
      </c>
    </row>
    <row r="259" spans="1:18" x14ac:dyDescent="0.25">
      <c r="A259" s="83">
        <f t="shared" si="14"/>
        <v>8</v>
      </c>
      <c r="B259" s="111">
        <v>43879</v>
      </c>
      <c r="C259" s="111">
        <v>43879</v>
      </c>
      <c r="F259" s="83" t="s">
        <v>343</v>
      </c>
      <c r="G259" s="90">
        <v>9185809523</v>
      </c>
      <c r="H259" s="90" t="s">
        <v>103</v>
      </c>
      <c r="I259" s="90">
        <v>32</v>
      </c>
      <c r="J259" s="90">
        <v>80</v>
      </c>
      <c r="L259" s="91">
        <v>0.33680555555555558</v>
      </c>
      <c r="M259" s="91">
        <v>0.34375</v>
      </c>
      <c r="N259" s="91">
        <v>0.35416666666666669</v>
      </c>
      <c r="O259" s="91">
        <f t="shared" si="12"/>
        <v>6.9444444444444198E-3</v>
      </c>
      <c r="P259" s="91">
        <f t="shared" si="13"/>
        <v>1.0416666666666685E-2</v>
      </c>
      <c r="R259" s="88" t="s">
        <v>866</v>
      </c>
    </row>
    <row r="260" spans="1:18" x14ac:dyDescent="0.25">
      <c r="A260" s="83">
        <f t="shared" si="14"/>
        <v>8</v>
      </c>
      <c r="B260" s="111">
        <v>43879</v>
      </c>
      <c r="C260" s="111">
        <v>43879</v>
      </c>
      <c r="D260" s="355">
        <v>1000458835</v>
      </c>
      <c r="E260" s="366">
        <v>120</v>
      </c>
      <c r="F260" s="83" t="s">
        <v>445</v>
      </c>
      <c r="G260" s="90" t="s">
        <v>865</v>
      </c>
      <c r="H260" s="90" t="s">
        <v>103</v>
      </c>
      <c r="I260" s="90">
        <v>43</v>
      </c>
      <c r="J260" s="90">
        <v>80</v>
      </c>
      <c r="K260" s="90" t="s">
        <v>51</v>
      </c>
      <c r="L260" s="91">
        <v>0.33680555555555558</v>
      </c>
      <c r="M260" s="91">
        <v>0.35416666666666669</v>
      </c>
      <c r="N260" s="91">
        <v>0.37847222222222227</v>
      </c>
      <c r="O260" s="91">
        <f t="shared" si="12"/>
        <v>1.7361111111111105E-2</v>
      </c>
      <c r="P260" s="91">
        <f t="shared" si="13"/>
        <v>2.430555555555558E-2</v>
      </c>
      <c r="Q260" s="91">
        <v>0.4201388888888889</v>
      </c>
    </row>
    <row r="261" spans="1:18" x14ac:dyDescent="0.25">
      <c r="A261" s="83">
        <f t="shared" si="14"/>
        <v>8</v>
      </c>
      <c r="B261" s="111">
        <v>43879</v>
      </c>
      <c r="C261" s="111">
        <v>43879</v>
      </c>
      <c r="D261" s="355">
        <v>1000458789</v>
      </c>
      <c r="E261" s="90">
        <v>480</v>
      </c>
      <c r="F261" s="83" t="s">
        <v>352</v>
      </c>
      <c r="G261" s="90" t="s">
        <v>867</v>
      </c>
      <c r="H261" s="90" t="s">
        <v>103</v>
      </c>
      <c r="I261" s="90">
        <v>33</v>
      </c>
      <c r="J261" s="90">
        <v>80</v>
      </c>
      <c r="K261" s="90" t="s">
        <v>51</v>
      </c>
      <c r="L261" s="91">
        <v>0.34027777777777773</v>
      </c>
      <c r="M261" s="91">
        <v>0.40972222222222227</v>
      </c>
      <c r="N261" s="91">
        <v>0.43055555555555558</v>
      </c>
      <c r="O261" s="91">
        <f t="shared" si="12"/>
        <v>6.9444444444444531E-2</v>
      </c>
      <c r="P261" s="91">
        <f t="shared" si="13"/>
        <v>2.0833333333333315E-2</v>
      </c>
    </row>
    <row r="262" spans="1:18" x14ac:dyDescent="0.25">
      <c r="A262" s="83">
        <f t="shared" si="14"/>
        <v>8</v>
      </c>
      <c r="B262" s="111">
        <v>43879</v>
      </c>
      <c r="C262" s="111">
        <v>43879</v>
      </c>
      <c r="E262" s="90">
        <v>600</v>
      </c>
      <c r="F262" s="83" t="s">
        <v>413</v>
      </c>
      <c r="G262" s="90">
        <v>186969606</v>
      </c>
      <c r="H262" s="90" t="s">
        <v>103</v>
      </c>
      <c r="I262" s="90">
        <v>34</v>
      </c>
      <c r="L262" s="91">
        <v>0.35416666666666669</v>
      </c>
      <c r="M262" s="91">
        <v>0.38541666666666669</v>
      </c>
      <c r="N262" s="91">
        <v>0.39930555555555558</v>
      </c>
      <c r="O262" s="91">
        <f t="shared" si="12"/>
        <v>3.125E-2</v>
      </c>
      <c r="P262" s="91">
        <f t="shared" si="13"/>
        <v>1.3888888888888895E-2</v>
      </c>
      <c r="Q262" s="91">
        <v>0.40277777777777773</v>
      </c>
    </row>
    <row r="263" spans="1:18" x14ac:dyDescent="0.25">
      <c r="A263" s="83">
        <f t="shared" si="14"/>
        <v>8</v>
      </c>
      <c r="B263" s="111">
        <v>43879</v>
      </c>
      <c r="C263" s="111">
        <v>43879</v>
      </c>
      <c r="F263" s="83" t="s">
        <v>333</v>
      </c>
      <c r="G263" s="90">
        <v>3202716627</v>
      </c>
      <c r="H263" s="90" t="s">
        <v>103</v>
      </c>
      <c r="I263" s="90">
        <v>1</v>
      </c>
      <c r="J263" s="90">
        <v>80</v>
      </c>
      <c r="L263" s="91">
        <v>0.34722222222222227</v>
      </c>
      <c r="M263" s="91">
        <v>0.35069444444444442</v>
      </c>
      <c r="N263" s="91">
        <v>0.35069444444444442</v>
      </c>
      <c r="O263" s="91">
        <f t="shared" si="12"/>
        <v>3.4722222222221544E-3</v>
      </c>
      <c r="P263" s="91">
        <f t="shared" si="13"/>
        <v>0</v>
      </c>
      <c r="Q263" s="91">
        <v>0.35069444444444442</v>
      </c>
      <c r="R263" s="88" t="s">
        <v>869</v>
      </c>
    </row>
    <row r="264" spans="1:18" s="202" customFormat="1" ht="16.5" thickBot="1" x14ac:dyDescent="0.3">
      <c r="A264" s="196">
        <f t="shared" si="14"/>
        <v>8</v>
      </c>
      <c r="B264" s="209">
        <v>43879</v>
      </c>
      <c r="C264" s="209">
        <v>43879</v>
      </c>
      <c r="D264" s="356"/>
      <c r="E264" s="210"/>
      <c r="F264" s="196" t="s">
        <v>368</v>
      </c>
      <c r="G264" s="210">
        <v>9185821776</v>
      </c>
      <c r="H264" s="210" t="s">
        <v>103</v>
      </c>
      <c r="I264" s="210">
        <v>33</v>
      </c>
      <c r="J264" s="210">
        <v>80</v>
      </c>
      <c r="K264" s="210"/>
      <c r="L264" s="211">
        <v>0.51041666666666663</v>
      </c>
      <c r="M264" s="211">
        <v>0.51388888888888895</v>
      </c>
      <c r="N264" s="211">
        <v>0.52430555555555558</v>
      </c>
      <c r="O264" s="211">
        <f t="shared" si="12"/>
        <v>3.4722222222223209E-3</v>
      </c>
      <c r="P264" s="211">
        <f t="shared" si="13"/>
        <v>1.041666666666663E-2</v>
      </c>
      <c r="Q264" s="211"/>
      <c r="R264" s="212" t="s">
        <v>460</v>
      </c>
    </row>
    <row r="265" spans="1:18" s="112" customFormat="1" x14ac:dyDescent="0.25">
      <c r="A265" s="110">
        <f t="shared" si="14"/>
        <v>8</v>
      </c>
      <c r="B265" s="111">
        <v>43880</v>
      </c>
      <c r="C265" s="111">
        <v>43880</v>
      </c>
      <c r="D265" s="357"/>
      <c r="E265" s="207"/>
      <c r="F265" s="110" t="s">
        <v>419</v>
      </c>
      <c r="G265" s="207">
        <v>3202661747</v>
      </c>
      <c r="H265" s="207" t="s">
        <v>103</v>
      </c>
      <c r="I265" s="207">
        <v>1</v>
      </c>
      <c r="J265" s="207"/>
      <c r="K265" s="207"/>
      <c r="L265" s="208">
        <v>0.23263888888888887</v>
      </c>
      <c r="M265" s="208">
        <v>0.23611111111111113</v>
      </c>
      <c r="N265" s="208">
        <v>0.23958333333333334</v>
      </c>
      <c r="O265" s="208">
        <f t="shared" si="12"/>
        <v>3.4722222222222654E-3</v>
      </c>
      <c r="P265" s="208">
        <f t="shared" si="13"/>
        <v>3.4722222222222099E-3</v>
      </c>
      <c r="Q265" s="208"/>
      <c r="R265" s="244"/>
    </row>
    <row r="266" spans="1:18" x14ac:dyDescent="0.25">
      <c r="A266" s="83">
        <f t="shared" si="14"/>
        <v>8</v>
      </c>
      <c r="B266" s="111">
        <v>43880</v>
      </c>
      <c r="C266" s="111">
        <v>43880</v>
      </c>
      <c r="F266" s="83" t="s">
        <v>331</v>
      </c>
      <c r="G266" s="90">
        <v>9185783163</v>
      </c>
      <c r="H266" s="90" t="s">
        <v>103</v>
      </c>
      <c r="I266" s="90">
        <v>33</v>
      </c>
      <c r="J266" s="90">
        <v>80</v>
      </c>
      <c r="L266" s="91">
        <v>0.25694444444444448</v>
      </c>
      <c r="M266" s="91">
        <v>0.26041666666666669</v>
      </c>
      <c r="N266" s="91">
        <v>0.2673611111111111</v>
      </c>
      <c r="O266" s="91">
        <f t="shared" si="12"/>
        <v>3.4722222222222099E-3</v>
      </c>
      <c r="P266" s="91">
        <f t="shared" si="13"/>
        <v>6.9444444444444198E-3</v>
      </c>
      <c r="R266" s="88" t="s">
        <v>422</v>
      </c>
    </row>
    <row r="267" spans="1:18" x14ac:dyDescent="0.25">
      <c r="A267" s="83">
        <f t="shared" si="14"/>
        <v>8</v>
      </c>
      <c r="B267" s="111">
        <v>43880</v>
      </c>
      <c r="C267" s="111">
        <v>43880</v>
      </c>
      <c r="F267" s="83" t="s">
        <v>874</v>
      </c>
      <c r="G267" s="90">
        <v>9185822714</v>
      </c>
      <c r="H267" s="90" t="s">
        <v>103</v>
      </c>
      <c r="I267" s="90">
        <v>33</v>
      </c>
      <c r="J267" s="90">
        <v>80</v>
      </c>
      <c r="L267" s="91">
        <v>0.29166666666666669</v>
      </c>
      <c r="M267" s="91">
        <v>0.2951388888888889</v>
      </c>
      <c r="N267" s="91">
        <v>0.30555555555555552</v>
      </c>
      <c r="O267" s="91">
        <f t="shared" si="12"/>
        <v>3.4722222222222099E-3</v>
      </c>
      <c r="P267" s="91">
        <f t="shared" si="13"/>
        <v>1.041666666666663E-2</v>
      </c>
      <c r="R267" s="88" t="s">
        <v>460</v>
      </c>
    </row>
    <row r="268" spans="1:18" x14ac:dyDescent="0.25">
      <c r="A268" s="83">
        <f t="shared" si="14"/>
        <v>8</v>
      </c>
      <c r="B268" s="111">
        <v>43880</v>
      </c>
      <c r="C268" s="111">
        <v>43880</v>
      </c>
      <c r="F268" s="83" t="s">
        <v>343</v>
      </c>
      <c r="G268" s="90">
        <v>9185785563</v>
      </c>
      <c r="H268" s="90" t="s">
        <v>103</v>
      </c>
      <c r="I268" s="90">
        <v>25</v>
      </c>
      <c r="J268" s="90">
        <v>80</v>
      </c>
      <c r="L268" s="91">
        <v>0.36458333333333331</v>
      </c>
      <c r="M268" s="91">
        <v>0.36805555555555558</v>
      </c>
      <c r="N268" s="91">
        <v>0.37847222222222227</v>
      </c>
      <c r="O268" s="91">
        <f t="shared" si="12"/>
        <v>3.4722222222222654E-3</v>
      </c>
      <c r="P268" s="91">
        <f t="shared" si="13"/>
        <v>1.0416666666666685E-2</v>
      </c>
      <c r="R268" s="88" t="s">
        <v>875</v>
      </c>
    </row>
    <row r="269" spans="1:18" x14ac:dyDescent="0.25">
      <c r="A269" s="83">
        <f t="shared" si="14"/>
        <v>8</v>
      </c>
      <c r="B269" s="111">
        <v>43880</v>
      </c>
      <c r="C269" s="111">
        <v>43880</v>
      </c>
      <c r="E269" s="90">
        <v>180</v>
      </c>
      <c r="F269" s="83" t="s">
        <v>420</v>
      </c>
      <c r="G269" s="90">
        <v>186950530</v>
      </c>
      <c r="H269" s="90" t="s">
        <v>103</v>
      </c>
      <c r="I269" s="90">
        <v>34</v>
      </c>
      <c r="L269" s="91">
        <v>0.3923611111111111</v>
      </c>
      <c r="M269" s="91">
        <v>0.40625</v>
      </c>
      <c r="N269" s="91">
        <v>0.4236111111111111</v>
      </c>
      <c r="O269" s="91">
        <f t="shared" si="12"/>
        <v>1.3888888888888895E-2</v>
      </c>
      <c r="P269" s="91">
        <f t="shared" si="13"/>
        <v>1.7361111111111105E-2</v>
      </c>
      <c r="Q269" s="91">
        <v>0.42708333333333331</v>
      </c>
    </row>
    <row r="270" spans="1:18" x14ac:dyDescent="0.25">
      <c r="A270" s="83">
        <f t="shared" si="14"/>
        <v>8</v>
      </c>
      <c r="B270" s="111">
        <v>43880</v>
      </c>
      <c r="C270" s="111">
        <v>43880</v>
      </c>
      <c r="F270" s="83" t="s">
        <v>368</v>
      </c>
      <c r="G270" s="90">
        <v>9185815979</v>
      </c>
      <c r="H270" s="90" t="s">
        <v>103</v>
      </c>
      <c r="I270" s="90">
        <v>33</v>
      </c>
      <c r="J270" s="90">
        <v>80</v>
      </c>
      <c r="L270" s="91">
        <v>0.39583333333333331</v>
      </c>
      <c r="M270" s="91">
        <v>0.39930555555555558</v>
      </c>
      <c r="N270" s="91">
        <v>0.40625</v>
      </c>
      <c r="O270" s="91">
        <f t="shared" si="12"/>
        <v>3.4722222222222654E-3</v>
      </c>
      <c r="P270" s="91">
        <f t="shared" si="13"/>
        <v>6.9444444444444198E-3</v>
      </c>
      <c r="R270" s="88" t="s">
        <v>460</v>
      </c>
    </row>
    <row r="271" spans="1:18" x14ac:dyDescent="0.25">
      <c r="A271" s="83">
        <f t="shared" si="14"/>
        <v>8</v>
      </c>
      <c r="B271" s="111">
        <v>43880</v>
      </c>
      <c r="C271" s="111">
        <v>43880</v>
      </c>
      <c r="F271" s="83" t="s">
        <v>369</v>
      </c>
      <c r="G271" s="90">
        <v>9185836043</v>
      </c>
      <c r="H271" s="90" t="s">
        <v>103</v>
      </c>
      <c r="I271" s="90">
        <v>33</v>
      </c>
      <c r="J271" s="90">
        <v>80</v>
      </c>
      <c r="L271" s="91">
        <v>0.4375</v>
      </c>
      <c r="M271" s="91">
        <v>0.44097222222222227</v>
      </c>
      <c r="N271" s="91">
        <v>0.44791666666666669</v>
      </c>
      <c r="O271" s="91">
        <f t="shared" si="12"/>
        <v>3.4722222222222654E-3</v>
      </c>
      <c r="P271" s="91">
        <f t="shared" si="13"/>
        <v>6.9444444444444198E-3</v>
      </c>
      <c r="R271" s="88" t="s">
        <v>460</v>
      </c>
    </row>
    <row r="272" spans="1:18" x14ac:dyDescent="0.25">
      <c r="A272" s="83">
        <f t="shared" si="14"/>
        <v>8</v>
      </c>
      <c r="B272" s="111">
        <v>43880</v>
      </c>
      <c r="C272" s="111">
        <v>43880</v>
      </c>
      <c r="D272" s="355">
        <v>1000460520</v>
      </c>
      <c r="E272" s="90">
        <v>240</v>
      </c>
      <c r="F272" s="83" t="s">
        <v>463</v>
      </c>
      <c r="G272" s="90" t="s">
        <v>876</v>
      </c>
      <c r="H272" s="90" t="s">
        <v>103</v>
      </c>
      <c r="I272" s="90">
        <v>43</v>
      </c>
      <c r="J272" s="90">
        <v>80</v>
      </c>
      <c r="K272" s="90" t="s">
        <v>51</v>
      </c>
      <c r="L272" s="91">
        <v>0.47916666666666669</v>
      </c>
      <c r="M272" s="91">
        <v>0.48958333333333331</v>
      </c>
      <c r="N272" s="91">
        <v>0.51388888888888895</v>
      </c>
      <c r="O272" s="91">
        <f t="shared" si="12"/>
        <v>1.041666666666663E-2</v>
      </c>
      <c r="P272" s="91">
        <f t="shared" si="13"/>
        <v>2.4305555555555636E-2</v>
      </c>
      <c r="Q272" s="91">
        <v>0.51736111111111105</v>
      </c>
    </row>
    <row r="273" spans="1:18" s="202" customFormat="1" ht="32.25" thickBot="1" x14ac:dyDescent="0.3">
      <c r="A273" s="196">
        <f t="shared" si="14"/>
        <v>8</v>
      </c>
      <c r="B273" s="209">
        <v>43880</v>
      </c>
      <c r="C273" s="209">
        <v>43880</v>
      </c>
      <c r="D273" s="356">
        <v>1000460465</v>
      </c>
      <c r="E273" s="210">
        <v>180</v>
      </c>
      <c r="F273" s="196" t="s">
        <v>635</v>
      </c>
      <c r="G273" s="172" t="s">
        <v>881</v>
      </c>
      <c r="H273" s="210" t="s">
        <v>103</v>
      </c>
      <c r="I273" s="267" t="s">
        <v>882</v>
      </c>
      <c r="J273" s="210">
        <v>80</v>
      </c>
      <c r="K273" s="210" t="s">
        <v>51</v>
      </c>
      <c r="L273" s="211">
        <v>0.75</v>
      </c>
      <c r="M273" s="211">
        <v>0.77083333333333337</v>
      </c>
      <c r="N273" s="211">
        <v>0.79513888888888884</v>
      </c>
      <c r="O273" s="211">
        <f t="shared" si="12"/>
        <v>2.083333333333337E-2</v>
      </c>
      <c r="P273" s="211">
        <f t="shared" si="13"/>
        <v>2.4305555555555469E-2</v>
      </c>
      <c r="Q273" s="211">
        <v>0.79861111111111116</v>
      </c>
      <c r="R273" s="212"/>
    </row>
    <row r="274" spans="1:18" s="112" customFormat="1" x14ac:dyDescent="0.25">
      <c r="A274" s="110">
        <f>WEEKNUM(B274,21)</f>
        <v>8</v>
      </c>
      <c r="B274" s="111">
        <v>43881</v>
      </c>
      <c r="C274" s="111">
        <v>43881</v>
      </c>
      <c r="D274" s="357"/>
      <c r="E274" s="207"/>
      <c r="F274" s="110" t="s">
        <v>331</v>
      </c>
      <c r="G274" s="207">
        <v>9185761503</v>
      </c>
      <c r="H274" s="207" t="s">
        <v>103</v>
      </c>
      <c r="I274" s="207">
        <v>33</v>
      </c>
      <c r="J274" s="207">
        <v>80</v>
      </c>
      <c r="K274" s="207"/>
      <c r="L274" s="208">
        <v>0.24305555555555555</v>
      </c>
      <c r="M274" s="208">
        <v>0.25</v>
      </c>
      <c r="N274" s="208">
        <v>0.26041666666666669</v>
      </c>
      <c r="O274" s="208">
        <f t="shared" si="12"/>
        <v>6.9444444444444475E-3</v>
      </c>
      <c r="P274" s="208">
        <f t="shared" si="13"/>
        <v>1.0416666666666685E-2</v>
      </c>
      <c r="Q274" s="208"/>
      <c r="R274" s="244" t="s">
        <v>886</v>
      </c>
    </row>
    <row r="275" spans="1:18" x14ac:dyDescent="0.25">
      <c r="A275" s="83">
        <f t="shared" si="14"/>
        <v>8</v>
      </c>
      <c r="B275" s="111">
        <v>43881</v>
      </c>
      <c r="C275" s="111">
        <v>43881</v>
      </c>
      <c r="F275" s="83" t="s">
        <v>335</v>
      </c>
      <c r="G275" s="90">
        <v>9185846695</v>
      </c>
      <c r="H275" s="90" t="s">
        <v>103</v>
      </c>
      <c r="I275" s="90">
        <v>33</v>
      </c>
      <c r="J275" s="90">
        <v>80</v>
      </c>
      <c r="L275" s="91">
        <v>0.27777777777777779</v>
      </c>
      <c r="M275" s="91">
        <v>0.28125</v>
      </c>
      <c r="N275" s="91">
        <v>0.29166666666666669</v>
      </c>
      <c r="O275" s="91">
        <f t="shared" si="12"/>
        <v>3.4722222222222099E-3</v>
      </c>
      <c r="P275" s="91">
        <f t="shared" si="13"/>
        <v>1.0416666666666685E-2</v>
      </c>
      <c r="R275" s="88" t="s">
        <v>886</v>
      </c>
    </row>
    <row r="276" spans="1:18" x14ac:dyDescent="0.25">
      <c r="A276" s="83">
        <f t="shared" si="14"/>
        <v>8</v>
      </c>
      <c r="B276" s="111">
        <v>43881</v>
      </c>
      <c r="C276" s="111">
        <v>43881</v>
      </c>
      <c r="D276" s="355">
        <v>1000460523</v>
      </c>
      <c r="E276" s="90">
        <v>660</v>
      </c>
      <c r="F276" s="83" t="s">
        <v>653</v>
      </c>
      <c r="G276" s="90" t="s">
        <v>889</v>
      </c>
      <c r="H276" s="90" t="s">
        <v>103</v>
      </c>
      <c r="I276" s="90">
        <v>41</v>
      </c>
      <c r="J276" s="90">
        <v>80</v>
      </c>
      <c r="K276" s="90" t="s">
        <v>51</v>
      </c>
      <c r="L276" s="91">
        <v>0.28472222222222221</v>
      </c>
      <c r="M276" s="91">
        <v>0.31944444444444448</v>
      </c>
      <c r="N276" s="91">
        <v>0.34027777777777773</v>
      </c>
      <c r="O276" s="91">
        <f t="shared" si="12"/>
        <v>3.4722222222222265E-2</v>
      </c>
      <c r="P276" s="91">
        <f t="shared" si="13"/>
        <v>2.0833333333333259E-2</v>
      </c>
      <c r="Q276" s="91">
        <v>0.34375</v>
      </c>
    </row>
    <row r="277" spans="1:18" x14ac:dyDescent="0.25">
      <c r="A277" s="83">
        <f t="shared" si="14"/>
        <v>8</v>
      </c>
      <c r="B277" s="111">
        <v>43881</v>
      </c>
      <c r="C277" s="111">
        <v>43881</v>
      </c>
      <c r="F277" s="83" t="s">
        <v>343</v>
      </c>
      <c r="G277" s="90">
        <v>9185864966</v>
      </c>
      <c r="H277" s="90" t="s">
        <v>103</v>
      </c>
      <c r="I277" s="90">
        <v>33</v>
      </c>
      <c r="J277" s="90">
        <v>80</v>
      </c>
      <c r="L277" s="91">
        <v>0.3125</v>
      </c>
      <c r="M277" s="91">
        <v>0.31597222222222221</v>
      </c>
      <c r="N277" s="91">
        <v>0.3263888888888889</v>
      </c>
      <c r="O277" s="91">
        <f t="shared" si="12"/>
        <v>3.4722222222222099E-3</v>
      </c>
      <c r="P277" s="91">
        <f t="shared" si="13"/>
        <v>1.0416666666666685E-2</v>
      </c>
      <c r="R277" s="88" t="s">
        <v>887</v>
      </c>
    </row>
    <row r="278" spans="1:18" x14ac:dyDescent="0.25">
      <c r="A278" s="83">
        <f t="shared" si="14"/>
        <v>8</v>
      </c>
      <c r="B278" s="111">
        <v>43881</v>
      </c>
      <c r="C278" s="111">
        <v>43881</v>
      </c>
      <c r="D278" s="355">
        <v>1000460466</v>
      </c>
      <c r="E278" s="90">
        <v>720</v>
      </c>
      <c r="F278" s="83" t="s">
        <v>729</v>
      </c>
      <c r="G278" s="90" t="s">
        <v>888</v>
      </c>
      <c r="H278" s="90" t="s">
        <v>103</v>
      </c>
      <c r="I278" s="90">
        <v>43</v>
      </c>
      <c r="J278" s="90">
        <v>80</v>
      </c>
      <c r="K278" s="90" t="s">
        <v>51</v>
      </c>
      <c r="L278" s="91">
        <v>0.31944444444444448</v>
      </c>
      <c r="M278" s="91">
        <v>0.34722222222222227</v>
      </c>
      <c r="N278" s="91">
        <v>0.36805555555555558</v>
      </c>
      <c r="O278" s="91">
        <f t="shared" si="12"/>
        <v>2.777777777777779E-2</v>
      </c>
      <c r="P278" s="91">
        <f t="shared" si="13"/>
        <v>2.0833333333333315E-2</v>
      </c>
      <c r="Q278" s="91">
        <v>0.37152777777777773</v>
      </c>
    </row>
    <row r="279" spans="1:18" x14ac:dyDescent="0.25">
      <c r="A279" s="83">
        <f t="shared" si="14"/>
        <v>8</v>
      </c>
      <c r="B279" s="111">
        <v>43881</v>
      </c>
      <c r="C279" s="111">
        <v>43881</v>
      </c>
      <c r="D279" s="355">
        <v>1000460736</v>
      </c>
      <c r="E279" s="90">
        <v>300</v>
      </c>
      <c r="F279" s="83" t="s">
        <v>363</v>
      </c>
      <c r="G279" s="90" t="s">
        <v>890</v>
      </c>
      <c r="H279" s="90" t="s">
        <v>103</v>
      </c>
      <c r="I279" s="90">
        <v>34</v>
      </c>
      <c r="J279" s="90">
        <v>80</v>
      </c>
      <c r="K279" s="90" t="s">
        <v>51</v>
      </c>
      <c r="L279" s="91">
        <v>0.3263888888888889</v>
      </c>
      <c r="M279" s="91">
        <v>0.375</v>
      </c>
      <c r="N279" s="91">
        <v>0.39583333333333331</v>
      </c>
      <c r="O279" s="91">
        <f t="shared" si="12"/>
        <v>4.8611111111111105E-2</v>
      </c>
      <c r="P279" s="91">
        <f t="shared" si="13"/>
        <v>2.0833333333333315E-2</v>
      </c>
      <c r="Q279" s="91">
        <v>0.39930555555555558</v>
      </c>
    </row>
    <row r="280" spans="1:18" x14ac:dyDescent="0.25">
      <c r="A280" s="83">
        <f t="shared" si="14"/>
        <v>8</v>
      </c>
      <c r="B280" s="111">
        <v>43881</v>
      </c>
      <c r="C280" s="111">
        <v>43881</v>
      </c>
      <c r="F280" s="83" t="s">
        <v>368</v>
      </c>
      <c r="G280" s="90">
        <v>9185854934</v>
      </c>
      <c r="H280" s="90" t="s">
        <v>103</v>
      </c>
      <c r="I280" s="90">
        <v>33</v>
      </c>
      <c r="J280" s="90">
        <v>80</v>
      </c>
      <c r="L280" s="91">
        <v>0.34722222222222227</v>
      </c>
      <c r="M280" s="91">
        <v>0.36458333333333331</v>
      </c>
      <c r="N280" s="91">
        <v>0.375</v>
      </c>
      <c r="O280" s="91">
        <f t="shared" si="12"/>
        <v>1.7361111111111049E-2</v>
      </c>
      <c r="P280" s="91">
        <f t="shared" si="13"/>
        <v>1.0416666666666685E-2</v>
      </c>
      <c r="R280" s="88" t="s">
        <v>891</v>
      </c>
    </row>
    <row r="281" spans="1:18" ht="31.5" x14ac:dyDescent="0.25">
      <c r="A281" s="83">
        <f t="shared" si="14"/>
        <v>8</v>
      </c>
      <c r="B281" s="111">
        <v>43881</v>
      </c>
      <c r="C281" s="111">
        <v>43881</v>
      </c>
      <c r="F281" s="83" t="s">
        <v>333</v>
      </c>
      <c r="G281" s="79" t="s">
        <v>892</v>
      </c>
      <c r="H281" s="90" t="s">
        <v>103</v>
      </c>
      <c r="I281" s="90" t="s">
        <v>893</v>
      </c>
      <c r="J281" s="90">
        <v>80</v>
      </c>
      <c r="L281" s="91">
        <v>0.35416666666666669</v>
      </c>
      <c r="M281" s="91">
        <v>0.35416666666666669</v>
      </c>
      <c r="N281" s="91">
        <v>0.36458333333333331</v>
      </c>
      <c r="O281" s="91">
        <f t="shared" si="12"/>
        <v>0</v>
      </c>
      <c r="P281" s="91">
        <f t="shared" si="13"/>
        <v>1.041666666666663E-2</v>
      </c>
      <c r="Q281" s="91">
        <v>0.36458333333333331</v>
      </c>
    </row>
    <row r="282" spans="1:18" x14ac:dyDescent="0.25">
      <c r="A282" s="83">
        <f t="shared" si="14"/>
        <v>8</v>
      </c>
      <c r="B282" s="111">
        <v>43881</v>
      </c>
      <c r="C282" s="111">
        <v>43881</v>
      </c>
      <c r="E282" s="90">
        <v>480</v>
      </c>
      <c r="F282" s="83" t="s">
        <v>442</v>
      </c>
      <c r="G282" s="90">
        <v>186920131</v>
      </c>
      <c r="H282" s="90" t="s">
        <v>103</v>
      </c>
      <c r="I282" s="90">
        <v>34</v>
      </c>
      <c r="L282" s="91">
        <v>0.3923611111111111</v>
      </c>
      <c r="M282" s="91">
        <v>0.40625</v>
      </c>
      <c r="N282" s="91">
        <v>0.42708333333333331</v>
      </c>
      <c r="O282" s="91">
        <f t="shared" si="12"/>
        <v>1.3888888888888895E-2</v>
      </c>
      <c r="P282" s="91">
        <f t="shared" si="13"/>
        <v>2.0833333333333315E-2</v>
      </c>
      <c r="Q282" s="91">
        <v>0.43402777777777773</v>
      </c>
    </row>
    <row r="283" spans="1:18" x14ac:dyDescent="0.25">
      <c r="A283" s="83">
        <f t="shared" si="14"/>
        <v>8</v>
      </c>
      <c r="B283" s="111">
        <v>43881</v>
      </c>
      <c r="C283" s="111">
        <v>43881</v>
      </c>
      <c r="F283" s="83" t="s">
        <v>369</v>
      </c>
      <c r="G283" s="90">
        <v>9185861947</v>
      </c>
      <c r="H283" s="90" t="s">
        <v>103</v>
      </c>
      <c r="I283" s="90">
        <v>33</v>
      </c>
      <c r="J283" s="90">
        <v>80</v>
      </c>
      <c r="L283" s="91">
        <v>0.40277777777777773</v>
      </c>
      <c r="M283" s="91">
        <v>0.44930555555555557</v>
      </c>
      <c r="N283" s="91">
        <v>0.46180555555555558</v>
      </c>
      <c r="O283" s="91">
        <f t="shared" si="12"/>
        <v>4.6527777777777835E-2</v>
      </c>
      <c r="P283" s="91">
        <f t="shared" si="13"/>
        <v>1.2500000000000011E-2</v>
      </c>
      <c r="R283" s="88" t="s">
        <v>886</v>
      </c>
    </row>
    <row r="284" spans="1:18" x14ac:dyDescent="0.25">
      <c r="A284" s="83">
        <f t="shared" si="14"/>
        <v>8</v>
      </c>
      <c r="B284" s="111">
        <v>43881</v>
      </c>
      <c r="C284" s="111">
        <v>43881</v>
      </c>
      <c r="D284" s="355">
        <v>1000458767</v>
      </c>
      <c r="E284" s="90">
        <v>360</v>
      </c>
      <c r="F284" s="83" t="s">
        <v>473</v>
      </c>
      <c r="G284" s="90" t="s">
        <v>895</v>
      </c>
      <c r="H284" s="90" t="s">
        <v>103</v>
      </c>
      <c r="I284" s="90">
        <v>26</v>
      </c>
      <c r="J284" s="90" t="s">
        <v>565</v>
      </c>
      <c r="K284" s="90" t="s">
        <v>51</v>
      </c>
      <c r="L284" s="91">
        <v>0.40972222222222227</v>
      </c>
      <c r="M284" s="91">
        <v>0.4236111111111111</v>
      </c>
      <c r="N284" s="91">
        <v>0.4861111111111111</v>
      </c>
      <c r="O284" s="91">
        <f t="shared" si="12"/>
        <v>1.388888888888884E-2</v>
      </c>
      <c r="P284" s="91">
        <f t="shared" si="13"/>
        <v>6.25E-2</v>
      </c>
      <c r="Q284" s="91">
        <v>0.49652777777777773</v>
      </c>
    </row>
    <row r="285" spans="1:18" x14ac:dyDescent="0.25">
      <c r="A285" s="83">
        <f t="shared" si="14"/>
        <v>8</v>
      </c>
      <c r="B285" s="111">
        <v>43881</v>
      </c>
      <c r="C285" s="111">
        <v>43881</v>
      </c>
      <c r="D285" s="355">
        <v>1000460851</v>
      </c>
      <c r="E285" s="90">
        <v>300</v>
      </c>
      <c r="F285" s="83" t="s">
        <v>425</v>
      </c>
      <c r="G285" s="90" t="s">
        <v>896</v>
      </c>
      <c r="H285" s="90" t="s">
        <v>103</v>
      </c>
      <c r="I285" s="90">
        <v>34</v>
      </c>
      <c r="J285" s="90">
        <v>80</v>
      </c>
      <c r="K285" s="90" t="s">
        <v>51</v>
      </c>
      <c r="L285" s="91">
        <v>0.46875</v>
      </c>
      <c r="M285" s="91">
        <v>0.52083333333333337</v>
      </c>
      <c r="N285" s="91">
        <v>0.53125</v>
      </c>
      <c r="O285" s="91">
        <f t="shared" si="12"/>
        <v>5.208333333333337E-2</v>
      </c>
      <c r="P285" s="91">
        <f t="shared" si="13"/>
        <v>1.041666666666663E-2</v>
      </c>
      <c r="Q285" s="91">
        <v>0.53472222222222221</v>
      </c>
    </row>
    <row r="286" spans="1:18" s="202" customFormat="1" ht="32.25" thickBot="1" x14ac:dyDescent="0.3">
      <c r="A286" s="196">
        <f t="shared" si="14"/>
        <v>8</v>
      </c>
      <c r="B286" s="209">
        <v>43881</v>
      </c>
      <c r="C286" s="209">
        <v>43881</v>
      </c>
      <c r="D286" s="356">
        <v>1000460762</v>
      </c>
      <c r="E286" s="210">
        <v>120</v>
      </c>
      <c r="F286" s="196" t="s">
        <v>424</v>
      </c>
      <c r="G286" s="172" t="s">
        <v>903</v>
      </c>
      <c r="H286" s="210" t="s">
        <v>103</v>
      </c>
      <c r="I286" s="267" t="s">
        <v>904</v>
      </c>
      <c r="J286" s="210">
        <v>80</v>
      </c>
      <c r="K286" s="210" t="s">
        <v>51</v>
      </c>
      <c r="L286" s="211">
        <v>0.74305555555555547</v>
      </c>
      <c r="M286" s="211">
        <v>0.74652777777777779</v>
      </c>
      <c r="N286" s="211">
        <v>0.76041666666666663</v>
      </c>
      <c r="O286" s="211">
        <f t="shared" si="12"/>
        <v>3.4722222222223209E-3</v>
      </c>
      <c r="P286" s="211">
        <f t="shared" si="13"/>
        <v>1.388888888888884E-2</v>
      </c>
      <c r="Q286" s="211">
        <v>0.76736111111111116</v>
      </c>
      <c r="R286" s="212"/>
    </row>
    <row r="287" spans="1:18" s="112" customFormat="1" x14ac:dyDescent="0.25">
      <c r="A287" s="110">
        <f t="shared" si="14"/>
        <v>8</v>
      </c>
      <c r="B287" s="111">
        <v>43882</v>
      </c>
      <c r="C287" s="111">
        <v>43882</v>
      </c>
      <c r="D287" s="357"/>
      <c r="E287" s="207"/>
      <c r="F287" s="110" t="s">
        <v>331</v>
      </c>
      <c r="G287" s="207">
        <v>9185872876</v>
      </c>
      <c r="H287" s="207" t="s">
        <v>103</v>
      </c>
      <c r="I287" s="207">
        <v>33</v>
      </c>
      <c r="J287" s="207">
        <v>80</v>
      </c>
      <c r="K287" s="207"/>
      <c r="L287" s="208">
        <v>0.25</v>
      </c>
      <c r="M287" s="208">
        <v>0.25347222222222221</v>
      </c>
      <c r="N287" s="208">
        <v>0.2638888888888889</v>
      </c>
      <c r="O287" s="208">
        <f t="shared" si="12"/>
        <v>3.4722222222222099E-3</v>
      </c>
      <c r="P287" s="208">
        <f t="shared" si="13"/>
        <v>1.0416666666666685E-2</v>
      </c>
      <c r="Q287" s="208"/>
      <c r="R287" s="244" t="s">
        <v>479</v>
      </c>
    </row>
    <row r="288" spans="1:18" x14ac:dyDescent="0.25">
      <c r="A288" s="83">
        <f t="shared" si="14"/>
        <v>8</v>
      </c>
      <c r="B288" s="111">
        <v>43882</v>
      </c>
      <c r="C288" s="111">
        <v>43882</v>
      </c>
      <c r="F288" s="83" t="s">
        <v>335</v>
      </c>
      <c r="G288" s="90">
        <v>9185879148</v>
      </c>
      <c r="H288" s="90" t="s">
        <v>103</v>
      </c>
      <c r="I288" s="90">
        <v>33</v>
      </c>
      <c r="J288" s="90">
        <v>80</v>
      </c>
      <c r="L288" s="91">
        <v>0.28472222222222221</v>
      </c>
      <c r="M288" s="91">
        <v>0.29166666666666669</v>
      </c>
      <c r="N288" s="91">
        <v>0.30208333333333331</v>
      </c>
      <c r="O288" s="91">
        <f t="shared" si="12"/>
        <v>6.9444444444444753E-3</v>
      </c>
      <c r="P288" s="91">
        <f t="shared" si="13"/>
        <v>1.041666666666663E-2</v>
      </c>
      <c r="R288" s="88" t="s">
        <v>460</v>
      </c>
    </row>
    <row r="289" spans="1:18" x14ac:dyDescent="0.25">
      <c r="A289" s="83">
        <f t="shared" si="14"/>
        <v>8</v>
      </c>
      <c r="B289" s="111">
        <v>43882</v>
      </c>
      <c r="C289" s="111">
        <v>43882</v>
      </c>
      <c r="F289" s="83" t="s">
        <v>343</v>
      </c>
      <c r="G289" s="90">
        <v>9185862094</v>
      </c>
      <c r="H289" s="90" t="s">
        <v>103</v>
      </c>
      <c r="I289" s="90">
        <v>33</v>
      </c>
      <c r="J289" s="90">
        <v>80</v>
      </c>
      <c r="L289" s="91">
        <v>0.32291666666666669</v>
      </c>
      <c r="M289" s="91">
        <v>0.3263888888888889</v>
      </c>
      <c r="N289" s="91">
        <v>0.34027777777777773</v>
      </c>
      <c r="O289" s="91">
        <f t="shared" si="12"/>
        <v>3.4722222222222099E-3</v>
      </c>
      <c r="P289" s="91">
        <f t="shared" si="13"/>
        <v>1.388888888888884E-2</v>
      </c>
      <c r="R289" s="88" t="s">
        <v>479</v>
      </c>
    </row>
    <row r="290" spans="1:18" x14ac:dyDescent="0.25">
      <c r="A290" s="83">
        <f t="shared" si="14"/>
        <v>8</v>
      </c>
      <c r="B290" s="111">
        <v>43882</v>
      </c>
      <c r="C290" s="111">
        <v>43882</v>
      </c>
      <c r="F290" s="83" t="s">
        <v>333</v>
      </c>
      <c r="G290" s="90">
        <v>3202737840</v>
      </c>
      <c r="H290" s="90" t="s">
        <v>103</v>
      </c>
      <c r="I290" s="90">
        <v>6</v>
      </c>
      <c r="J290" s="90">
        <v>80</v>
      </c>
      <c r="L290" s="91">
        <v>0.3611111111111111</v>
      </c>
      <c r="M290" s="91">
        <v>0.36458333333333331</v>
      </c>
      <c r="N290" s="91">
        <v>0.37152777777777773</v>
      </c>
      <c r="O290" s="91">
        <f t="shared" si="12"/>
        <v>3.4722222222222099E-3</v>
      </c>
      <c r="P290" s="91">
        <f t="shared" si="13"/>
        <v>6.9444444444444198E-3</v>
      </c>
      <c r="Q290" s="91">
        <v>0.375</v>
      </c>
    </row>
    <row r="291" spans="1:18" x14ac:dyDescent="0.25">
      <c r="A291" s="83">
        <f t="shared" si="14"/>
        <v>8</v>
      </c>
      <c r="B291" s="111">
        <v>43882</v>
      </c>
      <c r="C291" s="111">
        <v>43882</v>
      </c>
      <c r="E291" s="90">
        <v>420</v>
      </c>
      <c r="F291" s="83" t="s">
        <v>443</v>
      </c>
      <c r="G291" s="90">
        <v>186903591</v>
      </c>
      <c r="H291" s="90" t="s">
        <v>103</v>
      </c>
      <c r="I291" s="90">
        <v>34</v>
      </c>
      <c r="L291" s="91">
        <v>0.40277777777777773</v>
      </c>
      <c r="M291" s="91">
        <v>0.41319444444444442</v>
      </c>
      <c r="N291" s="91">
        <v>0.42708333333333331</v>
      </c>
      <c r="O291" s="91">
        <f t="shared" ref="O291:O354" si="15">M291-L291</f>
        <v>1.0416666666666685E-2</v>
      </c>
      <c r="P291" s="91">
        <f t="shared" ref="P291:P354" si="16">N291-M291</f>
        <v>1.3888888888888895E-2</v>
      </c>
      <c r="Q291" s="91">
        <v>0.43055555555555558</v>
      </c>
    </row>
    <row r="292" spans="1:18" x14ac:dyDescent="0.25">
      <c r="A292" s="83">
        <f t="shared" si="14"/>
        <v>8</v>
      </c>
      <c r="B292" s="111">
        <v>43882</v>
      </c>
      <c r="C292" s="111">
        <v>43882</v>
      </c>
      <c r="D292" s="355">
        <v>1000460772</v>
      </c>
      <c r="E292" s="90">
        <v>240</v>
      </c>
      <c r="F292" s="83" t="s">
        <v>480</v>
      </c>
      <c r="G292" s="90" t="s">
        <v>905</v>
      </c>
      <c r="H292" s="90" t="s">
        <v>103</v>
      </c>
      <c r="I292" s="90">
        <v>26</v>
      </c>
      <c r="J292" s="90">
        <v>80</v>
      </c>
      <c r="K292" s="90" t="s">
        <v>51</v>
      </c>
      <c r="L292" s="91">
        <v>0.44097222222222227</v>
      </c>
      <c r="M292" s="91">
        <v>0.4548611111111111</v>
      </c>
      <c r="N292" s="91">
        <v>0.47569444444444442</v>
      </c>
      <c r="O292" s="91">
        <f t="shared" si="15"/>
        <v>1.388888888888884E-2</v>
      </c>
      <c r="P292" s="91">
        <f t="shared" si="16"/>
        <v>2.0833333333333315E-2</v>
      </c>
      <c r="Q292" s="91">
        <v>0.47916666666666669</v>
      </c>
    </row>
    <row r="293" spans="1:18" x14ac:dyDescent="0.25">
      <c r="A293" s="83">
        <f t="shared" si="14"/>
        <v>8</v>
      </c>
      <c r="B293" s="111">
        <v>43882</v>
      </c>
      <c r="C293" s="111">
        <v>43882</v>
      </c>
      <c r="F293" s="83" t="s">
        <v>368</v>
      </c>
      <c r="G293" s="90">
        <v>9185869267</v>
      </c>
      <c r="H293" s="90" t="s">
        <v>103</v>
      </c>
      <c r="I293" s="90">
        <v>33</v>
      </c>
      <c r="J293" s="90">
        <v>80</v>
      </c>
      <c r="L293" s="91">
        <v>0.4375</v>
      </c>
      <c r="M293" s="91">
        <v>0.44097222222222227</v>
      </c>
      <c r="N293" s="91">
        <v>0.4548611111111111</v>
      </c>
      <c r="O293" s="91">
        <f t="shared" si="15"/>
        <v>3.4722222222222654E-3</v>
      </c>
      <c r="P293" s="91">
        <f t="shared" si="16"/>
        <v>1.388888888888884E-2</v>
      </c>
      <c r="R293" s="88" t="s">
        <v>886</v>
      </c>
    </row>
    <row r="294" spans="1:18" ht="63" x14ac:dyDescent="0.25">
      <c r="A294" s="83">
        <f t="shared" si="14"/>
        <v>8</v>
      </c>
      <c r="B294" s="111">
        <v>43882</v>
      </c>
      <c r="C294" s="111">
        <v>43882</v>
      </c>
      <c r="D294" s="355">
        <v>1000460507</v>
      </c>
      <c r="E294" s="90">
        <v>300</v>
      </c>
      <c r="F294" s="83" t="s">
        <v>559</v>
      </c>
      <c r="G294" s="79" t="s">
        <v>906</v>
      </c>
      <c r="H294" s="90" t="s">
        <v>103</v>
      </c>
      <c r="I294" s="79" t="s">
        <v>911</v>
      </c>
      <c r="J294" s="90" t="s">
        <v>565</v>
      </c>
      <c r="K294" s="90" t="s">
        <v>51</v>
      </c>
      <c r="L294" s="91">
        <v>0.46666666666666662</v>
      </c>
      <c r="M294" s="91">
        <v>0.47916666666666669</v>
      </c>
      <c r="N294" s="91">
        <v>0.5</v>
      </c>
      <c r="O294" s="91">
        <f t="shared" si="15"/>
        <v>1.2500000000000067E-2</v>
      </c>
      <c r="P294" s="91">
        <f t="shared" si="16"/>
        <v>2.0833333333333315E-2</v>
      </c>
      <c r="Q294" s="91">
        <v>0.50694444444444442</v>
      </c>
    </row>
    <row r="295" spans="1:18" x14ac:dyDescent="0.25">
      <c r="A295" s="83">
        <f t="shared" si="14"/>
        <v>8</v>
      </c>
      <c r="B295" s="111">
        <v>43882</v>
      </c>
      <c r="C295" s="111">
        <v>43882</v>
      </c>
      <c r="D295" s="355">
        <v>1000460521</v>
      </c>
      <c r="E295" s="90">
        <v>180</v>
      </c>
      <c r="F295" s="83" t="s">
        <v>785</v>
      </c>
      <c r="G295" s="90" t="s">
        <v>907</v>
      </c>
      <c r="H295" s="90" t="s">
        <v>103</v>
      </c>
      <c r="I295" s="90">
        <v>42</v>
      </c>
      <c r="J295" s="90">
        <v>80</v>
      </c>
      <c r="K295" s="90" t="s">
        <v>51</v>
      </c>
      <c r="L295" s="91">
        <v>0.49652777777777773</v>
      </c>
      <c r="M295" s="91">
        <v>0.5</v>
      </c>
      <c r="N295" s="91">
        <v>0.5625</v>
      </c>
      <c r="O295" s="91">
        <f t="shared" si="15"/>
        <v>3.4722222222222654E-3</v>
      </c>
      <c r="P295" s="91">
        <f t="shared" si="16"/>
        <v>6.25E-2</v>
      </c>
      <c r="Q295" s="91">
        <v>0.54513888888888895</v>
      </c>
    </row>
    <row r="296" spans="1:18" x14ac:dyDescent="0.25">
      <c r="A296" s="83">
        <f t="shared" si="14"/>
        <v>8</v>
      </c>
      <c r="B296" s="111">
        <v>43882</v>
      </c>
      <c r="C296" s="111">
        <v>43882</v>
      </c>
      <c r="D296" s="355">
        <v>1000460467</v>
      </c>
      <c r="E296" s="90">
        <v>360</v>
      </c>
      <c r="F296" s="83" t="s">
        <v>789</v>
      </c>
      <c r="G296" s="90" t="s">
        <v>908</v>
      </c>
      <c r="H296" s="90" t="s">
        <v>103</v>
      </c>
      <c r="I296" s="90">
        <v>42</v>
      </c>
      <c r="J296" s="90">
        <v>80</v>
      </c>
      <c r="K296" s="90" t="s">
        <v>51</v>
      </c>
      <c r="L296" s="91">
        <v>0.49791666666666662</v>
      </c>
      <c r="M296" s="91">
        <v>0.52777777777777779</v>
      </c>
      <c r="N296" s="91">
        <v>0.54861111111111105</v>
      </c>
      <c r="O296" s="91">
        <f t="shared" si="15"/>
        <v>2.9861111111111172E-2</v>
      </c>
      <c r="P296" s="91">
        <f t="shared" si="16"/>
        <v>2.0833333333333259E-2</v>
      </c>
      <c r="Q296" s="91">
        <v>0.55208333333333337</v>
      </c>
    </row>
    <row r="297" spans="1:18" s="202" customFormat="1" ht="16.5" thickBot="1" x14ac:dyDescent="0.3">
      <c r="A297" s="196">
        <f t="shared" si="14"/>
        <v>8</v>
      </c>
      <c r="B297" s="209">
        <v>43882</v>
      </c>
      <c r="C297" s="209">
        <v>43882</v>
      </c>
      <c r="D297" s="356">
        <v>1000460505</v>
      </c>
      <c r="E297" s="210">
        <v>180</v>
      </c>
      <c r="F297" s="196" t="s">
        <v>909</v>
      </c>
      <c r="G297" s="210" t="s">
        <v>910</v>
      </c>
      <c r="H297" s="210" t="s">
        <v>103</v>
      </c>
      <c r="I297" s="210">
        <v>34</v>
      </c>
      <c r="J297" s="210">
        <v>80</v>
      </c>
      <c r="K297" s="210" t="s">
        <v>51</v>
      </c>
      <c r="L297" s="211">
        <v>0.50347222222222221</v>
      </c>
      <c r="M297" s="211">
        <v>0.55902777777777779</v>
      </c>
      <c r="N297" s="211">
        <v>0.57986111111111105</v>
      </c>
      <c r="O297" s="211">
        <f t="shared" si="15"/>
        <v>5.555555555555558E-2</v>
      </c>
      <c r="P297" s="211">
        <f t="shared" si="16"/>
        <v>2.0833333333333259E-2</v>
      </c>
      <c r="Q297" s="211">
        <v>0.58333333333333337</v>
      </c>
      <c r="R297" s="212"/>
    </row>
    <row r="298" spans="1:18" s="112" customFormat="1" x14ac:dyDescent="0.25">
      <c r="A298" s="110">
        <f t="shared" si="14"/>
        <v>8</v>
      </c>
      <c r="B298" s="111">
        <v>43883</v>
      </c>
      <c r="C298" s="111">
        <v>43883</v>
      </c>
      <c r="D298" s="357"/>
      <c r="E298" s="207"/>
      <c r="F298" s="110" t="s">
        <v>331</v>
      </c>
      <c r="G298" s="207">
        <v>9185896178</v>
      </c>
      <c r="H298" s="207" t="s">
        <v>103</v>
      </c>
      <c r="I298" s="207">
        <v>33</v>
      </c>
      <c r="J298" s="207">
        <v>80</v>
      </c>
      <c r="K298" s="207"/>
      <c r="L298" s="208">
        <v>0.25</v>
      </c>
      <c r="M298" s="208">
        <v>0.25347222222222221</v>
      </c>
      <c r="N298" s="208">
        <v>0.2638888888888889</v>
      </c>
      <c r="O298" s="208">
        <f t="shared" si="15"/>
        <v>3.4722222222222099E-3</v>
      </c>
      <c r="P298" s="208">
        <f t="shared" si="16"/>
        <v>1.0416666666666685E-2</v>
      </c>
      <c r="Q298" s="208"/>
      <c r="R298" s="244" t="s">
        <v>388</v>
      </c>
    </row>
    <row r="299" spans="1:18" x14ac:dyDescent="0.25">
      <c r="A299" s="83">
        <f t="shared" si="14"/>
        <v>8</v>
      </c>
      <c r="B299" s="111">
        <v>43883</v>
      </c>
      <c r="C299" s="111">
        <v>43883</v>
      </c>
      <c r="F299" s="83" t="s">
        <v>874</v>
      </c>
      <c r="G299" s="90">
        <v>9185914065</v>
      </c>
      <c r="H299" s="90" t="s">
        <v>103</v>
      </c>
      <c r="I299" s="90">
        <v>31</v>
      </c>
      <c r="J299" s="90">
        <v>80</v>
      </c>
      <c r="L299" s="91">
        <v>0.30555555555555552</v>
      </c>
      <c r="M299" s="91">
        <v>0.30902777777777779</v>
      </c>
      <c r="N299" s="91">
        <v>0.31944444444444448</v>
      </c>
      <c r="O299" s="91">
        <f t="shared" si="15"/>
        <v>3.4722222222222654E-3</v>
      </c>
      <c r="P299" s="91">
        <f t="shared" si="16"/>
        <v>1.0416666666666685E-2</v>
      </c>
      <c r="R299" s="88" t="s">
        <v>421</v>
      </c>
    </row>
    <row r="300" spans="1:18" x14ac:dyDescent="0.25">
      <c r="A300" s="83">
        <f t="shared" si="14"/>
        <v>8</v>
      </c>
      <c r="B300" s="111">
        <v>43883</v>
      </c>
      <c r="C300" s="111">
        <v>43883</v>
      </c>
      <c r="E300" s="90">
        <v>600</v>
      </c>
      <c r="F300" s="83" t="s">
        <v>455</v>
      </c>
      <c r="G300" s="90">
        <v>186966768</v>
      </c>
      <c r="H300" s="90" t="s">
        <v>103</v>
      </c>
      <c r="I300" s="90">
        <v>34</v>
      </c>
      <c r="J300" s="90" t="s">
        <v>565</v>
      </c>
      <c r="L300" s="91">
        <v>0.34027777777777773</v>
      </c>
      <c r="M300" s="91">
        <v>0.35416666666666669</v>
      </c>
      <c r="N300" s="91">
        <v>0.36805555555555558</v>
      </c>
      <c r="O300" s="91">
        <f t="shared" si="15"/>
        <v>1.3888888888888951E-2</v>
      </c>
      <c r="P300" s="91">
        <f t="shared" si="16"/>
        <v>1.3888888888888895E-2</v>
      </c>
      <c r="Q300" s="91">
        <v>0.375</v>
      </c>
    </row>
    <row r="301" spans="1:18" ht="31.5" x14ac:dyDescent="0.25">
      <c r="A301" s="83">
        <f t="shared" si="14"/>
        <v>8</v>
      </c>
      <c r="B301" s="111">
        <v>43883</v>
      </c>
      <c r="C301" s="111">
        <v>43883</v>
      </c>
      <c r="D301" s="355">
        <v>1000460522</v>
      </c>
      <c r="E301" s="90">
        <v>300</v>
      </c>
      <c r="F301" s="83" t="s">
        <v>796</v>
      </c>
      <c r="G301" s="79" t="s">
        <v>919</v>
      </c>
      <c r="H301" s="90" t="s">
        <v>103</v>
      </c>
      <c r="I301" s="90">
        <v>42</v>
      </c>
      <c r="J301" s="90">
        <v>80</v>
      </c>
      <c r="K301" s="90" t="s">
        <v>51</v>
      </c>
      <c r="L301" s="91">
        <v>0.36805555555555558</v>
      </c>
      <c r="M301" s="91">
        <v>0.3923611111111111</v>
      </c>
      <c r="N301" s="91">
        <v>0.40972222222222227</v>
      </c>
      <c r="O301" s="91">
        <f t="shared" si="15"/>
        <v>2.4305555555555525E-2</v>
      </c>
      <c r="P301" s="91">
        <f t="shared" si="16"/>
        <v>1.736111111111116E-2</v>
      </c>
      <c r="Q301" s="91">
        <v>0.44791666666666669</v>
      </c>
    </row>
    <row r="302" spans="1:18" ht="31.5" x14ac:dyDescent="0.25">
      <c r="A302" s="83">
        <f t="shared" si="14"/>
        <v>8</v>
      </c>
      <c r="B302" s="111">
        <v>43883</v>
      </c>
      <c r="C302" s="111">
        <v>43883</v>
      </c>
      <c r="D302" s="355">
        <v>1000461924</v>
      </c>
      <c r="E302" s="90">
        <v>540</v>
      </c>
      <c r="F302" s="194" t="s">
        <v>923</v>
      </c>
      <c r="G302" s="79" t="s">
        <v>920</v>
      </c>
      <c r="H302" s="90" t="s">
        <v>103</v>
      </c>
      <c r="I302" s="371" t="s">
        <v>924</v>
      </c>
      <c r="J302" s="90">
        <v>80</v>
      </c>
      <c r="K302" s="90" t="s">
        <v>51</v>
      </c>
      <c r="L302" s="91">
        <v>0.38541666666666669</v>
      </c>
      <c r="M302" s="91">
        <v>0.40972222222222227</v>
      </c>
      <c r="N302" s="91">
        <v>0.4201388888888889</v>
      </c>
      <c r="O302" s="91">
        <f t="shared" si="15"/>
        <v>2.430555555555558E-2</v>
      </c>
      <c r="P302" s="91">
        <f t="shared" si="16"/>
        <v>1.041666666666663E-2</v>
      </c>
      <c r="Q302" s="91">
        <v>0.43402777777777773</v>
      </c>
    </row>
    <row r="303" spans="1:18" x14ac:dyDescent="0.25">
      <c r="A303" s="83">
        <f t="shared" si="14"/>
        <v>8</v>
      </c>
      <c r="B303" s="111">
        <v>43883</v>
      </c>
      <c r="C303" s="111">
        <v>43883</v>
      </c>
      <c r="D303" s="355">
        <v>1000460468</v>
      </c>
      <c r="E303" s="90">
        <v>240</v>
      </c>
      <c r="F303" s="83" t="s">
        <v>798</v>
      </c>
      <c r="G303" s="90" t="s">
        <v>921</v>
      </c>
      <c r="H303" s="90" t="s">
        <v>103</v>
      </c>
      <c r="I303" s="90">
        <v>42</v>
      </c>
      <c r="J303" s="90">
        <v>80</v>
      </c>
      <c r="K303" s="90" t="s">
        <v>51</v>
      </c>
      <c r="L303" s="91">
        <v>0.3888888888888889</v>
      </c>
      <c r="M303" s="91">
        <v>0.4513888888888889</v>
      </c>
      <c r="N303" s="91">
        <v>0.47222222222222227</v>
      </c>
      <c r="O303" s="91">
        <f t="shared" si="15"/>
        <v>6.25E-2</v>
      </c>
      <c r="P303" s="91">
        <f t="shared" si="16"/>
        <v>2.083333333333337E-2</v>
      </c>
      <c r="Q303" s="91">
        <v>0.4861111111111111</v>
      </c>
    </row>
    <row r="304" spans="1:18" s="202" customFormat="1" ht="16.5" thickBot="1" x14ac:dyDescent="0.3">
      <c r="A304" s="196">
        <f t="shared" si="14"/>
        <v>8</v>
      </c>
      <c r="B304" s="209">
        <v>43883</v>
      </c>
      <c r="C304" s="209">
        <v>43883</v>
      </c>
      <c r="D304" s="356"/>
      <c r="E304" s="210"/>
      <c r="F304" s="196" t="s">
        <v>343</v>
      </c>
      <c r="G304" s="210">
        <v>9185866203</v>
      </c>
      <c r="H304" s="210" t="s">
        <v>103</v>
      </c>
      <c r="I304" s="210">
        <v>33</v>
      </c>
      <c r="J304" s="210">
        <v>80</v>
      </c>
      <c r="K304" s="210"/>
      <c r="L304" s="211">
        <v>0.49652777777777773</v>
      </c>
      <c r="M304" s="211">
        <v>0.5</v>
      </c>
      <c r="N304" s="211">
        <v>0.51041666666666663</v>
      </c>
      <c r="O304" s="211">
        <f t="shared" si="15"/>
        <v>3.4722222222222654E-3</v>
      </c>
      <c r="P304" s="211">
        <f t="shared" si="16"/>
        <v>1.041666666666663E-2</v>
      </c>
      <c r="Q304" s="211"/>
      <c r="R304" s="212" t="s">
        <v>388</v>
      </c>
    </row>
    <row r="305" spans="1:19" s="112" customFormat="1" x14ac:dyDescent="0.25">
      <c r="A305" s="110">
        <f t="shared" si="14"/>
        <v>9</v>
      </c>
      <c r="B305" s="111">
        <v>43886</v>
      </c>
      <c r="C305" s="111">
        <v>43886</v>
      </c>
      <c r="D305" s="357"/>
      <c r="E305" s="207"/>
      <c r="F305" s="110" t="s">
        <v>331</v>
      </c>
      <c r="G305" s="207">
        <v>9185887129</v>
      </c>
      <c r="H305" s="207" t="s">
        <v>103</v>
      </c>
      <c r="I305" s="207">
        <v>33</v>
      </c>
      <c r="J305" s="207">
        <v>80</v>
      </c>
      <c r="K305" s="207"/>
      <c r="L305" s="208">
        <v>0.28819444444444448</v>
      </c>
      <c r="M305" s="208">
        <v>0.29166666666666669</v>
      </c>
      <c r="N305" s="208">
        <v>0.30208333333333331</v>
      </c>
      <c r="O305" s="208">
        <f t="shared" si="15"/>
        <v>3.4722222222222099E-3</v>
      </c>
      <c r="P305" s="208">
        <f t="shared" si="16"/>
        <v>1.041666666666663E-2</v>
      </c>
      <c r="Q305" s="208"/>
      <c r="R305" s="244" t="s">
        <v>929</v>
      </c>
    </row>
    <row r="306" spans="1:19" x14ac:dyDescent="0.25">
      <c r="A306" s="83">
        <f t="shared" si="14"/>
        <v>9</v>
      </c>
      <c r="B306" s="111">
        <v>43886</v>
      </c>
      <c r="C306" s="111">
        <v>43886</v>
      </c>
      <c r="F306" s="83" t="s">
        <v>335</v>
      </c>
      <c r="G306" s="90">
        <v>9185922167</v>
      </c>
      <c r="H306" s="90" t="s">
        <v>103</v>
      </c>
      <c r="I306" s="90">
        <v>33</v>
      </c>
      <c r="J306" s="90">
        <v>80</v>
      </c>
      <c r="L306" s="91">
        <v>0.31944444444444448</v>
      </c>
      <c r="M306" s="91">
        <v>0.32291666666666669</v>
      </c>
      <c r="N306" s="91">
        <v>0.3298611111111111</v>
      </c>
      <c r="O306" s="91">
        <f t="shared" si="15"/>
        <v>3.4722222222222099E-3</v>
      </c>
      <c r="P306" s="91">
        <f t="shared" si="16"/>
        <v>6.9444444444444198E-3</v>
      </c>
      <c r="R306" s="88" t="s">
        <v>388</v>
      </c>
    </row>
    <row r="307" spans="1:19" x14ac:dyDescent="0.25">
      <c r="A307" s="83">
        <f t="shared" si="14"/>
        <v>9</v>
      </c>
      <c r="B307" s="111">
        <v>43886</v>
      </c>
      <c r="C307" s="111">
        <v>43886</v>
      </c>
      <c r="F307" s="83" t="s">
        <v>343</v>
      </c>
      <c r="G307" s="90">
        <v>9185934701</v>
      </c>
      <c r="H307" s="90" t="s">
        <v>103</v>
      </c>
      <c r="I307" s="90">
        <v>33</v>
      </c>
      <c r="J307" s="90">
        <v>80</v>
      </c>
      <c r="L307" s="91">
        <v>0.36458333333333331</v>
      </c>
      <c r="M307" s="91">
        <v>0.36805555555555558</v>
      </c>
      <c r="N307" s="91">
        <v>0.375</v>
      </c>
      <c r="O307" s="91">
        <f t="shared" si="15"/>
        <v>3.4722222222222654E-3</v>
      </c>
      <c r="P307" s="91">
        <f t="shared" si="16"/>
        <v>6.9444444444444198E-3</v>
      </c>
      <c r="R307" s="88" t="s">
        <v>422</v>
      </c>
    </row>
    <row r="308" spans="1:19" x14ac:dyDescent="0.25">
      <c r="A308" s="83">
        <f t="shared" si="14"/>
        <v>9</v>
      </c>
      <c r="B308" s="111">
        <v>43886</v>
      </c>
      <c r="C308" s="111">
        <v>43886</v>
      </c>
      <c r="D308" s="355">
        <v>1000460848</v>
      </c>
      <c r="E308" s="90">
        <v>360</v>
      </c>
      <c r="F308" s="83" t="s">
        <v>352</v>
      </c>
      <c r="G308" s="90" t="s">
        <v>933</v>
      </c>
      <c r="H308" s="90" t="s">
        <v>103</v>
      </c>
      <c r="I308" s="90">
        <v>34</v>
      </c>
      <c r="J308" s="90">
        <v>80</v>
      </c>
      <c r="K308" s="90" t="s">
        <v>51</v>
      </c>
      <c r="L308" s="91">
        <v>0.3888888888888889</v>
      </c>
      <c r="M308" s="91">
        <v>0.40625</v>
      </c>
      <c r="N308" s="91">
        <v>0.4201388888888889</v>
      </c>
      <c r="O308" s="91">
        <f t="shared" si="15"/>
        <v>1.7361111111111105E-2</v>
      </c>
      <c r="P308" s="91">
        <f t="shared" si="16"/>
        <v>1.3888888888888895E-2</v>
      </c>
      <c r="Q308" s="91">
        <v>0.4236111111111111</v>
      </c>
    </row>
    <row r="309" spans="1:19" x14ac:dyDescent="0.25">
      <c r="A309" s="83">
        <f t="shared" si="14"/>
        <v>9</v>
      </c>
      <c r="B309" s="111">
        <v>43886</v>
      </c>
      <c r="C309" s="111">
        <v>43886</v>
      </c>
      <c r="F309" s="83" t="s">
        <v>368</v>
      </c>
      <c r="G309" s="90">
        <v>9185913128</v>
      </c>
      <c r="H309" s="90" t="s">
        <v>103</v>
      </c>
      <c r="I309" s="90">
        <v>33</v>
      </c>
      <c r="J309" s="90">
        <v>80</v>
      </c>
      <c r="L309" s="91">
        <v>0.40277777777777773</v>
      </c>
      <c r="M309" s="91">
        <v>0.40625</v>
      </c>
      <c r="N309" s="91">
        <v>0.41319444444444442</v>
      </c>
      <c r="O309" s="91">
        <f t="shared" si="15"/>
        <v>3.4722222222222654E-3</v>
      </c>
      <c r="P309" s="91">
        <f t="shared" si="16"/>
        <v>6.9444444444444198E-3</v>
      </c>
      <c r="R309" s="88" t="s">
        <v>422</v>
      </c>
    </row>
    <row r="310" spans="1:19" x14ac:dyDescent="0.25">
      <c r="A310" s="83">
        <f t="shared" ref="A310:A373" si="17">WEEKNUM(B310,21)</f>
        <v>9</v>
      </c>
      <c r="B310" s="111">
        <v>43886</v>
      </c>
      <c r="C310" s="111">
        <v>43886</v>
      </c>
      <c r="D310" s="355">
        <v>1000460524</v>
      </c>
      <c r="E310" s="90">
        <v>180</v>
      </c>
      <c r="F310" s="83" t="s">
        <v>393</v>
      </c>
      <c r="G310" s="90" t="s">
        <v>934</v>
      </c>
      <c r="H310" s="90" t="s">
        <v>103</v>
      </c>
      <c r="I310" s="90">
        <v>42</v>
      </c>
      <c r="J310" s="90">
        <v>80</v>
      </c>
      <c r="K310" s="90" t="s">
        <v>51</v>
      </c>
      <c r="L310" s="91">
        <v>0.4548611111111111</v>
      </c>
      <c r="M310" s="91">
        <v>0.50694444444444442</v>
      </c>
      <c r="N310" s="91">
        <v>0.52777777777777779</v>
      </c>
      <c r="O310" s="91">
        <f t="shared" si="15"/>
        <v>5.2083333333333315E-2</v>
      </c>
      <c r="P310" s="91">
        <f t="shared" si="16"/>
        <v>2.083333333333337E-2</v>
      </c>
      <c r="Q310" s="91">
        <v>0.53125</v>
      </c>
    </row>
    <row r="311" spans="1:19" x14ac:dyDescent="0.25">
      <c r="A311" s="83">
        <f t="shared" si="17"/>
        <v>9</v>
      </c>
      <c r="B311" s="111">
        <v>43886</v>
      </c>
      <c r="C311" s="111">
        <v>43886</v>
      </c>
      <c r="E311" s="90">
        <v>480</v>
      </c>
      <c r="F311" s="83" t="s">
        <v>938</v>
      </c>
      <c r="G311" s="90">
        <v>186990596</v>
      </c>
      <c r="H311" s="90" t="s">
        <v>103</v>
      </c>
      <c r="I311" s="90">
        <v>24</v>
      </c>
      <c r="L311" s="91">
        <v>0.45833333333333331</v>
      </c>
      <c r="M311" s="91">
        <v>0.53472222222222221</v>
      </c>
      <c r="N311" s="91">
        <v>0.54861111111111105</v>
      </c>
      <c r="O311" s="91">
        <f t="shared" si="15"/>
        <v>7.6388888888888895E-2</v>
      </c>
      <c r="P311" s="91">
        <f t="shared" si="16"/>
        <v>1.388888888888884E-2</v>
      </c>
      <c r="Q311" s="91">
        <v>0.55208333333333337</v>
      </c>
    </row>
    <row r="312" spans="1:19" ht="31.5" x14ac:dyDescent="0.25">
      <c r="A312" s="83">
        <f t="shared" si="17"/>
        <v>9</v>
      </c>
      <c r="B312" s="111">
        <v>43886</v>
      </c>
      <c r="C312" s="111">
        <v>43886</v>
      </c>
      <c r="D312" s="355">
        <v>1000460769</v>
      </c>
      <c r="E312" s="90">
        <v>720</v>
      </c>
      <c r="F312" s="83" t="s">
        <v>363</v>
      </c>
      <c r="G312" s="79" t="s">
        <v>941</v>
      </c>
      <c r="H312" s="90" t="s">
        <v>103</v>
      </c>
      <c r="I312" s="371" t="s">
        <v>737</v>
      </c>
      <c r="J312" s="90">
        <v>80</v>
      </c>
      <c r="K312" s="90" t="s">
        <v>51</v>
      </c>
      <c r="L312" s="91">
        <v>0.54166666666666663</v>
      </c>
      <c r="M312" s="91">
        <v>0.55555555555555558</v>
      </c>
      <c r="N312" s="91">
        <v>0.56597222222222221</v>
      </c>
      <c r="O312" s="91">
        <f t="shared" si="15"/>
        <v>1.3888888888888951E-2</v>
      </c>
      <c r="P312" s="91">
        <f t="shared" si="16"/>
        <v>1.041666666666663E-2</v>
      </c>
      <c r="Q312" s="91">
        <v>0.56944444444444442</v>
      </c>
      <c r="R312" s="88" t="s">
        <v>947</v>
      </c>
    </row>
    <row r="313" spans="1:19" s="202" customFormat="1" ht="32.25" thickBot="1" x14ac:dyDescent="0.3">
      <c r="A313" s="196">
        <f t="shared" si="17"/>
        <v>9</v>
      </c>
      <c r="B313" s="209">
        <v>43886</v>
      </c>
      <c r="C313" s="209">
        <v>43886</v>
      </c>
      <c r="D313" s="356">
        <v>1000463299</v>
      </c>
      <c r="E313" s="210">
        <v>240</v>
      </c>
      <c r="F313" s="196" t="s">
        <v>445</v>
      </c>
      <c r="G313" s="172" t="s">
        <v>944</v>
      </c>
      <c r="H313" s="210" t="s">
        <v>103</v>
      </c>
      <c r="I313" s="210" t="s">
        <v>945</v>
      </c>
      <c r="J313" s="210">
        <v>80</v>
      </c>
      <c r="K313" s="210" t="s">
        <v>51</v>
      </c>
      <c r="L313" s="211">
        <v>0.64583333333333337</v>
      </c>
      <c r="M313" s="211">
        <v>0.65625</v>
      </c>
      <c r="N313" s="211">
        <v>0.68055555555555547</v>
      </c>
      <c r="O313" s="211">
        <f t="shared" si="15"/>
        <v>1.041666666666663E-2</v>
      </c>
      <c r="P313" s="211">
        <f t="shared" si="16"/>
        <v>2.4305555555555469E-2</v>
      </c>
      <c r="Q313" s="211">
        <v>0.6875</v>
      </c>
      <c r="R313" s="212" t="s">
        <v>947</v>
      </c>
    </row>
    <row r="314" spans="1:19" s="112" customFormat="1" x14ac:dyDescent="0.25">
      <c r="A314" s="110">
        <f t="shared" si="17"/>
        <v>9</v>
      </c>
      <c r="B314" s="111">
        <v>43887</v>
      </c>
      <c r="C314" s="111">
        <v>43887</v>
      </c>
      <c r="D314" s="357"/>
      <c r="E314" s="207"/>
      <c r="F314" s="110" t="s">
        <v>331</v>
      </c>
      <c r="G314" s="207">
        <v>9185884051</v>
      </c>
      <c r="H314" s="207" t="s">
        <v>103</v>
      </c>
      <c r="I314" s="207">
        <v>33</v>
      </c>
      <c r="J314" s="207">
        <v>80</v>
      </c>
      <c r="K314" s="207"/>
      <c r="L314" s="208">
        <v>0.25347222222222221</v>
      </c>
      <c r="M314" s="208">
        <v>0.27430555555555552</v>
      </c>
      <c r="N314" s="208">
        <v>0.28819444444444448</v>
      </c>
      <c r="O314" s="208">
        <f t="shared" si="15"/>
        <v>2.0833333333333315E-2</v>
      </c>
      <c r="P314" s="208">
        <f t="shared" si="16"/>
        <v>1.3888888888888951E-2</v>
      </c>
      <c r="Q314" s="208"/>
      <c r="R314" s="244" t="s">
        <v>946</v>
      </c>
    </row>
    <row r="315" spans="1:19" x14ac:dyDescent="0.25">
      <c r="A315" s="83">
        <f t="shared" si="17"/>
        <v>9</v>
      </c>
      <c r="B315" s="111">
        <v>43887</v>
      </c>
      <c r="C315" s="111">
        <v>43887</v>
      </c>
      <c r="F315" s="110" t="s">
        <v>335</v>
      </c>
      <c r="G315" s="90">
        <v>9185954627</v>
      </c>
      <c r="H315" s="90" t="s">
        <v>103</v>
      </c>
      <c r="I315" s="90">
        <v>33</v>
      </c>
      <c r="J315" s="90">
        <v>80</v>
      </c>
      <c r="L315" s="91">
        <v>0.30555555555555552</v>
      </c>
      <c r="M315" s="91">
        <v>0.31944444444444448</v>
      </c>
      <c r="N315" s="91">
        <v>0.33333333333333331</v>
      </c>
      <c r="O315" s="91">
        <f t="shared" si="15"/>
        <v>1.3888888888888951E-2</v>
      </c>
      <c r="P315" s="91">
        <f t="shared" si="16"/>
        <v>1.388888888888884E-2</v>
      </c>
      <c r="R315" s="88" t="s">
        <v>422</v>
      </c>
    </row>
    <row r="316" spans="1:19" x14ac:dyDescent="0.25">
      <c r="A316" s="83">
        <f t="shared" si="17"/>
        <v>9</v>
      </c>
      <c r="B316" s="111">
        <v>43887</v>
      </c>
      <c r="C316" s="111">
        <v>43887</v>
      </c>
      <c r="F316" s="83" t="s">
        <v>367</v>
      </c>
      <c r="G316" s="90" t="s">
        <v>971</v>
      </c>
      <c r="H316" s="90" t="s">
        <v>103</v>
      </c>
      <c r="I316" s="90">
        <v>9</v>
      </c>
      <c r="L316" s="91">
        <v>0.36805555555555558</v>
      </c>
      <c r="M316" s="91">
        <v>0.37152777777777773</v>
      </c>
      <c r="N316" s="91">
        <v>0.37847222222222227</v>
      </c>
      <c r="O316" s="91">
        <f t="shared" si="15"/>
        <v>3.4722222222221544E-3</v>
      </c>
      <c r="P316" s="91">
        <f t="shared" si="16"/>
        <v>6.9444444444445308E-3</v>
      </c>
      <c r="R316" s="88" t="s">
        <v>951</v>
      </c>
    </row>
    <row r="317" spans="1:19" s="202" customFormat="1" ht="16.5" thickBot="1" x14ac:dyDescent="0.3">
      <c r="A317" s="196">
        <f t="shared" si="17"/>
        <v>9</v>
      </c>
      <c r="B317" s="209">
        <v>43887</v>
      </c>
      <c r="C317" s="209">
        <v>43887</v>
      </c>
      <c r="D317" s="356"/>
      <c r="E317" s="210"/>
      <c r="F317" s="196" t="s">
        <v>343</v>
      </c>
      <c r="G317" s="210">
        <v>9185958109</v>
      </c>
      <c r="H317" s="210" t="s">
        <v>103</v>
      </c>
      <c r="I317" s="210">
        <v>30</v>
      </c>
      <c r="J317" s="210">
        <v>80</v>
      </c>
      <c r="K317" s="210"/>
      <c r="L317" s="211">
        <v>0.3888888888888889</v>
      </c>
      <c r="M317" s="211">
        <v>0.3923611111111111</v>
      </c>
      <c r="N317" s="211">
        <v>0.40625</v>
      </c>
      <c r="O317" s="211">
        <f t="shared" si="15"/>
        <v>3.4722222222222099E-3</v>
      </c>
      <c r="P317" s="211">
        <f t="shared" si="16"/>
        <v>1.3888888888888895E-2</v>
      </c>
      <c r="Q317" s="211"/>
      <c r="R317" s="212" t="s">
        <v>479</v>
      </c>
    </row>
    <row r="318" spans="1:19" x14ac:dyDescent="0.25">
      <c r="A318" s="110">
        <f>WEEKNUM(B318,21)</f>
        <v>9</v>
      </c>
      <c r="B318" s="111">
        <v>43888</v>
      </c>
      <c r="C318" s="111">
        <v>43888</v>
      </c>
      <c r="D318" s="357"/>
      <c r="E318" s="207"/>
      <c r="F318" s="110" t="s">
        <v>331</v>
      </c>
      <c r="G318" s="207">
        <v>9185969115</v>
      </c>
      <c r="H318" s="207" t="s">
        <v>103</v>
      </c>
      <c r="I318" s="207">
        <v>33</v>
      </c>
      <c r="J318" s="207">
        <v>80</v>
      </c>
      <c r="K318" s="207"/>
      <c r="L318" s="208">
        <v>0.24305555555555555</v>
      </c>
      <c r="M318" s="208">
        <v>0.24652777777777779</v>
      </c>
      <c r="N318" s="208">
        <v>0.26041666666666669</v>
      </c>
      <c r="O318" s="208">
        <f t="shared" si="15"/>
        <v>3.4722222222222376E-3</v>
      </c>
      <c r="P318" s="208">
        <f t="shared" si="16"/>
        <v>1.3888888888888895E-2</v>
      </c>
      <c r="Q318" s="208"/>
      <c r="R318" s="244" t="s">
        <v>969</v>
      </c>
      <c r="S318" s="112"/>
    </row>
    <row r="319" spans="1:19" x14ac:dyDescent="0.25">
      <c r="A319" s="83">
        <f t="shared" si="17"/>
        <v>9</v>
      </c>
      <c r="B319" s="111">
        <v>43888</v>
      </c>
      <c r="C319" s="111">
        <v>43888</v>
      </c>
      <c r="F319" s="83" t="s">
        <v>335</v>
      </c>
      <c r="G319" s="90">
        <v>9185951132</v>
      </c>
      <c r="H319" s="90" t="s">
        <v>103</v>
      </c>
      <c r="I319" s="90">
        <v>33</v>
      </c>
      <c r="J319" s="90">
        <v>80</v>
      </c>
      <c r="L319" s="91">
        <v>0.3125</v>
      </c>
      <c r="M319" s="91">
        <v>0.31597222222222221</v>
      </c>
      <c r="N319" s="91">
        <v>0.32291666666666669</v>
      </c>
      <c r="O319" s="91">
        <f t="shared" si="15"/>
        <v>3.4722222222222099E-3</v>
      </c>
      <c r="P319" s="91">
        <f t="shared" si="16"/>
        <v>6.9444444444444753E-3</v>
      </c>
      <c r="R319" s="88" t="s">
        <v>970</v>
      </c>
    </row>
    <row r="320" spans="1:19" x14ac:dyDescent="0.25">
      <c r="A320" s="83">
        <f t="shared" si="17"/>
        <v>9</v>
      </c>
      <c r="B320" s="111">
        <v>43888</v>
      </c>
      <c r="C320" s="111">
        <v>43888</v>
      </c>
      <c r="E320" s="90">
        <v>720</v>
      </c>
      <c r="F320" s="83" t="s">
        <v>413</v>
      </c>
      <c r="G320" s="90">
        <v>186983937</v>
      </c>
      <c r="H320" s="90" t="s">
        <v>103</v>
      </c>
      <c r="I320" s="90">
        <v>34</v>
      </c>
      <c r="L320" s="91">
        <v>0.34375</v>
      </c>
      <c r="M320" s="91">
        <v>0.35069444444444442</v>
      </c>
      <c r="N320" s="91">
        <v>0.36805555555555558</v>
      </c>
      <c r="O320" s="91">
        <f t="shared" si="15"/>
        <v>6.9444444444444198E-3</v>
      </c>
      <c r="P320" s="91">
        <f t="shared" si="16"/>
        <v>1.736111111111116E-2</v>
      </c>
      <c r="Q320" s="91">
        <v>0.37152777777777773</v>
      </c>
    </row>
    <row r="321" spans="1:18" x14ac:dyDescent="0.25">
      <c r="A321" s="83">
        <f t="shared" si="17"/>
        <v>9</v>
      </c>
      <c r="B321" s="111">
        <v>43888</v>
      </c>
      <c r="C321" s="111">
        <v>43888</v>
      </c>
      <c r="F321" s="83" t="s">
        <v>343</v>
      </c>
      <c r="G321" s="90">
        <v>9185981850</v>
      </c>
      <c r="H321" s="90" t="s">
        <v>103</v>
      </c>
      <c r="I321" s="90">
        <v>33</v>
      </c>
      <c r="J321" s="90">
        <v>80</v>
      </c>
      <c r="L321" s="91">
        <v>0.34722222222222227</v>
      </c>
      <c r="M321" s="91">
        <v>0.35416666666666669</v>
      </c>
      <c r="N321" s="91">
        <v>0.36458333333333331</v>
      </c>
      <c r="O321" s="91">
        <f t="shared" si="15"/>
        <v>6.9444444444444198E-3</v>
      </c>
      <c r="P321" s="91">
        <f t="shared" si="16"/>
        <v>1.041666666666663E-2</v>
      </c>
      <c r="R321" s="88" t="s">
        <v>973</v>
      </c>
    </row>
    <row r="322" spans="1:18" x14ac:dyDescent="0.25">
      <c r="A322" s="83">
        <f t="shared" si="17"/>
        <v>9</v>
      </c>
      <c r="B322" s="111">
        <v>43888</v>
      </c>
      <c r="C322" s="111">
        <v>43888</v>
      </c>
      <c r="D322" s="355">
        <v>1000462243</v>
      </c>
      <c r="E322" s="90">
        <v>180</v>
      </c>
      <c r="F322" s="83" t="s">
        <v>425</v>
      </c>
      <c r="G322" s="90" t="s">
        <v>972</v>
      </c>
      <c r="H322" s="90" t="s">
        <v>103</v>
      </c>
      <c r="I322" s="90">
        <v>35</v>
      </c>
      <c r="J322" s="90">
        <v>80</v>
      </c>
      <c r="K322" s="90" t="s">
        <v>51</v>
      </c>
      <c r="L322" s="91">
        <v>0.35902777777777778</v>
      </c>
      <c r="M322" s="91">
        <v>0.36458333333333331</v>
      </c>
      <c r="N322" s="91">
        <v>0.3888888888888889</v>
      </c>
      <c r="O322" s="91">
        <f t="shared" si="15"/>
        <v>5.5555555555555358E-3</v>
      </c>
      <c r="P322" s="91">
        <f t="shared" si="16"/>
        <v>2.430555555555558E-2</v>
      </c>
      <c r="Q322" s="91">
        <v>0.3923611111111111</v>
      </c>
    </row>
    <row r="323" spans="1:18" x14ac:dyDescent="0.25">
      <c r="A323" s="83">
        <f t="shared" si="17"/>
        <v>9</v>
      </c>
      <c r="B323" s="111">
        <v>43888</v>
      </c>
      <c r="C323" s="111">
        <v>43888</v>
      </c>
      <c r="F323" s="83" t="s">
        <v>368</v>
      </c>
      <c r="G323" s="90">
        <v>9185984786</v>
      </c>
      <c r="H323" s="90" t="s">
        <v>103</v>
      </c>
      <c r="I323" s="90">
        <v>33</v>
      </c>
      <c r="J323" s="90">
        <v>80</v>
      </c>
      <c r="L323" s="91">
        <v>0.38194444444444442</v>
      </c>
      <c r="M323" s="91">
        <v>0.3888888888888889</v>
      </c>
      <c r="N323" s="91">
        <v>0.40277777777777773</v>
      </c>
      <c r="O323" s="91">
        <f t="shared" si="15"/>
        <v>6.9444444444444753E-3</v>
      </c>
      <c r="P323" s="91">
        <f t="shared" si="16"/>
        <v>1.388888888888884E-2</v>
      </c>
      <c r="R323" s="88" t="s">
        <v>976</v>
      </c>
    </row>
    <row r="324" spans="1:18" x14ac:dyDescent="0.25">
      <c r="A324" s="83">
        <f t="shared" si="17"/>
        <v>9</v>
      </c>
      <c r="B324" s="111">
        <v>43888</v>
      </c>
      <c r="C324" s="111">
        <v>43888</v>
      </c>
      <c r="F324" s="83" t="s">
        <v>369</v>
      </c>
      <c r="G324" s="90">
        <v>9185955452</v>
      </c>
      <c r="H324" s="90" t="s">
        <v>103</v>
      </c>
      <c r="I324" s="90">
        <v>33</v>
      </c>
      <c r="J324" s="90">
        <v>80</v>
      </c>
      <c r="L324" s="91">
        <v>0.43055555555555558</v>
      </c>
      <c r="M324" s="91">
        <v>0.47569444444444442</v>
      </c>
      <c r="N324" s="91">
        <v>0.4861111111111111</v>
      </c>
      <c r="O324" s="91">
        <f t="shared" si="15"/>
        <v>4.513888888888884E-2</v>
      </c>
      <c r="P324" s="91">
        <f t="shared" si="16"/>
        <v>1.0416666666666685E-2</v>
      </c>
      <c r="R324" s="88" t="s">
        <v>977</v>
      </c>
    </row>
    <row r="325" spans="1:18" x14ac:dyDescent="0.25">
      <c r="A325" s="83">
        <f t="shared" si="17"/>
        <v>9</v>
      </c>
      <c r="B325" s="111">
        <v>43888</v>
      </c>
      <c r="C325" s="111">
        <v>43888</v>
      </c>
      <c r="D325" s="355">
        <v>1000462293</v>
      </c>
      <c r="E325" s="90">
        <v>420</v>
      </c>
      <c r="F325" s="83" t="s">
        <v>463</v>
      </c>
      <c r="G325" s="90" t="s">
        <v>982</v>
      </c>
      <c r="H325" s="90" t="s">
        <v>103</v>
      </c>
      <c r="I325" s="90">
        <v>42</v>
      </c>
      <c r="J325" s="90">
        <v>80</v>
      </c>
      <c r="K325" s="90" t="s">
        <v>51</v>
      </c>
      <c r="L325" s="91">
        <v>0.44097222222222227</v>
      </c>
      <c r="M325" s="91">
        <v>0.48958333333333331</v>
      </c>
      <c r="N325" s="91">
        <v>0.51041666666666663</v>
      </c>
      <c r="O325" s="91">
        <f t="shared" si="15"/>
        <v>4.8611111111111049E-2</v>
      </c>
      <c r="P325" s="91">
        <f t="shared" si="16"/>
        <v>2.0833333333333315E-2</v>
      </c>
      <c r="Q325" s="91">
        <v>0.51388888888888895</v>
      </c>
    </row>
    <row r="326" spans="1:18" s="202" customFormat="1" ht="16.5" thickBot="1" x14ac:dyDescent="0.3">
      <c r="A326" s="196">
        <f t="shared" si="17"/>
        <v>9</v>
      </c>
      <c r="B326" s="209">
        <v>43888</v>
      </c>
      <c r="C326" s="209">
        <v>43888</v>
      </c>
      <c r="D326" s="356">
        <v>1000462292</v>
      </c>
      <c r="E326" s="210">
        <v>480</v>
      </c>
      <c r="F326" s="196" t="s">
        <v>635</v>
      </c>
      <c r="G326" s="210" t="s">
        <v>983</v>
      </c>
      <c r="H326" s="210" t="s">
        <v>103</v>
      </c>
      <c r="I326" s="210">
        <v>46</v>
      </c>
      <c r="J326" s="210">
        <v>80</v>
      </c>
      <c r="K326" s="210" t="s">
        <v>51</v>
      </c>
      <c r="L326" s="211">
        <v>0.46527777777777773</v>
      </c>
      <c r="M326" s="211">
        <v>0.51388888888888895</v>
      </c>
      <c r="N326" s="211">
        <v>0.54513888888888895</v>
      </c>
      <c r="O326" s="211">
        <f t="shared" si="15"/>
        <v>4.8611111111111216E-2</v>
      </c>
      <c r="P326" s="211">
        <f t="shared" si="16"/>
        <v>3.125E-2</v>
      </c>
      <c r="Q326" s="211">
        <v>0.58680555555555558</v>
      </c>
      <c r="R326" s="212"/>
    </row>
    <row r="327" spans="1:18" ht="31.5" x14ac:dyDescent="0.25">
      <c r="A327" s="83">
        <f t="shared" si="17"/>
        <v>9</v>
      </c>
      <c r="B327" s="111">
        <v>43889</v>
      </c>
      <c r="C327" s="111">
        <v>43889</v>
      </c>
      <c r="D327" s="90"/>
      <c r="F327" s="83" t="s">
        <v>331</v>
      </c>
      <c r="G327" s="79" t="s">
        <v>995</v>
      </c>
      <c r="H327" s="90" t="s">
        <v>103</v>
      </c>
      <c r="I327" s="90" t="s">
        <v>994</v>
      </c>
      <c r="J327" s="90">
        <v>80</v>
      </c>
      <c r="L327" s="91">
        <v>0.2638888888888889</v>
      </c>
      <c r="M327" s="91">
        <v>0.27083333333333331</v>
      </c>
      <c r="N327" s="91">
        <v>0.28125</v>
      </c>
      <c r="O327" s="91">
        <f t="shared" si="15"/>
        <v>6.9444444444444198E-3</v>
      </c>
      <c r="P327" s="91">
        <f t="shared" si="16"/>
        <v>1.0416666666666685E-2</v>
      </c>
      <c r="R327" s="88" t="s">
        <v>997</v>
      </c>
    </row>
    <row r="328" spans="1:18" x14ac:dyDescent="0.25">
      <c r="A328" s="83">
        <f t="shared" si="17"/>
        <v>9</v>
      </c>
      <c r="B328" s="111">
        <v>43889</v>
      </c>
      <c r="C328" s="111">
        <v>43889</v>
      </c>
      <c r="D328" s="90">
        <v>1000462297</v>
      </c>
      <c r="E328" s="90">
        <v>720</v>
      </c>
      <c r="F328" s="83" t="s">
        <v>653</v>
      </c>
      <c r="G328" s="90" t="s">
        <v>996</v>
      </c>
      <c r="H328" s="90" t="s">
        <v>103</v>
      </c>
      <c r="I328" s="90">
        <v>39</v>
      </c>
      <c r="J328" s="90">
        <v>80</v>
      </c>
      <c r="K328" s="90" t="s">
        <v>51</v>
      </c>
      <c r="L328" s="91">
        <v>0.28958333333333336</v>
      </c>
      <c r="M328" s="91">
        <v>0.34027777777777773</v>
      </c>
      <c r="N328" s="91">
        <v>0.3576388888888889</v>
      </c>
      <c r="O328" s="91">
        <f t="shared" si="15"/>
        <v>5.0694444444444375E-2</v>
      </c>
      <c r="P328" s="91">
        <f t="shared" si="16"/>
        <v>1.736111111111116E-2</v>
      </c>
      <c r="Q328" s="91">
        <v>0.3611111111111111</v>
      </c>
    </row>
    <row r="329" spans="1:18" x14ac:dyDescent="0.25">
      <c r="A329" s="83">
        <f t="shared" si="17"/>
        <v>9</v>
      </c>
      <c r="B329" s="111">
        <v>43889</v>
      </c>
      <c r="C329" s="111">
        <v>43889</v>
      </c>
      <c r="F329" s="83" t="s">
        <v>335</v>
      </c>
      <c r="G329" s="90">
        <v>9185993847</v>
      </c>
      <c r="H329" s="90" t="s">
        <v>103</v>
      </c>
      <c r="I329" s="90">
        <v>33</v>
      </c>
      <c r="J329" s="90">
        <v>80</v>
      </c>
      <c r="L329" s="91">
        <v>0.30208333333333331</v>
      </c>
      <c r="M329" s="91">
        <v>0.30902777777777779</v>
      </c>
      <c r="N329" s="91">
        <v>0.31944444444444448</v>
      </c>
      <c r="O329" s="91">
        <f t="shared" si="15"/>
        <v>6.9444444444444753E-3</v>
      </c>
      <c r="P329" s="91">
        <f t="shared" si="16"/>
        <v>1.0416666666666685E-2</v>
      </c>
      <c r="R329" s="88" t="s">
        <v>998</v>
      </c>
    </row>
    <row r="330" spans="1:18" ht="31.5" x14ac:dyDescent="0.25">
      <c r="A330" s="83">
        <f t="shared" si="17"/>
        <v>9</v>
      </c>
      <c r="B330" s="111">
        <v>43889</v>
      </c>
      <c r="C330" s="111">
        <v>43889</v>
      </c>
      <c r="D330" s="355">
        <v>1000462926</v>
      </c>
      <c r="E330" s="90">
        <v>720</v>
      </c>
      <c r="F330" s="83" t="s">
        <v>729</v>
      </c>
      <c r="G330" s="79" t="s">
        <v>999</v>
      </c>
      <c r="H330" s="90" t="s">
        <v>103</v>
      </c>
      <c r="I330" s="90" t="s">
        <v>1003</v>
      </c>
      <c r="J330" s="90">
        <v>80</v>
      </c>
      <c r="K330" s="90" t="s">
        <v>51</v>
      </c>
      <c r="L330" s="91">
        <v>0.33611111111111108</v>
      </c>
      <c r="M330" s="91">
        <v>0.3611111111111111</v>
      </c>
      <c r="N330" s="91">
        <v>0.37847222222222227</v>
      </c>
      <c r="O330" s="91">
        <f t="shared" si="15"/>
        <v>2.5000000000000022E-2</v>
      </c>
      <c r="P330" s="91">
        <f>N330-M330</f>
        <v>1.736111111111116E-2</v>
      </c>
      <c r="Q330" s="91">
        <v>0.38194444444444442</v>
      </c>
    </row>
    <row r="331" spans="1:18" x14ac:dyDescent="0.25">
      <c r="A331" s="83">
        <f t="shared" si="17"/>
        <v>9</v>
      </c>
      <c r="B331" s="111">
        <v>43889</v>
      </c>
      <c r="C331" s="111">
        <v>43889</v>
      </c>
      <c r="E331" s="90">
        <v>480</v>
      </c>
      <c r="F331" s="83" t="s">
        <v>420</v>
      </c>
      <c r="G331" s="90">
        <v>186968291</v>
      </c>
      <c r="H331" s="90" t="s">
        <v>103</v>
      </c>
      <c r="I331" s="90">
        <v>34</v>
      </c>
      <c r="J331" s="90" t="s">
        <v>565</v>
      </c>
      <c r="L331" s="91">
        <v>0.36458333333333331</v>
      </c>
      <c r="M331" s="91">
        <v>0.39583333333333331</v>
      </c>
      <c r="N331" s="91">
        <v>0.41666666666666669</v>
      </c>
      <c r="O331" s="91">
        <f t="shared" si="15"/>
        <v>3.125E-2</v>
      </c>
      <c r="P331" s="91">
        <f t="shared" si="16"/>
        <v>2.083333333333337E-2</v>
      </c>
      <c r="Q331" s="91">
        <v>0.4201388888888889</v>
      </c>
    </row>
    <row r="332" spans="1:18" x14ac:dyDescent="0.25">
      <c r="A332" s="83">
        <f t="shared" si="17"/>
        <v>9</v>
      </c>
      <c r="B332" s="111">
        <v>43889</v>
      </c>
      <c r="C332" s="111">
        <v>43889</v>
      </c>
      <c r="F332" s="83" t="s">
        <v>343</v>
      </c>
      <c r="G332" s="90">
        <v>9185978513</v>
      </c>
      <c r="H332" s="90" t="s">
        <v>103</v>
      </c>
      <c r="I332" s="90">
        <v>33</v>
      </c>
      <c r="J332" s="90">
        <v>80</v>
      </c>
      <c r="L332" s="91">
        <v>0.34722222222222227</v>
      </c>
      <c r="M332" s="91">
        <v>0.34722222222222227</v>
      </c>
      <c r="N332" s="91">
        <v>0.3576388888888889</v>
      </c>
      <c r="O332" s="91">
        <f t="shared" si="15"/>
        <v>0</v>
      </c>
      <c r="P332" s="91">
        <f t="shared" si="16"/>
        <v>1.041666666666663E-2</v>
      </c>
      <c r="R332" s="88" t="s">
        <v>1001</v>
      </c>
    </row>
    <row r="333" spans="1:18" x14ac:dyDescent="0.25">
      <c r="A333" s="83">
        <f t="shared" si="17"/>
        <v>9</v>
      </c>
      <c r="B333" s="111">
        <v>43889</v>
      </c>
      <c r="C333" s="111">
        <v>43889</v>
      </c>
      <c r="F333" s="83" t="s">
        <v>368</v>
      </c>
      <c r="G333" s="90">
        <v>9186010345</v>
      </c>
      <c r="H333" s="90" t="s">
        <v>103</v>
      </c>
      <c r="I333" s="90">
        <v>33</v>
      </c>
      <c r="J333" s="90">
        <v>80</v>
      </c>
      <c r="L333" s="91">
        <v>0.375</v>
      </c>
      <c r="M333" s="91">
        <v>0.40625</v>
      </c>
      <c r="N333" s="91">
        <v>0.41666666666666669</v>
      </c>
      <c r="O333" s="91">
        <f t="shared" si="15"/>
        <v>3.125E-2</v>
      </c>
      <c r="P333" s="91">
        <f t="shared" si="16"/>
        <v>1.0416666666666685E-2</v>
      </c>
      <c r="R333" s="88" t="s">
        <v>460</v>
      </c>
    </row>
    <row r="334" spans="1:18" x14ac:dyDescent="0.25">
      <c r="A334" s="83">
        <f t="shared" si="17"/>
        <v>9</v>
      </c>
      <c r="B334" s="111">
        <v>43889</v>
      </c>
      <c r="C334" s="111">
        <v>43889</v>
      </c>
      <c r="D334" s="355">
        <v>1000462250</v>
      </c>
      <c r="E334" s="90">
        <v>240</v>
      </c>
      <c r="F334" s="83" t="s">
        <v>424</v>
      </c>
      <c r="G334" s="90" t="s">
        <v>1002</v>
      </c>
      <c r="H334" s="90" t="s">
        <v>103</v>
      </c>
      <c r="I334" s="90">
        <v>34</v>
      </c>
      <c r="J334" s="90">
        <v>80</v>
      </c>
      <c r="K334" s="90" t="s">
        <v>51</v>
      </c>
      <c r="L334" s="91">
        <v>0.37847222222222227</v>
      </c>
      <c r="M334" s="91">
        <v>0.4826388888888889</v>
      </c>
      <c r="N334" s="91">
        <v>0.50347222222222221</v>
      </c>
      <c r="O334" s="91">
        <f t="shared" si="15"/>
        <v>0.10416666666666663</v>
      </c>
      <c r="P334" s="91">
        <f t="shared" si="16"/>
        <v>2.0833333333333315E-2</v>
      </c>
      <c r="Q334" s="91">
        <v>0.50694444444444442</v>
      </c>
    </row>
    <row r="335" spans="1:18" x14ac:dyDescent="0.25">
      <c r="A335" s="83">
        <f t="shared" si="17"/>
        <v>9</v>
      </c>
      <c r="B335" s="111">
        <v>43889</v>
      </c>
      <c r="C335" s="111">
        <v>43889</v>
      </c>
      <c r="F335" s="83" t="s">
        <v>369</v>
      </c>
      <c r="G335" s="90">
        <v>9185981208</v>
      </c>
      <c r="H335" s="90" t="s">
        <v>103</v>
      </c>
      <c r="I335" s="90">
        <v>33</v>
      </c>
      <c r="J335" s="90">
        <v>80</v>
      </c>
      <c r="L335" s="91">
        <v>0.44791666666666669</v>
      </c>
      <c r="M335" s="91">
        <v>0.47916666666666669</v>
      </c>
      <c r="N335" s="91">
        <v>0.49305555555555558</v>
      </c>
      <c r="O335" s="91">
        <f t="shared" si="15"/>
        <v>3.125E-2</v>
      </c>
      <c r="P335" s="91">
        <f t="shared" si="16"/>
        <v>1.3888888888888895E-2</v>
      </c>
      <c r="R335" s="88" t="s">
        <v>1005</v>
      </c>
    </row>
    <row r="336" spans="1:18" s="202" customFormat="1" ht="16.5" thickBot="1" x14ac:dyDescent="0.3">
      <c r="A336" s="196">
        <f t="shared" si="17"/>
        <v>9</v>
      </c>
      <c r="B336" s="209">
        <v>43889</v>
      </c>
      <c r="C336" s="209">
        <v>43889</v>
      </c>
      <c r="D336" s="356">
        <v>1000462252</v>
      </c>
      <c r="E336" s="210">
        <v>480</v>
      </c>
      <c r="F336" s="196" t="s">
        <v>437</v>
      </c>
      <c r="G336" s="210" t="s">
        <v>1006</v>
      </c>
      <c r="H336" s="210" t="s">
        <v>103</v>
      </c>
      <c r="I336" s="210">
        <v>34</v>
      </c>
      <c r="J336" s="210">
        <v>80</v>
      </c>
      <c r="K336" s="210" t="s">
        <v>51</v>
      </c>
      <c r="L336" s="211">
        <v>0.45833333333333331</v>
      </c>
      <c r="M336" s="211">
        <v>0.50694444444444442</v>
      </c>
      <c r="N336" s="211">
        <v>0.52430555555555558</v>
      </c>
      <c r="O336" s="211">
        <f t="shared" si="15"/>
        <v>4.8611111111111105E-2</v>
      </c>
      <c r="P336" s="211">
        <f t="shared" si="16"/>
        <v>1.736111111111116E-2</v>
      </c>
      <c r="Q336" s="211">
        <v>0.52777777777777779</v>
      </c>
      <c r="R336" s="212"/>
    </row>
    <row r="337" spans="1:18" s="112" customFormat="1" x14ac:dyDescent="0.25">
      <c r="A337" s="110">
        <f t="shared" si="17"/>
        <v>9</v>
      </c>
      <c r="B337" s="111">
        <v>43890</v>
      </c>
      <c r="C337" s="111">
        <v>43890</v>
      </c>
      <c r="D337" s="357"/>
      <c r="E337" s="207"/>
      <c r="F337" s="110" t="s">
        <v>331</v>
      </c>
      <c r="G337" s="207">
        <v>9186007580</v>
      </c>
      <c r="H337" s="207" t="s">
        <v>103</v>
      </c>
      <c r="I337" s="207">
        <v>33</v>
      </c>
      <c r="J337" s="207">
        <v>80</v>
      </c>
      <c r="K337" s="207"/>
      <c r="L337" s="208">
        <v>0.24652777777777779</v>
      </c>
      <c r="M337" s="208">
        <v>0.25</v>
      </c>
      <c r="N337" s="208">
        <v>0.26041666666666669</v>
      </c>
      <c r="O337" s="208">
        <f t="shared" si="15"/>
        <v>3.4722222222222099E-3</v>
      </c>
      <c r="P337" s="208">
        <f t="shared" si="16"/>
        <v>1.0416666666666685E-2</v>
      </c>
      <c r="Q337" s="208"/>
      <c r="R337" s="244" t="s">
        <v>1009</v>
      </c>
    </row>
    <row r="338" spans="1:18" x14ac:dyDescent="0.25">
      <c r="A338" s="83">
        <f t="shared" si="17"/>
        <v>9</v>
      </c>
      <c r="B338" s="111">
        <v>43890</v>
      </c>
      <c r="C338" s="111">
        <v>43890</v>
      </c>
      <c r="D338" s="355">
        <v>1000462859</v>
      </c>
      <c r="E338" s="90">
        <v>180</v>
      </c>
      <c r="F338" s="83" t="s">
        <v>785</v>
      </c>
      <c r="G338" s="90" t="s">
        <v>1010</v>
      </c>
      <c r="H338" s="90" t="s">
        <v>103</v>
      </c>
      <c r="I338" s="90">
        <v>47</v>
      </c>
      <c r="J338" s="90">
        <v>80</v>
      </c>
      <c r="K338" s="90" t="s">
        <v>51</v>
      </c>
      <c r="L338" s="91">
        <v>0.27777777777777779</v>
      </c>
      <c r="M338" s="91">
        <v>0.2986111111111111</v>
      </c>
      <c r="N338" s="91">
        <v>0.3263888888888889</v>
      </c>
      <c r="O338" s="91">
        <f t="shared" si="15"/>
        <v>2.0833333333333315E-2</v>
      </c>
      <c r="P338" s="91">
        <f t="shared" si="16"/>
        <v>2.777777777777779E-2</v>
      </c>
      <c r="Q338" s="91">
        <v>0.3298611111111111</v>
      </c>
    </row>
    <row r="339" spans="1:18" x14ac:dyDescent="0.25">
      <c r="A339" s="83">
        <f t="shared" si="17"/>
        <v>9</v>
      </c>
      <c r="B339" s="111">
        <v>43890</v>
      </c>
      <c r="C339" s="111">
        <v>43890</v>
      </c>
      <c r="F339" s="83" t="s">
        <v>335</v>
      </c>
      <c r="G339" s="90">
        <v>9186007580</v>
      </c>
      <c r="H339" s="90" t="s">
        <v>103</v>
      </c>
      <c r="I339" s="90">
        <v>33</v>
      </c>
      <c r="J339" s="90">
        <v>80</v>
      </c>
      <c r="L339" s="91">
        <v>0.27777777777777779</v>
      </c>
      <c r="M339" s="91">
        <v>0.28125</v>
      </c>
      <c r="N339" s="91">
        <v>0.29166666666666669</v>
      </c>
      <c r="O339" s="91">
        <f t="shared" si="15"/>
        <v>3.4722222222222099E-3</v>
      </c>
      <c r="P339" s="91">
        <f t="shared" si="16"/>
        <v>1.0416666666666685E-2</v>
      </c>
      <c r="R339" s="88" t="s">
        <v>1014</v>
      </c>
    </row>
    <row r="340" spans="1:18" x14ac:dyDescent="0.25">
      <c r="A340" s="83">
        <f t="shared" si="17"/>
        <v>9</v>
      </c>
      <c r="B340" s="111">
        <v>43890</v>
      </c>
      <c r="C340" s="111">
        <v>43890</v>
      </c>
      <c r="E340" s="90">
        <v>720</v>
      </c>
      <c r="F340" s="83" t="s">
        <v>442</v>
      </c>
      <c r="G340" s="90">
        <v>186970368</v>
      </c>
      <c r="H340" s="90" t="s">
        <v>104</v>
      </c>
      <c r="I340" s="90">
        <v>34</v>
      </c>
      <c r="J340" s="90" t="s">
        <v>565</v>
      </c>
      <c r="L340" s="91">
        <v>0.31666666666666665</v>
      </c>
      <c r="M340" s="91">
        <v>0.34027777777777773</v>
      </c>
      <c r="N340" s="91">
        <v>0.3576388888888889</v>
      </c>
      <c r="O340" s="91">
        <f t="shared" si="15"/>
        <v>2.3611111111111083E-2</v>
      </c>
      <c r="P340" s="91">
        <f t="shared" si="16"/>
        <v>1.736111111111116E-2</v>
      </c>
      <c r="Q340" s="91">
        <v>0.3611111111111111</v>
      </c>
    </row>
    <row r="341" spans="1:18" x14ac:dyDescent="0.25">
      <c r="A341" s="83">
        <f t="shared" si="17"/>
        <v>9</v>
      </c>
      <c r="B341" s="111">
        <v>43890</v>
      </c>
      <c r="C341" s="111">
        <v>43890</v>
      </c>
      <c r="F341" s="83" t="s">
        <v>343</v>
      </c>
      <c r="G341" s="90">
        <v>9186005616</v>
      </c>
      <c r="H341" s="90" t="s">
        <v>103</v>
      </c>
      <c r="I341" s="90">
        <v>33</v>
      </c>
      <c r="J341" s="90">
        <v>80</v>
      </c>
      <c r="L341" s="91">
        <v>0.31597222222222221</v>
      </c>
      <c r="M341" s="91">
        <v>0.34722222222222227</v>
      </c>
      <c r="N341" s="91">
        <v>0.3576388888888889</v>
      </c>
      <c r="O341" s="91">
        <f t="shared" si="15"/>
        <v>3.1250000000000056E-2</v>
      </c>
      <c r="P341" s="91">
        <f t="shared" si="16"/>
        <v>1.041666666666663E-2</v>
      </c>
      <c r="R341" s="88" t="s">
        <v>1013</v>
      </c>
    </row>
    <row r="342" spans="1:18" x14ac:dyDescent="0.25">
      <c r="A342" s="83">
        <f t="shared" si="17"/>
        <v>9</v>
      </c>
      <c r="B342" s="111">
        <v>43890</v>
      </c>
      <c r="C342" s="111">
        <v>43890</v>
      </c>
      <c r="D342" s="355">
        <v>1000462328</v>
      </c>
      <c r="E342" s="90">
        <v>180</v>
      </c>
      <c r="F342" s="83" t="s">
        <v>789</v>
      </c>
      <c r="G342" s="90" t="s">
        <v>1015</v>
      </c>
      <c r="H342" s="90" t="s">
        <v>112</v>
      </c>
      <c r="I342" s="90">
        <v>46</v>
      </c>
      <c r="L342" s="91">
        <v>0.33680555555555558</v>
      </c>
      <c r="O342" s="91">
        <f t="shared" si="15"/>
        <v>-0.33680555555555558</v>
      </c>
      <c r="P342" s="91">
        <f t="shared" si="16"/>
        <v>0</v>
      </c>
    </row>
    <row r="343" spans="1:18" x14ac:dyDescent="0.25">
      <c r="A343" s="83">
        <f t="shared" si="17"/>
        <v>9</v>
      </c>
      <c r="B343" s="111">
        <v>43890</v>
      </c>
      <c r="C343" s="111">
        <v>43890</v>
      </c>
      <c r="F343" s="83" t="s">
        <v>368</v>
      </c>
      <c r="G343" s="90">
        <v>9186016916</v>
      </c>
      <c r="H343" s="90" t="s">
        <v>104</v>
      </c>
      <c r="I343" s="90">
        <v>33</v>
      </c>
      <c r="J343" s="90">
        <v>80</v>
      </c>
      <c r="L343" s="91">
        <v>0.375</v>
      </c>
      <c r="M343" s="91">
        <v>0.40277777777777773</v>
      </c>
      <c r="N343" s="91">
        <v>0.41319444444444442</v>
      </c>
      <c r="O343" s="91">
        <f t="shared" si="15"/>
        <v>2.7777777777777735E-2</v>
      </c>
      <c r="P343" s="91">
        <f t="shared" si="16"/>
        <v>1.0416666666666685E-2</v>
      </c>
      <c r="R343" s="88" t="s">
        <v>1018</v>
      </c>
    </row>
    <row r="344" spans="1:18" x14ac:dyDescent="0.25">
      <c r="A344" s="83">
        <f t="shared" si="17"/>
        <v>9</v>
      </c>
      <c r="B344" s="111">
        <v>43890</v>
      </c>
      <c r="C344" s="111">
        <v>43890</v>
      </c>
      <c r="O344" s="91">
        <f t="shared" si="15"/>
        <v>0</v>
      </c>
      <c r="P344" s="91">
        <f t="shared" si="16"/>
        <v>0</v>
      </c>
    </row>
    <row r="345" spans="1:18" x14ac:dyDescent="0.25">
      <c r="A345" s="83">
        <f t="shared" si="17"/>
        <v>9</v>
      </c>
      <c r="B345" s="111">
        <v>43890</v>
      </c>
      <c r="C345" s="111">
        <v>43890</v>
      </c>
      <c r="O345" s="91">
        <f t="shared" si="15"/>
        <v>0</v>
      </c>
      <c r="P345" s="91">
        <f t="shared" si="16"/>
        <v>0</v>
      </c>
    </row>
    <row r="346" spans="1:18" x14ac:dyDescent="0.25">
      <c r="A346" s="83">
        <f t="shared" si="17"/>
        <v>9</v>
      </c>
      <c r="B346" s="111">
        <v>43890</v>
      </c>
      <c r="C346" s="111">
        <v>43890</v>
      </c>
      <c r="O346" s="91">
        <f t="shared" si="15"/>
        <v>0</v>
      </c>
      <c r="P346" s="91">
        <f t="shared" si="16"/>
        <v>0</v>
      </c>
    </row>
    <row r="347" spans="1:18" x14ac:dyDescent="0.25">
      <c r="A347" s="83">
        <f t="shared" si="17"/>
        <v>9</v>
      </c>
      <c r="B347" s="111">
        <v>43890</v>
      </c>
      <c r="C347" s="111">
        <v>43890</v>
      </c>
      <c r="O347" s="91">
        <f t="shared" si="15"/>
        <v>0</v>
      </c>
      <c r="P347" s="91">
        <f t="shared" si="16"/>
        <v>0</v>
      </c>
    </row>
    <row r="348" spans="1:18" x14ac:dyDescent="0.25">
      <c r="A348" s="83">
        <f t="shared" si="17"/>
        <v>9</v>
      </c>
      <c r="B348" s="111">
        <v>43890</v>
      </c>
      <c r="C348" s="111">
        <v>43890</v>
      </c>
      <c r="O348" s="91">
        <f t="shared" si="15"/>
        <v>0</v>
      </c>
      <c r="P348" s="91">
        <f t="shared" si="16"/>
        <v>0</v>
      </c>
    </row>
    <row r="349" spans="1:18" x14ac:dyDescent="0.25">
      <c r="A349" s="83">
        <f t="shared" si="17"/>
        <v>53</v>
      </c>
      <c r="B349" s="89"/>
      <c r="O349" s="91">
        <f t="shared" si="15"/>
        <v>0</v>
      </c>
      <c r="P349" s="91">
        <f t="shared" si="16"/>
        <v>0</v>
      </c>
    </row>
    <row r="350" spans="1:18" x14ac:dyDescent="0.25">
      <c r="A350" s="83">
        <f t="shared" si="17"/>
        <v>53</v>
      </c>
      <c r="B350" s="89"/>
      <c r="O350" s="91">
        <f t="shared" si="15"/>
        <v>0</v>
      </c>
      <c r="P350" s="91">
        <f t="shared" si="16"/>
        <v>0</v>
      </c>
    </row>
    <row r="351" spans="1:18" x14ac:dyDescent="0.25">
      <c r="A351" s="83">
        <f t="shared" si="17"/>
        <v>53</v>
      </c>
      <c r="B351" s="89"/>
      <c r="O351" s="91">
        <f t="shared" si="15"/>
        <v>0</v>
      </c>
      <c r="P351" s="91">
        <f t="shared" si="16"/>
        <v>0</v>
      </c>
    </row>
    <row r="352" spans="1:18" x14ac:dyDescent="0.25">
      <c r="A352" s="83">
        <f t="shared" si="17"/>
        <v>53</v>
      </c>
      <c r="B352" s="89"/>
      <c r="O352" s="91">
        <f t="shared" si="15"/>
        <v>0</v>
      </c>
      <c r="P352" s="91">
        <f t="shared" si="16"/>
        <v>0</v>
      </c>
    </row>
    <row r="353" spans="1:16" x14ac:dyDescent="0.25">
      <c r="A353" s="83">
        <f t="shared" si="17"/>
        <v>53</v>
      </c>
      <c r="B353" s="89"/>
      <c r="O353" s="91">
        <f t="shared" si="15"/>
        <v>0</v>
      </c>
      <c r="P353" s="91">
        <f t="shared" si="16"/>
        <v>0</v>
      </c>
    </row>
    <row r="354" spans="1:16" x14ac:dyDescent="0.25">
      <c r="A354" s="83">
        <f t="shared" si="17"/>
        <v>53</v>
      </c>
      <c r="B354" s="89"/>
      <c r="O354" s="91">
        <f t="shared" si="15"/>
        <v>0</v>
      </c>
      <c r="P354" s="91">
        <f t="shared" si="16"/>
        <v>0</v>
      </c>
    </row>
    <row r="355" spans="1:16" x14ac:dyDescent="0.25">
      <c r="A355" s="83">
        <f t="shared" si="17"/>
        <v>53</v>
      </c>
      <c r="B355" s="89"/>
      <c r="O355" s="91">
        <f t="shared" ref="O355:O418" si="18">M355-L355</f>
        <v>0</v>
      </c>
      <c r="P355" s="91">
        <f t="shared" ref="P355:P418" si="19">N355-M355</f>
        <v>0</v>
      </c>
    </row>
    <row r="356" spans="1:16" x14ac:dyDescent="0.25">
      <c r="A356" s="83">
        <f t="shared" si="17"/>
        <v>53</v>
      </c>
      <c r="B356" s="89"/>
      <c r="O356" s="91">
        <f t="shared" si="18"/>
        <v>0</v>
      </c>
      <c r="P356" s="91">
        <f t="shared" si="19"/>
        <v>0</v>
      </c>
    </row>
    <row r="357" spans="1:16" x14ac:dyDescent="0.25">
      <c r="A357" s="83">
        <f t="shared" si="17"/>
        <v>53</v>
      </c>
      <c r="B357" s="89"/>
      <c r="O357" s="91">
        <f t="shared" si="18"/>
        <v>0</v>
      </c>
      <c r="P357" s="91">
        <f t="shared" si="19"/>
        <v>0</v>
      </c>
    </row>
    <row r="358" spans="1:16" x14ac:dyDescent="0.25">
      <c r="A358" s="83">
        <f t="shared" si="17"/>
        <v>53</v>
      </c>
      <c r="B358" s="89"/>
      <c r="O358" s="91">
        <f t="shared" si="18"/>
        <v>0</v>
      </c>
      <c r="P358" s="91">
        <f t="shared" si="19"/>
        <v>0</v>
      </c>
    </row>
    <row r="359" spans="1:16" x14ac:dyDescent="0.25">
      <c r="A359" s="83">
        <f t="shared" si="17"/>
        <v>53</v>
      </c>
      <c r="B359" s="89"/>
      <c r="O359" s="91">
        <f t="shared" si="18"/>
        <v>0</v>
      </c>
      <c r="P359" s="91">
        <f t="shared" si="19"/>
        <v>0</v>
      </c>
    </row>
    <row r="360" spans="1:16" x14ac:dyDescent="0.25">
      <c r="A360" s="83">
        <f t="shared" si="17"/>
        <v>53</v>
      </c>
      <c r="B360" s="89"/>
      <c r="O360" s="91">
        <f t="shared" si="18"/>
        <v>0</v>
      </c>
      <c r="P360" s="91">
        <f t="shared" si="19"/>
        <v>0</v>
      </c>
    </row>
    <row r="361" spans="1:16" x14ac:dyDescent="0.25">
      <c r="A361" s="83">
        <f t="shared" si="17"/>
        <v>53</v>
      </c>
      <c r="B361" s="89"/>
      <c r="O361" s="91">
        <f t="shared" si="18"/>
        <v>0</v>
      </c>
      <c r="P361" s="91">
        <f t="shared" si="19"/>
        <v>0</v>
      </c>
    </row>
    <row r="362" spans="1:16" x14ac:dyDescent="0.25">
      <c r="A362" s="83">
        <f t="shared" si="17"/>
        <v>53</v>
      </c>
      <c r="B362" s="89"/>
      <c r="O362" s="91">
        <f t="shared" si="18"/>
        <v>0</v>
      </c>
      <c r="P362" s="91">
        <f t="shared" si="19"/>
        <v>0</v>
      </c>
    </row>
    <row r="363" spans="1:16" x14ac:dyDescent="0.25">
      <c r="A363" s="83">
        <f t="shared" si="17"/>
        <v>53</v>
      </c>
      <c r="B363" s="89"/>
      <c r="O363" s="91">
        <f t="shared" si="18"/>
        <v>0</v>
      </c>
      <c r="P363" s="91">
        <f t="shared" si="19"/>
        <v>0</v>
      </c>
    </row>
    <row r="364" spans="1:16" x14ac:dyDescent="0.25">
      <c r="A364" s="83">
        <f t="shared" si="17"/>
        <v>53</v>
      </c>
      <c r="B364" s="89"/>
      <c r="O364" s="91">
        <f t="shared" si="18"/>
        <v>0</v>
      </c>
      <c r="P364" s="91">
        <f t="shared" si="19"/>
        <v>0</v>
      </c>
    </row>
    <row r="365" spans="1:16" x14ac:dyDescent="0.25">
      <c r="A365" s="83">
        <f t="shared" si="17"/>
        <v>53</v>
      </c>
      <c r="B365" s="89"/>
      <c r="O365" s="91">
        <f t="shared" si="18"/>
        <v>0</v>
      </c>
      <c r="P365" s="91">
        <f t="shared" si="19"/>
        <v>0</v>
      </c>
    </row>
    <row r="366" spans="1:16" x14ac:dyDescent="0.25">
      <c r="A366" s="83">
        <f t="shared" si="17"/>
        <v>53</v>
      </c>
      <c r="B366" s="89"/>
      <c r="O366" s="91">
        <f t="shared" si="18"/>
        <v>0</v>
      </c>
      <c r="P366" s="91">
        <f t="shared" si="19"/>
        <v>0</v>
      </c>
    </row>
    <row r="367" spans="1:16" x14ac:dyDescent="0.25">
      <c r="A367" s="83">
        <f t="shared" si="17"/>
        <v>53</v>
      </c>
      <c r="B367" s="89"/>
      <c r="O367" s="91">
        <f t="shared" si="18"/>
        <v>0</v>
      </c>
      <c r="P367" s="91">
        <f t="shared" si="19"/>
        <v>0</v>
      </c>
    </row>
    <row r="368" spans="1:16" x14ac:dyDescent="0.25">
      <c r="A368" s="83">
        <f t="shared" si="17"/>
        <v>53</v>
      </c>
      <c r="B368" s="89"/>
      <c r="O368" s="91">
        <f t="shared" si="18"/>
        <v>0</v>
      </c>
      <c r="P368" s="91">
        <f t="shared" si="19"/>
        <v>0</v>
      </c>
    </row>
    <row r="369" spans="1:16" x14ac:dyDescent="0.25">
      <c r="A369" s="83">
        <f t="shared" si="17"/>
        <v>53</v>
      </c>
      <c r="B369" s="89"/>
      <c r="O369" s="91">
        <f t="shared" si="18"/>
        <v>0</v>
      </c>
      <c r="P369" s="91">
        <f t="shared" si="19"/>
        <v>0</v>
      </c>
    </row>
    <row r="370" spans="1:16" x14ac:dyDescent="0.25">
      <c r="A370" s="83">
        <f t="shared" si="17"/>
        <v>53</v>
      </c>
      <c r="B370" s="89"/>
      <c r="O370" s="91">
        <f t="shared" si="18"/>
        <v>0</v>
      </c>
      <c r="P370" s="91">
        <f t="shared" si="19"/>
        <v>0</v>
      </c>
    </row>
    <row r="371" spans="1:16" x14ac:dyDescent="0.25">
      <c r="A371" s="83">
        <f t="shared" si="17"/>
        <v>53</v>
      </c>
      <c r="B371" s="89"/>
      <c r="O371" s="91">
        <f t="shared" si="18"/>
        <v>0</v>
      </c>
      <c r="P371" s="91">
        <f t="shared" si="19"/>
        <v>0</v>
      </c>
    </row>
    <row r="372" spans="1:16" x14ac:dyDescent="0.25">
      <c r="A372" s="83">
        <f t="shared" si="17"/>
        <v>53</v>
      </c>
      <c r="B372" s="89"/>
      <c r="O372" s="91">
        <f t="shared" si="18"/>
        <v>0</v>
      </c>
      <c r="P372" s="91">
        <f t="shared" si="19"/>
        <v>0</v>
      </c>
    </row>
    <row r="373" spans="1:16" x14ac:dyDescent="0.25">
      <c r="A373" s="83">
        <f t="shared" si="17"/>
        <v>53</v>
      </c>
      <c r="B373" s="89"/>
      <c r="O373" s="91">
        <f t="shared" si="18"/>
        <v>0</v>
      </c>
      <c r="P373" s="91">
        <f t="shared" si="19"/>
        <v>0</v>
      </c>
    </row>
    <row r="374" spans="1:16" x14ac:dyDescent="0.25">
      <c r="A374" s="83">
        <f t="shared" ref="A374:A437" si="20">WEEKNUM(B374,21)</f>
        <v>53</v>
      </c>
      <c r="B374" s="89"/>
      <c r="O374" s="91">
        <f t="shared" si="18"/>
        <v>0</v>
      </c>
      <c r="P374" s="91">
        <f t="shared" si="19"/>
        <v>0</v>
      </c>
    </row>
    <row r="375" spans="1:16" x14ac:dyDescent="0.25">
      <c r="A375" s="83">
        <f t="shared" si="20"/>
        <v>53</v>
      </c>
      <c r="B375" s="89"/>
      <c r="O375" s="91">
        <f t="shared" si="18"/>
        <v>0</v>
      </c>
      <c r="P375" s="91">
        <f t="shared" si="19"/>
        <v>0</v>
      </c>
    </row>
    <row r="376" spans="1:16" x14ac:dyDescent="0.25">
      <c r="A376" s="83">
        <f t="shared" si="20"/>
        <v>53</v>
      </c>
      <c r="B376" s="89"/>
      <c r="O376" s="91">
        <f t="shared" si="18"/>
        <v>0</v>
      </c>
      <c r="P376" s="91">
        <f t="shared" si="19"/>
        <v>0</v>
      </c>
    </row>
    <row r="377" spans="1:16" x14ac:dyDescent="0.25">
      <c r="A377" s="83">
        <f t="shared" si="20"/>
        <v>53</v>
      </c>
      <c r="B377" s="89"/>
      <c r="O377" s="91">
        <f t="shared" si="18"/>
        <v>0</v>
      </c>
      <c r="P377" s="91">
        <f t="shared" si="19"/>
        <v>0</v>
      </c>
    </row>
    <row r="378" spans="1:16" x14ac:dyDescent="0.25">
      <c r="A378" s="83">
        <f t="shared" si="20"/>
        <v>53</v>
      </c>
      <c r="B378" s="89"/>
      <c r="O378" s="91">
        <f t="shared" si="18"/>
        <v>0</v>
      </c>
      <c r="P378" s="91">
        <f t="shared" si="19"/>
        <v>0</v>
      </c>
    </row>
    <row r="379" spans="1:16" x14ac:dyDescent="0.25">
      <c r="A379" s="83">
        <f t="shared" si="20"/>
        <v>53</v>
      </c>
      <c r="B379" s="89"/>
      <c r="O379" s="91">
        <f t="shared" si="18"/>
        <v>0</v>
      </c>
      <c r="P379" s="91">
        <f t="shared" si="19"/>
        <v>0</v>
      </c>
    </row>
    <row r="380" spans="1:16" x14ac:dyDescent="0.25">
      <c r="A380" s="83">
        <f t="shared" si="20"/>
        <v>53</v>
      </c>
      <c r="B380" s="89"/>
      <c r="O380" s="91">
        <f t="shared" si="18"/>
        <v>0</v>
      </c>
      <c r="P380" s="91">
        <f t="shared" si="19"/>
        <v>0</v>
      </c>
    </row>
    <row r="381" spans="1:16" x14ac:dyDescent="0.25">
      <c r="A381" s="83">
        <f t="shared" si="20"/>
        <v>53</v>
      </c>
      <c r="B381" s="89"/>
      <c r="O381" s="91">
        <f t="shared" si="18"/>
        <v>0</v>
      </c>
      <c r="P381" s="91">
        <f t="shared" si="19"/>
        <v>0</v>
      </c>
    </row>
    <row r="382" spans="1:16" x14ac:dyDescent="0.25">
      <c r="A382" s="83">
        <f t="shared" si="20"/>
        <v>53</v>
      </c>
      <c r="B382" s="89"/>
      <c r="O382" s="91">
        <f t="shared" si="18"/>
        <v>0</v>
      </c>
      <c r="P382" s="91">
        <f t="shared" si="19"/>
        <v>0</v>
      </c>
    </row>
    <row r="383" spans="1:16" x14ac:dyDescent="0.25">
      <c r="A383" s="83">
        <f t="shared" si="20"/>
        <v>53</v>
      </c>
      <c r="B383" s="89"/>
      <c r="O383" s="91">
        <f t="shared" si="18"/>
        <v>0</v>
      </c>
      <c r="P383" s="91">
        <f t="shared" si="19"/>
        <v>0</v>
      </c>
    </row>
    <row r="384" spans="1:16" x14ac:dyDescent="0.25">
      <c r="A384" s="83">
        <f t="shared" si="20"/>
        <v>53</v>
      </c>
      <c r="B384" s="89"/>
      <c r="O384" s="91">
        <f t="shared" si="18"/>
        <v>0</v>
      </c>
      <c r="P384" s="91">
        <f t="shared" si="19"/>
        <v>0</v>
      </c>
    </row>
    <row r="385" spans="1:16" x14ac:dyDescent="0.25">
      <c r="A385" s="83">
        <f t="shared" si="20"/>
        <v>53</v>
      </c>
      <c r="B385" s="89"/>
      <c r="O385" s="91">
        <f t="shared" si="18"/>
        <v>0</v>
      </c>
      <c r="P385" s="91">
        <f t="shared" si="19"/>
        <v>0</v>
      </c>
    </row>
    <row r="386" spans="1:16" x14ac:dyDescent="0.25">
      <c r="A386" s="83">
        <f t="shared" si="20"/>
        <v>53</v>
      </c>
      <c r="B386" s="89"/>
      <c r="O386" s="91">
        <f t="shared" si="18"/>
        <v>0</v>
      </c>
      <c r="P386" s="91">
        <f t="shared" si="19"/>
        <v>0</v>
      </c>
    </row>
    <row r="387" spans="1:16" x14ac:dyDescent="0.25">
      <c r="A387" s="83">
        <f t="shared" si="20"/>
        <v>53</v>
      </c>
      <c r="B387" s="89"/>
      <c r="O387" s="91">
        <f t="shared" si="18"/>
        <v>0</v>
      </c>
      <c r="P387" s="91">
        <f t="shared" si="19"/>
        <v>0</v>
      </c>
    </row>
    <row r="388" spans="1:16" x14ac:dyDescent="0.25">
      <c r="A388" s="83">
        <f t="shared" si="20"/>
        <v>53</v>
      </c>
      <c r="B388" s="89"/>
      <c r="O388" s="91">
        <f t="shared" si="18"/>
        <v>0</v>
      </c>
      <c r="P388" s="91">
        <f t="shared" si="19"/>
        <v>0</v>
      </c>
    </row>
    <row r="389" spans="1:16" x14ac:dyDescent="0.25">
      <c r="A389" s="83">
        <f t="shared" si="20"/>
        <v>53</v>
      </c>
      <c r="B389" s="89"/>
      <c r="O389" s="91">
        <f t="shared" si="18"/>
        <v>0</v>
      </c>
      <c r="P389" s="91">
        <f t="shared" si="19"/>
        <v>0</v>
      </c>
    </row>
    <row r="390" spans="1:16" x14ac:dyDescent="0.25">
      <c r="A390" s="83">
        <f t="shared" si="20"/>
        <v>53</v>
      </c>
      <c r="B390" s="89"/>
      <c r="O390" s="91">
        <f t="shared" si="18"/>
        <v>0</v>
      </c>
      <c r="P390" s="91">
        <f t="shared" si="19"/>
        <v>0</v>
      </c>
    </row>
    <row r="391" spans="1:16" x14ac:dyDescent="0.25">
      <c r="A391" s="83">
        <f t="shared" si="20"/>
        <v>53</v>
      </c>
      <c r="B391" s="89"/>
      <c r="O391" s="91">
        <f t="shared" si="18"/>
        <v>0</v>
      </c>
      <c r="P391" s="91">
        <f t="shared" si="19"/>
        <v>0</v>
      </c>
    </row>
    <row r="392" spans="1:16" x14ac:dyDescent="0.25">
      <c r="A392" s="83">
        <f t="shared" si="20"/>
        <v>53</v>
      </c>
      <c r="B392" s="89"/>
      <c r="O392" s="91">
        <f t="shared" si="18"/>
        <v>0</v>
      </c>
      <c r="P392" s="91">
        <f t="shared" si="19"/>
        <v>0</v>
      </c>
    </row>
    <row r="393" spans="1:16" x14ac:dyDescent="0.25">
      <c r="A393" s="83">
        <f t="shared" si="20"/>
        <v>53</v>
      </c>
      <c r="B393" s="89"/>
      <c r="O393" s="91">
        <f t="shared" si="18"/>
        <v>0</v>
      </c>
      <c r="P393" s="91">
        <f t="shared" si="19"/>
        <v>0</v>
      </c>
    </row>
    <row r="394" spans="1:16" x14ac:dyDescent="0.25">
      <c r="A394" s="83">
        <f t="shared" si="20"/>
        <v>53</v>
      </c>
      <c r="B394" s="89"/>
      <c r="O394" s="91">
        <f t="shared" si="18"/>
        <v>0</v>
      </c>
      <c r="P394" s="91">
        <f t="shared" si="19"/>
        <v>0</v>
      </c>
    </row>
    <row r="395" spans="1:16" x14ac:dyDescent="0.25">
      <c r="A395" s="83">
        <f t="shared" si="20"/>
        <v>53</v>
      </c>
      <c r="B395" s="89"/>
      <c r="O395" s="91">
        <f t="shared" si="18"/>
        <v>0</v>
      </c>
      <c r="P395" s="91">
        <f t="shared" si="19"/>
        <v>0</v>
      </c>
    </row>
    <row r="396" spans="1:16" x14ac:dyDescent="0.25">
      <c r="A396" s="83">
        <f t="shared" si="20"/>
        <v>53</v>
      </c>
      <c r="B396" s="89"/>
      <c r="O396" s="91">
        <f t="shared" si="18"/>
        <v>0</v>
      </c>
      <c r="P396" s="91">
        <f t="shared" si="19"/>
        <v>0</v>
      </c>
    </row>
    <row r="397" spans="1:16" x14ac:dyDescent="0.25">
      <c r="A397" s="83">
        <f t="shared" si="20"/>
        <v>53</v>
      </c>
      <c r="B397" s="89"/>
      <c r="O397" s="91">
        <f t="shared" si="18"/>
        <v>0</v>
      </c>
      <c r="P397" s="91">
        <f t="shared" si="19"/>
        <v>0</v>
      </c>
    </row>
    <row r="398" spans="1:16" x14ac:dyDescent="0.25">
      <c r="A398" s="83">
        <f t="shared" si="20"/>
        <v>53</v>
      </c>
      <c r="B398" s="89"/>
      <c r="O398" s="91">
        <f t="shared" si="18"/>
        <v>0</v>
      </c>
      <c r="P398" s="91">
        <f t="shared" si="19"/>
        <v>0</v>
      </c>
    </row>
    <row r="399" spans="1:16" x14ac:dyDescent="0.25">
      <c r="A399" s="83">
        <f t="shared" si="20"/>
        <v>53</v>
      </c>
      <c r="B399" s="89"/>
      <c r="O399" s="91">
        <f t="shared" si="18"/>
        <v>0</v>
      </c>
      <c r="P399" s="91">
        <f t="shared" si="19"/>
        <v>0</v>
      </c>
    </row>
    <row r="400" spans="1:16" x14ac:dyDescent="0.25">
      <c r="A400" s="83">
        <f t="shared" si="20"/>
        <v>53</v>
      </c>
      <c r="B400" s="89"/>
      <c r="O400" s="91">
        <f t="shared" si="18"/>
        <v>0</v>
      </c>
      <c r="P400" s="91">
        <f t="shared" si="19"/>
        <v>0</v>
      </c>
    </row>
    <row r="401" spans="1:16" x14ac:dyDescent="0.25">
      <c r="A401" s="83">
        <f t="shared" si="20"/>
        <v>53</v>
      </c>
      <c r="B401" s="89"/>
      <c r="O401" s="91">
        <f t="shared" si="18"/>
        <v>0</v>
      </c>
      <c r="P401" s="91">
        <f t="shared" si="19"/>
        <v>0</v>
      </c>
    </row>
    <row r="402" spans="1:16" x14ac:dyDescent="0.25">
      <c r="A402" s="83">
        <f t="shared" si="20"/>
        <v>53</v>
      </c>
      <c r="B402" s="89"/>
      <c r="O402" s="91">
        <f t="shared" si="18"/>
        <v>0</v>
      </c>
      <c r="P402" s="91">
        <f t="shared" si="19"/>
        <v>0</v>
      </c>
    </row>
    <row r="403" spans="1:16" x14ac:dyDescent="0.25">
      <c r="A403" s="83">
        <f t="shared" si="20"/>
        <v>53</v>
      </c>
      <c r="B403" s="89"/>
      <c r="O403" s="91">
        <f t="shared" si="18"/>
        <v>0</v>
      </c>
      <c r="P403" s="91">
        <f t="shared" si="19"/>
        <v>0</v>
      </c>
    </row>
    <row r="404" spans="1:16" x14ac:dyDescent="0.25">
      <c r="A404" s="83">
        <f t="shared" si="20"/>
        <v>53</v>
      </c>
      <c r="B404" s="89"/>
      <c r="O404" s="91">
        <f t="shared" si="18"/>
        <v>0</v>
      </c>
      <c r="P404" s="91">
        <f t="shared" si="19"/>
        <v>0</v>
      </c>
    </row>
    <row r="405" spans="1:16" x14ac:dyDescent="0.25">
      <c r="A405" s="83">
        <f t="shared" si="20"/>
        <v>53</v>
      </c>
      <c r="B405" s="89"/>
      <c r="O405" s="91">
        <f t="shared" si="18"/>
        <v>0</v>
      </c>
      <c r="P405" s="91">
        <f t="shared" si="19"/>
        <v>0</v>
      </c>
    </row>
    <row r="406" spans="1:16" x14ac:dyDescent="0.25">
      <c r="A406" s="83">
        <f t="shared" si="20"/>
        <v>53</v>
      </c>
      <c r="B406" s="89"/>
      <c r="O406" s="91">
        <f t="shared" si="18"/>
        <v>0</v>
      </c>
      <c r="P406" s="91">
        <f t="shared" si="19"/>
        <v>0</v>
      </c>
    </row>
    <row r="407" spans="1:16" x14ac:dyDescent="0.25">
      <c r="A407" s="83">
        <f t="shared" si="20"/>
        <v>53</v>
      </c>
      <c r="B407" s="89"/>
      <c r="O407" s="91">
        <f t="shared" si="18"/>
        <v>0</v>
      </c>
      <c r="P407" s="91">
        <f t="shared" si="19"/>
        <v>0</v>
      </c>
    </row>
    <row r="408" spans="1:16" x14ac:dyDescent="0.25">
      <c r="A408" s="83">
        <f t="shared" si="20"/>
        <v>53</v>
      </c>
      <c r="B408" s="89"/>
      <c r="O408" s="91">
        <f t="shared" si="18"/>
        <v>0</v>
      </c>
      <c r="P408" s="91">
        <f t="shared" si="19"/>
        <v>0</v>
      </c>
    </row>
    <row r="409" spans="1:16" x14ac:dyDescent="0.25">
      <c r="A409" s="83">
        <f t="shared" si="20"/>
        <v>53</v>
      </c>
      <c r="B409" s="89"/>
      <c r="O409" s="91">
        <f t="shared" si="18"/>
        <v>0</v>
      </c>
      <c r="P409" s="91">
        <f t="shared" si="19"/>
        <v>0</v>
      </c>
    </row>
    <row r="410" spans="1:16" x14ac:dyDescent="0.25">
      <c r="A410" s="83">
        <f t="shared" si="20"/>
        <v>53</v>
      </c>
      <c r="B410" s="89"/>
      <c r="O410" s="91">
        <f t="shared" si="18"/>
        <v>0</v>
      </c>
      <c r="P410" s="91">
        <f t="shared" si="19"/>
        <v>0</v>
      </c>
    </row>
    <row r="411" spans="1:16" x14ac:dyDescent="0.25">
      <c r="A411" s="83">
        <f t="shared" si="20"/>
        <v>53</v>
      </c>
      <c r="B411" s="89"/>
      <c r="O411" s="91">
        <f t="shared" si="18"/>
        <v>0</v>
      </c>
      <c r="P411" s="91">
        <f t="shared" si="19"/>
        <v>0</v>
      </c>
    </row>
    <row r="412" spans="1:16" x14ac:dyDescent="0.25">
      <c r="A412" s="83">
        <f t="shared" si="20"/>
        <v>53</v>
      </c>
      <c r="B412" s="89"/>
      <c r="O412" s="91">
        <f t="shared" si="18"/>
        <v>0</v>
      </c>
      <c r="P412" s="91">
        <f t="shared" si="19"/>
        <v>0</v>
      </c>
    </row>
    <row r="413" spans="1:16" x14ac:dyDescent="0.25">
      <c r="A413" s="83">
        <f t="shared" si="20"/>
        <v>53</v>
      </c>
      <c r="B413" s="89"/>
      <c r="O413" s="91">
        <f t="shared" si="18"/>
        <v>0</v>
      </c>
      <c r="P413" s="91">
        <f t="shared" si="19"/>
        <v>0</v>
      </c>
    </row>
    <row r="414" spans="1:16" x14ac:dyDescent="0.25">
      <c r="A414" s="83">
        <f t="shared" si="20"/>
        <v>53</v>
      </c>
      <c r="B414" s="89"/>
      <c r="O414" s="91">
        <f t="shared" si="18"/>
        <v>0</v>
      </c>
      <c r="P414" s="91">
        <f t="shared" si="19"/>
        <v>0</v>
      </c>
    </row>
    <row r="415" spans="1:16" x14ac:dyDescent="0.25">
      <c r="A415" s="83">
        <f t="shared" si="20"/>
        <v>53</v>
      </c>
      <c r="B415" s="89"/>
      <c r="O415" s="91">
        <f t="shared" si="18"/>
        <v>0</v>
      </c>
      <c r="P415" s="91">
        <f t="shared" si="19"/>
        <v>0</v>
      </c>
    </row>
    <row r="416" spans="1:16" x14ac:dyDescent="0.25">
      <c r="A416" s="83">
        <f t="shared" si="20"/>
        <v>53</v>
      </c>
      <c r="B416" s="89"/>
      <c r="O416" s="91">
        <f t="shared" si="18"/>
        <v>0</v>
      </c>
      <c r="P416" s="91">
        <f t="shared" si="19"/>
        <v>0</v>
      </c>
    </row>
    <row r="417" spans="1:16" x14ac:dyDescent="0.25">
      <c r="A417" s="83">
        <f t="shared" si="20"/>
        <v>53</v>
      </c>
      <c r="B417" s="89"/>
      <c r="O417" s="91">
        <f t="shared" si="18"/>
        <v>0</v>
      </c>
      <c r="P417" s="91">
        <f t="shared" si="19"/>
        <v>0</v>
      </c>
    </row>
    <row r="418" spans="1:16" x14ac:dyDescent="0.25">
      <c r="A418" s="83">
        <f t="shared" si="20"/>
        <v>53</v>
      </c>
      <c r="B418" s="89"/>
      <c r="O418" s="91">
        <f t="shared" si="18"/>
        <v>0</v>
      </c>
      <c r="P418" s="91">
        <f t="shared" si="19"/>
        <v>0</v>
      </c>
    </row>
    <row r="419" spans="1:16" x14ac:dyDescent="0.25">
      <c r="A419" s="83">
        <f t="shared" si="20"/>
        <v>53</v>
      </c>
      <c r="B419" s="89"/>
      <c r="O419" s="91">
        <f t="shared" ref="O419:O482" si="21">M419-L419</f>
        <v>0</v>
      </c>
      <c r="P419" s="91">
        <f t="shared" ref="P419:P482" si="22">N419-M419</f>
        <v>0</v>
      </c>
    </row>
    <row r="420" spans="1:16" x14ac:dyDescent="0.25">
      <c r="A420" s="83">
        <f t="shared" si="20"/>
        <v>53</v>
      </c>
      <c r="B420" s="89"/>
      <c r="O420" s="91">
        <f t="shared" si="21"/>
        <v>0</v>
      </c>
      <c r="P420" s="91">
        <f t="shared" si="22"/>
        <v>0</v>
      </c>
    </row>
    <row r="421" spans="1:16" x14ac:dyDescent="0.25">
      <c r="A421" s="83">
        <f t="shared" si="20"/>
        <v>53</v>
      </c>
      <c r="B421" s="89"/>
      <c r="O421" s="91">
        <f t="shared" si="21"/>
        <v>0</v>
      </c>
      <c r="P421" s="91">
        <f t="shared" si="22"/>
        <v>0</v>
      </c>
    </row>
    <row r="422" spans="1:16" x14ac:dyDescent="0.25">
      <c r="A422" s="83">
        <f t="shared" si="20"/>
        <v>53</v>
      </c>
      <c r="B422" s="89"/>
      <c r="O422" s="91">
        <f t="shared" si="21"/>
        <v>0</v>
      </c>
      <c r="P422" s="91">
        <f t="shared" si="22"/>
        <v>0</v>
      </c>
    </row>
    <row r="423" spans="1:16" x14ac:dyDescent="0.25">
      <c r="A423" s="83">
        <f t="shared" si="20"/>
        <v>53</v>
      </c>
      <c r="B423" s="89"/>
      <c r="O423" s="91">
        <f t="shared" si="21"/>
        <v>0</v>
      </c>
      <c r="P423" s="91">
        <f t="shared" si="22"/>
        <v>0</v>
      </c>
    </row>
    <row r="424" spans="1:16" x14ac:dyDescent="0.25">
      <c r="A424" s="83">
        <f t="shared" si="20"/>
        <v>53</v>
      </c>
      <c r="B424" s="89"/>
      <c r="O424" s="91">
        <f t="shared" si="21"/>
        <v>0</v>
      </c>
      <c r="P424" s="91">
        <f t="shared" si="22"/>
        <v>0</v>
      </c>
    </row>
    <row r="425" spans="1:16" x14ac:dyDescent="0.25">
      <c r="A425" s="83">
        <f t="shared" si="20"/>
        <v>53</v>
      </c>
      <c r="B425" s="89"/>
      <c r="O425" s="91">
        <f t="shared" si="21"/>
        <v>0</v>
      </c>
      <c r="P425" s="91">
        <f t="shared" si="22"/>
        <v>0</v>
      </c>
    </row>
    <row r="426" spans="1:16" x14ac:dyDescent="0.25">
      <c r="A426" s="83">
        <f t="shared" si="20"/>
        <v>53</v>
      </c>
      <c r="B426" s="89"/>
      <c r="O426" s="91">
        <f t="shared" si="21"/>
        <v>0</v>
      </c>
      <c r="P426" s="91">
        <f t="shared" si="22"/>
        <v>0</v>
      </c>
    </row>
    <row r="427" spans="1:16" x14ac:dyDescent="0.25">
      <c r="A427" s="83">
        <f t="shared" si="20"/>
        <v>53</v>
      </c>
      <c r="B427" s="89"/>
      <c r="O427" s="91">
        <f t="shared" si="21"/>
        <v>0</v>
      </c>
      <c r="P427" s="91">
        <f t="shared" si="22"/>
        <v>0</v>
      </c>
    </row>
    <row r="428" spans="1:16" x14ac:dyDescent="0.25">
      <c r="A428" s="83">
        <f t="shared" si="20"/>
        <v>53</v>
      </c>
      <c r="B428" s="89"/>
      <c r="O428" s="91">
        <f t="shared" si="21"/>
        <v>0</v>
      </c>
      <c r="P428" s="91">
        <f t="shared" si="22"/>
        <v>0</v>
      </c>
    </row>
    <row r="429" spans="1:16" x14ac:dyDescent="0.25">
      <c r="A429" s="83">
        <f t="shared" si="20"/>
        <v>53</v>
      </c>
      <c r="B429" s="89"/>
      <c r="O429" s="91">
        <f t="shared" si="21"/>
        <v>0</v>
      </c>
      <c r="P429" s="91">
        <f t="shared" si="22"/>
        <v>0</v>
      </c>
    </row>
    <row r="430" spans="1:16" x14ac:dyDescent="0.25">
      <c r="A430" s="83">
        <f t="shared" si="20"/>
        <v>53</v>
      </c>
      <c r="B430" s="89"/>
      <c r="O430" s="91">
        <f t="shared" si="21"/>
        <v>0</v>
      </c>
      <c r="P430" s="91">
        <f t="shared" si="22"/>
        <v>0</v>
      </c>
    </row>
    <row r="431" spans="1:16" x14ac:dyDescent="0.25">
      <c r="A431" s="83">
        <f t="shared" si="20"/>
        <v>53</v>
      </c>
      <c r="B431" s="89"/>
      <c r="O431" s="91">
        <f t="shared" si="21"/>
        <v>0</v>
      </c>
      <c r="P431" s="91">
        <f t="shared" si="22"/>
        <v>0</v>
      </c>
    </row>
    <row r="432" spans="1:16" x14ac:dyDescent="0.25">
      <c r="A432" s="83">
        <f t="shared" si="20"/>
        <v>53</v>
      </c>
      <c r="B432" s="89"/>
      <c r="O432" s="91">
        <f t="shared" si="21"/>
        <v>0</v>
      </c>
      <c r="P432" s="91">
        <f t="shared" si="22"/>
        <v>0</v>
      </c>
    </row>
    <row r="433" spans="1:16" x14ac:dyDescent="0.25">
      <c r="A433" s="83">
        <f t="shared" si="20"/>
        <v>53</v>
      </c>
      <c r="B433" s="89"/>
      <c r="O433" s="91">
        <f t="shared" si="21"/>
        <v>0</v>
      </c>
      <c r="P433" s="91">
        <f t="shared" si="22"/>
        <v>0</v>
      </c>
    </row>
    <row r="434" spans="1:16" x14ac:dyDescent="0.25">
      <c r="A434" s="83">
        <f t="shared" si="20"/>
        <v>53</v>
      </c>
      <c r="B434" s="89"/>
      <c r="O434" s="91">
        <f t="shared" si="21"/>
        <v>0</v>
      </c>
      <c r="P434" s="91">
        <f t="shared" si="22"/>
        <v>0</v>
      </c>
    </row>
    <row r="435" spans="1:16" x14ac:dyDescent="0.25">
      <c r="A435" s="83">
        <f t="shared" si="20"/>
        <v>53</v>
      </c>
      <c r="B435" s="89"/>
      <c r="O435" s="91">
        <f t="shared" si="21"/>
        <v>0</v>
      </c>
      <c r="P435" s="91">
        <f t="shared" si="22"/>
        <v>0</v>
      </c>
    </row>
    <row r="436" spans="1:16" x14ac:dyDescent="0.25">
      <c r="A436" s="83">
        <f t="shared" si="20"/>
        <v>53</v>
      </c>
      <c r="B436" s="89"/>
      <c r="O436" s="91">
        <f t="shared" si="21"/>
        <v>0</v>
      </c>
      <c r="P436" s="91">
        <f t="shared" si="22"/>
        <v>0</v>
      </c>
    </row>
    <row r="437" spans="1:16" x14ac:dyDescent="0.25">
      <c r="A437" s="83">
        <f t="shared" si="20"/>
        <v>53</v>
      </c>
      <c r="B437" s="89"/>
      <c r="O437" s="91">
        <f t="shared" si="21"/>
        <v>0</v>
      </c>
      <c r="P437" s="91">
        <f t="shared" si="22"/>
        <v>0</v>
      </c>
    </row>
    <row r="438" spans="1:16" x14ac:dyDescent="0.25">
      <c r="A438" s="83">
        <f t="shared" ref="A438:A501" si="23">WEEKNUM(B438,21)</f>
        <v>53</v>
      </c>
      <c r="B438" s="89"/>
      <c r="O438" s="91">
        <f t="shared" si="21"/>
        <v>0</v>
      </c>
      <c r="P438" s="91">
        <f t="shared" si="22"/>
        <v>0</v>
      </c>
    </row>
    <row r="439" spans="1:16" x14ac:dyDescent="0.25">
      <c r="A439" s="83">
        <f t="shared" si="23"/>
        <v>53</v>
      </c>
      <c r="B439" s="89"/>
      <c r="O439" s="91">
        <f t="shared" si="21"/>
        <v>0</v>
      </c>
      <c r="P439" s="91">
        <f t="shared" si="22"/>
        <v>0</v>
      </c>
    </row>
    <row r="440" spans="1:16" x14ac:dyDescent="0.25">
      <c r="A440" s="83">
        <f t="shared" si="23"/>
        <v>53</v>
      </c>
      <c r="B440" s="89"/>
      <c r="O440" s="91">
        <f t="shared" si="21"/>
        <v>0</v>
      </c>
      <c r="P440" s="91">
        <f t="shared" si="22"/>
        <v>0</v>
      </c>
    </row>
    <row r="441" spans="1:16" x14ac:dyDescent="0.25">
      <c r="A441" s="83">
        <f t="shared" si="23"/>
        <v>53</v>
      </c>
      <c r="B441" s="89"/>
      <c r="O441" s="91">
        <f t="shared" si="21"/>
        <v>0</v>
      </c>
      <c r="P441" s="91">
        <f t="shared" si="22"/>
        <v>0</v>
      </c>
    </row>
    <row r="442" spans="1:16" x14ac:dyDescent="0.25">
      <c r="A442" s="83">
        <f t="shared" si="23"/>
        <v>53</v>
      </c>
      <c r="B442" s="89"/>
      <c r="O442" s="91">
        <f t="shared" si="21"/>
        <v>0</v>
      </c>
      <c r="P442" s="91">
        <f t="shared" si="22"/>
        <v>0</v>
      </c>
    </row>
    <row r="443" spans="1:16" x14ac:dyDescent="0.25">
      <c r="A443" s="83">
        <f t="shared" si="23"/>
        <v>53</v>
      </c>
      <c r="B443" s="89"/>
      <c r="O443" s="91">
        <f t="shared" si="21"/>
        <v>0</v>
      </c>
      <c r="P443" s="91">
        <f t="shared" si="22"/>
        <v>0</v>
      </c>
    </row>
    <row r="444" spans="1:16" x14ac:dyDescent="0.25">
      <c r="A444" s="83">
        <f t="shared" si="23"/>
        <v>53</v>
      </c>
      <c r="B444" s="89"/>
      <c r="O444" s="91">
        <f t="shared" si="21"/>
        <v>0</v>
      </c>
      <c r="P444" s="91">
        <f t="shared" si="22"/>
        <v>0</v>
      </c>
    </row>
    <row r="445" spans="1:16" x14ac:dyDescent="0.25">
      <c r="A445" s="83">
        <f t="shared" si="23"/>
        <v>53</v>
      </c>
      <c r="B445" s="89"/>
      <c r="O445" s="91">
        <f t="shared" si="21"/>
        <v>0</v>
      </c>
      <c r="P445" s="91">
        <f t="shared" si="22"/>
        <v>0</v>
      </c>
    </row>
    <row r="446" spans="1:16" x14ac:dyDescent="0.25">
      <c r="A446" s="83">
        <f t="shared" si="23"/>
        <v>53</v>
      </c>
      <c r="B446" s="89"/>
      <c r="O446" s="91">
        <f t="shared" si="21"/>
        <v>0</v>
      </c>
      <c r="P446" s="91">
        <f t="shared" si="22"/>
        <v>0</v>
      </c>
    </row>
    <row r="447" spans="1:16" x14ac:dyDescent="0.25">
      <c r="A447" s="83">
        <f t="shared" si="23"/>
        <v>53</v>
      </c>
      <c r="B447" s="89"/>
      <c r="O447" s="91">
        <f t="shared" si="21"/>
        <v>0</v>
      </c>
      <c r="P447" s="91">
        <f t="shared" si="22"/>
        <v>0</v>
      </c>
    </row>
    <row r="448" spans="1:16" x14ac:dyDescent="0.25">
      <c r="A448" s="83">
        <f t="shared" si="23"/>
        <v>53</v>
      </c>
      <c r="B448" s="89"/>
      <c r="O448" s="91">
        <f t="shared" si="21"/>
        <v>0</v>
      </c>
      <c r="P448" s="91">
        <f t="shared" si="22"/>
        <v>0</v>
      </c>
    </row>
    <row r="449" spans="1:16" x14ac:dyDescent="0.25">
      <c r="A449" s="83">
        <f t="shared" si="23"/>
        <v>53</v>
      </c>
      <c r="B449" s="89"/>
      <c r="O449" s="91">
        <f t="shared" si="21"/>
        <v>0</v>
      </c>
      <c r="P449" s="91">
        <f t="shared" si="22"/>
        <v>0</v>
      </c>
    </row>
    <row r="450" spans="1:16" x14ac:dyDescent="0.25">
      <c r="A450" s="83">
        <f t="shared" si="23"/>
        <v>53</v>
      </c>
      <c r="B450" s="89"/>
      <c r="O450" s="91">
        <f t="shared" si="21"/>
        <v>0</v>
      </c>
      <c r="P450" s="91">
        <f t="shared" si="22"/>
        <v>0</v>
      </c>
    </row>
    <row r="451" spans="1:16" x14ac:dyDescent="0.25">
      <c r="A451" s="83">
        <f t="shared" si="23"/>
        <v>53</v>
      </c>
      <c r="B451" s="89"/>
      <c r="O451" s="91">
        <f t="shared" si="21"/>
        <v>0</v>
      </c>
      <c r="P451" s="91">
        <f t="shared" si="22"/>
        <v>0</v>
      </c>
    </row>
    <row r="452" spans="1:16" x14ac:dyDescent="0.25">
      <c r="A452" s="83">
        <f t="shared" si="23"/>
        <v>53</v>
      </c>
      <c r="B452" s="89"/>
      <c r="O452" s="91">
        <f t="shared" si="21"/>
        <v>0</v>
      </c>
      <c r="P452" s="91">
        <f t="shared" si="22"/>
        <v>0</v>
      </c>
    </row>
    <row r="453" spans="1:16" x14ac:dyDescent="0.25">
      <c r="A453" s="83">
        <f t="shared" si="23"/>
        <v>53</v>
      </c>
      <c r="B453" s="89"/>
      <c r="O453" s="91">
        <f t="shared" si="21"/>
        <v>0</v>
      </c>
      <c r="P453" s="91">
        <f t="shared" si="22"/>
        <v>0</v>
      </c>
    </row>
    <row r="454" spans="1:16" x14ac:dyDescent="0.25">
      <c r="A454" s="83">
        <f t="shared" si="23"/>
        <v>53</v>
      </c>
      <c r="B454" s="89"/>
      <c r="O454" s="91">
        <f t="shared" si="21"/>
        <v>0</v>
      </c>
      <c r="P454" s="91">
        <f t="shared" si="22"/>
        <v>0</v>
      </c>
    </row>
    <row r="455" spans="1:16" x14ac:dyDescent="0.25">
      <c r="A455" s="83">
        <f t="shared" si="23"/>
        <v>53</v>
      </c>
      <c r="B455" s="89"/>
      <c r="O455" s="91">
        <f t="shared" si="21"/>
        <v>0</v>
      </c>
      <c r="P455" s="91">
        <f t="shared" si="22"/>
        <v>0</v>
      </c>
    </row>
    <row r="456" spans="1:16" x14ac:dyDescent="0.25">
      <c r="A456" s="83">
        <f t="shared" si="23"/>
        <v>53</v>
      </c>
      <c r="B456" s="89"/>
      <c r="O456" s="91">
        <f t="shared" si="21"/>
        <v>0</v>
      </c>
      <c r="P456" s="91">
        <f t="shared" si="22"/>
        <v>0</v>
      </c>
    </row>
    <row r="457" spans="1:16" x14ac:dyDescent="0.25">
      <c r="A457" s="83">
        <f t="shared" si="23"/>
        <v>53</v>
      </c>
      <c r="B457" s="89"/>
      <c r="O457" s="91">
        <f t="shared" si="21"/>
        <v>0</v>
      </c>
      <c r="P457" s="91">
        <f t="shared" si="22"/>
        <v>0</v>
      </c>
    </row>
    <row r="458" spans="1:16" x14ac:dyDescent="0.25">
      <c r="A458" s="83">
        <f t="shared" si="23"/>
        <v>53</v>
      </c>
      <c r="B458" s="89"/>
      <c r="O458" s="91">
        <f t="shared" si="21"/>
        <v>0</v>
      </c>
      <c r="P458" s="91">
        <f t="shared" si="22"/>
        <v>0</v>
      </c>
    </row>
    <row r="459" spans="1:16" x14ac:dyDescent="0.25">
      <c r="A459" s="83">
        <f t="shared" si="23"/>
        <v>53</v>
      </c>
      <c r="B459" s="89"/>
      <c r="O459" s="91">
        <f t="shared" si="21"/>
        <v>0</v>
      </c>
      <c r="P459" s="91">
        <f t="shared" si="22"/>
        <v>0</v>
      </c>
    </row>
    <row r="460" spans="1:16" x14ac:dyDescent="0.25">
      <c r="A460" s="83">
        <f t="shared" si="23"/>
        <v>53</v>
      </c>
      <c r="B460" s="89"/>
      <c r="O460" s="91">
        <f t="shared" si="21"/>
        <v>0</v>
      </c>
      <c r="P460" s="91">
        <f t="shared" si="22"/>
        <v>0</v>
      </c>
    </row>
    <row r="461" spans="1:16" x14ac:dyDescent="0.25">
      <c r="A461" s="83">
        <f t="shared" si="23"/>
        <v>53</v>
      </c>
      <c r="B461" s="89"/>
      <c r="O461" s="91">
        <f t="shared" si="21"/>
        <v>0</v>
      </c>
      <c r="P461" s="91">
        <f t="shared" si="22"/>
        <v>0</v>
      </c>
    </row>
    <row r="462" spans="1:16" x14ac:dyDescent="0.25">
      <c r="A462" s="83">
        <f t="shared" si="23"/>
        <v>53</v>
      </c>
      <c r="B462" s="89"/>
      <c r="O462" s="91">
        <f t="shared" si="21"/>
        <v>0</v>
      </c>
      <c r="P462" s="91">
        <f t="shared" si="22"/>
        <v>0</v>
      </c>
    </row>
    <row r="463" spans="1:16" x14ac:dyDescent="0.25">
      <c r="A463" s="83">
        <f t="shared" si="23"/>
        <v>53</v>
      </c>
      <c r="B463" s="89"/>
      <c r="O463" s="91">
        <f t="shared" si="21"/>
        <v>0</v>
      </c>
      <c r="P463" s="91">
        <f t="shared" si="22"/>
        <v>0</v>
      </c>
    </row>
    <row r="464" spans="1:16" x14ac:dyDescent="0.25">
      <c r="A464" s="83">
        <f t="shared" si="23"/>
        <v>53</v>
      </c>
      <c r="B464" s="89"/>
      <c r="O464" s="91">
        <f t="shared" si="21"/>
        <v>0</v>
      </c>
      <c r="P464" s="91">
        <f t="shared" si="22"/>
        <v>0</v>
      </c>
    </row>
    <row r="465" spans="1:16" x14ac:dyDescent="0.25">
      <c r="A465" s="83">
        <f t="shared" si="23"/>
        <v>53</v>
      </c>
      <c r="B465" s="89"/>
      <c r="O465" s="91">
        <f t="shared" si="21"/>
        <v>0</v>
      </c>
      <c r="P465" s="91">
        <f t="shared" si="22"/>
        <v>0</v>
      </c>
    </row>
    <row r="466" spans="1:16" x14ac:dyDescent="0.25">
      <c r="A466" s="83">
        <f t="shared" si="23"/>
        <v>53</v>
      </c>
      <c r="B466" s="89"/>
      <c r="O466" s="91">
        <f t="shared" si="21"/>
        <v>0</v>
      </c>
      <c r="P466" s="91">
        <f t="shared" si="22"/>
        <v>0</v>
      </c>
    </row>
    <row r="467" spans="1:16" x14ac:dyDescent="0.25">
      <c r="A467" s="83">
        <f t="shared" si="23"/>
        <v>53</v>
      </c>
      <c r="B467" s="89"/>
      <c r="O467" s="91">
        <f t="shared" si="21"/>
        <v>0</v>
      </c>
      <c r="P467" s="91">
        <f t="shared" si="22"/>
        <v>0</v>
      </c>
    </row>
    <row r="468" spans="1:16" x14ac:dyDescent="0.25">
      <c r="A468" s="83">
        <f t="shared" si="23"/>
        <v>53</v>
      </c>
      <c r="B468" s="89"/>
      <c r="O468" s="91">
        <f t="shared" si="21"/>
        <v>0</v>
      </c>
      <c r="P468" s="91">
        <f t="shared" si="22"/>
        <v>0</v>
      </c>
    </row>
    <row r="469" spans="1:16" x14ac:dyDescent="0.25">
      <c r="A469" s="83">
        <f t="shared" si="23"/>
        <v>53</v>
      </c>
      <c r="B469" s="89"/>
      <c r="O469" s="91">
        <f t="shared" si="21"/>
        <v>0</v>
      </c>
      <c r="P469" s="91">
        <f t="shared" si="22"/>
        <v>0</v>
      </c>
    </row>
    <row r="470" spans="1:16" x14ac:dyDescent="0.25">
      <c r="A470" s="83">
        <f t="shared" si="23"/>
        <v>53</v>
      </c>
      <c r="B470" s="89"/>
      <c r="O470" s="91">
        <f t="shared" si="21"/>
        <v>0</v>
      </c>
      <c r="P470" s="91">
        <f t="shared" si="22"/>
        <v>0</v>
      </c>
    </row>
    <row r="471" spans="1:16" x14ac:dyDescent="0.25">
      <c r="A471" s="83">
        <f t="shared" si="23"/>
        <v>53</v>
      </c>
      <c r="B471" s="89"/>
      <c r="O471" s="91">
        <f t="shared" si="21"/>
        <v>0</v>
      </c>
      <c r="P471" s="91">
        <f t="shared" si="22"/>
        <v>0</v>
      </c>
    </row>
    <row r="472" spans="1:16" x14ac:dyDescent="0.25">
      <c r="A472" s="83">
        <f t="shared" si="23"/>
        <v>53</v>
      </c>
      <c r="B472" s="89"/>
      <c r="O472" s="91">
        <f t="shared" si="21"/>
        <v>0</v>
      </c>
      <c r="P472" s="91">
        <f t="shared" si="22"/>
        <v>0</v>
      </c>
    </row>
    <row r="473" spans="1:16" x14ac:dyDescent="0.25">
      <c r="A473" s="83">
        <f t="shared" si="23"/>
        <v>53</v>
      </c>
      <c r="B473" s="89"/>
      <c r="O473" s="91">
        <f t="shared" si="21"/>
        <v>0</v>
      </c>
      <c r="P473" s="91">
        <f t="shared" si="22"/>
        <v>0</v>
      </c>
    </row>
    <row r="474" spans="1:16" x14ac:dyDescent="0.25">
      <c r="A474" s="83">
        <f t="shared" si="23"/>
        <v>53</v>
      </c>
      <c r="B474" s="89"/>
      <c r="O474" s="91">
        <f t="shared" si="21"/>
        <v>0</v>
      </c>
      <c r="P474" s="91">
        <f t="shared" si="22"/>
        <v>0</v>
      </c>
    </row>
    <row r="475" spans="1:16" x14ac:dyDescent="0.25">
      <c r="A475" s="83">
        <f t="shared" si="23"/>
        <v>53</v>
      </c>
      <c r="B475" s="89"/>
      <c r="O475" s="91">
        <f t="shared" si="21"/>
        <v>0</v>
      </c>
      <c r="P475" s="91">
        <f t="shared" si="22"/>
        <v>0</v>
      </c>
    </row>
    <row r="476" spans="1:16" x14ac:dyDescent="0.25">
      <c r="A476" s="83">
        <f t="shared" si="23"/>
        <v>53</v>
      </c>
      <c r="B476" s="89"/>
      <c r="O476" s="91">
        <f t="shared" si="21"/>
        <v>0</v>
      </c>
      <c r="P476" s="91">
        <f t="shared" si="22"/>
        <v>0</v>
      </c>
    </row>
    <row r="477" spans="1:16" x14ac:dyDescent="0.25">
      <c r="A477" s="83">
        <f t="shared" si="23"/>
        <v>53</v>
      </c>
      <c r="B477" s="89"/>
      <c r="O477" s="91">
        <f t="shared" si="21"/>
        <v>0</v>
      </c>
      <c r="P477" s="91">
        <f t="shared" si="22"/>
        <v>0</v>
      </c>
    </row>
    <row r="478" spans="1:16" x14ac:dyDescent="0.25">
      <c r="A478" s="83">
        <f t="shared" si="23"/>
        <v>53</v>
      </c>
      <c r="B478" s="89"/>
      <c r="O478" s="91">
        <f t="shared" si="21"/>
        <v>0</v>
      </c>
      <c r="P478" s="91">
        <f t="shared" si="22"/>
        <v>0</v>
      </c>
    </row>
    <row r="479" spans="1:16" x14ac:dyDescent="0.25">
      <c r="A479" s="83">
        <f t="shared" si="23"/>
        <v>53</v>
      </c>
      <c r="B479" s="89"/>
      <c r="O479" s="91">
        <f t="shared" si="21"/>
        <v>0</v>
      </c>
      <c r="P479" s="91">
        <f t="shared" si="22"/>
        <v>0</v>
      </c>
    </row>
    <row r="480" spans="1:16" x14ac:dyDescent="0.25">
      <c r="A480" s="83">
        <f t="shared" si="23"/>
        <v>53</v>
      </c>
      <c r="B480" s="89"/>
      <c r="O480" s="91">
        <f t="shared" si="21"/>
        <v>0</v>
      </c>
      <c r="P480" s="91">
        <f t="shared" si="22"/>
        <v>0</v>
      </c>
    </row>
    <row r="481" spans="1:16" x14ac:dyDescent="0.25">
      <c r="A481" s="83">
        <f t="shared" si="23"/>
        <v>53</v>
      </c>
      <c r="B481" s="89"/>
      <c r="O481" s="91">
        <f t="shared" si="21"/>
        <v>0</v>
      </c>
      <c r="P481" s="91">
        <f t="shared" si="22"/>
        <v>0</v>
      </c>
    </row>
    <row r="482" spans="1:16" x14ac:dyDescent="0.25">
      <c r="A482" s="83">
        <f t="shared" si="23"/>
        <v>53</v>
      </c>
      <c r="B482" s="89"/>
      <c r="O482" s="91">
        <f t="shared" si="21"/>
        <v>0</v>
      </c>
      <c r="P482" s="91">
        <f t="shared" si="22"/>
        <v>0</v>
      </c>
    </row>
    <row r="483" spans="1:16" x14ac:dyDescent="0.25">
      <c r="A483" s="83">
        <f t="shared" si="23"/>
        <v>53</v>
      </c>
      <c r="B483" s="89"/>
      <c r="O483" s="91">
        <f t="shared" ref="O483:O546" si="24">M483-L483</f>
        <v>0</v>
      </c>
      <c r="P483" s="91">
        <f t="shared" ref="P483:P546" si="25">N483-M483</f>
        <v>0</v>
      </c>
    </row>
    <row r="484" spans="1:16" x14ac:dyDescent="0.25">
      <c r="A484" s="83">
        <f t="shared" si="23"/>
        <v>53</v>
      </c>
      <c r="B484" s="89"/>
      <c r="O484" s="91">
        <f t="shared" si="24"/>
        <v>0</v>
      </c>
      <c r="P484" s="91">
        <f t="shared" si="25"/>
        <v>0</v>
      </c>
    </row>
    <row r="485" spans="1:16" x14ac:dyDescent="0.25">
      <c r="A485" s="83">
        <f t="shared" si="23"/>
        <v>53</v>
      </c>
      <c r="B485" s="89"/>
      <c r="O485" s="91">
        <f t="shared" si="24"/>
        <v>0</v>
      </c>
      <c r="P485" s="91">
        <f t="shared" si="25"/>
        <v>0</v>
      </c>
    </row>
    <row r="486" spans="1:16" x14ac:dyDescent="0.25">
      <c r="A486" s="83">
        <f t="shared" si="23"/>
        <v>53</v>
      </c>
      <c r="B486" s="89"/>
      <c r="O486" s="91">
        <f t="shared" si="24"/>
        <v>0</v>
      </c>
      <c r="P486" s="91">
        <f t="shared" si="25"/>
        <v>0</v>
      </c>
    </row>
    <row r="487" spans="1:16" x14ac:dyDescent="0.25">
      <c r="A487" s="83">
        <f t="shared" si="23"/>
        <v>53</v>
      </c>
      <c r="B487" s="89"/>
      <c r="O487" s="91">
        <f t="shared" si="24"/>
        <v>0</v>
      </c>
      <c r="P487" s="91">
        <f t="shared" si="25"/>
        <v>0</v>
      </c>
    </row>
    <row r="488" spans="1:16" x14ac:dyDescent="0.25">
      <c r="A488" s="83">
        <f t="shared" si="23"/>
        <v>53</v>
      </c>
      <c r="B488" s="89"/>
      <c r="O488" s="91">
        <f t="shared" si="24"/>
        <v>0</v>
      </c>
      <c r="P488" s="91">
        <f t="shared" si="25"/>
        <v>0</v>
      </c>
    </row>
    <row r="489" spans="1:16" x14ac:dyDescent="0.25">
      <c r="A489" s="83">
        <f t="shared" si="23"/>
        <v>53</v>
      </c>
      <c r="B489" s="89"/>
      <c r="O489" s="91">
        <f t="shared" si="24"/>
        <v>0</v>
      </c>
      <c r="P489" s="91">
        <f t="shared" si="25"/>
        <v>0</v>
      </c>
    </row>
    <row r="490" spans="1:16" x14ac:dyDescent="0.25">
      <c r="A490" s="83">
        <f t="shared" si="23"/>
        <v>53</v>
      </c>
      <c r="B490" s="89"/>
      <c r="O490" s="91">
        <f t="shared" si="24"/>
        <v>0</v>
      </c>
      <c r="P490" s="91">
        <f t="shared" si="25"/>
        <v>0</v>
      </c>
    </row>
    <row r="491" spans="1:16" x14ac:dyDescent="0.25">
      <c r="A491" s="83">
        <f t="shared" si="23"/>
        <v>53</v>
      </c>
      <c r="B491" s="89"/>
      <c r="O491" s="91">
        <f t="shared" si="24"/>
        <v>0</v>
      </c>
      <c r="P491" s="91">
        <f t="shared" si="25"/>
        <v>0</v>
      </c>
    </row>
    <row r="492" spans="1:16" x14ac:dyDescent="0.25">
      <c r="A492" s="83">
        <f t="shared" si="23"/>
        <v>53</v>
      </c>
      <c r="B492" s="89"/>
      <c r="O492" s="91">
        <f t="shared" si="24"/>
        <v>0</v>
      </c>
      <c r="P492" s="91">
        <f t="shared" si="25"/>
        <v>0</v>
      </c>
    </row>
    <row r="493" spans="1:16" x14ac:dyDescent="0.25">
      <c r="A493" s="83">
        <f t="shared" si="23"/>
        <v>53</v>
      </c>
      <c r="B493" s="89"/>
      <c r="O493" s="91">
        <f t="shared" si="24"/>
        <v>0</v>
      </c>
      <c r="P493" s="91">
        <f t="shared" si="25"/>
        <v>0</v>
      </c>
    </row>
    <row r="494" spans="1:16" x14ac:dyDescent="0.25">
      <c r="A494" s="83">
        <f t="shared" si="23"/>
        <v>53</v>
      </c>
      <c r="B494" s="89"/>
      <c r="O494" s="91">
        <f t="shared" si="24"/>
        <v>0</v>
      </c>
      <c r="P494" s="91">
        <f t="shared" si="25"/>
        <v>0</v>
      </c>
    </row>
    <row r="495" spans="1:16" x14ac:dyDescent="0.25">
      <c r="A495" s="83">
        <f t="shared" si="23"/>
        <v>53</v>
      </c>
      <c r="B495" s="89"/>
      <c r="O495" s="91">
        <f t="shared" si="24"/>
        <v>0</v>
      </c>
      <c r="P495" s="91">
        <f t="shared" si="25"/>
        <v>0</v>
      </c>
    </row>
    <row r="496" spans="1:16" x14ac:dyDescent="0.25">
      <c r="A496" s="83">
        <f t="shared" si="23"/>
        <v>53</v>
      </c>
      <c r="B496" s="89"/>
      <c r="O496" s="91">
        <f t="shared" si="24"/>
        <v>0</v>
      </c>
      <c r="P496" s="91">
        <f t="shared" si="25"/>
        <v>0</v>
      </c>
    </row>
    <row r="497" spans="1:16" x14ac:dyDescent="0.25">
      <c r="A497" s="83">
        <f t="shared" si="23"/>
        <v>53</v>
      </c>
      <c r="B497" s="89"/>
      <c r="O497" s="91">
        <f t="shared" si="24"/>
        <v>0</v>
      </c>
      <c r="P497" s="91">
        <f t="shared" si="25"/>
        <v>0</v>
      </c>
    </row>
    <row r="498" spans="1:16" x14ac:dyDescent="0.25">
      <c r="A498" s="83">
        <f t="shared" si="23"/>
        <v>53</v>
      </c>
      <c r="B498" s="89"/>
      <c r="O498" s="91">
        <f t="shared" si="24"/>
        <v>0</v>
      </c>
      <c r="P498" s="91">
        <f t="shared" si="25"/>
        <v>0</v>
      </c>
    </row>
    <row r="499" spans="1:16" x14ac:dyDescent="0.25">
      <c r="A499" s="83">
        <f t="shared" si="23"/>
        <v>53</v>
      </c>
      <c r="B499" s="89"/>
      <c r="O499" s="91">
        <f t="shared" si="24"/>
        <v>0</v>
      </c>
      <c r="P499" s="91">
        <f t="shared" si="25"/>
        <v>0</v>
      </c>
    </row>
    <row r="500" spans="1:16" x14ac:dyDescent="0.25">
      <c r="A500" s="83">
        <f t="shared" si="23"/>
        <v>53</v>
      </c>
      <c r="B500" s="89"/>
      <c r="O500" s="91">
        <f t="shared" si="24"/>
        <v>0</v>
      </c>
      <c r="P500" s="91">
        <f t="shared" si="25"/>
        <v>0</v>
      </c>
    </row>
    <row r="501" spans="1:16" x14ac:dyDescent="0.25">
      <c r="A501" s="83">
        <f t="shared" si="23"/>
        <v>53</v>
      </c>
      <c r="B501" s="89"/>
      <c r="O501" s="91">
        <f t="shared" si="24"/>
        <v>0</v>
      </c>
      <c r="P501" s="91">
        <f t="shared" si="25"/>
        <v>0</v>
      </c>
    </row>
    <row r="502" spans="1:16" x14ac:dyDescent="0.25">
      <c r="A502" s="83">
        <f t="shared" ref="A502:A565" si="26">WEEKNUM(B502,21)</f>
        <v>53</v>
      </c>
      <c r="B502" s="89"/>
      <c r="O502" s="91">
        <f t="shared" si="24"/>
        <v>0</v>
      </c>
      <c r="P502" s="91">
        <f t="shared" si="25"/>
        <v>0</v>
      </c>
    </row>
    <row r="503" spans="1:16" x14ac:dyDescent="0.25">
      <c r="A503" s="83">
        <f t="shared" si="26"/>
        <v>53</v>
      </c>
      <c r="B503" s="89"/>
      <c r="O503" s="91">
        <f t="shared" si="24"/>
        <v>0</v>
      </c>
      <c r="P503" s="91">
        <f t="shared" si="25"/>
        <v>0</v>
      </c>
    </row>
    <row r="504" spans="1:16" x14ac:dyDescent="0.25">
      <c r="A504" s="83">
        <f t="shared" si="26"/>
        <v>53</v>
      </c>
      <c r="B504" s="89"/>
      <c r="O504" s="91">
        <f t="shared" si="24"/>
        <v>0</v>
      </c>
      <c r="P504" s="91">
        <f t="shared" si="25"/>
        <v>0</v>
      </c>
    </row>
    <row r="505" spans="1:16" x14ac:dyDescent="0.25">
      <c r="A505" s="83">
        <f t="shared" si="26"/>
        <v>53</v>
      </c>
      <c r="B505" s="89"/>
      <c r="O505" s="91">
        <f t="shared" si="24"/>
        <v>0</v>
      </c>
      <c r="P505" s="91">
        <f t="shared" si="25"/>
        <v>0</v>
      </c>
    </row>
    <row r="506" spans="1:16" x14ac:dyDescent="0.25">
      <c r="A506" s="83">
        <f t="shared" si="26"/>
        <v>53</v>
      </c>
      <c r="B506" s="89"/>
      <c r="O506" s="91">
        <f t="shared" si="24"/>
        <v>0</v>
      </c>
      <c r="P506" s="91">
        <f t="shared" si="25"/>
        <v>0</v>
      </c>
    </row>
    <row r="507" spans="1:16" x14ac:dyDescent="0.25">
      <c r="A507" s="83">
        <f t="shared" si="26"/>
        <v>53</v>
      </c>
      <c r="B507" s="89"/>
      <c r="O507" s="91">
        <f t="shared" si="24"/>
        <v>0</v>
      </c>
      <c r="P507" s="91">
        <f t="shared" si="25"/>
        <v>0</v>
      </c>
    </row>
    <row r="508" spans="1:16" x14ac:dyDescent="0.25">
      <c r="A508" s="83">
        <f t="shared" si="26"/>
        <v>53</v>
      </c>
      <c r="B508" s="89"/>
      <c r="O508" s="91">
        <f t="shared" si="24"/>
        <v>0</v>
      </c>
      <c r="P508" s="91">
        <f t="shared" si="25"/>
        <v>0</v>
      </c>
    </row>
    <row r="509" spans="1:16" x14ac:dyDescent="0.25">
      <c r="A509" s="83">
        <f t="shared" si="26"/>
        <v>53</v>
      </c>
      <c r="B509" s="89"/>
      <c r="O509" s="91">
        <f t="shared" si="24"/>
        <v>0</v>
      </c>
      <c r="P509" s="91">
        <f t="shared" si="25"/>
        <v>0</v>
      </c>
    </row>
    <row r="510" spans="1:16" x14ac:dyDescent="0.25">
      <c r="A510" s="83">
        <f t="shared" si="26"/>
        <v>53</v>
      </c>
      <c r="B510" s="89"/>
      <c r="O510" s="91">
        <f t="shared" si="24"/>
        <v>0</v>
      </c>
      <c r="P510" s="91">
        <f t="shared" si="25"/>
        <v>0</v>
      </c>
    </row>
    <row r="511" spans="1:16" x14ac:dyDescent="0.25">
      <c r="A511" s="83">
        <f t="shared" si="26"/>
        <v>53</v>
      </c>
      <c r="B511" s="89"/>
      <c r="O511" s="91">
        <f t="shared" si="24"/>
        <v>0</v>
      </c>
      <c r="P511" s="91">
        <f t="shared" si="25"/>
        <v>0</v>
      </c>
    </row>
    <row r="512" spans="1:16" x14ac:dyDescent="0.25">
      <c r="A512" s="83">
        <f t="shared" si="26"/>
        <v>53</v>
      </c>
      <c r="B512" s="89"/>
      <c r="O512" s="91">
        <f t="shared" si="24"/>
        <v>0</v>
      </c>
      <c r="P512" s="91">
        <f t="shared" si="25"/>
        <v>0</v>
      </c>
    </row>
    <row r="513" spans="1:16" x14ac:dyDescent="0.25">
      <c r="A513" s="83">
        <f t="shared" si="26"/>
        <v>53</v>
      </c>
      <c r="B513" s="89"/>
      <c r="O513" s="91">
        <f t="shared" si="24"/>
        <v>0</v>
      </c>
      <c r="P513" s="91">
        <f t="shared" si="25"/>
        <v>0</v>
      </c>
    </row>
    <row r="514" spans="1:16" x14ac:dyDescent="0.25">
      <c r="A514" s="83">
        <f t="shared" si="26"/>
        <v>53</v>
      </c>
      <c r="B514" s="89"/>
      <c r="O514" s="91">
        <f t="shared" si="24"/>
        <v>0</v>
      </c>
      <c r="P514" s="91">
        <f t="shared" si="25"/>
        <v>0</v>
      </c>
    </row>
    <row r="515" spans="1:16" x14ac:dyDescent="0.25">
      <c r="A515" s="83">
        <f t="shared" si="26"/>
        <v>53</v>
      </c>
      <c r="B515" s="89"/>
      <c r="O515" s="91">
        <f t="shared" si="24"/>
        <v>0</v>
      </c>
      <c r="P515" s="91">
        <f t="shared" si="25"/>
        <v>0</v>
      </c>
    </row>
    <row r="516" spans="1:16" x14ac:dyDescent="0.25">
      <c r="A516" s="83">
        <f t="shared" si="26"/>
        <v>53</v>
      </c>
      <c r="B516" s="89"/>
      <c r="O516" s="91">
        <f t="shared" si="24"/>
        <v>0</v>
      </c>
      <c r="P516" s="91">
        <f t="shared" si="25"/>
        <v>0</v>
      </c>
    </row>
    <row r="517" spans="1:16" x14ac:dyDescent="0.25">
      <c r="A517" s="83">
        <f t="shared" si="26"/>
        <v>53</v>
      </c>
      <c r="B517" s="89"/>
      <c r="O517" s="91">
        <f t="shared" si="24"/>
        <v>0</v>
      </c>
      <c r="P517" s="91">
        <f t="shared" si="25"/>
        <v>0</v>
      </c>
    </row>
    <row r="518" spans="1:16" x14ac:dyDescent="0.25">
      <c r="A518" s="83">
        <f t="shared" si="26"/>
        <v>53</v>
      </c>
      <c r="B518" s="89"/>
      <c r="O518" s="91">
        <f t="shared" si="24"/>
        <v>0</v>
      </c>
      <c r="P518" s="91">
        <f t="shared" si="25"/>
        <v>0</v>
      </c>
    </row>
    <row r="519" spans="1:16" x14ac:dyDescent="0.25">
      <c r="A519" s="83">
        <f t="shared" si="26"/>
        <v>53</v>
      </c>
      <c r="B519" s="89"/>
      <c r="O519" s="91">
        <f t="shared" si="24"/>
        <v>0</v>
      </c>
      <c r="P519" s="91">
        <f t="shared" si="25"/>
        <v>0</v>
      </c>
    </row>
    <row r="520" spans="1:16" x14ac:dyDescent="0.25">
      <c r="A520" s="83">
        <f t="shared" si="26"/>
        <v>53</v>
      </c>
      <c r="B520" s="89"/>
      <c r="O520" s="91">
        <f t="shared" si="24"/>
        <v>0</v>
      </c>
      <c r="P520" s="91">
        <f t="shared" si="25"/>
        <v>0</v>
      </c>
    </row>
    <row r="521" spans="1:16" x14ac:dyDescent="0.25">
      <c r="A521" s="83">
        <f t="shared" si="26"/>
        <v>53</v>
      </c>
      <c r="B521" s="89"/>
      <c r="O521" s="91">
        <f t="shared" si="24"/>
        <v>0</v>
      </c>
      <c r="P521" s="91">
        <f t="shared" si="25"/>
        <v>0</v>
      </c>
    </row>
    <row r="522" spans="1:16" x14ac:dyDescent="0.25">
      <c r="A522" s="83">
        <f t="shared" si="26"/>
        <v>53</v>
      </c>
      <c r="B522" s="89"/>
      <c r="O522" s="91">
        <f t="shared" si="24"/>
        <v>0</v>
      </c>
      <c r="P522" s="91">
        <f t="shared" si="25"/>
        <v>0</v>
      </c>
    </row>
    <row r="523" spans="1:16" x14ac:dyDescent="0.25">
      <c r="A523" s="83">
        <f t="shared" si="26"/>
        <v>53</v>
      </c>
      <c r="B523" s="89"/>
      <c r="O523" s="91">
        <f t="shared" si="24"/>
        <v>0</v>
      </c>
      <c r="P523" s="91">
        <f t="shared" si="25"/>
        <v>0</v>
      </c>
    </row>
    <row r="524" spans="1:16" x14ac:dyDescent="0.25">
      <c r="A524" s="83">
        <f t="shared" si="26"/>
        <v>53</v>
      </c>
      <c r="B524" s="89"/>
      <c r="O524" s="91">
        <f t="shared" si="24"/>
        <v>0</v>
      </c>
      <c r="P524" s="91">
        <f t="shared" si="25"/>
        <v>0</v>
      </c>
    </row>
    <row r="525" spans="1:16" x14ac:dyDescent="0.25">
      <c r="A525" s="83">
        <f t="shared" si="26"/>
        <v>53</v>
      </c>
      <c r="B525" s="89"/>
      <c r="O525" s="91">
        <f t="shared" si="24"/>
        <v>0</v>
      </c>
      <c r="P525" s="91">
        <f t="shared" si="25"/>
        <v>0</v>
      </c>
    </row>
    <row r="526" spans="1:16" x14ac:dyDescent="0.25">
      <c r="A526" s="83">
        <f t="shared" si="26"/>
        <v>53</v>
      </c>
      <c r="B526" s="89"/>
      <c r="O526" s="91">
        <f t="shared" si="24"/>
        <v>0</v>
      </c>
      <c r="P526" s="91">
        <f t="shared" si="25"/>
        <v>0</v>
      </c>
    </row>
    <row r="527" spans="1:16" x14ac:dyDescent="0.25">
      <c r="A527" s="83">
        <f t="shared" si="26"/>
        <v>53</v>
      </c>
      <c r="B527" s="89"/>
      <c r="O527" s="91">
        <f t="shared" si="24"/>
        <v>0</v>
      </c>
      <c r="P527" s="91">
        <f t="shared" si="25"/>
        <v>0</v>
      </c>
    </row>
    <row r="528" spans="1:16" x14ac:dyDescent="0.25">
      <c r="A528" s="83">
        <f t="shared" si="26"/>
        <v>53</v>
      </c>
      <c r="B528" s="89"/>
      <c r="O528" s="91">
        <f t="shared" si="24"/>
        <v>0</v>
      </c>
      <c r="P528" s="91">
        <f t="shared" si="25"/>
        <v>0</v>
      </c>
    </row>
    <row r="529" spans="1:16" x14ac:dyDescent="0.25">
      <c r="A529" s="83">
        <f t="shared" si="26"/>
        <v>53</v>
      </c>
      <c r="B529" s="89"/>
      <c r="O529" s="91">
        <f t="shared" si="24"/>
        <v>0</v>
      </c>
      <c r="P529" s="91">
        <f t="shared" si="25"/>
        <v>0</v>
      </c>
    </row>
    <row r="530" spans="1:16" x14ac:dyDescent="0.25">
      <c r="A530" s="83">
        <f t="shared" si="26"/>
        <v>53</v>
      </c>
      <c r="B530" s="89"/>
      <c r="O530" s="91">
        <f t="shared" si="24"/>
        <v>0</v>
      </c>
      <c r="P530" s="91">
        <f t="shared" si="25"/>
        <v>0</v>
      </c>
    </row>
    <row r="531" spans="1:16" x14ac:dyDescent="0.25">
      <c r="A531" s="83">
        <f t="shared" si="26"/>
        <v>53</v>
      </c>
      <c r="B531" s="89"/>
      <c r="O531" s="91">
        <f t="shared" si="24"/>
        <v>0</v>
      </c>
      <c r="P531" s="91">
        <f t="shared" si="25"/>
        <v>0</v>
      </c>
    </row>
    <row r="532" spans="1:16" x14ac:dyDescent="0.25">
      <c r="A532" s="83">
        <f t="shared" si="26"/>
        <v>53</v>
      </c>
      <c r="B532" s="89"/>
      <c r="O532" s="91">
        <f t="shared" si="24"/>
        <v>0</v>
      </c>
      <c r="P532" s="91">
        <f t="shared" si="25"/>
        <v>0</v>
      </c>
    </row>
    <row r="533" spans="1:16" x14ac:dyDescent="0.25">
      <c r="A533" s="83">
        <f t="shared" si="26"/>
        <v>53</v>
      </c>
      <c r="B533" s="89"/>
      <c r="O533" s="91">
        <f t="shared" si="24"/>
        <v>0</v>
      </c>
      <c r="P533" s="91">
        <f t="shared" si="25"/>
        <v>0</v>
      </c>
    </row>
    <row r="534" spans="1:16" x14ac:dyDescent="0.25">
      <c r="A534" s="83">
        <f t="shared" si="26"/>
        <v>53</v>
      </c>
      <c r="B534" s="89"/>
      <c r="O534" s="91">
        <f t="shared" si="24"/>
        <v>0</v>
      </c>
      <c r="P534" s="91">
        <f t="shared" si="25"/>
        <v>0</v>
      </c>
    </row>
    <row r="535" spans="1:16" x14ac:dyDescent="0.25">
      <c r="A535" s="83">
        <f t="shared" si="26"/>
        <v>53</v>
      </c>
      <c r="B535" s="89"/>
      <c r="O535" s="91">
        <f t="shared" si="24"/>
        <v>0</v>
      </c>
      <c r="P535" s="91">
        <f t="shared" si="25"/>
        <v>0</v>
      </c>
    </row>
    <row r="536" spans="1:16" x14ac:dyDescent="0.25">
      <c r="A536" s="83">
        <f t="shared" si="26"/>
        <v>53</v>
      </c>
      <c r="B536" s="89"/>
      <c r="O536" s="91">
        <f t="shared" si="24"/>
        <v>0</v>
      </c>
      <c r="P536" s="91">
        <f t="shared" si="25"/>
        <v>0</v>
      </c>
    </row>
    <row r="537" spans="1:16" x14ac:dyDescent="0.25">
      <c r="A537" s="83">
        <f t="shared" si="26"/>
        <v>53</v>
      </c>
      <c r="B537" s="89"/>
      <c r="O537" s="91">
        <f t="shared" si="24"/>
        <v>0</v>
      </c>
      <c r="P537" s="91">
        <f t="shared" si="25"/>
        <v>0</v>
      </c>
    </row>
    <row r="538" spans="1:16" x14ac:dyDescent="0.25">
      <c r="A538" s="83">
        <f t="shared" si="26"/>
        <v>53</v>
      </c>
      <c r="B538" s="89"/>
      <c r="O538" s="91">
        <f t="shared" si="24"/>
        <v>0</v>
      </c>
      <c r="P538" s="91">
        <f t="shared" si="25"/>
        <v>0</v>
      </c>
    </row>
    <row r="539" spans="1:16" x14ac:dyDescent="0.25">
      <c r="A539" s="83">
        <f t="shared" si="26"/>
        <v>53</v>
      </c>
      <c r="B539" s="89"/>
      <c r="O539" s="91">
        <f t="shared" si="24"/>
        <v>0</v>
      </c>
      <c r="P539" s="91">
        <f t="shared" si="25"/>
        <v>0</v>
      </c>
    </row>
    <row r="540" spans="1:16" x14ac:dyDescent="0.25">
      <c r="A540" s="83">
        <f t="shared" si="26"/>
        <v>53</v>
      </c>
      <c r="B540" s="89"/>
      <c r="O540" s="91">
        <f t="shared" si="24"/>
        <v>0</v>
      </c>
      <c r="P540" s="91">
        <f t="shared" si="25"/>
        <v>0</v>
      </c>
    </row>
    <row r="541" spans="1:16" x14ac:dyDescent="0.25">
      <c r="A541" s="83">
        <f t="shared" si="26"/>
        <v>53</v>
      </c>
      <c r="B541" s="89"/>
      <c r="O541" s="91">
        <f t="shared" si="24"/>
        <v>0</v>
      </c>
      <c r="P541" s="91">
        <f t="shared" si="25"/>
        <v>0</v>
      </c>
    </row>
    <row r="542" spans="1:16" x14ac:dyDescent="0.25">
      <c r="A542" s="83">
        <f t="shared" si="26"/>
        <v>53</v>
      </c>
      <c r="B542" s="89"/>
      <c r="O542" s="91">
        <f t="shared" si="24"/>
        <v>0</v>
      </c>
      <c r="P542" s="91">
        <f t="shared" si="25"/>
        <v>0</v>
      </c>
    </row>
    <row r="543" spans="1:16" x14ac:dyDescent="0.25">
      <c r="A543" s="83">
        <f t="shared" si="26"/>
        <v>53</v>
      </c>
      <c r="B543" s="89"/>
      <c r="O543" s="91">
        <f t="shared" si="24"/>
        <v>0</v>
      </c>
      <c r="P543" s="91">
        <f t="shared" si="25"/>
        <v>0</v>
      </c>
    </row>
    <row r="544" spans="1:16" x14ac:dyDescent="0.25">
      <c r="A544" s="83">
        <f t="shared" si="26"/>
        <v>53</v>
      </c>
      <c r="B544" s="89"/>
      <c r="O544" s="91">
        <f t="shared" si="24"/>
        <v>0</v>
      </c>
      <c r="P544" s="91">
        <f t="shared" si="25"/>
        <v>0</v>
      </c>
    </row>
    <row r="545" spans="1:16" x14ac:dyDescent="0.25">
      <c r="A545" s="83">
        <f t="shared" si="26"/>
        <v>53</v>
      </c>
      <c r="B545" s="89"/>
      <c r="O545" s="91">
        <f t="shared" si="24"/>
        <v>0</v>
      </c>
      <c r="P545" s="91">
        <f t="shared" si="25"/>
        <v>0</v>
      </c>
    </row>
    <row r="546" spans="1:16" x14ac:dyDescent="0.25">
      <c r="A546" s="83">
        <f t="shared" si="26"/>
        <v>53</v>
      </c>
      <c r="B546" s="89"/>
      <c r="O546" s="91">
        <f t="shared" si="24"/>
        <v>0</v>
      </c>
      <c r="P546" s="91">
        <f t="shared" si="25"/>
        <v>0</v>
      </c>
    </row>
    <row r="547" spans="1:16" x14ac:dyDescent="0.25">
      <c r="A547" s="83">
        <f t="shared" si="26"/>
        <v>53</v>
      </c>
      <c r="B547" s="89"/>
      <c r="O547" s="91">
        <f t="shared" ref="O547:O610" si="27">M547-L547</f>
        <v>0</v>
      </c>
      <c r="P547" s="91">
        <f t="shared" ref="P547:P610" si="28">N547-M547</f>
        <v>0</v>
      </c>
    </row>
    <row r="548" spans="1:16" x14ac:dyDescent="0.25">
      <c r="A548" s="83">
        <f t="shared" si="26"/>
        <v>53</v>
      </c>
      <c r="B548" s="89"/>
      <c r="O548" s="91">
        <f t="shared" si="27"/>
        <v>0</v>
      </c>
      <c r="P548" s="91">
        <f t="shared" si="28"/>
        <v>0</v>
      </c>
    </row>
    <row r="549" spans="1:16" x14ac:dyDescent="0.25">
      <c r="A549" s="83">
        <f t="shared" si="26"/>
        <v>53</v>
      </c>
      <c r="B549" s="89"/>
      <c r="O549" s="91">
        <f t="shared" si="27"/>
        <v>0</v>
      </c>
      <c r="P549" s="91">
        <f t="shared" si="28"/>
        <v>0</v>
      </c>
    </row>
    <row r="550" spans="1:16" x14ac:dyDescent="0.25">
      <c r="A550" s="83">
        <f t="shared" si="26"/>
        <v>53</v>
      </c>
      <c r="B550" s="89"/>
      <c r="O550" s="91">
        <f t="shared" si="27"/>
        <v>0</v>
      </c>
      <c r="P550" s="91">
        <f t="shared" si="28"/>
        <v>0</v>
      </c>
    </row>
    <row r="551" spans="1:16" x14ac:dyDescent="0.25">
      <c r="A551" s="83">
        <f t="shared" si="26"/>
        <v>53</v>
      </c>
      <c r="B551" s="89"/>
      <c r="O551" s="91">
        <f t="shared" si="27"/>
        <v>0</v>
      </c>
      <c r="P551" s="91">
        <f t="shared" si="28"/>
        <v>0</v>
      </c>
    </row>
    <row r="552" spans="1:16" x14ac:dyDescent="0.25">
      <c r="A552" s="83">
        <f t="shared" si="26"/>
        <v>53</v>
      </c>
      <c r="B552" s="89"/>
      <c r="O552" s="91">
        <f t="shared" si="27"/>
        <v>0</v>
      </c>
      <c r="P552" s="91">
        <f t="shared" si="28"/>
        <v>0</v>
      </c>
    </row>
    <row r="553" spans="1:16" x14ac:dyDescent="0.25">
      <c r="A553" s="83">
        <f t="shared" si="26"/>
        <v>53</v>
      </c>
      <c r="B553" s="89"/>
      <c r="O553" s="91">
        <f t="shared" si="27"/>
        <v>0</v>
      </c>
      <c r="P553" s="91">
        <f t="shared" si="28"/>
        <v>0</v>
      </c>
    </row>
    <row r="554" spans="1:16" x14ac:dyDescent="0.25">
      <c r="A554" s="83">
        <f t="shared" si="26"/>
        <v>53</v>
      </c>
      <c r="B554" s="89"/>
      <c r="O554" s="91">
        <f t="shared" si="27"/>
        <v>0</v>
      </c>
      <c r="P554" s="91">
        <f t="shared" si="28"/>
        <v>0</v>
      </c>
    </row>
    <row r="555" spans="1:16" x14ac:dyDescent="0.25">
      <c r="A555" s="83">
        <f t="shared" si="26"/>
        <v>53</v>
      </c>
      <c r="B555" s="89"/>
      <c r="O555" s="91">
        <f t="shared" si="27"/>
        <v>0</v>
      </c>
      <c r="P555" s="91">
        <f t="shared" si="28"/>
        <v>0</v>
      </c>
    </row>
    <row r="556" spans="1:16" x14ac:dyDescent="0.25">
      <c r="A556" s="83">
        <f t="shared" si="26"/>
        <v>53</v>
      </c>
      <c r="B556" s="89"/>
      <c r="O556" s="91">
        <f t="shared" si="27"/>
        <v>0</v>
      </c>
      <c r="P556" s="91">
        <f t="shared" si="28"/>
        <v>0</v>
      </c>
    </row>
    <row r="557" spans="1:16" x14ac:dyDescent="0.25">
      <c r="A557" s="83">
        <f t="shared" si="26"/>
        <v>53</v>
      </c>
      <c r="B557" s="89"/>
      <c r="O557" s="91">
        <f t="shared" si="27"/>
        <v>0</v>
      </c>
      <c r="P557" s="91">
        <f t="shared" si="28"/>
        <v>0</v>
      </c>
    </row>
    <row r="558" spans="1:16" x14ac:dyDescent="0.25">
      <c r="A558" s="83">
        <f t="shared" si="26"/>
        <v>53</v>
      </c>
      <c r="B558" s="89"/>
      <c r="O558" s="91">
        <f t="shared" si="27"/>
        <v>0</v>
      </c>
      <c r="P558" s="91">
        <f t="shared" si="28"/>
        <v>0</v>
      </c>
    </row>
    <row r="559" spans="1:16" x14ac:dyDescent="0.25">
      <c r="A559" s="83">
        <f t="shared" si="26"/>
        <v>53</v>
      </c>
      <c r="B559" s="89"/>
      <c r="O559" s="91">
        <f t="shared" si="27"/>
        <v>0</v>
      </c>
      <c r="P559" s="91">
        <f t="shared" si="28"/>
        <v>0</v>
      </c>
    </row>
    <row r="560" spans="1:16" x14ac:dyDescent="0.25">
      <c r="A560" s="83">
        <f t="shared" si="26"/>
        <v>53</v>
      </c>
      <c r="B560" s="89"/>
      <c r="O560" s="91">
        <f t="shared" si="27"/>
        <v>0</v>
      </c>
      <c r="P560" s="91">
        <f t="shared" si="28"/>
        <v>0</v>
      </c>
    </row>
    <row r="561" spans="1:16" x14ac:dyDescent="0.25">
      <c r="A561" s="83">
        <f t="shared" si="26"/>
        <v>53</v>
      </c>
      <c r="B561" s="89"/>
      <c r="O561" s="91">
        <f t="shared" si="27"/>
        <v>0</v>
      </c>
      <c r="P561" s="91">
        <f t="shared" si="28"/>
        <v>0</v>
      </c>
    </row>
    <row r="562" spans="1:16" x14ac:dyDescent="0.25">
      <c r="A562" s="83">
        <f t="shared" si="26"/>
        <v>53</v>
      </c>
      <c r="B562" s="89"/>
      <c r="O562" s="91">
        <f t="shared" si="27"/>
        <v>0</v>
      </c>
      <c r="P562" s="91">
        <f t="shared" si="28"/>
        <v>0</v>
      </c>
    </row>
    <row r="563" spans="1:16" x14ac:dyDescent="0.25">
      <c r="A563" s="83">
        <f t="shared" si="26"/>
        <v>53</v>
      </c>
      <c r="B563" s="89"/>
      <c r="O563" s="91">
        <f t="shared" si="27"/>
        <v>0</v>
      </c>
      <c r="P563" s="91">
        <f t="shared" si="28"/>
        <v>0</v>
      </c>
    </row>
    <row r="564" spans="1:16" x14ac:dyDescent="0.25">
      <c r="A564" s="83">
        <f t="shared" si="26"/>
        <v>53</v>
      </c>
      <c r="B564" s="89"/>
      <c r="O564" s="91">
        <f t="shared" si="27"/>
        <v>0</v>
      </c>
      <c r="P564" s="91">
        <f t="shared" si="28"/>
        <v>0</v>
      </c>
    </row>
    <row r="565" spans="1:16" x14ac:dyDescent="0.25">
      <c r="A565" s="83">
        <f t="shared" si="26"/>
        <v>53</v>
      </c>
      <c r="B565" s="89"/>
      <c r="O565" s="91">
        <f t="shared" si="27"/>
        <v>0</v>
      </c>
      <c r="P565" s="91">
        <f t="shared" si="28"/>
        <v>0</v>
      </c>
    </row>
    <row r="566" spans="1:16" x14ac:dyDescent="0.25">
      <c r="A566" s="83">
        <f t="shared" ref="A566:A629" si="29">WEEKNUM(B566,21)</f>
        <v>53</v>
      </c>
      <c r="B566" s="89"/>
      <c r="O566" s="91">
        <f t="shared" si="27"/>
        <v>0</v>
      </c>
      <c r="P566" s="91">
        <f t="shared" si="28"/>
        <v>0</v>
      </c>
    </row>
    <row r="567" spans="1:16" x14ac:dyDescent="0.25">
      <c r="A567" s="83">
        <f t="shared" si="29"/>
        <v>53</v>
      </c>
      <c r="B567" s="89"/>
      <c r="O567" s="91">
        <f t="shared" si="27"/>
        <v>0</v>
      </c>
      <c r="P567" s="91">
        <f t="shared" si="28"/>
        <v>0</v>
      </c>
    </row>
    <row r="568" spans="1:16" x14ac:dyDescent="0.25">
      <c r="A568" s="83">
        <f t="shared" si="29"/>
        <v>53</v>
      </c>
      <c r="B568" s="89"/>
      <c r="O568" s="91">
        <f t="shared" si="27"/>
        <v>0</v>
      </c>
      <c r="P568" s="91">
        <f t="shared" si="28"/>
        <v>0</v>
      </c>
    </row>
    <row r="569" spans="1:16" x14ac:dyDescent="0.25">
      <c r="A569" s="83">
        <f t="shared" si="29"/>
        <v>53</v>
      </c>
      <c r="B569" s="89"/>
      <c r="O569" s="91">
        <f t="shared" si="27"/>
        <v>0</v>
      </c>
      <c r="P569" s="91">
        <f t="shared" si="28"/>
        <v>0</v>
      </c>
    </row>
    <row r="570" spans="1:16" x14ac:dyDescent="0.25">
      <c r="A570" s="83">
        <f t="shared" si="29"/>
        <v>53</v>
      </c>
      <c r="B570" s="89"/>
      <c r="O570" s="91">
        <f t="shared" si="27"/>
        <v>0</v>
      </c>
      <c r="P570" s="91">
        <f t="shared" si="28"/>
        <v>0</v>
      </c>
    </row>
    <row r="571" spans="1:16" x14ac:dyDescent="0.25">
      <c r="A571" s="83">
        <f t="shared" si="29"/>
        <v>53</v>
      </c>
      <c r="B571" s="89"/>
      <c r="O571" s="91">
        <f t="shared" si="27"/>
        <v>0</v>
      </c>
      <c r="P571" s="91">
        <f t="shared" si="28"/>
        <v>0</v>
      </c>
    </row>
    <row r="572" spans="1:16" x14ac:dyDescent="0.25">
      <c r="A572" s="83">
        <f t="shared" si="29"/>
        <v>53</v>
      </c>
      <c r="B572" s="89"/>
      <c r="O572" s="91">
        <f t="shared" si="27"/>
        <v>0</v>
      </c>
      <c r="P572" s="91">
        <f t="shared" si="28"/>
        <v>0</v>
      </c>
    </row>
    <row r="573" spans="1:16" x14ac:dyDescent="0.25">
      <c r="A573" s="83">
        <f t="shared" si="29"/>
        <v>53</v>
      </c>
      <c r="B573" s="89"/>
      <c r="O573" s="91">
        <f t="shared" si="27"/>
        <v>0</v>
      </c>
      <c r="P573" s="91">
        <f t="shared" si="28"/>
        <v>0</v>
      </c>
    </row>
    <row r="574" spans="1:16" x14ac:dyDescent="0.25">
      <c r="A574" s="83">
        <f t="shared" si="29"/>
        <v>53</v>
      </c>
      <c r="B574" s="89"/>
      <c r="O574" s="91">
        <f t="shared" si="27"/>
        <v>0</v>
      </c>
      <c r="P574" s="91">
        <f t="shared" si="28"/>
        <v>0</v>
      </c>
    </row>
    <row r="575" spans="1:16" x14ac:dyDescent="0.25">
      <c r="A575" s="83">
        <f t="shared" si="29"/>
        <v>53</v>
      </c>
      <c r="B575" s="89"/>
      <c r="O575" s="91">
        <f t="shared" si="27"/>
        <v>0</v>
      </c>
      <c r="P575" s="91">
        <f t="shared" si="28"/>
        <v>0</v>
      </c>
    </row>
    <row r="576" spans="1:16" x14ac:dyDescent="0.25">
      <c r="A576" s="83">
        <f t="shared" si="29"/>
        <v>53</v>
      </c>
      <c r="B576" s="89"/>
      <c r="O576" s="91">
        <f t="shared" si="27"/>
        <v>0</v>
      </c>
      <c r="P576" s="91">
        <f t="shared" si="28"/>
        <v>0</v>
      </c>
    </row>
    <row r="577" spans="1:16" x14ac:dyDescent="0.25">
      <c r="A577" s="83">
        <f t="shared" si="29"/>
        <v>53</v>
      </c>
      <c r="B577" s="89"/>
      <c r="O577" s="91">
        <f t="shared" si="27"/>
        <v>0</v>
      </c>
      <c r="P577" s="91">
        <f t="shared" si="28"/>
        <v>0</v>
      </c>
    </row>
    <row r="578" spans="1:16" x14ac:dyDescent="0.25">
      <c r="A578" s="83">
        <f t="shared" si="29"/>
        <v>53</v>
      </c>
      <c r="B578" s="89"/>
      <c r="O578" s="91">
        <f t="shared" si="27"/>
        <v>0</v>
      </c>
      <c r="P578" s="91">
        <f t="shared" si="28"/>
        <v>0</v>
      </c>
    </row>
    <row r="579" spans="1:16" x14ac:dyDescent="0.25">
      <c r="A579" s="83">
        <f t="shared" si="29"/>
        <v>53</v>
      </c>
      <c r="B579" s="89"/>
      <c r="O579" s="91">
        <f t="shared" si="27"/>
        <v>0</v>
      </c>
      <c r="P579" s="91">
        <f t="shared" si="28"/>
        <v>0</v>
      </c>
    </row>
    <row r="580" spans="1:16" x14ac:dyDescent="0.25">
      <c r="A580" s="83">
        <f t="shared" si="29"/>
        <v>53</v>
      </c>
      <c r="B580" s="89"/>
      <c r="O580" s="91">
        <f t="shared" si="27"/>
        <v>0</v>
      </c>
      <c r="P580" s="91">
        <f t="shared" si="28"/>
        <v>0</v>
      </c>
    </row>
    <row r="581" spans="1:16" x14ac:dyDescent="0.25">
      <c r="A581" s="83">
        <f t="shared" si="29"/>
        <v>53</v>
      </c>
      <c r="B581" s="89"/>
      <c r="O581" s="91">
        <f t="shared" si="27"/>
        <v>0</v>
      </c>
      <c r="P581" s="91">
        <f t="shared" si="28"/>
        <v>0</v>
      </c>
    </row>
    <row r="582" spans="1:16" x14ac:dyDescent="0.25">
      <c r="A582" s="83">
        <f t="shared" si="29"/>
        <v>53</v>
      </c>
      <c r="B582" s="89"/>
      <c r="O582" s="91">
        <f t="shared" si="27"/>
        <v>0</v>
      </c>
      <c r="P582" s="91">
        <f t="shared" si="28"/>
        <v>0</v>
      </c>
    </row>
    <row r="583" spans="1:16" x14ac:dyDescent="0.25">
      <c r="A583" s="83">
        <f t="shared" si="29"/>
        <v>53</v>
      </c>
      <c r="B583" s="89"/>
      <c r="O583" s="91">
        <f t="shared" si="27"/>
        <v>0</v>
      </c>
      <c r="P583" s="91">
        <f t="shared" si="28"/>
        <v>0</v>
      </c>
    </row>
    <row r="584" spans="1:16" x14ac:dyDescent="0.25">
      <c r="A584" s="83">
        <f t="shared" si="29"/>
        <v>53</v>
      </c>
      <c r="B584" s="89"/>
      <c r="O584" s="91">
        <f t="shared" si="27"/>
        <v>0</v>
      </c>
      <c r="P584" s="91">
        <f t="shared" si="28"/>
        <v>0</v>
      </c>
    </row>
    <row r="585" spans="1:16" x14ac:dyDescent="0.25">
      <c r="A585" s="83">
        <f t="shared" si="29"/>
        <v>53</v>
      </c>
      <c r="B585" s="89"/>
      <c r="O585" s="91">
        <f t="shared" si="27"/>
        <v>0</v>
      </c>
      <c r="P585" s="91">
        <f t="shared" si="28"/>
        <v>0</v>
      </c>
    </row>
    <row r="586" spans="1:16" x14ac:dyDescent="0.25">
      <c r="A586" s="83">
        <f t="shared" si="29"/>
        <v>53</v>
      </c>
      <c r="B586" s="89"/>
      <c r="O586" s="91">
        <f t="shared" si="27"/>
        <v>0</v>
      </c>
      <c r="P586" s="91">
        <f t="shared" si="28"/>
        <v>0</v>
      </c>
    </row>
    <row r="587" spans="1:16" x14ac:dyDescent="0.25">
      <c r="A587" s="83">
        <f t="shared" si="29"/>
        <v>53</v>
      </c>
      <c r="B587" s="89"/>
      <c r="O587" s="91">
        <f t="shared" si="27"/>
        <v>0</v>
      </c>
      <c r="P587" s="91">
        <f t="shared" si="28"/>
        <v>0</v>
      </c>
    </row>
    <row r="588" spans="1:16" x14ac:dyDescent="0.25">
      <c r="A588" s="83">
        <f t="shared" si="29"/>
        <v>53</v>
      </c>
      <c r="B588" s="89"/>
      <c r="O588" s="91">
        <f t="shared" si="27"/>
        <v>0</v>
      </c>
      <c r="P588" s="91">
        <f t="shared" si="28"/>
        <v>0</v>
      </c>
    </row>
    <row r="589" spans="1:16" x14ac:dyDescent="0.25">
      <c r="A589" s="83">
        <f t="shared" si="29"/>
        <v>53</v>
      </c>
      <c r="B589" s="89"/>
      <c r="O589" s="91">
        <f t="shared" si="27"/>
        <v>0</v>
      </c>
      <c r="P589" s="91">
        <f t="shared" si="28"/>
        <v>0</v>
      </c>
    </row>
    <row r="590" spans="1:16" x14ac:dyDescent="0.25">
      <c r="A590" s="83">
        <f t="shared" si="29"/>
        <v>53</v>
      </c>
      <c r="B590" s="89"/>
      <c r="O590" s="91">
        <f t="shared" si="27"/>
        <v>0</v>
      </c>
      <c r="P590" s="91">
        <f t="shared" si="28"/>
        <v>0</v>
      </c>
    </row>
    <row r="591" spans="1:16" x14ac:dyDescent="0.25">
      <c r="A591" s="83">
        <f t="shared" si="29"/>
        <v>53</v>
      </c>
      <c r="B591" s="89"/>
      <c r="O591" s="91">
        <f t="shared" si="27"/>
        <v>0</v>
      </c>
      <c r="P591" s="91">
        <f t="shared" si="28"/>
        <v>0</v>
      </c>
    </row>
    <row r="592" spans="1:16" x14ac:dyDescent="0.25">
      <c r="A592" s="83">
        <f t="shared" si="29"/>
        <v>53</v>
      </c>
      <c r="B592" s="89"/>
      <c r="O592" s="91">
        <f t="shared" si="27"/>
        <v>0</v>
      </c>
      <c r="P592" s="91">
        <f t="shared" si="28"/>
        <v>0</v>
      </c>
    </row>
    <row r="593" spans="1:16" x14ac:dyDescent="0.25">
      <c r="A593" s="83">
        <f t="shared" si="29"/>
        <v>53</v>
      </c>
      <c r="B593" s="89"/>
      <c r="O593" s="91">
        <f t="shared" si="27"/>
        <v>0</v>
      </c>
      <c r="P593" s="91">
        <f t="shared" si="28"/>
        <v>0</v>
      </c>
    </row>
    <row r="594" spans="1:16" x14ac:dyDescent="0.25">
      <c r="A594" s="83">
        <f t="shared" si="29"/>
        <v>53</v>
      </c>
      <c r="B594" s="89"/>
      <c r="O594" s="91">
        <f t="shared" si="27"/>
        <v>0</v>
      </c>
      <c r="P594" s="91">
        <f t="shared" si="28"/>
        <v>0</v>
      </c>
    </row>
    <row r="595" spans="1:16" x14ac:dyDescent="0.25">
      <c r="A595" s="83">
        <f t="shared" si="29"/>
        <v>53</v>
      </c>
      <c r="B595" s="89"/>
      <c r="O595" s="91">
        <f t="shared" si="27"/>
        <v>0</v>
      </c>
      <c r="P595" s="91">
        <f t="shared" si="28"/>
        <v>0</v>
      </c>
    </row>
    <row r="596" spans="1:16" x14ac:dyDescent="0.25">
      <c r="A596" s="83">
        <f t="shared" si="29"/>
        <v>53</v>
      </c>
      <c r="B596" s="89"/>
      <c r="O596" s="91">
        <f t="shared" si="27"/>
        <v>0</v>
      </c>
      <c r="P596" s="91">
        <f t="shared" si="28"/>
        <v>0</v>
      </c>
    </row>
    <row r="597" spans="1:16" x14ac:dyDescent="0.25">
      <c r="A597" s="83">
        <f t="shared" si="29"/>
        <v>53</v>
      </c>
      <c r="B597" s="89"/>
      <c r="O597" s="91">
        <f t="shared" si="27"/>
        <v>0</v>
      </c>
      <c r="P597" s="91">
        <f t="shared" si="28"/>
        <v>0</v>
      </c>
    </row>
    <row r="598" spans="1:16" x14ac:dyDescent="0.25">
      <c r="A598" s="83">
        <f t="shared" si="29"/>
        <v>53</v>
      </c>
      <c r="B598" s="89"/>
      <c r="O598" s="91">
        <f t="shared" si="27"/>
        <v>0</v>
      </c>
      <c r="P598" s="91">
        <f t="shared" si="28"/>
        <v>0</v>
      </c>
    </row>
    <row r="599" spans="1:16" x14ac:dyDescent="0.25">
      <c r="A599" s="83">
        <f t="shared" si="29"/>
        <v>53</v>
      </c>
      <c r="B599" s="89"/>
      <c r="O599" s="91">
        <f t="shared" si="27"/>
        <v>0</v>
      </c>
      <c r="P599" s="91">
        <f t="shared" si="28"/>
        <v>0</v>
      </c>
    </row>
    <row r="600" spans="1:16" x14ac:dyDescent="0.25">
      <c r="A600" s="83">
        <f t="shared" si="29"/>
        <v>53</v>
      </c>
      <c r="B600" s="89"/>
      <c r="O600" s="91">
        <f t="shared" si="27"/>
        <v>0</v>
      </c>
      <c r="P600" s="91">
        <f t="shared" si="28"/>
        <v>0</v>
      </c>
    </row>
    <row r="601" spans="1:16" x14ac:dyDescent="0.25">
      <c r="A601" s="83">
        <f t="shared" si="29"/>
        <v>53</v>
      </c>
      <c r="B601" s="89"/>
      <c r="O601" s="91">
        <f t="shared" si="27"/>
        <v>0</v>
      </c>
      <c r="P601" s="91">
        <f t="shared" si="28"/>
        <v>0</v>
      </c>
    </row>
    <row r="602" spans="1:16" x14ac:dyDescent="0.25">
      <c r="A602" s="83">
        <f t="shared" si="29"/>
        <v>53</v>
      </c>
      <c r="B602" s="89"/>
      <c r="O602" s="91">
        <f t="shared" si="27"/>
        <v>0</v>
      </c>
      <c r="P602" s="91">
        <f t="shared" si="28"/>
        <v>0</v>
      </c>
    </row>
    <row r="603" spans="1:16" x14ac:dyDescent="0.25">
      <c r="A603" s="83">
        <f t="shared" si="29"/>
        <v>53</v>
      </c>
      <c r="B603" s="89"/>
      <c r="O603" s="91">
        <f t="shared" si="27"/>
        <v>0</v>
      </c>
      <c r="P603" s="91">
        <f t="shared" si="28"/>
        <v>0</v>
      </c>
    </row>
    <row r="604" spans="1:16" x14ac:dyDescent="0.25">
      <c r="A604" s="83">
        <f t="shared" si="29"/>
        <v>53</v>
      </c>
      <c r="B604" s="89"/>
      <c r="O604" s="91">
        <f t="shared" si="27"/>
        <v>0</v>
      </c>
      <c r="P604" s="91">
        <f t="shared" si="28"/>
        <v>0</v>
      </c>
    </row>
    <row r="605" spans="1:16" x14ac:dyDescent="0.25">
      <c r="A605" s="83">
        <f t="shared" si="29"/>
        <v>53</v>
      </c>
      <c r="B605" s="89"/>
      <c r="O605" s="91">
        <f t="shared" si="27"/>
        <v>0</v>
      </c>
      <c r="P605" s="91">
        <f t="shared" si="28"/>
        <v>0</v>
      </c>
    </row>
    <row r="606" spans="1:16" x14ac:dyDescent="0.25">
      <c r="A606" s="83">
        <f t="shared" si="29"/>
        <v>53</v>
      </c>
      <c r="B606" s="89"/>
      <c r="O606" s="91">
        <f t="shared" si="27"/>
        <v>0</v>
      </c>
      <c r="P606" s="91">
        <f t="shared" si="28"/>
        <v>0</v>
      </c>
    </row>
    <row r="607" spans="1:16" x14ac:dyDescent="0.25">
      <c r="A607" s="83">
        <f t="shared" si="29"/>
        <v>53</v>
      </c>
      <c r="B607" s="89"/>
      <c r="O607" s="91">
        <f t="shared" si="27"/>
        <v>0</v>
      </c>
      <c r="P607" s="91">
        <f t="shared" si="28"/>
        <v>0</v>
      </c>
    </row>
    <row r="608" spans="1:16" x14ac:dyDescent="0.25">
      <c r="A608" s="83">
        <f t="shared" si="29"/>
        <v>53</v>
      </c>
      <c r="B608" s="89"/>
      <c r="O608" s="91">
        <f t="shared" si="27"/>
        <v>0</v>
      </c>
      <c r="P608" s="91">
        <f t="shared" si="28"/>
        <v>0</v>
      </c>
    </row>
    <row r="609" spans="1:16" x14ac:dyDescent="0.25">
      <c r="A609" s="83">
        <f t="shared" si="29"/>
        <v>53</v>
      </c>
      <c r="B609" s="89"/>
      <c r="O609" s="91">
        <f t="shared" si="27"/>
        <v>0</v>
      </c>
      <c r="P609" s="91">
        <f t="shared" si="28"/>
        <v>0</v>
      </c>
    </row>
    <row r="610" spans="1:16" x14ac:dyDescent="0.25">
      <c r="A610" s="83">
        <f t="shared" si="29"/>
        <v>53</v>
      </c>
      <c r="B610" s="89"/>
      <c r="O610" s="91">
        <f t="shared" si="27"/>
        <v>0</v>
      </c>
      <c r="P610" s="91">
        <f t="shared" si="28"/>
        <v>0</v>
      </c>
    </row>
    <row r="611" spans="1:16" x14ac:dyDescent="0.25">
      <c r="A611" s="83">
        <f t="shared" si="29"/>
        <v>53</v>
      </c>
      <c r="B611" s="89"/>
      <c r="O611" s="91">
        <f t="shared" ref="O611:P626" si="30">M611-L611</f>
        <v>0</v>
      </c>
      <c r="P611" s="91">
        <f t="shared" si="30"/>
        <v>0</v>
      </c>
    </row>
    <row r="612" spans="1:16" x14ac:dyDescent="0.25">
      <c r="A612" s="83">
        <f t="shared" si="29"/>
        <v>53</v>
      </c>
      <c r="B612" s="89"/>
      <c r="O612" s="91">
        <f t="shared" si="30"/>
        <v>0</v>
      </c>
      <c r="P612" s="91">
        <f t="shared" si="30"/>
        <v>0</v>
      </c>
    </row>
    <row r="613" spans="1:16" x14ac:dyDescent="0.25">
      <c r="A613" s="83">
        <f t="shared" si="29"/>
        <v>53</v>
      </c>
      <c r="B613" s="89"/>
      <c r="O613" s="91">
        <f t="shared" si="30"/>
        <v>0</v>
      </c>
      <c r="P613" s="91">
        <f t="shared" si="30"/>
        <v>0</v>
      </c>
    </row>
    <row r="614" spans="1:16" x14ac:dyDescent="0.25">
      <c r="A614" s="83">
        <f t="shared" si="29"/>
        <v>53</v>
      </c>
      <c r="B614" s="89"/>
      <c r="O614" s="91">
        <f t="shared" si="30"/>
        <v>0</v>
      </c>
      <c r="P614" s="91">
        <f t="shared" si="30"/>
        <v>0</v>
      </c>
    </row>
    <row r="615" spans="1:16" x14ac:dyDescent="0.25">
      <c r="A615" s="83">
        <f t="shared" si="29"/>
        <v>53</v>
      </c>
      <c r="B615" s="89"/>
      <c r="O615" s="91">
        <f t="shared" si="30"/>
        <v>0</v>
      </c>
      <c r="P615" s="91">
        <f t="shared" si="30"/>
        <v>0</v>
      </c>
    </row>
    <row r="616" spans="1:16" x14ac:dyDescent="0.25">
      <c r="A616" s="83">
        <f t="shared" si="29"/>
        <v>53</v>
      </c>
      <c r="B616" s="89"/>
      <c r="O616" s="91">
        <f t="shared" si="30"/>
        <v>0</v>
      </c>
      <c r="P616" s="91">
        <f t="shared" si="30"/>
        <v>0</v>
      </c>
    </row>
    <row r="617" spans="1:16" x14ac:dyDescent="0.25">
      <c r="A617" s="83">
        <f t="shared" si="29"/>
        <v>53</v>
      </c>
      <c r="B617" s="89"/>
      <c r="O617" s="91">
        <f t="shared" si="30"/>
        <v>0</v>
      </c>
      <c r="P617" s="91">
        <f t="shared" si="30"/>
        <v>0</v>
      </c>
    </row>
    <row r="618" spans="1:16" x14ac:dyDescent="0.25">
      <c r="A618" s="83">
        <f t="shared" si="29"/>
        <v>53</v>
      </c>
      <c r="B618" s="89"/>
      <c r="O618" s="91">
        <f t="shared" si="30"/>
        <v>0</v>
      </c>
      <c r="P618" s="91">
        <f t="shared" si="30"/>
        <v>0</v>
      </c>
    </row>
    <row r="619" spans="1:16" x14ac:dyDescent="0.25">
      <c r="A619" s="83">
        <f t="shared" si="29"/>
        <v>53</v>
      </c>
      <c r="B619" s="89"/>
      <c r="O619" s="91">
        <f t="shared" si="30"/>
        <v>0</v>
      </c>
      <c r="P619" s="91">
        <f t="shared" si="30"/>
        <v>0</v>
      </c>
    </row>
    <row r="620" spans="1:16" x14ac:dyDescent="0.25">
      <c r="A620" s="83">
        <f t="shared" si="29"/>
        <v>53</v>
      </c>
      <c r="B620" s="89"/>
      <c r="O620" s="91">
        <f t="shared" si="30"/>
        <v>0</v>
      </c>
      <c r="P620" s="91">
        <f t="shared" si="30"/>
        <v>0</v>
      </c>
    </row>
    <row r="621" spans="1:16" x14ac:dyDescent="0.25">
      <c r="A621" s="83">
        <f t="shared" si="29"/>
        <v>53</v>
      </c>
      <c r="B621" s="89"/>
      <c r="O621" s="91">
        <f t="shared" si="30"/>
        <v>0</v>
      </c>
      <c r="P621" s="91">
        <f t="shared" si="30"/>
        <v>0</v>
      </c>
    </row>
    <row r="622" spans="1:16" x14ac:dyDescent="0.25">
      <c r="A622" s="83">
        <f t="shared" si="29"/>
        <v>53</v>
      </c>
      <c r="B622" s="89"/>
      <c r="O622" s="91">
        <f t="shared" si="30"/>
        <v>0</v>
      </c>
      <c r="P622" s="91">
        <f t="shared" si="30"/>
        <v>0</v>
      </c>
    </row>
    <row r="623" spans="1:16" x14ac:dyDescent="0.25">
      <c r="A623" s="83">
        <f t="shared" si="29"/>
        <v>53</v>
      </c>
      <c r="B623" s="89"/>
      <c r="O623" s="91">
        <f t="shared" si="30"/>
        <v>0</v>
      </c>
      <c r="P623" s="91">
        <f t="shared" si="30"/>
        <v>0</v>
      </c>
    </row>
    <row r="624" spans="1:16" x14ac:dyDescent="0.25">
      <c r="A624" s="83">
        <f t="shared" si="29"/>
        <v>53</v>
      </c>
      <c r="B624" s="89"/>
      <c r="O624" s="91">
        <f t="shared" si="30"/>
        <v>0</v>
      </c>
      <c r="P624" s="91">
        <f t="shared" si="30"/>
        <v>0</v>
      </c>
    </row>
    <row r="625" spans="1:16" x14ac:dyDescent="0.25">
      <c r="A625" s="83">
        <f t="shared" si="29"/>
        <v>53</v>
      </c>
      <c r="B625" s="89"/>
      <c r="O625" s="91">
        <f t="shared" si="30"/>
        <v>0</v>
      </c>
      <c r="P625" s="91">
        <f t="shared" si="30"/>
        <v>0</v>
      </c>
    </row>
    <row r="626" spans="1:16" x14ac:dyDescent="0.25">
      <c r="A626" s="83">
        <f t="shared" si="29"/>
        <v>53</v>
      </c>
      <c r="B626" s="89"/>
      <c r="O626" s="91">
        <f t="shared" si="30"/>
        <v>0</v>
      </c>
      <c r="P626" s="91">
        <f t="shared" si="30"/>
        <v>0</v>
      </c>
    </row>
    <row r="627" spans="1:16" x14ac:dyDescent="0.25">
      <c r="A627" s="83">
        <f t="shared" si="29"/>
        <v>53</v>
      </c>
      <c r="B627" s="89"/>
    </row>
    <row r="628" spans="1:16" x14ac:dyDescent="0.25">
      <c r="A628" s="83">
        <f t="shared" si="29"/>
        <v>53</v>
      </c>
      <c r="B628" s="89"/>
    </row>
    <row r="629" spans="1:16" x14ac:dyDescent="0.25">
      <c r="A629" s="83">
        <f t="shared" si="29"/>
        <v>53</v>
      </c>
      <c r="B629" s="89"/>
    </row>
    <row r="630" spans="1:16" x14ac:dyDescent="0.25">
      <c r="A630" s="83">
        <f t="shared" ref="A630:A693" si="31">WEEKNUM(B630,21)</f>
        <v>53</v>
      </c>
      <c r="B630" s="89"/>
    </row>
    <row r="631" spans="1:16" x14ac:dyDescent="0.25">
      <c r="A631" s="83">
        <f t="shared" si="31"/>
        <v>53</v>
      </c>
      <c r="B631" s="89"/>
    </row>
    <row r="632" spans="1:16" x14ac:dyDescent="0.25">
      <c r="A632" s="83">
        <f t="shared" si="31"/>
        <v>53</v>
      </c>
      <c r="B632" s="89"/>
    </row>
    <row r="633" spans="1:16" x14ac:dyDescent="0.25">
      <c r="A633" s="83">
        <f t="shared" si="31"/>
        <v>53</v>
      </c>
      <c r="B633" s="89"/>
    </row>
    <row r="634" spans="1:16" x14ac:dyDescent="0.25">
      <c r="A634" s="83">
        <f t="shared" si="31"/>
        <v>53</v>
      </c>
      <c r="B634" s="89"/>
    </row>
    <row r="635" spans="1:16" x14ac:dyDescent="0.25">
      <c r="A635" s="83">
        <f t="shared" si="31"/>
        <v>53</v>
      </c>
      <c r="B635" s="89"/>
    </row>
    <row r="636" spans="1:16" x14ac:dyDescent="0.25">
      <c r="A636" s="83">
        <f t="shared" si="31"/>
        <v>53</v>
      </c>
      <c r="B636" s="89"/>
    </row>
    <row r="637" spans="1:16" x14ac:dyDescent="0.25">
      <c r="A637" s="83">
        <f t="shared" si="31"/>
        <v>53</v>
      </c>
      <c r="B637" s="89"/>
    </row>
    <row r="638" spans="1:16" x14ac:dyDescent="0.25">
      <c r="A638" s="83">
        <f t="shared" si="31"/>
        <v>53</v>
      </c>
      <c r="B638" s="89"/>
    </row>
    <row r="639" spans="1:16" x14ac:dyDescent="0.25">
      <c r="A639" s="83">
        <f t="shared" si="31"/>
        <v>53</v>
      </c>
      <c r="B639" s="89"/>
    </row>
    <row r="640" spans="1:16" x14ac:dyDescent="0.25">
      <c r="A640" s="83">
        <f t="shared" si="31"/>
        <v>53</v>
      </c>
      <c r="B640" s="89"/>
    </row>
    <row r="641" spans="1:2" x14ac:dyDescent="0.25">
      <c r="A641" s="83">
        <f t="shared" si="31"/>
        <v>53</v>
      </c>
      <c r="B641" s="89"/>
    </row>
    <row r="642" spans="1:2" x14ac:dyDescent="0.25">
      <c r="A642" s="83">
        <f t="shared" si="31"/>
        <v>53</v>
      </c>
      <c r="B642" s="89"/>
    </row>
    <row r="643" spans="1:2" x14ac:dyDescent="0.25">
      <c r="A643" s="83">
        <f t="shared" si="31"/>
        <v>53</v>
      </c>
      <c r="B643" s="89"/>
    </row>
    <row r="644" spans="1:2" x14ac:dyDescent="0.25">
      <c r="A644" s="83">
        <f t="shared" si="31"/>
        <v>53</v>
      </c>
      <c r="B644" s="89"/>
    </row>
    <row r="645" spans="1:2" x14ac:dyDescent="0.25">
      <c r="A645" s="83">
        <f t="shared" si="31"/>
        <v>53</v>
      </c>
      <c r="B645" s="89"/>
    </row>
    <row r="646" spans="1:2" x14ac:dyDescent="0.25">
      <c r="A646" s="83">
        <f t="shared" si="31"/>
        <v>53</v>
      </c>
      <c r="B646" s="89"/>
    </row>
    <row r="647" spans="1:2" x14ac:dyDescent="0.25">
      <c r="A647" s="83">
        <f t="shared" si="31"/>
        <v>53</v>
      </c>
      <c r="B647" s="89"/>
    </row>
    <row r="648" spans="1:2" x14ac:dyDescent="0.25">
      <c r="A648" s="83">
        <f t="shared" si="31"/>
        <v>53</v>
      </c>
      <c r="B648" s="89"/>
    </row>
    <row r="649" spans="1:2" x14ac:dyDescent="0.25">
      <c r="A649" s="83">
        <f t="shared" si="31"/>
        <v>53</v>
      </c>
      <c r="B649" s="89"/>
    </row>
    <row r="650" spans="1:2" x14ac:dyDescent="0.25">
      <c r="A650" s="83">
        <f t="shared" si="31"/>
        <v>53</v>
      </c>
      <c r="B650" s="89"/>
    </row>
    <row r="651" spans="1:2" x14ac:dyDescent="0.25">
      <c r="A651" s="83">
        <f t="shared" si="31"/>
        <v>53</v>
      </c>
      <c r="B651" s="89"/>
    </row>
    <row r="652" spans="1:2" x14ac:dyDescent="0.25">
      <c r="A652" s="83">
        <f t="shared" si="31"/>
        <v>53</v>
      </c>
      <c r="B652" s="89"/>
    </row>
    <row r="653" spans="1:2" x14ac:dyDescent="0.25">
      <c r="A653" s="83">
        <f t="shared" si="31"/>
        <v>53</v>
      </c>
      <c r="B653" s="89"/>
    </row>
    <row r="654" spans="1:2" x14ac:dyDescent="0.25">
      <c r="A654" s="83">
        <f t="shared" si="31"/>
        <v>53</v>
      </c>
      <c r="B654" s="89"/>
    </row>
    <row r="655" spans="1:2" x14ac:dyDescent="0.25">
      <c r="A655" s="83">
        <f t="shared" si="31"/>
        <v>53</v>
      </c>
      <c r="B655" s="89"/>
    </row>
    <row r="656" spans="1:2" x14ac:dyDescent="0.25">
      <c r="A656" s="83">
        <f t="shared" si="31"/>
        <v>53</v>
      </c>
      <c r="B656" s="89"/>
    </row>
    <row r="657" spans="1:2" x14ac:dyDescent="0.25">
      <c r="A657" s="83">
        <f t="shared" si="31"/>
        <v>53</v>
      </c>
      <c r="B657" s="89"/>
    </row>
    <row r="658" spans="1:2" x14ac:dyDescent="0.25">
      <c r="A658" s="83">
        <f t="shared" si="31"/>
        <v>53</v>
      </c>
      <c r="B658" s="89"/>
    </row>
    <row r="659" spans="1:2" x14ac:dyDescent="0.25">
      <c r="A659" s="83">
        <f t="shared" si="31"/>
        <v>53</v>
      </c>
      <c r="B659" s="89"/>
    </row>
    <row r="660" spans="1:2" x14ac:dyDescent="0.25">
      <c r="A660" s="83">
        <f t="shared" si="31"/>
        <v>53</v>
      </c>
      <c r="B660" s="89"/>
    </row>
    <row r="661" spans="1:2" x14ac:dyDescent="0.25">
      <c r="A661" s="83">
        <f t="shared" si="31"/>
        <v>53</v>
      </c>
      <c r="B661" s="89"/>
    </row>
    <row r="662" spans="1:2" x14ac:dyDescent="0.25">
      <c r="A662" s="83">
        <f t="shared" si="31"/>
        <v>53</v>
      </c>
      <c r="B662" s="89"/>
    </row>
    <row r="663" spans="1:2" x14ac:dyDescent="0.25">
      <c r="A663" s="83">
        <f t="shared" si="31"/>
        <v>53</v>
      </c>
      <c r="B663" s="89"/>
    </row>
    <row r="664" spans="1:2" x14ac:dyDescent="0.25">
      <c r="A664" s="83">
        <f t="shared" si="31"/>
        <v>53</v>
      </c>
      <c r="B664" s="89"/>
    </row>
    <row r="665" spans="1:2" x14ac:dyDescent="0.25">
      <c r="A665" s="83">
        <f t="shared" si="31"/>
        <v>53</v>
      </c>
      <c r="B665" s="89"/>
    </row>
    <row r="666" spans="1:2" x14ac:dyDescent="0.25">
      <c r="A666" s="83">
        <f t="shared" si="31"/>
        <v>53</v>
      </c>
      <c r="B666" s="89"/>
    </row>
    <row r="667" spans="1:2" x14ac:dyDescent="0.25">
      <c r="A667" s="83">
        <f t="shared" si="31"/>
        <v>53</v>
      </c>
      <c r="B667" s="89"/>
    </row>
    <row r="668" spans="1:2" x14ac:dyDescent="0.25">
      <c r="A668" s="83">
        <f t="shared" si="31"/>
        <v>53</v>
      </c>
      <c r="B668" s="89"/>
    </row>
    <row r="669" spans="1:2" x14ac:dyDescent="0.25">
      <c r="A669" s="83">
        <f t="shared" si="31"/>
        <v>53</v>
      </c>
      <c r="B669" s="89"/>
    </row>
    <row r="670" spans="1:2" x14ac:dyDescent="0.25">
      <c r="A670" s="83">
        <f t="shared" si="31"/>
        <v>53</v>
      </c>
      <c r="B670" s="89"/>
    </row>
    <row r="671" spans="1:2" x14ac:dyDescent="0.25">
      <c r="A671" s="83">
        <f t="shared" si="31"/>
        <v>53</v>
      </c>
      <c r="B671" s="89"/>
    </row>
    <row r="672" spans="1:2" x14ac:dyDescent="0.25">
      <c r="A672" s="83">
        <f t="shared" si="31"/>
        <v>53</v>
      </c>
      <c r="B672" s="89"/>
    </row>
    <row r="673" spans="1:2" x14ac:dyDescent="0.25">
      <c r="A673" s="83">
        <f t="shared" si="31"/>
        <v>53</v>
      </c>
      <c r="B673" s="89"/>
    </row>
    <row r="674" spans="1:2" x14ac:dyDescent="0.25">
      <c r="A674" s="83">
        <f t="shared" si="31"/>
        <v>53</v>
      </c>
      <c r="B674" s="89"/>
    </row>
    <row r="675" spans="1:2" x14ac:dyDescent="0.25">
      <c r="A675" s="83">
        <f t="shared" si="31"/>
        <v>53</v>
      </c>
      <c r="B675" s="89"/>
    </row>
    <row r="676" spans="1:2" x14ac:dyDescent="0.25">
      <c r="A676" s="83">
        <f t="shared" si="31"/>
        <v>53</v>
      </c>
      <c r="B676" s="89"/>
    </row>
    <row r="677" spans="1:2" x14ac:dyDescent="0.25">
      <c r="A677" s="83">
        <f t="shared" si="31"/>
        <v>53</v>
      </c>
      <c r="B677" s="89"/>
    </row>
    <row r="678" spans="1:2" x14ac:dyDescent="0.25">
      <c r="A678" s="83">
        <f t="shared" si="31"/>
        <v>53</v>
      </c>
      <c r="B678" s="89"/>
    </row>
    <row r="679" spans="1:2" x14ac:dyDescent="0.25">
      <c r="A679" s="83">
        <f t="shared" si="31"/>
        <v>53</v>
      </c>
      <c r="B679" s="89"/>
    </row>
    <row r="680" spans="1:2" x14ac:dyDescent="0.25">
      <c r="A680" s="83">
        <f t="shared" si="31"/>
        <v>53</v>
      </c>
      <c r="B680" s="89"/>
    </row>
    <row r="681" spans="1:2" x14ac:dyDescent="0.25">
      <c r="A681" s="83">
        <f t="shared" si="31"/>
        <v>53</v>
      </c>
      <c r="B681" s="89"/>
    </row>
    <row r="682" spans="1:2" x14ac:dyDescent="0.25">
      <c r="A682" s="83">
        <f t="shared" si="31"/>
        <v>53</v>
      </c>
      <c r="B682" s="89"/>
    </row>
    <row r="683" spans="1:2" x14ac:dyDescent="0.25">
      <c r="A683" s="83">
        <f t="shared" si="31"/>
        <v>53</v>
      </c>
      <c r="B683" s="89"/>
    </row>
    <row r="684" spans="1:2" x14ac:dyDescent="0.25">
      <c r="A684" s="83">
        <f t="shared" si="31"/>
        <v>53</v>
      </c>
      <c r="B684" s="89"/>
    </row>
    <row r="685" spans="1:2" x14ac:dyDescent="0.25">
      <c r="A685" s="83">
        <f t="shared" si="31"/>
        <v>53</v>
      </c>
      <c r="B685" s="89"/>
    </row>
    <row r="686" spans="1:2" x14ac:dyDescent="0.25">
      <c r="A686" s="83">
        <f t="shared" si="31"/>
        <v>53</v>
      </c>
      <c r="B686" s="89"/>
    </row>
    <row r="687" spans="1:2" x14ac:dyDescent="0.25">
      <c r="A687" s="83">
        <f t="shared" si="31"/>
        <v>53</v>
      </c>
      <c r="B687" s="89"/>
    </row>
    <row r="688" spans="1:2" x14ac:dyDescent="0.25">
      <c r="A688" s="83">
        <f t="shared" si="31"/>
        <v>53</v>
      </c>
      <c r="B688" s="89"/>
    </row>
    <row r="689" spans="1:2" x14ac:dyDescent="0.25">
      <c r="A689" s="83">
        <f t="shared" si="31"/>
        <v>53</v>
      </c>
      <c r="B689" s="89"/>
    </row>
    <row r="690" spans="1:2" x14ac:dyDescent="0.25">
      <c r="A690" s="83">
        <f t="shared" si="31"/>
        <v>53</v>
      </c>
      <c r="B690" s="89"/>
    </row>
    <row r="691" spans="1:2" x14ac:dyDescent="0.25">
      <c r="A691" s="83">
        <f t="shared" si="31"/>
        <v>53</v>
      </c>
      <c r="B691" s="89"/>
    </row>
    <row r="692" spans="1:2" x14ac:dyDescent="0.25">
      <c r="A692" s="83">
        <f t="shared" si="31"/>
        <v>53</v>
      </c>
      <c r="B692" s="89"/>
    </row>
    <row r="693" spans="1:2" x14ac:dyDescent="0.25">
      <c r="A693" s="83">
        <f t="shared" si="31"/>
        <v>53</v>
      </c>
      <c r="B693" s="89"/>
    </row>
    <row r="694" spans="1:2" x14ac:dyDescent="0.25">
      <c r="A694" s="83">
        <f t="shared" ref="A694:A757" si="32">WEEKNUM(B694,21)</f>
        <v>53</v>
      </c>
      <c r="B694" s="89"/>
    </row>
    <row r="695" spans="1:2" x14ac:dyDescent="0.25">
      <c r="A695" s="83">
        <f t="shared" si="32"/>
        <v>53</v>
      </c>
      <c r="B695" s="89"/>
    </row>
    <row r="696" spans="1:2" x14ac:dyDescent="0.25">
      <c r="A696" s="83">
        <f t="shared" si="32"/>
        <v>53</v>
      </c>
      <c r="B696" s="89"/>
    </row>
    <row r="697" spans="1:2" x14ac:dyDescent="0.25">
      <c r="A697" s="83">
        <f t="shared" si="32"/>
        <v>53</v>
      </c>
      <c r="B697" s="89"/>
    </row>
    <row r="698" spans="1:2" x14ac:dyDescent="0.25">
      <c r="A698" s="83">
        <f t="shared" si="32"/>
        <v>53</v>
      </c>
      <c r="B698" s="89"/>
    </row>
    <row r="699" spans="1:2" x14ac:dyDescent="0.25">
      <c r="A699" s="83">
        <f t="shared" si="32"/>
        <v>53</v>
      </c>
      <c r="B699" s="89"/>
    </row>
    <row r="700" spans="1:2" x14ac:dyDescent="0.25">
      <c r="A700" s="83">
        <f t="shared" si="32"/>
        <v>53</v>
      </c>
      <c r="B700" s="89"/>
    </row>
    <row r="701" spans="1:2" x14ac:dyDescent="0.25">
      <c r="A701" s="83">
        <f t="shared" si="32"/>
        <v>53</v>
      </c>
      <c r="B701" s="89"/>
    </row>
    <row r="702" spans="1:2" x14ac:dyDescent="0.25">
      <c r="A702" s="83">
        <f t="shared" si="32"/>
        <v>53</v>
      </c>
      <c r="B702" s="89"/>
    </row>
    <row r="703" spans="1:2" x14ac:dyDescent="0.25">
      <c r="A703" s="83">
        <f t="shared" si="32"/>
        <v>53</v>
      </c>
      <c r="B703" s="89"/>
    </row>
    <row r="704" spans="1:2" x14ac:dyDescent="0.25">
      <c r="A704" s="83">
        <f t="shared" si="32"/>
        <v>53</v>
      </c>
      <c r="B704" s="89"/>
    </row>
    <row r="705" spans="1:2" x14ac:dyDescent="0.25">
      <c r="A705" s="83">
        <f t="shared" si="32"/>
        <v>53</v>
      </c>
      <c r="B705" s="89"/>
    </row>
    <row r="706" spans="1:2" x14ac:dyDescent="0.25">
      <c r="A706" s="83">
        <f t="shared" si="32"/>
        <v>53</v>
      </c>
      <c r="B706" s="89"/>
    </row>
    <row r="707" spans="1:2" x14ac:dyDescent="0.25">
      <c r="A707" s="83">
        <f t="shared" si="32"/>
        <v>53</v>
      </c>
      <c r="B707" s="89"/>
    </row>
    <row r="708" spans="1:2" x14ac:dyDescent="0.25">
      <c r="A708" s="83">
        <f t="shared" si="32"/>
        <v>53</v>
      </c>
      <c r="B708" s="89"/>
    </row>
    <row r="709" spans="1:2" x14ac:dyDescent="0.25">
      <c r="A709" s="83">
        <f t="shared" si="32"/>
        <v>53</v>
      </c>
      <c r="B709" s="89"/>
    </row>
    <row r="710" spans="1:2" x14ac:dyDescent="0.25">
      <c r="A710" s="83">
        <f t="shared" si="32"/>
        <v>53</v>
      </c>
      <c r="B710" s="89"/>
    </row>
    <row r="711" spans="1:2" x14ac:dyDescent="0.25">
      <c r="A711" s="83">
        <f t="shared" si="32"/>
        <v>53</v>
      </c>
      <c r="B711" s="89"/>
    </row>
    <row r="712" spans="1:2" x14ac:dyDescent="0.25">
      <c r="A712" s="83">
        <f t="shared" si="32"/>
        <v>53</v>
      </c>
      <c r="B712" s="89"/>
    </row>
    <row r="713" spans="1:2" x14ac:dyDescent="0.25">
      <c r="A713" s="83">
        <f t="shared" si="32"/>
        <v>53</v>
      </c>
      <c r="B713" s="89"/>
    </row>
    <row r="714" spans="1:2" x14ac:dyDescent="0.25">
      <c r="A714" s="83">
        <f t="shared" si="32"/>
        <v>53</v>
      </c>
      <c r="B714" s="89"/>
    </row>
    <row r="715" spans="1:2" x14ac:dyDescent="0.25">
      <c r="A715" s="83">
        <f t="shared" si="32"/>
        <v>53</v>
      </c>
      <c r="B715" s="89"/>
    </row>
    <row r="716" spans="1:2" x14ac:dyDescent="0.25">
      <c r="A716" s="83">
        <f t="shared" si="32"/>
        <v>53</v>
      </c>
      <c r="B716" s="89"/>
    </row>
    <row r="717" spans="1:2" x14ac:dyDescent="0.25">
      <c r="A717" s="83">
        <f t="shared" si="32"/>
        <v>53</v>
      </c>
      <c r="B717" s="89"/>
    </row>
    <row r="718" spans="1:2" x14ac:dyDescent="0.25">
      <c r="A718" s="83">
        <f t="shared" si="32"/>
        <v>53</v>
      </c>
      <c r="B718" s="89"/>
    </row>
    <row r="719" spans="1:2" x14ac:dyDescent="0.25">
      <c r="A719" s="83">
        <f t="shared" si="32"/>
        <v>53</v>
      </c>
      <c r="B719" s="89"/>
    </row>
    <row r="720" spans="1:2" x14ac:dyDescent="0.25">
      <c r="A720" s="83">
        <f t="shared" si="32"/>
        <v>53</v>
      </c>
      <c r="B720" s="89"/>
    </row>
    <row r="721" spans="1:2" x14ac:dyDescent="0.25">
      <c r="A721" s="83">
        <f t="shared" si="32"/>
        <v>53</v>
      </c>
      <c r="B721" s="89"/>
    </row>
    <row r="722" spans="1:2" x14ac:dyDescent="0.25">
      <c r="A722" s="83">
        <f t="shared" si="32"/>
        <v>53</v>
      </c>
      <c r="B722" s="89"/>
    </row>
    <row r="723" spans="1:2" x14ac:dyDescent="0.25">
      <c r="A723" s="83">
        <f t="shared" si="32"/>
        <v>53</v>
      </c>
      <c r="B723" s="89"/>
    </row>
    <row r="724" spans="1:2" x14ac:dyDescent="0.25">
      <c r="A724" s="83">
        <f t="shared" si="32"/>
        <v>53</v>
      </c>
      <c r="B724" s="89"/>
    </row>
    <row r="725" spans="1:2" x14ac:dyDescent="0.25">
      <c r="A725" s="83">
        <f t="shared" si="32"/>
        <v>53</v>
      </c>
      <c r="B725" s="89"/>
    </row>
    <row r="726" spans="1:2" x14ac:dyDescent="0.25">
      <c r="A726" s="83">
        <f t="shared" si="32"/>
        <v>53</v>
      </c>
      <c r="B726" s="89"/>
    </row>
    <row r="727" spans="1:2" x14ac:dyDescent="0.25">
      <c r="A727" s="83">
        <f t="shared" si="32"/>
        <v>53</v>
      </c>
      <c r="B727" s="89"/>
    </row>
    <row r="728" spans="1:2" x14ac:dyDescent="0.25">
      <c r="A728" s="83">
        <f t="shared" si="32"/>
        <v>53</v>
      </c>
      <c r="B728" s="89"/>
    </row>
    <row r="729" spans="1:2" x14ac:dyDescent="0.25">
      <c r="A729" s="83">
        <f t="shared" si="32"/>
        <v>53</v>
      </c>
      <c r="B729" s="89"/>
    </row>
    <row r="730" spans="1:2" x14ac:dyDescent="0.25">
      <c r="A730" s="83">
        <f t="shared" si="32"/>
        <v>53</v>
      </c>
      <c r="B730" s="89"/>
    </row>
    <row r="731" spans="1:2" x14ac:dyDescent="0.25">
      <c r="A731" s="83">
        <f t="shared" si="32"/>
        <v>53</v>
      </c>
      <c r="B731" s="89"/>
    </row>
    <row r="732" spans="1:2" x14ac:dyDescent="0.25">
      <c r="A732" s="83">
        <f t="shared" si="32"/>
        <v>53</v>
      </c>
      <c r="B732" s="89"/>
    </row>
    <row r="733" spans="1:2" x14ac:dyDescent="0.25">
      <c r="A733" s="83">
        <f t="shared" si="32"/>
        <v>53</v>
      </c>
      <c r="B733" s="89"/>
    </row>
    <row r="734" spans="1:2" x14ac:dyDescent="0.25">
      <c r="A734" s="83">
        <f t="shared" si="32"/>
        <v>53</v>
      </c>
      <c r="B734" s="89"/>
    </row>
    <row r="735" spans="1:2" x14ac:dyDescent="0.25">
      <c r="A735" s="83">
        <f t="shared" si="32"/>
        <v>53</v>
      </c>
      <c r="B735" s="89"/>
    </row>
    <row r="736" spans="1:2" x14ac:dyDescent="0.25">
      <c r="A736" s="83">
        <f t="shared" si="32"/>
        <v>53</v>
      </c>
      <c r="B736" s="89"/>
    </row>
    <row r="737" spans="1:2" x14ac:dyDescent="0.25">
      <c r="A737" s="83">
        <f t="shared" si="32"/>
        <v>53</v>
      </c>
      <c r="B737" s="89"/>
    </row>
    <row r="738" spans="1:2" x14ac:dyDescent="0.25">
      <c r="A738" s="83">
        <f t="shared" si="32"/>
        <v>53</v>
      </c>
      <c r="B738" s="89"/>
    </row>
    <row r="739" spans="1:2" x14ac:dyDescent="0.25">
      <c r="A739" s="83">
        <f t="shared" si="32"/>
        <v>53</v>
      </c>
      <c r="B739" s="89"/>
    </row>
    <row r="740" spans="1:2" x14ac:dyDescent="0.25">
      <c r="A740" s="83">
        <f t="shared" si="32"/>
        <v>53</v>
      </c>
      <c r="B740" s="89"/>
    </row>
    <row r="741" spans="1:2" x14ac:dyDescent="0.25">
      <c r="A741" s="83">
        <f t="shared" si="32"/>
        <v>53</v>
      </c>
      <c r="B741" s="89"/>
    </row>
    <row r="742" spans="1:2" x14ac:dyDescent="0.25">
      <c r="A742" s="83">
        <f t="shared" si="32"/>
        <v>53</v>
      </c>
      <c r="B742" s="89"/>
    </row>
    <row r="743" spans="1:2" x14ac:dyDescent="0.25">
      <c r="A743" s="83">
        <f t="shared" si="32"/>
        <v>53</v>
      </c>
      <c r="B743" s="89"/>
    </row>
    <row r="744" spans="1:2" x14ac:dyDescent="0.25">
      <c r="A744" s="83">
        <f t="shared" si="32"/>
        <v>53</v>
      </c>
      <c r="B744" s="89"/>
    </row>
    <row r="745" spans="1:2" x14ac:dyDescent="0.25">
      <c r="A745" s="83">
        <f t="shared" si="32"/>
        <v>53</v>
      </c>
      <c r="B745" s="89"/>
    </row>
    <row r="746" spans="1:2" x14ac:dyDescent="0.25">
      <c r="A746" s="83">
        <f t="shared" si="32"/>
        <v>53</v>
      </c>
      <c r="B746" s="89"/>
    </row>
    <row r="747" spans="1:2" x14ac:dyDescent="0.25">
      <c r="A747" s="83">
        <f t="shared" si="32"/>
        <v>53</v>
      </c>
      <c r="B747" s="89"/>
    </row>
    <row r="748" spans="1:2" x14ac:dyDescent="0.25">
      <c r="A748" s="83">
        <f t="shared" si="32"/>
        <v>53</v>
      </c>
      <c r="B748" s="89"/>
    </row>
    <row r="749" spans="1:2" x14ac:dyDescent="0.25">
      <c r="A749" s="83">
        <f t="shared" si="32"/>
        <v>53</v>
      </c>
      <c r="B749" s="89"/>
    </row>
    <row r="750" spans="1:2" x14ac:dyDescent="0.25">
      <c r="A750" s="83">
        <f t="shared" si="32"/>
        <v>53</v>
      </c>
      <c r="B750" s="89"/>
    </row>
    <row r="751" spans="1:2" x14ac:dyDescent="0.25">
      <c r="A751" s="83">
        <f t="shared" si="32"/>
        <v>53</v>
      </c>
      <c r="B751" s="89"/>
    </row>
    <row r="752" spans="1:2" x14ac:dyDescent="0.25">
      <c r="A752" s="83">
        <f t="shared" si="32"/>
        <v>53</v>
      </c>
      <c r="B752" s="89"/>
    </row>
    <row r="753" spans="1:2" x14ac:dyDescent="0.25">
      <c r="A753" s="83">
        <f t="shared" si="32"/>
        <v>53</v>
      </c>
      <c r="B753" s="89"/>
    </row>
    <row r="754" spans="1:2" x14ac:dyDescent="0.25">
      <c r="A754" s="83">
        <f t="shared" si="32"/>
        <v>53</v>
      </c>
      <c r="B754" s="89"/>
    </row>
    <row r="755" spans="1:2" x14ac:dyDescent="0.25">
      <c r="A755" s="83">
        <f t="shared" si="32"/>
        <v>53</v>
      </c>
      <c r="B755" s="89"/>
    </row>
    <row r="756" spans="1:2" x14ac:dyDescent="0.25">
      <c r="A756" s="83">
        <f t="shared" si="32"/>
        <v>53</v>
      </c>
      <c r="B756" s="89"/>
    </row>
    <row r="757" spans="1:2" x14ac:dyDescent="0.25">
      <c r="A757" s="83">
        <f t="shared" si="32"/>
        <v>53</v>
      </c>
      <c r="B757" s="89"/>
    </row>
    <row r="758" spans="1:2" x14ac:dyDescent="0.25">
      <c r="A758" s="83">
        <f t="shared" ref="A758:A821" si="33">WEEKNUM(B758,21)</f>
        <v>53</v>
      </c>
      <c r="B758" s="89"/>
    </row>
    <row r="759" spans="1:2" x14ac:dyDescent="0.25">
      <c r="A759" s="83">
        <f t="shared" si="33"/>
        <v>53</v>
      </c>
      <c r="B759" s="89"/>
    </row>
    <row r="760" spans="1:2" x14ac:dyDescent="0.25">
      <c r="A760" s="83">
        <f t="shared" si="33"/>
        <v>53</v>
      </c>
      <c r="B760" s="89"/>
    </row>
    <row r="761" spans="1:2" x14ac:dyDescent="0.25">
      <c r="A761" s="83">
        <f t="shared" si="33"/>
        <v>53</v>
      </c>
      <c r="B761" s="89"/>
    </row>
    <row r="762" spans="1:2" x14ac:dyDescent="0.25">
      <c r="A762" s="83">
        <f t="shared" si="33"/>
        <v>53</v>
      </c>
      <c r="B762" s="89"/>
    </row>
    <row r="763" spans="1:2" x14ac:dyDescent="0.25">
      <c r="A763" s="83">
        <f t="shared" si="33"/>
        <v>53</v>
      </c>
      <c r="B763" s="89"/>
    </row>
    <row r="764" spans="1:2" x14ac:dyDescent="0.25">
      <c r="A764" s="83">
        <f t="shared" si="33"/>
        <v>53</v>
      </c>
      <c r="B764" s="89"/>
    </row>
    <row r="765" spans="1:2" x14ac:dyDescent="0.25">
      <c r="A765" s="83">
        <f t="shared" si="33"/>
        <v>53</v>
      </c>
      <c r="B765" s="89"/>
    </row>
    <row r="766" spans="1:2" x14ac:dyDescent="0.25">
      <c r="A766" s="83">
        <f t="shared" si="33"/>
        <v>53</v>
      </c>
      <c r="B766" s="89"/>
    </row>
    <row r="767" spans="1:2" x14ac:dyDescent="0.25">
      <c r="A767" s="83">
        <f t="shared" si="33"/>
        <v>53</v>
      </c>
      <c r="B767" s="89"/>
    </row>
    <row r="768" spans="1:2" x14ac:dyDescent="0.25">
      <c r="A768" s="83">
        <f t="shared" si="33"/>
        <v>53</v>
      </c>
      <c r="B768" s="89"/>
    </row>
    <row r="769" spans="1:2" x14ac:dyDescent="0.25">
      <c r="A769" s="83">
        <f t="shared" si="33"/>
        <v>53</v>
      </c>
      <c r="B769" s="89"/>
    </row>
    <row r="770" spans="1:2" x14ac:dyDescent="0.25">
      <c r="A770" s="83">
        <f t="shared" si="33"/>
        <v>53</v>
      </c>
      <c r="B770" s="89"/>
    </row>
    <row r="771" spans="1:2" x14ac:dyDescent="0.25">
      <c r="A771" s="83">
        <f t="shared" si="33"/>
        <v>53</v>
      </c>
      <c r="B771" s="89"/>
    </row>
    <row r="772" spans="1:2" x14ac:dyDescent="0.25">
      <c r="A772" s="83">
        <f t="shared" si="33"/>
        <v>53</v>
      </c>
      <c r="B772" s="89"/>
    </row>
    <row r="773" spans="1:2" x14ac:dyDescent="0.25">
      <c r="A773" s="83">
        <f t="shared" si="33"/>
        <v>53</v>
      </c>
      <c r="B773" s="89"/>
    </row>
    <row r="774" spans="1:2" x14ac:dyDescent="0.25">
      <c r="A774" s="83">
        <f t="shared" si="33"/>
        <v>53</v>
      </c>
      <c r="B774" s="89"/>
    </row>
    <row r="775" spans="1:2" x14ac:dyDescent="0.25">
      <c r="A775" s="83">
        <f t="shared" si="33"/>
        <v>53</v>
      </c>
      <c r="B775" s="89"/>
    </row>
    <row r="776" spans="1:2" x14ac:dyDescent="0.25">
      <c r="A776" s="83">
        <f t="shared" si="33"/>
        <v>53</v>
      </c>
      <c r="B776" s="89"/>
    </row>
    <row r="777" spans="1:2" x14ac:dyDescent="0.25">
      <c r="A777" s="83">
        <f t="shared" si="33"/>
        <v>53</v>
      </c>
      <c r="B777" s="89"/>
    </row>
    <row r="778" spans="1:2" x14ac:dyDescent="0.25">
      <c r="A778" s="83">
        <f t="shared" si="33"/>
        <v>53</v>
      </c>
      <c r="B778" s="89"/>
    </row>
    <row r="779" spans="1:2" x14ac:dyDescent="0.25">
      <c r="A779" s="83">
        <f t="shared" si="33"/>
        <v>53</v>
      </c>
      <c r="B779" s="89"/>
    </row>
    <row r="780" spans="1:2" x14ac:dyDescent="0.25">
      <c r="A780" s="83">
        <f t="shared" si="33"/>
        <v>53</v>
      </c>
      <c r="B780" s="89"/>
    </row>
    <row r="781" spans="1:2" x14ac:dyDescent="0.25">
      <c r="A781" s="83">
        <f t="shared" si="33"/>
        <v>53</v>
      </c>
      <c r="B781" s="89"/>
    </row>
    <row r="782" spans="1:2" x14ac:dyDescent="0.25">
      <c r="A782" s="83">
        <f t="shared" si="33"/>
        <v>53</v>
      </c>
      <c r="B782" s="89"/>
    </row>
    <row r="783" spans="1:2" x14ac:dyDescent="0.25">
      <c r="A783" s="83">
        <f t="shared" si="33"/>
        <v>53</v>
      </c>
      <c r="B783" s="89"/>
    </row>
    <row r="784" spans="1:2" x14ac:dyDescent="0.25">
      <c r="A784" s="83">
        <f t="shared" si="33"/>
        <v>53</v>
      </c>
      <c r="B784" s="89"/>
    </row>
    <row r="785" spans="1:2" x14ac:dyDescent="0.25">
      <c r="A785" s="83">
        <f t="shared" si="33"/>
        <v>53</v>
      </c>
      <c r="B785" s="89"/>
    </row>
    <row r="786" spans="1:2" x14ac:dyDescent="0.25">
      <c r="A786" s="83">
        <f t="shared" si="33"/>
        <v>53</v>
      </c>
      <c r="B786" s="89"/>
    </row>
    <row r="787" spans="1:2" x14ac:dyDescent="0.25">
      <c r="A787" s="83">
        <f t="shared" si="33"/>
        <v>53</v>
      </c>
      <c r="B787" s="89"/>
    </row>
    <row r="788" spans="1:2" x14ac:dyDescent="0.25">
      <c r="A788" s="83">
        <f t="shared" si="33"/>
        <v>53</v>
      </c>
      <c r="B788" s="89"/>
    </row>
    <row r="789" spans="1:2" x14ac:dyDescent="0.25">
      <c r="A789" s="83">
        <f t="shared" si="33"/>
        <v>53</v>
      </c>
      <c r="B789" s="89"/>
    </row>
    <row r="790" spans="1:2" x14ac:dyDescent="0.25">
      <c r="A790" s="83">
        <f t="shared" si="33"/>
        <v>53</v>
      </c>
      <c r="B790" s="89"/>
    </row>
    <row r="791" spans="1:2" x14ac:dyDescent="0.25">
      <c r="A791" s="83">
        <f t="shared" si="33"/>
        <v>53</v>
      </c>
      <c r="B791" s="89"/>
    </row>
    <row r="792" spans="1:2" x14ac:dyDescent="0.25">
      <c r="A792" s="83">
        <f t="shared" si="33"/>
        <v>53</v>
      </c>
      <c r="B792" s="89"/>
    </row>
    <row r="793" spans="1:2" x14ac:dyDescent="0.25">
      <c r="A793" s="83">
        <f t="shared" si="33"/>
        <v>53</v>
      </c>
      <c r="B793" s="89"/>
    </row>
    <row r="794" spans="1:2" x14ac:dyDescent="0.25">
      <c r="A794" s="83">
        <f t="shared" si="33"/>
        <v>53</v>
      </c>
      <c r="B794" s="89"/>
    </row>
    <row r="795" spans="1:2" x14ac:dyDescent="0.25">
      <c r="A795" s="83">
        <f t="shared" si="33"/>
        <v>53</v>
      </c>
      <c r="B795" s="89"/>
    </row>
    <row r="796" spans="1:2" x14ac:dyDescent="0.25">
      <c r="A796" s="83">
        <f t="shared" si="33"/>
        <v>53</v>
      </c>
      <c r="B796" s="89"/>
    </row>
    <row r="797" spans="1:2" x14ac:dyDescent="0.25">
      <c r="A797" s="83">
        <f t="shared" si="33"/>
        <v>53</v>
      </c>
      <c r="B797" s="89"/>
    </row>
    <row r="798" spans="1:2" x14ac:dyDescent="0.25">
      <c r="A798" s="83">
        <f t="shared" si="33"/>
        <v>53</v>
      </c>
      <c r="B798" s="89"/>
    </row>
    <row r="799" spans="1:2" x14ac:dyDescent="0.25">
      <c r="A799" s="83">
        <f t="shared" si="33"/>
        <v>53</v>
      </c>
      <c r="B799" s="89"/>
    </row>
    <row r="800" spans="1:2" x14ac:dyDescent="0.25">
      <c r="A800" s="83">
        <f t="shared" si="33"/>
        <v>53</v>
      </c>
      <c r="B800" s="89"/>
    </row>
    <row r="801" spans="1:2" x14ac:dyDescent="0.25">
      <c r="A801" s="83">
        <f t="shared" si="33"/>
        <v>53</v>
      </c>
      <c r="B801" s="89"/>
    </row>
    <row r="802" spans="1:2" x14ac:dyDescent="0.25">
      <c r="A802" s="83">
        <f t="shared" si="33"/>
        <v>53</v>
      </c>
      <c r="B802" s="89"/>
    </row>
    <row r="803" spans="1:2" x14ac:dyDescent="0.25">
      <c r="A803" s="83">
        <f t="shared" si="33"/>
        <v>53</v>
      </c>
      <c r="B803" s="89"/>
    </row>
    <row r="804" spans="1:2" x14ac:dyDescent="0.25">
      <c r="A804" s="83">
        <f t="shared" si="33"/>
        <v>53</v>
      </c>
      <c r="B804" s="89"/>
    </row>
    <row r="805" spans="1:2" x14ac:dyDescent="0.25">
      <c r="A805" s="83">
        <f t="shared" si="33"/>
        <v>53</v>
      </c>
      <c r="B805" s="89"/>
    </row>
    <row r="806" spans="1:2" x14ac:dyDescent="0.25">
      <c r="A806" s="83">
        <f t="shared" si="33"/>
        <v>53</v>
      </c>
      <c r="B806" s="89"/>
    </row>
    <row r="807" spans="1:2" x14ac:dyDescent="0.25">
      <c r="A807" s="83">
        <f t="shared" si="33"/>
        <v>53</v>
      </c>
      <c r="B807" s="89"/>
    </row>
    <row r="808" spans="1:2" x14ac:dyDescent="0.25">
      <c r="A808" s="83">
        <f t="shared" si="33"/>
        <v>53</v>
      </c>
      <c r="B808" s="89"/>
    </row>
    <row r="809" spans="1:2" x14ac:dyDescent="0.25">
      <c r="A809" s="83">
        <f t="shared" si="33"/>
        <v>53</v>
      </c>
      <c r="B809" s="89"/>
    </row>
    <row r="810" spans="1:2" x14ac:dyDescent="0.25">
      <c r="A810" s="83">
        <f t="shared" si="33"/>
        <v>53</v>
      </c>
      <c r="B810" s="89"/>
    </row>
    <row r="811" spans="1:2" x14ac:dyDescent="0.25">
      <c r="A811" s="83">
        <f t="shared" si="33"/>
        <v>53</v>
      </c>
      <c r="B811" s="89"/>
    </row>
    <row r="812" spans="1:2" x14ac:dyDescent="0.25">
      <c r="A812" s="83">
        <f t="shared" si="33"/>
        <v>53</v>
      </c>
      <c r="B812" s="89"/>
    </row>
    <row r="813" spans="1:2" x14ac:dyDescent="0.25">
      <c r="A813" s="83">
        <f t="shared" si="33"/>
        <v>53</v>
      </c>
      <c r="B813" s="89"/>
    </row>
    <row r="814" spans="1:2" x14ac:dyDescent="0.25">
      <c r="A814" s="83">
        <f t="shared" si="33"/>
        <v>53</v>
      </c>
      <c r="B814" s="89"/>
    </row>
    <row r="815" spans="1:2" x14ac:dyDescent="0.25">
      <c r="A815" s="83">
        <f t="shared" si="33"/>
        <v>53</v>
      </c>
      <c r="B815" s="89"/>
    </row>
    <row r="816" spans="1:2" x14ac:dyDescent="0.25">
      <c r="A816" s="83">
        <f t="shared" si="33"/>
        <v>53</v>
      </c>
      <c r="B816" s="89"/>
    </row>
    <row r="817" spans="1:2" x14ac:dyDescent="0.25">
      <c r="A817" s="83">
        <f t="shared" si="33"/>
        <v>53</v>
      </c>
      <c r="B817" s="89"/>
    </row>
    <row r="818" spans="1:2" x14ac:dyDescent="0.25">
      <c r="A818" s="83">
        <f t="shared" si="33"/>
        <v>53</v>
      </c>
      <c r="B818" s="89"/>
    </row>
    <row r="819" spans="1:2" x14ac:dyDescent="0.25">
      <c r="A819" s="83">
        <f t="shared" si="33"/>
        <v>53</v>
      </c>
      <c r="B819" s="89"/>
    </row>
    <row r="820" spans="1:2" x14ac:dyDescent="0.25">
      <c r="A820" s="83">
        <f t="shared" si="33"/>
        <v>53</v>
      </c>
      <c r="B820" s="89"/>
    </row>
    <row r="821" spans="1:2" x14ac:dyDescent="0.25">
      <c r="A821" s="83">
        <f t="shared" si="33"/>
        <v>53</v>
      </c>
      <c r="B821" s="89"/>
    </row>
    <row r="822" spans="1:2" x14ac:dyDescent="0.25">
      <c r="A822" s="83">
        <f t="shared" ref="A822:A885" si="34">WEEKNUM(B822,21)</f>
        <v>53</v>
      </c>
      <c r="B822" s="89"/>
    </row>
    <row r="823" spans="1:2" x14ac:dyDescent="0.25">
      <c r="A823" s="83">
        <f t="shared" si="34"/>
        <v>53</v>
      </c>
      <c r="B823" s="89"/>
    </row>
    <row r="824" spans="1:2" x14ac:dyDescent="0.25">
      <c r="A824" s="83">
        <f t="shared" si="34"/>
        <v>53</v>
      </c>
      <c r="B824" s="89"/>
    </row>
    <row r="825" spans="1:2" x14ac:dyDescent="0.25">
      <c r="A825" s="83">
        <f t="shared" si="34"/>
        <v>53</v>
      </c>
      <c r="B825" s="89"/>
    </row>
    <row r="826" spans="1:2" x14ac:dyDescent="0.25">
      <c r="A826" s="83">
        <f t="shared" si="34"/>
        <v>53</v>
      </c>
      <c r="B826" s="89"/>
    </row>
    <row r="827" spans="1:2" x14ac:dyDescent="0.25">
      <c r="A827" s="83">
        <f t="shared" si="34"/>
        <v>53</v>
      </c>
      <c r="B827" s="89"/>
    </row>
    <row r="828" spans="1:2" x14ac:dyDescent="0.25">
      <c r="A828" s="83">
        <f t="shared" si="34"/>
        <v>53</v>
      </c>
      <c r="B828" s="89"/>
    </row>
    <row r="829" spans="1:2" x14ac:dyDescent="0.25">
      <c r="A829" s="83">
        <f t="shared" si="34"/>
        <v>53</v>
      </c>
      <c r="B829" s="89"/>
    </row>
    <row r="830" spans="1:2" x14ac:dyDescent="0.25">
      <c r="A830" s="83">
        <f t="shared" si="34"/>
        <v>53</v>
      </c>
      <c r="B830" s="89"/>
    </row>
    <row r="831" spans="1:2" x14ac:dyDescent="0.25">
      <c r="A831" s="83">
        <f t="shared" si="34"/>
        <v>53</v>
      </c>
      <c r="B831" s="89"/>
    </row>
    <row r="832" spans="1:2" x14ac:dyDescent="0.25">
      <c r="A832" s="83">
        <f t="shared" si="34"/>
        <v>53</v>
      </c>
      <c r="B832" s="89"/>
    </row>
    <row r="833" spans="1:2" x14ac:dyDescent="0.25">
      <c r="A833" s="83">
        <f t="shared" si="34"/>
        <v>53</v>
      </c>
      <c r="B833" s="89"/>
    </row>
    <row r="834" spans="1:2" x14ac:dyDescent="0.25">
      <c r="A834" s="83">
        <f t="shared" si="34"/>
        <v>53</v>
      </c>
      <c r="B834" s="89"/>
    </row>
    <row r="835" spans="1:2" x14ac:dyDescent="0.25">
      <c r="A835" s="83">
        <f t="shared" si="34"/>
        <v>53</v>
      </c>
      <c r="B835" s="89"/>
    </row>
    <row r="836" spans="1:2" x14ac:dyDescent="0.25">
      <c r="A836" s="83">
        <f t="shared" si="34"/>
        <v>53</v>
      </c>
      <c r="B836" s="89"/>
    </row>
    <row r="837" spans="1:2" x14ac:dyDescent="0.25">
      <c r="A837" s="83">
        <f t="shared" si="34"/>
        <v>53</v>
      </c>
      <c r="B837" s="89"/>
    </row>
    <row r="838" spans="1:2" x14ac:dyDescent="0.25">
      <c r="A838" s="83">
        <f t="shared" si="34"/>
        <v>53</v>
      </c>
      <c r="B838" s="89"/>
    </row>
    <row r="839" spans="1:2" x14ac:dyDescent="0.25">
      <c r="A839" s="83">
        <f t="shared" si="34"/>
        <v>53</v>
      </c>
      <c r="B839" s="89"/>
    </row>
    <row r="840" spans="1:2" x14ac:dyDescent="0.25">
      <c r="A840" s="83">
        <f t="shared" si="34"/>
        <v>53</v>
      </c>
      <c r="B840" s="89"/>
    </row>
    <row r="841" spans="1:2" x14ac:dyDescent="0.25">
      <c r="A841" s="83">
        <f t="shared" si="34"/>
        <v>53</v>
      </c>
      <c r="B841" s="89"/>
    </row>
    <row r="842" spans="1:2" x14ac:dyDescent="0.25">
      <c r="A842" s="83">
        <f t="shared" si="34"/>
        <v>53</v>
      </c>
      <c r="B842" s="89"/>
    </row>
    <row r="843" spans="1:2" x14ac:dyDescent="0.25">
      <c r="A843" s="83">
        <f t="shared" si="34"/>
        <v>53</v>
      </c>
      <c r="B843" s="89"/>
    </row>
    <row r="844" spans="1:2" x14ac:dyDescent="0.25">
      <c r="A844" s="83">
        <f t="shared" si="34"/>
        <v>53</v>
      </c>
      <c r="B844" s="89"/>
    </row>
    <row r="845" spans="1:2" x14ac:dyDescent="0.25">
      <c r="A845" s="83">
        <f t="shared" si="34"/>
        <v>53</v>
      </c>
      <c r="B845" s="89"/>
    </row>
    <row r="846" spans="1:2" x14ac:dyDescent="0.25">
      <c r="A846" s="83">
        <f t="shared" si="34"/>
        <v>53</v>
      </c>
      <c r="B846" s="89"/>
    </row>
    <row r="847" spans="1:2" x14ac:dyDescent="0.25">
      <c r="A847" s="83">
        <f t="shared" si="34"/>
        <v>53</v>
      </c>
      <c r="B847" s="89"/>
    </row>
    <row r="848" spans="1:2" x14ac:dyDescent="0.25">
      <c r="A848" s="83">
        <f t="shared" si="34"/>
        <v>53</v>
      </c>
      <c r="B848" s="89"/>
    </row>
    <row r="849" spans="1:2" x14ac:dyDescent="0.25">
      <c r="A849" s="83">
        <f t="shared" si="34"/>
        <v>53</v>
      </c>
      <c r="B849" s="89"/>
    </row>
    <row r="850" spans="1:2" x14ac:dyDescent="0.25">
      <c r="A850" s="83">
        <f t="shared" si="34"/>
        <v>53</v>
      </c>
      <c r="B850" s="89"/>
    </row>
    <row r="851" spans="1:2" x14ac:dyDescent="0.25">
      <c r="A851" s="83">
        <f t="shared" si="34"/>
        <v>53</v>
      </c>
      <c r="B851" s="89"/>
    </row>
    <row r="852" spans="1:2" x14ac:dyDescent="0.25">
      <c r="A852" s="83">
        <f t="shared" si="34"/>
        <v>53</v>
      </c>
      <c r="B852" s="89"/>
    </row>
    <row r="853" spans="1:2" x14ac:dyDescent="0.25">
      <c r="A853" s="83">
        <f t="shared" si="34"/>
        <v>53</v>
      </c>
      <c r="B853" s="89"/>
    </row>
    <row r="854" spans="1:2" x14ac:dyDescent="0.25">
      <c r="A854" s="83">
        <f t="shared" si="34"/>
        <v>53</v>
      </c>
      <c r="B854" s="89"/>
    </row>
    <row r="855" spans="1:2" x14ac:dyDescent="0.25">
      <c r="A855" s="83">
        <f t="shared" si="34"/>
        <v>53</v>
      </c>
      <c r="B855" s="89"/>
    </row>
    <row r="856" spans="1:2" x14ac:dyDescent="0.25">
      <c r="A856" s="83">
        <f t="shared" si="34"/>
        <v>53</v>
      </c>
      <c r="B856" s="89"/>
    </row>
    <row r="857" spans="1:2" x14ac:dyDescent="0.25">
      <c r="A857" s="83">
        <f t="shared" si="34"/>
        <v>53</v>
      </c>
      <c r="B857" s="89"/>
    </row>
    <row r="858" spans="1:2" x14ac:dyDescent="0.25">
      <c r="A858" s="83">
        <f t="shared" si="34"/>
        <v>53</v>
      </c>
      <c r="B858" s="89"/>
    </row>
    <row r="859" spans="1:2" x14ac:dyDescent="0.25">
      <c r="A859" s="83">
        <f t="shared" si="34"/>
        <v>53</v>
      </c>
      <c r="B859" s="89"/>
    </row>
    <row r="860" spans="1:2" x14ac:dyDescent="0.25">
      <c r="A860" s="83">
        <f t="shared" si="34"/>
        <v>53</v>
      </c>
      <c r="B860" s="89"/>
    </row>
    <row r="861" spans="1:2" x14ac:dyDescent="0.25">
      <c r="A861" s="83">
        <f t="shared" si="34"/>
        <v>53</v>
      </c>
      <c r="B861" s="89"/>
    </row>
    <row r="862" spans="1:2" x14ac:dyDescent="0.25">
      <c r="A862" s="83">
        <f t="shared" si="34"/>
        <v>53</v>
      </c>
      <c r="B862" s="89"/>
    </row>
    <row r="863" spans="1:2" x14ac:dyDescent="0.25">
      <c r="A863" s="83">
        <f t="shared" si="34"/>
        <v>53</v>
      </c>
      <c r="B863" s="89"/>
    </row>
    <row r="864" spans="1:2" x14ac:dyDescent="0.25">
      <c r="A864" s="83">
        <f t="shared" si="34"/>
        <v>53</v>
      </c>
      <c r="B864" s="89"/>
    </row>
    <row r="865" spans="1:2" x14ac:dyDescent="0.25">
      <c r="A865" s="83">
        <f t="shared" si="34"/>
        <v>53</v>
      </c>
      <c r="B865" s="89"/>
    </row>
    <row r="866" spans="1:2" x14ac:dyDescent="0.25">
      <c r="A866" s="83">
        <f t="shared" si="34"/>
        <v>53</v>
      </c>
      <c r="B866" s="89"/>
    </row>
    <row r="867" spans="1:2" x14ac:dyDescent="0.25">
      <c r="A867" s="83">
        <f t="shared" si="34"/>
        <v>53</v>
      </c>
      <c r="B867" s="89"/>
    </row>
    <row r="868" spans="1:2" x14ac:dyDescent="0.25">
      <c r="A868" s="83">
        <f t="shared" si="34"/>
        <v>53</v>
      </c>
      <c r="B868" s="89"/>
    </row>
    <row r="869" spans="1:2" x14ac:dyDescent="0.25">
      <c r="A869" s="83">
        <f t="shared" si="34"/>
        <v>53</v>
      </c>
      <c r="B869" s="89"/>
    </row>
    <row r="870" spans="1:2" x14ac:dyDescent="0.25">
      <c r="A870" s="83">
        <f t="shared" si="34"/>
        <v>53</v>
      </c>
      <c r="B870" s="89"/>
    </row>
    <row r="871" spans="1:2" x14ac:dyDescent="0.25">
      <c r="A871" s="83">
        <f t="shared" si="34"/>
        <v>53</v>
      </c>
      <c r="B871" s="89"/>
    </row>
    <row r="872" spans="1:2" x14ac:dyDescent="0.25">
      <c r="A872" s="83">
        <f t="shared" si="34"/>
        <v>53</v>
      </c>
      <c r="B872" s="89"/>
    </row>
    <row r="873" spans="1:2" x14ac:dyDescent="0.25">
      <c r="A873" s="83">
        <f t="shared" si="34"/>
        <v>53</v>
      </c>
      <c r="B873" s="89"/>
    </row>
    <row r="874" spans="1:2" x14ac:dyDescent="0.25">
      <c r="A874" s="83">
        <f t="shared" si="34"/>
        <v>53</v>
      </c>
      <c r="B874" s="89"/>
    </row>
    <row r="875" spans="1:2" x14ac:dyDescent="0.25">
      <c r="A875" s="83">
        <f t="shared" si="34"/>
        <v>53</v>
      </c>
      <c r="B875" s="89"/>
    </row>
    <row r="876" spans="1:2" x14ac:dyDescent="0.25">
      <c r="A876" s="83">
        <f t="shared" si="34"/>
        <v>53</v>
      </c>
      <c r="B876" s="89"/>
    </row>
    <row r="877" spans="1:2" x14ac:dyDescent="0.25">
      <c r="A877" s="83">
        <f t="shared" si="34"/>
        <v>53</v>
      </c>
      <c r="B877" s="89"/>
    </row>
    <row r="878" spans="1:2" x14ac:dyDescent="0.25">
      <c r="A878" s="83">
        <f t="shared" si="34"/>
        <v>53</v>
      </c>
      <c r="B878" s="89"/>
    </row>
    <row r="879" spans="1:2" x14ac:dyDescent="0.25">
      <c r="A879" s="83">
        <f t="shared" si="34"/>
        <v>53</v>
      </c>
      <c r="B879" s="89"/>
    </row>
    <row r="880" spans="1:2" x14ac:dyDescent="0.25">
      <c r="A880" s="83">
        <f t="shared" si="34"/>
        <v>53</v>
      </c>
      <c r="B880" s="89"/>
    </row>
    <row r="881" spans="1:2" x14ac:dyDescent="0.25">
      <c r="A881" s="83">
        <f t="shared" si="34"/>
        <v>53</v>
      </c>
      <c r="B881" s="89"/>
    </row>
    <row r="882" spans="1:2" x14ac:dyDescent="0.25">
      <c r="A882" s="83">
        <f t="shared" si="34"/>
        <v>53</v>
      </c>
      <c r="B882" s="89"/>
    </row>
    <row r="883" spans="1:2" x14ac:dyDescent="0.25">
      <c r="A883" s="83">
        <f t="shared" si="34"/>
        <v>53</v>
      </c>
      <c r="B883" s="89"/>
    </row>
    <row r="884" spans="1:2" x14ac:dyDescent="0.25">
      <c r="A884" s="83">
        <f t="shared" si="34"/>
        <v>53</v>
      </c>
      <c r="B884" s="89"/>
    </row>
    <row r="885" spans="1:2" x14ac:dyDescent="0.25">
      <c r="A885" s="83">
        <f t="shared" si="34"/>
        <v>53</v>
      </c>
      <c r="B885" s="89"/>
    </row>
    <row r="886" spans="1:2" x14ac:dyDescent="0.25">
      <c r="A886" s="83">
        <f t="shared" ref="A886:A949" si="35">WEEKNUM(B886,21)</f>
        <v>53</v>
      </c>
      <c r="B886" s="89"/>
    </row>
    <row r="887" spans="1:2" x14ac:dyDescent="0.25">
      <c r="A887" s="83">
        <f t="shared" si="35"/>
        <v>53</v>
      </c>
      <c r="B887" s="89"/>
    </row>
    <row r="888" spans="1:2" x14ac:dyDescent="0.25">
      <c r="A888" s="83">
        <f t="shared" si="35"/>
        <v>53</v>
      </c>
      <c r="B888" s="89"/>
    </row>
    <row r="889" spans="1:2" x14ac:dyDescent="0.25">
      <c r="A889" s="83">
        <f t="shared" si="35"/>
        <v>53</v>
      </c>
      <c r="B889" s="89"/>
    </row>
    <row r="890" spans="1:2" x14ac:dyDescent="0.25">
      <c r="A890" s="83">
        <f t="shared" si="35"/>
        <v>53</v>
      </c>
      <c r="B890" s="89"/>
    </row>
    <row r="891" spans="1:2" x14ac:dyDescent="0.25">
      <c r="A891" s="83">
        <f t="shared" si="35"/>
        <v>53</v>
      </c>
      <c r="B891" s="89"/>
    </row>
    <row r="892" spans="1:2" x14ac:dyDescent="0.25">
      <c r="A892" s="83">
        <f t="shared" si="35"/>
        <v>53</v>
      </c>
      <c r="B892" s="89"/>
    </row>
    <row r="893" spans="1:2" x14ac:dyDescent="0.25">
      <c r="A893" s="83">
        <f t="shared" si="35"/>
        <v>53</v>
      </c>
      <c r="B893" s="89"/>
    </row>
    <row r="894" spans="1:2" x14ac:dyDescent="0.25">
      <c r="A894" s="83">
        <f t="shared" si="35"/>
        <v>53</v>
      </c>
      <c r="B894" s="89"/>
    </row>
    <row r="895" spans="1:2" x14ac:dyDescent="0.25">
      <c r="A895" s="83">
        <f t="shared" si="35"/>
        <v>53</v>
      </c>
      <c r="B895" s="89"/>
    </row>
    <row r="896" spans="1:2" x14ac:dyDescent="0.25">
      <c r="A896" s="83">
        <f t="shared" si="35"/>
        <v>53</v>
      </c>
      <c r="B896" s="89"/>
    </row>
    <row r="897" spans="1:2" x14ac:dyDescent="0.25">
      <c r="A897" s="83">
        <f t="shared" si="35"/>
        <v>53</v>
      </c>
      <c r="B897" s="89"/>
    </row>
    <row r="898" spans="1:2" x14ac:dyDescent="0.25">
      <c r="A898" s="83">
        <f t="shared" si="35"/>
        <v>53</v>
      </c>
      <c r="B898" s="89"/>
    </row>
    <row r="899" spans="1:2" x14ac:dyDescent="0.25">
      <c r="A899" s="83">
        <f t="shared" si="35"/>
        <v>53</v>
      </c>
      <c r="B899" s="89"/>
    </row>
    <row r="900" spans="1:2" x14ac:dyDescent="0.25">
      <c r="A900" s="83">
        <f t="shared" si="35"/>
        <v>53</v>
      </c>
      <c r="B900" s="89"/>
    </row>
    <row r="901" spans="1:2" x14ac:dyDescent="0.25">
      <c r="A901" s="83">
        <f t="shared" si="35"/>
        <v>53</v>
      </c>
      <c r="B901" s="89"/>
    </row>
    <row r="902" spans="1:2" x14ac:dyDescent="0.25">
      <c r="A902" s="83">
        <f t="shared" si="35"/>
        <v>53</v>
      </c>
      <c r="B902" s="89"/>
    </row>
    <row r="903" spans="1:2" x14ac:dyDescent="0.25">
      <c r="A903" s="83">
        <f t="shared" si="35"/>
        <v>53</v>
      </c>
      <c r="B903" s="89"/>
    </row>
    <row r="904" spans="1:2" x14ac:dyDescent="0.25">
      <c r="A904" s="83">
        <f t="shared" si="35"/>
        <v>53</v>
      </c>
      <c r="B904" s="89"/>
    </row>
    <row r="905" spans="1:2" x14ac:dyDescent="0.25">
      <c r="A905" s="83">
        <f t="shared" si="35"/>
        <v>53</v>
      </c>
      <c r="B905" s="89"/>
    </row>
    <row r="906" spans="1:2" x14ac:dyDescent="0.25">
      <c r="A906" s="83">
        <f t="shared" si="35"/>
        <v>53</v>
      </c>
      <c r="B906" s="89"/>
    </row>
    <row r="907" spans="1:2" x14ac:dyDescent="0.25">
      <c r="A907" s="83">
        <f t="shared" si="35"/>
        <v>53</v>
      </c>
      <c r="B907" s="89"/>
    </row>
    <row r="908" spans="1:2" x14ac:dyDescent="0.25">
      <c r="A908" s="83">
        <f t="shared" si="35"/>
        <v>53</v>
      </c>
      <c r="B908" s="89"/>
    </row>
    <row r="909" spans="1:2" x14ac:dyDescent="0.25">
      <c r="A909" s="83">
        <f t="shared" si="35"/>
        <v>53</v>
      </c>
      <c r="B909" s="89"/>
    </row>
    <row r="910" spans="1:2" x14ac:dyDescent="0.25">
      <c r="A910" s="83">
        <f t="shared" si="35"/>
        <v>53</v>
      </c>
      <c r="B910" s="89"/>
    </row>
    <row r="911" spans="1:2" x14ac:dyDescent="0.25">
      <c r="A911" s="83">
        <f t="shared" si="35"/>
        <v>53</v>
      </c>
      <c r="B911" s="89"/>
    </row>
    <row r="912" spans="1:2" x14ac:dyDescent="0.25">
      <c r="A912" s="83">
        <f t="shared" si="35"/>
        <v>53</v>
      </c>
      <c r="B912" s="89"/>
    </row>
    <row r="913" spans="1:2" x14ac:dyDescent="0.25">
      <c r="A913" s="83">
        <f t="shared" si="35"/>
        <v>53</v>
      </c>
      <c r="B913" s="89"/>
    </row>
    <row r="914" spans="1:2" x14ac:dyDescent="0.25">
      <c r="A914" s="83">
        <f t="shared" si="35"/>
        <v>53</v>
      </c>
      <c r="B914" s="89"/>
    </row>
    <row r="915" spans="1:2" x14ac:dyDescent="0.25">
      <c r="A915" s="83">
        <f t="shared" si="35"/>
        <v>53</v>
      </c>
      <c r="B915" s="89"/>
    </row>
    <row r="916" spans="1:2" x14ac:dyDescent="0.25">
      <c r="A916" s="83">
        <f t="shared" si="35"/>
        <v>53</v>
      </c>
      <c r="B916" s="89"/>
    </row>
    <row r="917" spans="1:2" x14ac:dyDescent="0.25">
      <c r="A917" s="83">
        <f t="shared" si="35"/>
        <v>53</v>
      </c>
      <c r="B917" s="89"/>
    </row>
    <row r="918" spans="1:2" x14ac:dyDescent="0.25">
      <c r="A918" s="83">
        <f t="shared" si="35"/>
        <v>53</v>
      </c>
      <c r="B918" s="89"/>
    </row>
    <row r="919" spans="1:2" x14ac:dyDescent="0.25">
      <c r="A919" s="83">
        <f t="shared" si="35"/>
        <v>53</v>
      </c>
      <c r="B919" s="89"/>
    </row>
    <row r="920" spans="1:2" x14ac:dyDescent="0.25">
      <c r="A920" s="83">
        <f t="shared" si="35"/>
        <v>53</v>
      </c>
      <c r="B920" s="89"/>
    </row>
    <row r="921" spans="1:2" x14ac:dyDescent="0.25">
      <c r="A921" s="83">
        <f t="shared" si="35"/>
        <v>53</v>
      </c>
      <c r="B921" s="89"/>
    </row>
    <row r="922" spans="1:2" x14ac:dyDescent="0.25">
      <c r="A922" s="83">
        <f t="shared" si="35"/>
        <v>53</v>
      </c>
      <c r="B922" s="89"/>
    </row>
    <row r="923" spans="1:2" x14ac:dyDescent="0.25">
      <c r="A923" s="83">
        <f t="shared" si="35"/>
        <v>53</v>
      </c>
      <c r="B923" s="89"/>
    </row>
    <row r="924" spans="1:2" x14ac:dyDescent="0.25">
      <c r="A924" s="83">
        <f t="shared" si="35"/>
        <v>53</v>
      </c>
      <c r="B924" s="89"/>
    </row>
    <row r="925" spans="1:2" x14ac:dyDescent="0.25">
      <c r="A925" s="83">
        <f t="shared" si="35"/>
        <v>53</v>
      </c>
      <c r="B925" s="89"/>
    </row>
    <row r="926" spans="1:2" x14ac:dyDescent="0.25">
      <c r="A926" s="83">
        <f t="shared" si="35"/>
        <v>53</v>
      </c>
      <c r="B926" s="89"/>
    </row>
    <row r="927" spans="1:2" x14ac:dyDescent="0.25">
      <c r="A927" s="83">
        <f t="shared" si="35"/>
        <v>53</v>
      </c>
      <c r="B927" s="89"/>
    </row>
    <row r="928" spans="1:2" x14ac:dyDescent="0.25">
      <c r="A928" s="83">
        <f t="shared" si="35"/>
        <v>53</v>
      </c>
      <c r="B928" s="89"/>
    </row>
    <row r="929" spans="1:2" x14ac:dyDescent="0.25">
      <c r="A929" s="83">
        <f t="shared" si="35"/>
        <v>53</v>
      </c>
      <c r="B929" s="89"/>
    </row>
    <row r="930" spans="1:2" x14ac:dyDescent="0.25">
      <c r="A930" s="83">
        <f t="shared" si="35"/>
        <v>53</v>
      </c>
      <c r="B930" s="89"/>
    </row>
    <row r="931" spans="1:2" x14ac:dyDescent="0.25">
      <c r="A931" s="83">
        <f t="shared" si="35"/>
        <v>53</v>
      </c>
      <c r="B931" s="89"/>
    </row>
    <row r="932" spans="1:2" x14ac:dyDescent="0.25">
      <c r="A932" s="83">
        <f t="shared" si="35"/>
        <v>53</v>
      </c>
      <c r="B932" s="89"/>
    </row>
    <row r="933" spans="1:2" x14ac:dyDescent="0.25">
      <c r="A933" s="83">
        <f t="shared" si="35"/>
        <v>53</v>
      </c>
      <c r="B933" s="89"/>
    </row>
    <row r="934" spans="1:2" x14ac:dyDescent="0.25">
      <c r="A934" s="83">
        <f t="shared" si="35"/>
        <v>53</v>
      </c>
      <c r="B934" s="89"/>
    </row>
    <row r="935" spans="1:2" x14ac:dyDescent="0.25">
      <c r="A935" s="83">
        <f t="shared" si="35"/>
        <v>53</v>
      </c>
      <c r="B935" s="89"/>
    </row>
    <row r="936" spans="1:2" x14ac:dyDescent="0.25">
      <c r="A936" s="83">
        <f t="shared" si="35"/>
        <v>53</v>
      </c>
      <c r="B936" s="89"/>
    </row>
    <row r="937" spans="1:2" x14ac:dyDescent="0.25">
      <c r="A937" s="83">
        <f t="shared" si="35"/>
        <v>53</v>
      </c>
      <c r="B937" s="89"/>
    </row>
    <row r="938" spans="1:2" x14ac:dyDescent="0.25">
      <c r="A938" s="83">
        <f t="shared" si="35"/>
        <v>53</v>
      </c>
      <c r="B938" s="89"/>
    </row>
    <row r="939" spans="1:2" x14ac:dyDescent="0.25">
      <c r="A939" s="83">
        <f t="shared" si="35"/>
        <v>53</v>
      </c>
      <c r="B939" s="89"/>
    </row>
    <row r="940" spans="1:2" x14ac:dyDescent="0.25">
      <c r="A940" s="83">
        <f t="shared" si="35"/>
        <v>53</v>
      </c>
      <c r="B940" s="89"/>
    </row>
    <row r="941" spans="1:2" x14ac:dyDescent="0.25">
      <c r="A941" s="83">
        <f t="shared" si="35"/>
        <v>53</v>
      </c>
      <c r="B941" s="89"/>
    </row>
    <row r="942" spans="1:2" x14ac:dyDescent="0.25">
      <c r="A942" s="83">
        <f t="shared" si="35"/>
        <v>53</v>
      </c>
      <c r="B942" s="89"/>
    </row>
    <row r="943" spans="1:2" x14ac:dyDescent="0.25">
      <c r="A943" s="83">
        <f t="shared" si="35"/>
        <v>53</v>
      </c>
      <c r="B943" s="89"/>
    </row>
    <row r="944" spans="1:2" x14ac:dyDescent="0.25">
      <c r="A944" s="83">
        <f t="shared" si="35"/>
        <v>53</v>
      </c>
      <c r="B944" s="89"/>
    </row>
    <row r="945" spans="1:2" x14ac:dyDescent="0.25">
      <c r="A945" s="83">
        <f t="shared" si="35"/>
        <v>53</v>
      </c>
      <c r="B945" s="89"/>
    </row>
    <row r="946" spans="1:2" x14ac:dyDescent="0.25">
      <c r="A946" s="83">
        <f t="shared" si="35"/>
        <v>53</v>
      </c>
      <c r="B946" s="89"/>
    </row>
    <row r="947" spans="1:2" x14ac:dyDescent="0.25">
      <c r="A947" s="83">
        <f t="shared" si="35"/>
        <v>53</v>
      </c>
      <c r="B947" s="89"/>
    </row>
    <row r="948" spans="1:2" x14ac:dyDescent="0.25">
      <c r="A948" s="83">
        <f t="shared" si="35"/>
        <v>53</v>
      </c>
      <c r="B948" s="89"/>
    </row>
    <row r="949" spans="1:2" x14ac:dyDescent="0.25">
      <c r="A949" s="83">
        <f t="shared" si="35"/>
        <v>53</v>
      </c>
      <c r="B949" s="89"/>
    </row>
    <row r="950" spans="1:2" x14ac:dyDescent="0.25">
      <c r="A950" s="83">
        <f t="shared" ref="A950:A1013" si="36">WEEKNUM(B950,21)</f>
        <v>53</v>
      </c>
      <c r="B950" s="89"/>
    </row>
    <row r="951" spans="1:2" x14ac:dyDescent="0.25">
      <c r="A951" s="83">
        <f t="shared" si="36"/>
        <v>53</v>
      </c>
      <c r="B951" s="89"/>
    </row>
    <row r="952" spans="1:2" x14ac:dyDescent="0.25">
      <c r="A952" s="83">
        <f t="shared" si="36"/>
        <v>53</v>
      </c>
      <c r="B952" s="89"/>
    </row>
    <row r="953" spans="1:2" x14ac:dyDescent="0.25">
      <c r="A953" s="83">
        <f t="shared" si="36"/>
        <v>53</v>
      </c>
      <c r="B953" s="89"/>
    </row>
    <row r="954" spans="1:2" x14ac:dyDescent="0.25">
      <c r="A954" s="83">
        <f t="shared" si="36"/>
        <v>53</v>
      </c>
      <c r="B954" s="89"/>
    </row>
    <row r="955" spans="1:2" x14ac:dyDescent="0.25">
      <c r="A955" s="83">
        <f t="shared" si="36"/>
        <v>53</v>
      </c>
      <c r="B955" s="89"/>
    </row>
    <row r="956" spans="1:2" x14ac:dyDescent="0.25">
      <c r="A956" s="83">
        <f t="shared" si="36"/>
        <v>53</v>
      </c>
      <c r="B956" s="89"/>
    </row>
    <row r="957" spans="1:2" x14ac:dyDescent="0.25">
      <c r="A957" s="83">
        <f t="shared" si="36"/>
        <v>53</v>
      </c>
      <c r="B957" s="89"/>
    </row>
    <row r="958" spans="1:2" x14ac:dyDescent="0.25">
      <c r="A958" s="83">
        <f t="shared" si="36"/>
        <v>53</v>
      </c>
      <c r="B958" s="89"/>
    </row>
    <row r="959" spans="1:2" x14ac:dyDescent="0.25">
      <c r="A959" s="83">
        <f t="shared" si="36"/>
        <v>53</v>
      </c>
      <c r="B959" s="89"/>
    </row>
    <row r="960" spans="1:2" x14ac:dyDescent="0.25">
      <c r="A960" s="83">
        <f t="shared" si="36"/>
        <v>53</v>
      </c>
      <c r="B960" s="89"/>
    </row>
    <row r="961" spans="1:2" x14ac:dyDescent="0.25">
      <c r="A961" s="83">
        <f t="shared" si="36"/>
        <v>53</v>
      </c>
      <c r="B961" s="89"/>
    </row>
    <row r="962" spans="1:2" x14ac:dyDescent="0.25">
      <c r="A962" s="83">
        <f t="shared" si="36"/>
        <v>53</v>
      </c>
      <c r="B962" s="89"/>
    </row>
    <row r="963" spans="1:2" x14ac:dyDescent="0.25">
      <c r="A963" s="83">
        <f t="shared" si="36"/>
        <v>53</v>
      </c>
      <c r="B963" s="89"/>
    </row>
    <row r="964" spans="1:2" x14ac:dyDescent="0.25">
      <c r="A964" s="83">
        <f t="shared" si="36"/>
        <v>53</v>
      </c>
      <c r="B964" s="89"/>
    </row>
    <row r="965" spans="1:2" x14ac:dyDescent="0.25">
      <c r="A965" s="83">
        <f t="shared" si="36"/>
        <v>53</v>
      </c>
      <c r="B965" s="89"/>
    </row>
    <row r="966" spans="1:2" x14ac:dyDescent="0.25">
      <c r="A966" s="83">
        <f t="shared" si="36"/>
        <v>53</v>
      </c>
      <c r="B966" s="89"/>
    </row>
    <row r="967" spans="1:2" x14ac:dyDescent="0.25">
      <c r="A967" s="83">
        <f t="shared" si="36"/>
        <v>53</v>
      </c>
      <c r="B967" s="89"/>
    </row>
    <row r="968" spans="1:2" x14ac:dyDescent="0.25">
      <c r="A968" s="83">
        <f t="shared" si="36"/>
        <v>53</v>
      </c>
      <c r="B968" s="89"/>
    </row>
    <row r="969" spans="1:2" x14ac:dyDescent="0.25">
      <c r="A969" s="83">
        <f t="shared" si="36"/>
        <v>53</v>
      </c>
      <c r="B969" s="89"/>
    </row>
    <row r="970" spans="1:2" x14ac:dyDescent="0.25">
      <c r="A970" s="83">
        <f t="shared" si="36"/>
        <v>53</v>
      </c>
      <c r="B970" s="89"/>
    </row>
    <row r="971" spans="1:2" x14ac:dyDescent="0.25">
      <c r="A971" s="83">
        <f t="shared" si="36"/>
        <v>53</v>
      </c>
      <c r="B971" s="89"/>
    </row>
    <row r="972" spans="1:2" x14ac:dyDescent="0.25">
      <c r="A972" s="83">
        <f t="shared" si="36"/>
        <v>53</v>
      </c>
      <c r="B972" s="89"/>
    </row>
    <row r="973" spans="1:2" x14ac:dyDescent="0.25">
      <c r="A973" s="83">
        <f t="shared" si="36"/>
        <v>53</v>
      </c>
      <c r="B973" s="89"/>
    </row>
    <row r="974" spans="1:2" x14ac:dyDescent="0.25">
      <c r="A974" s="83">
        <f t="shared" si="36"/>
        <v>53</v>
      </c>
      <c r="B974" s="89"/>
    </row>
    <row r="975" spans="1:2" x14ac:dyDescent="0.25">
      <c r="A975" s="83">
        <f t="shared" si="36"/>
        <v>53</v>
      </c>
      <c r="B975" s="89"/>
    </row>
    <row r="976" spans="1:2" x14ac:dyDescent="0.25">
      <c r="A976" s="83">
        <f t="shared" si="36"/>
        <v>53</v>
      </c>
      <c r="B976" s="89"/>
    </row>
    <row r="977" spans="1:2" x14ac:dyDescent="0.25">
      <c r="A977" s="83">
        <f t="shared" si="36"/>
        <v>53</v>
      </c>
      <c r="B977" s="89"/>
    </row>
    <row r="978" spans="1:2" x14ac:dyDescent="0.25">
      <c r="A978" s="83">
        <f t="shared" si="36"/>
        <v>53</v>
      </c>
      <c r="B978" s="89"/>
    </row>
    <row r="979" spans="1:2" x14ac:dyDescent="0.25">
      <c r="A979" s="83">
        <f t="shared" si="36"/>
        <v>53</v>
      </c>
      <c r="B979" s="89"/>
    </row>
    <row r="980" spans="1:2" x14ac:dyDescent="0.25">
      <c r="A980" s="83">
        <f t="shared" si="36"/>
        <v>53</v>
      </c>
      <c r="B980" s="89"/>
    </row>
    <row r="981" spans="1:2" x14ac:dyDescent="0.25">
      <c r="A981" s="83">
        <f t="shared" si="36"/>
        <v>53</v>
      </c>
      <c r="B981" s="89"/>
    </row>
    <row r="982" spans="1:2" x14ac:dyDescent="0.25">
      <c r="A982" s="83">
        <f t="shared" si="36"/>
        <v>53</v>
      </c>
      <c r="B982" s="89"/>
    </row>
    <row r="983" spans="1:2" x14ac:dyDescent="0.25">
      <c r="A983" s="83">
        <f t="shared" si="36"/>
        <v>53</v>
      </c>
      <c r="B983" s="89"/>
    </row>
    <row r="984" spans="1:2" x14ac:dyDescent="0.25">
      <c r="A984" s="83">
        <f t="shared" si="36"/>
        <v>53</v>
      </c>
      <c r="B984" s="89"/>
    </row>
    <row r="985" spans="1:2" x14ac:dyDescent="0.25">
      <c r="A985" s="83">
        <f t="shared" si="36"/>
        <v>53</v>
      </c>
      <c r="B985" s="89"/>
    </row>
    <row r="986" spans="1:2" x14ac:dyDescent="0.25">
      <c r="A986" s="83">
        <f t="shared" si="36"/>
        <v>53</v>
      </c>
      <c r="B986" s="89"/>
    </row>
    <row r="987" spans="1:2" x14ac:dyDescent="0.25">
      <c r="A987" s="83">
        <f t="shared" si="36"/>
        <v>53</v>
      </c>
      <c r="B987" s="89"/>
    </row>
    <row r="988" spans="1:2" x14ac:dyDescent="0.25">
      <c r="A988" s="83">
        <f t="shared" si="36"/>
        <v>53</v>
      </c>
      <c r="B988" s="89"/>
    </row>
    <row r="989" spans="1:2" x14ac:dyDescent="0.25">
      <c r="A989" s="83">
        <f t="shared" si="36"/>
        <v>53</v>
      </c>
      <c r="B989" s="89"/>
    </row>
    <row r="990" spans="1:2" x14ac:dyDescent="0.25">
      <c r="A990" s="83">
        <f t="shared" si="36"/>
        <v>53</v>
      </c>
      <c r="B990" s="89"/>
    </row>
    <row r="991" spans="1:2" x14ac:dyDescent="0.25">
      <c r="A991" s="83">
        <f t="shared" si="36"/>
        <v>53</v>
      </c>
      <c r="B991" s="89"/>
    </row>
    <row r="992" spans="1:2" x14ac:dyDescent="0.25">
      <c r="A992" s="83">
        <f t="shared" si="36"/>
        <v>53</v>
      </c>
      <c r="B992" s="89"/>
    </row>
    <row r="993" spans="1:2" x14ac:dyDescent="0.25">
      <c r="A993" s="83">
        <f t="shared" si="36"/>
        <v>53</v>
      </c>
      <c r="B993" s="89"/>
    </row>
    <row r="994" spans="1:2" x14ac:dyDescent="0.25">
      <c r="A994" s="83">
        <f t="shared" si="36"/>
        <v>53</v>
      </c>
      <c r="B994" s="89"/>
    </row>
    <row r="995" spans="1:2" x14ac:dyDescent="0.25">
      <c r="A995" s="83">
        <f t="shared" si="36"/>
        <v>53</v>
      </c>
      <c r="B995" s="89"/>
    </row>
    <row r="996" spans="1:2" x14ac:dyDescent="0.25">
      <c r="A996" s="83">
        <f t="shared" si="36"/>
        <v>53</v>
      </c>
      <c r="B996" s="89"/>
    </row>
    <row r="997" spans="1:2" x14ac:dyDescent="0.25">
      <c r="A997" s="83">
        <f t="shared" si="36"/>
        <v>53</v>
      </c>
      <c r="B997" s="89"/>
    </row>
    <row r="998" spans="1:2" x14ac:dyDescent="0.25">
      <c r="A998" s="83">
        <f t="shared" si="36"/>
        <v>53</v>
      </c>
      <c r="B998" s="89"/>
    </row>
    <row r="999" spans="1:2" x14ac:dyDescent="0.25">
      <c r="A999" s="83">
        <f t="shared" si="36"/>
        <v>53</v>
      </c>
      <c r="B999" s="89"/>
    </row>
    <row r="1000" spans="1:2" x14ac:dyDescent="0.25">
      <c r="A1000" s="83">
        <f t="shared" si="36"/>
        <v>53</v>
      </c>
      <c r="B1000" s="89"/>
    </row>
    <row r="1001" spans="1:2" x14ac:dyDescent="0.25">
      <c r="A1001" s="83">
        <f t="shared" si="36"/>
        <v>53</v>
      </c>
      <c r="B1001" s="89"/>
    </row>
    <row r="1002" spans="1:2" x14ac:dyDescent="0.25">
      <c r="A1002" s="83">
        <f t="shared" si="36"/>
        <v>53</v>
      </c>
      <c r="B1002" s="89"/>
    </row>
    <row r="1003" spans="1:2" x14ac:dyDescent="0.25">
      <c r="A1003" s="83">
        <f t="shared" si="36"/>
        <v>53</v>
      </c>
      <c r="B1003" s="89"/>
    </row>
    <row r="1004" spans="1:2" x14ac:dyDescent="0.25">
      <c r="A1004" s="83">
        <f t="shared" si="36"/>
        <v>53</v>
      </c>
      <c r="B1004" s="89"/>
    </row>
    <row r="1005" spans="1:2" x14ac:dyDescent="0.25">
      <c r="A1005" s="83">
        <f t="shared" si="36"/>
        <v>53</v>
      </c>
      <c r="B1005" s="89"/>
    </row>
    <row r="1006" spans="1:2" x14ac:dyDescent="0.25">
      <c r="A1006" s="83">
        <f t="shared" si="36"/>
        <v>53</v>
      </c>
      <c r="B1006" s="89"/>
    </row>
    <row r="1007" spans="1:2" x14ac:dyDescent="0.25">
      <c r="A1007" s="83">
        <f t="shared" si="36"/>
        <v>53</v>
      </c>
      <c r="B1007" s="89"/>
    </row>
    <row r="1008" spans="1:2" x14ac:dyDescent="0.25">
      <c r="A1008" s="83">
        <f t="shared" si="36"/>
        <v>53</v>
      </c>
      <c r="B1008" s="89"/>
    </row>
    <row r="1009" spans="1:2" x14ac:dyDescent="0.25">
      <c r="A1009" s="83">
        <f t="shared" si="36"/>
        <v>53</v>
      </c>
      <c r="B1009" s="89"/>
    </row>
    <row r="1010" spans="1:2" x14ac:dyDescent="0.25">
      <c r="A1010" s="83">
        <f t="shared" si="36"/>
        <v>53</v>
      </c>
      <c r="B1010" s="89"/>
    </row>
    <row r="1011" spans="1:2" x14ac:dyDescent="0.25">
      <c r="A1011" s="83">
        <f t="shared" si="36"/>
        <v>53</v>
      </c>
      <c r="B1011" s="89"/>
    </row>
    <row r="1012" spans="1:2" x14ac:dyDescent="0.25">
      <c r="A1012" s="83">
        <f t="shared" si="36"/>
        <v>53</v>
      </c>
      <c r="B1012" s="89"/>
    </row>
    <row r="1013" spans="1:2" x14ac:dyDescent="0.25">
      <c r="A1013" s="83">
        <f t="shared" si="36"/>
        <v>53</v>
      </c>
      <c r="B1013" s="89"/>
    </row>
    <row r="1014" spans="1:2" x14ac:dyDescent="0.25">
      <c r="A1014" s="83">
        <f t="shared" ref="A1014:A1077" si="37">WEEKNUM(B1014,21)</f>
        <v>53</v>
      </c>
      <c r="B1014" s="89"/>
    </row>
    <row r="1015" spans="1:2" x14ac:dyDescent="0.25">
      <c r="A1015" s="83">
        <f t="shared" si="37"/>
        <v>53</v>
      </c>
      <c r="B1015" s="89"/>
    </row>
    <row r="1016" spans="1:2" x14ac:dyDescent="0.25">
      <c r="A1016" s="83">
        <f t="shared" si="37"/>
        <v>53</v>
      </c>
      <c r="B1016" s="89"/>
    </row>
    <row r="1017" spans="1:2" x14ac:dyDescent="0.25">
      <c r="A1017" s="83">
        <f t="shared" si="37"/>
        <v>53</v>
      </c>
      <c r="B1017" s="89"/>
    </row>
    <row r="1018" spans="1:2" x14ac:dyDescent="0.25">
      <c r="A1018" s="83">
        <f t="shared" si="37"/>
        <v>53</v>
      </c>
      <c r="B1018" s="89"/>
    </row>
    <row r="1019" spans="1:2" x14ac:dyDescent="0.25">
      <c r="A1019" s="83">
        <f t="shared" si="37"/>
        <v>53</v>
      </c>
      <c r="B1019" s="89"/>
    </row>
    <row r="1020" spans="1:2" x14ac:dyDescent="0.25">
      <c r="A1020" s="83">
        <f t="shared" si="37"/>
        <v>53</v>
      </c>
      <c r="B1020" s="89"/>
    </row>
    <row r="1021" spans="1:2" x14ac:dyDescent="0.25">
      <c r="A1021" s="83">
        <f t="shared" si="37"/>
        <v>53</v>
      </c>
      <c r="B1021" s="89"/>
    </row>
    <row r="1022" spans="1:2" x14ac:dyDescent="0.25">
      <c r="A1022" s="83">
        <f t="shared" si="37"/>
        <v>53</v>
      </c>
      <c r="B1022" s="89"/>
    </row>
    <row r="1023" spans="1:2" x14ac:dyDescent="0.25">
      <c r="A1023" s="83">
        <f t="shared" si="37"/>
        <v>53</v>
      </c>
      <c r="B1023" s="89"/>
    </row>
    <row r="1024" spans="1:2" x14ac:dyDescent="0.25">
      <c r="A1024" s="83">
        <f t="shared" si="37"/>
        <v>53</v>
      </c>
      <c r="B1024" s="89"/>
    </row>
    <row r="1025" spans="1:2" x14ac:dyDescent="0.25">
      <c r="A1025" s="83">
        <f t="shared" si="37"/>
        <v>53</v>
      </c>
      <c r="B1025" s="89"/>
    </row>
    <row r="1026" spans="1:2" x14ac:dyDescent="0.25">
      <c r="A1026" s="83">
        <f t="shared" si="37"/>
        <v>53</v>
      </c>
      <c r="B1026" s="89"/>
    </row>
    <row r="1027" spans="1:2" x14ac:dyDescent="0.25">
      <c r="A1027" s="83">
        <f t="shared" si="37"/>
        <v>53</v>
      </c>
      <c r="B1027" s="89"/>
    </row>
    <row r="1028" spans="1:2" x14ac:dyDescent="0.25">
      <c r="A1028" s="83">
        <f t="shared" si="37"/>
        <v>53</v>
      </c>
      <c r="B1028" s="89"/>
    </row>
    <row r="1029" spans="1:2" x14ac:dyDescent="0.25">
      <c r="A1029" s="83">
        <f t="shared" si="37"/>
        <v>53</v>
      </c>
      <c r="B1029" s="89"/>
    </row>
    <row r="1030" spans="1:2" x14ac:dyDescent="0.25">
      <c r="A1030" s="83">
        <f t="shared" si="37"/>
        <v>53</v>
      </c>
      <c r="B1030" s="89"/>
    </row>
    <row r="1031" spans="1:2" x14ac:dyDescent="0.25">
      <c r="A1031" s="83">
        <f t="shared" si="37"/>
        <v>53</v>
      </c>
      <c r="B1031" s="89"/>
    </row>
    <row r="1032" spans="1:2" x14ac:dyDescent="0.25">
      <c r="A1032" s="83">
        <f t="shared" si="37"/>
        <v>53</v>
      </c>
      <c r="B1032" s="89"/>
    </row>
    <row r="1033" spans="1:2" x14ac:dyDescent="0.25">
      <c r="A1033" s="83">
        <f t="shared" si="37"/>
        <v>53</v>
      </c>
      <c r="B1033" s="89"/>
    </row>
    <row r="1034" spans="1:2" x14ac:dyDescent="0.25">
      <c r="A1034" s="83">
        <f t="shared" si="37"/>
        <v>53</v>
      </c>
      <c r="B1034" s="89"/>
    </row>
    <row r="1035" spans="1:2" x14ac:dyDescent="0.25">
      <c r="A1035" s="83">
        <f t="shared" si="37"/>
        <v>53</v>
      </c>
      <c r="B1035" s="89"/>
    </row>
    <row r="1036" spans="1:2" x14ac:dyDescent="0.25">
      <c r="A1036" s="83">
        <f t="shared" si="37"/>
        <v>53</v>
      </c>
      <c r="B1036" s="89"/>
    </row>
    <row r="1037" spans="1:2" x14ac:dyDescent="0.25">
      <c r="A1037" s="83">
        <f t="shared" si="37"/>
        <v>53</v>
      </c>
      <c r="B1037" s="89"/>
    </row>
    <row r="1038" spans="1:2" x14ac:dyDescent="0.25">
      <c r="A1038" s="83">
        <f t="shared" si="37"/>
        <v>53</v>
      </c>
      <c r="B1038" s="89"/>
    </row>
    <row r="1039" spans="1:2" x14ac:dyDescent="0.25">
      <c r="A1039" s="83">
        <f t="shared" si="37"/>
        <v>53</v>
      </c>
      <c r="B1039" s="89"/>
    </row>
    <row r="1040" spans="1:2" x14ac:dyDescent="0.25">
      <c r="A1040" s="83">
        <f t="shared" si="37"/>
        <v>53</v>
      </c>
      <c r="B1040" s="89"/>
    </row>
    <row r="1041" spans="1:2" x14ac:dyDescent="0.25">
      <c r="A1041" s="83">
        <f t="shared" si="37"/>
        <v>53</v>
      </c>
      <c r="B1041" s="89"/>
    </row>
    <row r="1042" spans="1:2" x14ac:dyDescent="0.25">
      <c r="A1042" s="83">
        <f t="shared" si="37"/>
        <v>53</v>
      </c>
      <c r="B1042" s="89"/>
    </row>
    <row r="1043" spans="1:2" x14ac:dyDescent="0.25">
      <c r="A1043" s="83">
        <f t="shared" si="37"/>
        <v>53</v>
      </c>
      <c r="B1043" s="89"/>
    </row>
    <row r="1044" spans="1:2" x14ac:dyDescent="0.25">
      <c r="A1044" s="83">
        <f t="shared" si="37"/>
        <v>53</v>
      </c>
      <c r="B1044" s="89"/>
    </row>
    <row r="1045" spans="1:2" x14ac:dyDescent="0.25">
      <c r="A1045" s="83">
        <f t="shared" si="37"/>
        <v>53</v>
      </c>
      <c r="B1045" s="89"/>
    </row>
    <row r="1046" spans="1:2" x14ac:dyDescent="0.25">
      <c r="A1046" s="83">
        <f t="shared" si="37"/>
        <v>53</v>
      </c>
      <c r="B1046" s="89"/>
    </row>
    <row r="1047" spans="1:2" x14ac:dyDescent="0.25">
      <c r="A1047" s="83">
        <f t="shared" si="37"/>
        <v>53</v>
      </c>
      <c r="B1047" s="89"/>
    </row>
    <row r="1048" spans="1:2" x14ac:dyDescent="0.25">
      <c r="A1048" s="83">
        <f t="shared" si="37"/>
        <v>53</v>
      </c>
      <c r="B1048" s="89"/>
    </row>
    <row r="1049" spans="1:2" x14ac:dyDescent="0.25">
      <c r="A1049" s="83">
        <f t="shared" si="37"/>
        <v>53</v>
      </c>
      <c r="B1049" s="89"/>
    </row>
    <row r="1050" spans="1:2" x14ac:dyDescent="0.25">
      <c r="A1050" s="83">
        <f t="shared" si="37"/>
        <v>53</v>
      </c>
      <c r="B1050" s="89"/>
    </row>
    <row r="1051" spans="1:2" x14ac:dyDescent="0.25">
      <c r="A1051" s="83">
        <f t="shared" si="37"/>
        <v>53</v>
      </c>
      <c r="B1051" s="89"/>
    </row>
    <row r="1052" spans="1:2" x14ac:dyDescent="0.25">
      <c r="A1052" s="83">
        <f t="shared" si="37"/>
        <v>53</v>
      </c>
      <c r="B1052" s="89"/>
    </row>
    <row r="1053" spans="1:2" x14ac:dyDescent="0.25">
      <c r="A1053" s="83">
        <f t="shared" si="37"/>
        <v>53</v>
      </c>
      <c r="B1053" s="89"/>
    </row>
    <row r="1054" spans="1:2" x14ac:dyDescent="0.25">
      <c r="A1054" s="83">
        <f t="shared" si="37"/>
        <v>53</v>
      </c>
      <c r="B1054" s="89"/>
    </row>
    <row r="1055" spans="1:2" x14ac:dyDescent="0.25">
      <c r="A1055" s="83">
        <f t="shared" si="37"/>
        <v>53</v>
      </c>
      <c r="B1055" s="89"/>
    </row>
    <row r="1056" spans="1:2" x14ac:dyDescent="0.25">
      <c r="A1056" s="83">
        <f t="shared" si="37"/>
        <v>53</v>
      </c>
      <c r="B1056" s="89"/>
    </row>
    <row r="1057" spans="1:2" x14ac:dyDescent="0.25">
      <c r="A1057" s="83">
        <f t="shared" si="37"/>
        <v>53</v>
      </c>
      <c r="B1057" s="89"/>
    </row>
    <row r="1058" spans="1:2" x14ac:dyDescent="0.25">
      <c r="A1058" s="83">
        <f t="shared" si="37"/>
        <v>53</v>
      </c>
      <c r="B1058" s="89"/>
    </row>
    <row r="1059" spans="1:2" x14ac:dyDescent="0.25">
      <c r="A1059" s="83">
        <f t="shared" si="37"/>
        <v>53</v>
      </c>
      <c r="B1059" s="89"/>
    </row>
    <row r="1060" spans="1:2" x14ac:dyDescent="0.25">
      <c r="A1060" s="83">
        <f t="shared" si="37"/>
        <v>53</v>
      </c>
      <c r="B1060" s="89"/>
    </row>
    <row r="1061" spans="1:2" x14ac:dyDescent="0.25">
      <c r="A1061" s="83">
        <f t="shared" si="37"/>
        <v>53</v>
      </c>
      <c r="B1061" s="89"/>
    </row>
    <row r="1062" spans="1:2" x14ac:dyDescent="0.25">
      <c r="A1062" s="83">
        <f t="shared" si="37"/>
        <v>53</v>
      </c>
      <c r="B1062" s="89"/>
    </row>
    <row r="1063" spans="1:2" x14ac:dyDescent="0.25">
      <c r="A1063" s="83">
        <f t="shared" si="37"/>
        <v>53</v>
      </c>
      <c r="B1063" s="89"/>
    </row>
    <row r="1064" spans="1:2" x14ac:dyDescent="0.25">
      <c r="A1064" s="83">
        <f t="shared" si="37"/>
        <v>53</v>
      </c>
      <c r="B1064" s="89"/>
    </row>
    <row r="1065" spans="1:2" x14ac:dyDescent="0.25">
      <c r="A1065" s="83">
        <f t="shared" si="37"/>
        <v>53</v>
      </c>
      <c r="B1065" s="89"/>
    </row>
    <row r="1066" spans="1:2" x14ac:dyDescent="0.25">
      <c r="A1066" s="83">
        <f t="shared" si="37"/>
        <v>53</v>
      </c>
      <c r="B1066" s="89"/>
    </row>
    <row r="1067" spans="1:2" x14ac:dyDescent="0.25">
      <c r="A1067" s="83">
        <f t="shared" si="37"/>
        <v>53</v>
      </c>
      <c r="B1067" s="89"/>
    </row>
    <row r="1068" spans="1:2" x14ac:dyDescent="0.25">
      <c r="A1068" s="83">
        <f t="shared" si="37"/>
        <v>53</v>
      </c>
      <c r="B1068" s="89"/>
    </row>
    <row r="1069" spans="1:2" x14ac:dyDescent="0.25">
      <c r="A1069" s="83">
        <f t="shared" si="37"/>
        <v>53</v>
      </c>
      <c r="B1069" s="89"/>
    </row>
    <row r="1070" spans="1:2" x14ac:dyDescent="0.25">
      <c r="A1070" s="83">
        <f t="shared" si="37"/>
        <v>53</v>
      </c>
      <c r="B1070" s="89"/>
    </row>
    <row r="1071" spans="1:2" x14ac:dyDescent="0.25">
      <c r="A1071" s="83">
        <f t="shared" si="37"/>
        <v>53</v>
      </c>
      <c r="B1071" s="89"/>
    </row>
    <row r="1072" spans="1:2" x14ac:dyDescent="0.25">
      <c r="A1072" s="83">
        <f t="shared" si="37"/>
        <v>53</v>
      </c>
      <c r="B1072" s="89"/>
    </row>
    <row r="1073" spans="1:2" x14ac:dyDescent="0.25">
      <c r="A1073" s="83">
        <f t="shared" si="37"/>
        <v>53</v>
      </c>
      <c r="B1073" s="89"/>
    </row>
    <row r="1074" spans="1:2" x14ac:dyDescent="0.25">
      <c r="A1074" s="83">
        <f t="shared" si="37"/>
        <v>53</v>
      </c>
      <c r="B1074" s="89"/>
    </row>
    <row r="1075" spans="1:2" x14ac:dyDescent="0.25">
      <c r="A1075" s="83">
        <f t="shared" si="37"/>
        <v>53</v>
      </c>
      <c r="B1075" s="89"/>
    </row>
    <row r="1076" spans="1:2" x14ac:dyDescent="0.25">
      <c r="A1076" s="83">
        <f t="shared" si="37"/>
        <v>53</v>
      </c>
      <c r="B1076" s="89"/>
    </row>
    <row r="1077" spans="1:2" x14ac:dyDescent="0.25">
      <c r="A1077" s="83">
        <f t="shared" si="37"/>
        <v>53</v>
      </c>
      <c r="B1077" s="89"/>
    </row>
    <row r="1078" spans="1:2" x14ac:dyDescent="0.25">
      <c r="A1078" s="83">
        <f t="shared" ref="A1078:A1141" si="38">WEEKNUM(B1078,21)</f>
        <v>53</v>
      </c>
      <c r="B1078" s="89"/>
    </row>
    <row r="1079" spans="1:2" x14ac:dyDescent="0.25">
      <c r="A1079" s="83">
        <f t="shared" si="38"/>
        <v>53</v>
      </c>
      <c r="B1079" s="89"/>
    </row>
    <row r="1080" spans="1:2" x14ac:dyDescent="0.25">
      <c r="A1080" s="83">
        <f t="shared" si="38"/>
        <v>53</v>
      </c>
      <c r="B1080" s="89"/>
    </row>
    <row r="1081" spans="1:2" x14ac:dyDescent="0.25">
      <c r="A1081" s="83">
        <f t="shared" si="38"/>
        <v>53</v>
      </c>
      <c r="B1081" s="89"/>
    </row>
    <row r="1082" spans="1:2" x14ac:dyDescent="0.25">
      <c r="A1082" s="83">
        <f t="shared" si="38"/>
        <v>53</v>
      </c>
      <c r="B1082" s="89"/>
    </row>
    <row r="1083" spans="1:2" x14ac:dyDescent="0.25">
      <c r="A1083" s="83">
        <f t="shared" si="38"/>
        <v>53</v>
      </c>
      <c r="B1083" s="89"/>
    </row>
    <row r="1084" spans="1:2" x14ac:dyDescent="0.25">
      <c r="A1084" s="83">
        <f t="shared" si="38"/>
        <v>53</v>
      </c>
      <c r="B1084" s="89"/>
    </row>
    <row r="1085" spans="1:2" x14ac:dyDescent="0.25">
      <c r="A1085" s="83">
        <f t="shared" si="38"/>
        <v>53</v>
      </c>
      <c r="B1085" s="89"/>
    </row>
    <row r="1086" spans="1:2" x14ac:dyDescent="0.25">
      <c r="A1086" s="83">
        <f t="shared" si="38"/>
        <v>53</v>
      </c>
      <c r="B1086" s="89"/>
    </row>
    <row r="1087" spans="1:2" x14ac:dyDescent="0.25">
      <c r="A1087" s="83">
        <f t="shared" si="38"/>
        <v>53</v>
      </c>
      <c r="B1087" s="89"/>
    </row>
    <row r="1088" spans="1:2" x14ac:dyDescent="0.25">
      <c r="A1088" s="83">
        <f t="shared" si="38"/>
        <v>53</v>
      </c>
      <c r="B1088" s="89"/>
    </row>
    <row r="1089" spans="1:2" x14ac:dyDescent="0.25">
      <c r="A1089" s="83">
        <f t="shared" si="38"/>
        <v>53</v>
      </c>
      <c r="B1089" s="89"/>
    </row>
    <row r="1090" spans="1:2" x14ac:dyDescent="0.25">
      <c r="A1090" s="83">
        <f t="shared" si="38"/>
        <v>53</v>
      </c>
      <c r="B1090" s="89"/>
    </row>
    <row r="1091" spans="1:2" x14ac:dyDescent="0.25">
      <c r="A1091" s="83">
        <f t="shared" si="38"/>
        <v>53</v>
      </c>
      <c r="B1091" s="89"/>
    </row>
    <row r="1092" spans="1:2" x14ac:dyDescent="0.25">
      <c r="A1092" s="83">
        <f t="shared" si="38"/>
        <v>53</v>
      </c>
      <c r="B1092" s="89"/>
    </row>
    <row r="1093" spans="1:2" x14ac:dyDescent="0.25">
      <c r="A1093" s="83">
        <f t="shared" si="38"/>
        <v>53</v>
      </c>
      <c r="B1093" s="89"/>
    </row>
    <row r="1094" spans="1:2" x14ac:dyDescent="0.25">
      <c r="A1094" s="83">
        <f t="shared" si="38"/>
        <v>53</v>
      </c>
      <c r="B1094" s="89"/>
    </row>
    <row r="1095" spans="1:2" x14ac:dyDescent="0.25">
      <c r="A1095" s="83">
        <f t="shared" si="38"/>
        <v>53</v>
      </c>
      <c r="B1095" s="89"/>
    </row>
    <row r="1096" spans="1:2" x14ac:dyDescent="0.25">
      <c r="A1096" s="83">
        <f t="shared" si="38"/>
        <v>53</v>
      </c>
      <c r="B1096" s="89"/>
    </row>
    <row r="1097" spans="1:2" x14ac:dyDescent="0.25">
      <c r="A1097" s="83">
        <f t="shared" si="38"/>
        <v>53</v>
      </c>
      <c r="B1097" s="89"/>
    </row>
    <row r="1098" spans="1:2" x14ac:dyDescent="0.25">
      <c r="A1098" s="83">
        <f t="shared" si="38"/>
        <v>53</v>
      </c>
      <c r="B1098" s="89"/>
    </row>
    <row r="1099" spans="1:2" x14ac:dyDescent="0.25">
      <c r="A1099" s="83">
        <f t="shared" si="38"/>
        <v>53</v>
      </c>
      <c r="B1099" s="89"/>
    </row>
    <row r="1100" spans="1:2" x14ac:dyDescent="0.25">
      <c r="A1100" s="83">
        <f t="shared" si="38"/>
        <v>53</v>
      </c>
      <c r="B1100" s="89"/>
    </row>
    <row r="1101" spans="1:2" x14ac:dyDescent="0.25">
      <c r="A1101" s="83">
        <f t="shared" si="38"/>
        <v>53</v>
      </c>
      <c r="B1101" s="89"/>
    </row>
    <row r="1102" spans="1:2" x14ac:dyDescent="0.25">
      <c r="A1102" s="83">
        <f t="shared" si="38"/>
        <v>53</v>
      </c>
      <c r="B1102" s="89"/>
    </row>
    <row r="1103" spans="1:2" x14ac:dyDescent="0.25">
      <c r="A1103" s="83">
        <f t="shared" si="38"/>
        <v>53</v>
      </c>
      <c r="B1103" s="89"/>
    </row>
    <row r="1104" spans="1:2" x14ac:dyDescent="0.25">
      <c r="A1104" s="83">
        <f t="shared" si="38"/>
        <v>53</v>
      </c>
      <c r="B1104" s="89"/>
    </row>
    <row r="1105" spans="1:2" x14ac:dyDescent="0.25">
      <c r="A1105" s="83">
        <f t="shared" si="38"/>
        <v>53</v>
      </c>
      <c r="B1105" s="89"/>
    </row>
    <row r="1106" spans="1:2" x14ac:dyDescent="0.25">
      <c r="A1106" s="83">
        <f t="shared" si="38"/>
        <v>53</v>
      </c>
      <c r="B1106" s="89"/>
    </row>
    <row r="1107" spans="1:2" x14ac:dyDescent="0.25">
      <c r="A1107" s="83">
        <f t="shared" si="38"/>
        <v>53</v>
      </c>
      <c r="B1107" s="89"/>
    </row>
    <row r="1108" spans="1:2" x14ac:dyDescent="0.25">
      <c r="A1108" s="83">
        <f t="shared" si="38"/>
        <v>53</v>
      </c>
      <c r="B1108" s="89"/>
    </row>
    <row r="1109" spans="1:2" x14ac:dyDescent="0.25">
      <c r="A1109" s="83">
        <f t="shared" si="38"/>
        <v>53</v>
      </c>
      <c r="B1109" s="89"/>
    </row>
    <row r="1110" spans="1:2" x14ac:dyDescent="0.25">
      <c r="A1110" s="83">
        <f t="shared" si="38"/>
        <v>53</v>
      </c>
      <c r="B1110" s="89"/>
    </row>
    <row r="1111" spans="1:2" x14ac:dyDescent="0.25">
      <c r="A1111" s="83">
        <f t="shared" si="38"/>
        <v>53</v>
      </c>
      <c r="B1111" s="89"/>
    </row>
    <row r="1112" spans="1:2" x14ac:dyDescent="0.25">
      <c r="A1112" s="83">
        <f t="shared" si="38"/>
        <v>53</v>
      </c>
      <c r="B1112" s="89"/>
    </row>
    <row r="1113" spans="1:2" x14ac:dyDescent="0.25">
      <c r="A1113" s="83">
        <f t="shared" si="38"/>
        <v>53</v>
      </c>
      <c r="B1113" s="89"/>
    </row>
    <row r="1114" spans="1:2" x14ac:dyDescent="0.25">
      <c r="A1114" s="83">
        <f t="shared" si="38"/>
        <v>53</v>
      </c>
      <c r="B1114" s="89"/>
    </row>
    <row r="1115" spans="1:2" x14ac:dyDescent="0.25">
      <c r="A1115" s="83">
        <f t="shared" si="38"/>
        <v>53</v>
      </c>
      <c r="B1115" s="89"/>
    </row>
    <row r="1116" spans="1:2" x14ac:dyDescent="0.25">
      <c r="A1116" s="83">
        <f t="shared" si="38"/>
        <v>53</v>
      </c>
      <c r="B1116" s="89"/>
    </row>
    <row r="1117" spans="1:2" x14ac:dyDescent="0.25">
      <c r="A1117" s="83">
        <f t="shared" si="38"/>
        <v>53</v>
      </c>
      <c r="B1117" s="89"/>
    </row>
    <row r="1118" spans="1:2" x14ac:dyDescent="0.25">
      <c r="A1118" s="83">
        <f t="shared" si="38"/>
        <v>53</v>
      </c>
      <c r="B1118" s="89"/>
    </row>
    <row r="1119" spans="1:2" x14ac:dyDescent="0.25">
      <c r="A1119" s="83">
        <f t="shared" si="38"/>
        <v>53</v>
      </c>
      <c r="B1119" s="89"/>
    </row>
    <row r="1120" spans="1:2" x14ac:dyDescent="0.25">
      <c r="A1120" s="83">
        <f t="shared" si="38"/>
        <v>53</v>
      </c>
      <c r="B1120" s="89"/>
    </row>
    <row r="1121" spans="1:2" x14ac:dyDescent="0.25">
      <c r="A1121" s="83">
        <f t="shared" si="38"/>
        <v>53</v>
      </c>
      <c r="B1121" s="89"/>
    </row>
    <row r="1122" spans="1:2" x14ac:dyDescent="0.25">
      <c r="A1122" s="83">
        <f t="shared" si="38"/>
        <v>53</v>
      </c>
      <c r="B1122" s="89"/>
    </row>
    <row r="1123" spans="1:2" x14ac:dyDescent="0.25">
      <c r="A1123" s="83">
        <f t="shared" si="38"/>
        <v>53</v>
      </c>
      <c r="B1123" s="89"/>
    </row>
    <row r="1124" spans="1:2" x14ac:dyDescent="0.25">
      <c r="A1124" s="83">
        <f t="shared" si="38"/>
        <v>53</v>
      </c>
      <c r="B1124" s="89"/>
    </row>
    <row r="1125" spans="1:2" x14ac:dyDescent="0.25">
      <c r="A1125" s="83">
        <f t="shared" si="38"/>
        <v>53</v>
      </c>
      <c r="B1125" s="89"/>
    </row>
    <row r="1126" spans="1:2" x14ac:dyDescent="0.25">
      <c r="A1126" s="83">
        <f t="shared" si="38"/>
        <v>53</v>
      </c>
      <c r="B1126" s="89"/>
    </row>
    <row r="1127" spans="1:2" x14ac:dyDescent="0.25">
      <c r="A1127" s="83">
        <f t="shared" si="38"/>
        <v>53</v>
      </c>
      <c r="B1127" s="89"/>
    </row>
    <row r="1128" spans="1:2" x14ac:dyDescent="0.25">
      <c r="A1128" s="83">
        <f t="shared" si="38"/>
        <v>53</v>
      </c>
      <c r="B1128" s="89"/>
    </row>
    <row r="1129" spans="1:2" x14ac:dyDescent="0.25">
      <c r="A1129" s="83">
        <f t="shared" si="38"/>
        <v>53</v>
      </c>
      <c r="B1129" s="89"/>
    </row>
    <row r="1130" spans="1:2" x14ac:dyDescent="0.25">
      <c r="A1130" s="83">
        <f t="shared" si="38"/>
        <v>53</v>
      </c>
      <c r="B1130" s="89"/>
    </row>
    <row r="1131" spans="1:2" x14ac:dyDescent="0.25">
      <c r="A1131" s="83">
        <f t="shared" si="38"/>
        <v>53</v>
      </c>
      <c r="B1131" s="89"/>
    </row>
    <row r="1132" spans="1:2" x14ac:dyDescent="0.25">
      <c r="A1132" s="83">
        <f t="shared" si="38"/>
        <v>53</v>
      </c>
      <c r="B1132" s="89"/>
    </row>
    <row r="1133" spans="1:2" x14ac:dyDescent="0.25">
      <c r="A1133" s="83">
        <f t="shared" si="38"/>
        <v>53</v>
      </c>
      <c r="B1133" s="89"/>
    </row>
    <row r="1134" spans="1:2" x14ac:dyDescent="0.25">
      <c r="A1134" s="83">
        <f t="shared" si="38"/>
        <v>53</v>
      </c>
      <c r="B1134" s="89"/>
    </row>
    <row r="1135" spans="1:2" x14ac:dyDescent="0.25">
      <c r="A1135" s="83">
        <f t="shared" si="38"/>
        <v>53</v>
      </c>
      <c r="B1135" s="89"/>
    </row>
    <row r="1136" spans="1:2" x14ac:dyDescent="0.25">
      <c r="A1136" s="83">
        <f t="shared" si="38"/>
        <v>53</v>
      </c>
      <c r="B1136" s="89"/>
    </row>
    <row r="1137" spans="1:2" x14ac:dyDescent="0.25">
      <c r="A1137" s="83">
        <f t="shared" si="38"/>
        <v>53</v>
      </c>
      <c r="B1137" s="89"/>
    </row>
    <row r="1138" spans="1:2" x14ac:dyDescent="0.25">
      <c r="A1138" s="83">
        <f t="shared" si="38"/>
        <v>53</v>
      </c>
      <c r="B1138" s="89"/>
    </row>
    <row r="1139" spans="1:2" x14ac:dyDescent="0.25">
      <c r="A1139" s="83">
        <f t="shared" si="38"/>
        <v>53</v>
      </c>
      <c r="B1139" s="89"/>
    </row>
    <row r="1140" spans="1:2" x14ac:dyDescent="0.25">
      <c r="A1140" s="83">
        <f t="shared" si="38"/>
        <v>53</v>
      </c>
      <c r="B1140" s="89"/>
    </row>
    <row r="1141" spans="1:2" x14ac:dyDescent="0.25">
      <c r="A1141" s="83">
        <f t="shared" si="38"/>
        <v>53</v>
      </c>
      <c r="B1141" s="89"/>
    </row>
    <row r="1142" spans="1:2" x14ac:dyDescent="0.25">
      <c r="A1142" s="83">
        <f t="shared" ref="A1142:A1205" si="39">WEEKNUM(B1142,21)</f>
        <v>53</v>
      </c>
      <c r="B1142" s="89"/>
    </row>
    <row r="1143" spans="1:2" x14ac:dyDescent="0.25">
      <c r="A1143" s="83">
        <f t="shared" si="39"/>
        <v>53</v>
      </c>
      <c r="B1143" s="89"/>
    </row>
    <row r="1144" spans="1:2" x14ac:dyDescent="0.25">
      <c r="A1144" s="83">
        <f t="shared" si="39"/>
        <v>53</v>
      </c>
      <c r="B1144" s="89"/>
    </row>
    <row r="1145" spans="1:2" x14ac:dyDescent="0.25">
      <c r="A1145" s="83">
        <f t="shared" si="39"/>
        <v>53</v>
      </c>
      <c r="B1145" s="89"/>
    </row>
    <row r="1146" spans="1:2" x14ac:dyDescent="0.25">
      <c r="A1146" s="83">
        <f t="shared" si="39"/>
        <v>53</v>
      </c>
      <c r="B1146" s="89"/>
    </row>
    <row r="1147" spans="1:2" x14ac:dyDescent="0.25">
      <c r="A1147" s="83">
        <f t="shared" si="39"/>
        <v>53</v>
      </c>
      <c r="B1147" s="89"/>
    </row>
    <row r="1148" spans="1:2" x14ac:dyDescent="0.25">
      <c r="A1148" s="83">
        <f t="shared" si="39"/>
        <v>53</v>
      </c>
      <c r="B1148" s="89"/>
    </row>
    <row r="1149" spans="1:2" x14ac:dyDescent="0.25">
      <c r="A1149" s="83">
        <f t="shared" si="39"/>
        <v>53</v>
      </c>
      <c r="B1149" s="89"/>
    </row>
    <row r="1150" spans="1:2" x14ac:dyDescent="0.25">
      <c r="A1150" s="83">
        <f t="shared" si="39"/>
        <v>53</v>
      </c>
      <c r="B1150" s="89"/>
    </row>
    <row r="1151" spans="1:2" x14ac:dyDescent="0.25">
      <c r="A1151" s="83">
        <f t="shared" si="39"/>
        <v>53</v>
      </c>
      <c r="B1151" s="89"/>
    </row>
    <row r="1152" spans="1:2" x14ac:dyDescent="0.25">
      <c r="A1152" s="83">
        <f t="shared" si="39"/>
        <v>53</v>
      </c>
      <c r="B1152" s="89"/>
    </row>
    <row r="1153" spans="1:2" x14ac:dyDescent="0.25">
      <c r="A1153" s="83">
        <f t="shared" si="39"/>
        <v>53</v>
      </c>
      <c r="B1153" s="89"/>
    </row>
    <row r="1154" spans="1:2" x14ac:dyDescent="0.25">
      <c r="A1154" s="83">
        <f t="shared" si="39"/>
        <v>53</v>
      </c>
      <c r="B1154" s="89"/>
    </row>
    <row r="1155" spans="1:2" x14ac:dyDescent="0.25">
      <c r="A1155" s="83">
        <f t="shared" si="39"/>
        <v>53</v>
      </c>
      <c r="B1155" s="89"/>
    </row>
    <row r="1156" spans="1:2" x14ac:dyDescent="0.25">
      <c r="A1156" s="83">
        <f t="shared" si="39"/>
        <v>53</v>
      </c>
      <c r="B1156" s="89"/>
    </row>
    <row r="1157" spans="1:2" x14ac:dyDescent="0.25">
      <c r="A1157" s="83">
        <f t="shared" si="39"/>
        <v>53</v>
      </c>
      <c r="B1157" s="89"/>
    </row>
    <row r="1158" spans="1:2" x14ac:dyDescent="0.25">
      <c r="A1158" s="83">
        <f t="shared" si="39"/>
        <v>53</v>
      </c>
      <c r="B1158" s="89"/>
    </row>
    <row r="1159" spans="1:2" x14ac:dyDescent="0.25">
      <c r="A1159" s="83">
        <f t="shared" si="39"/>
        <v>53</v>
      </c>
      <c r="B1159" s="89"/>
    </row>
    <row r="1160" spans="1:2" x14ac:dyDescent="0.25">
      <c r="A1160" s="83">
        <f t="shared" si="39"/>
        <v>53</v>
      </c>
      <c r="B1160" s="89"/>
    </row>
    <row r="1161" spans="1:2" x14ac:dyDescent="0.25">
      <c r="A1161" s="83">
        <f t="shared" si="39"/>
        <v>53</v>
      </c>
      <c r="B1161" s="89"/>
    </row>
    <row r="1162" spans="1:2" x14ac:dyDescent="0.25">
      <c r="A1162" s="83">
        <f t="shared" si="39"/>
        <v>53</v>
      </c>
      <c r="B1162" s="89"/>
    </row>
    <row r="1163" spans="1:2" x14ac:dyDescent="0.25">
      <c r="A1163" s="83">
        <f t="shared" si="39"/>
        <v>53</v>
      </c>
      <c r="B1163" s="89"/>
    </row>
    <row r="1164" spans="1:2" x14ac:dyDescent="0.25">
      <c r="A1164" s="83">
        <f t="shared" si="39"/>
        <v>53</v>
      </c>
      <c r="B1164" s="89"/>
    </row>
    <row r="1165" spans="1:2" x14ac:dyDescent="0.25">
      <c r="A1165" s="83">
        <f t="shared" si="39"/>
        <v>53</v>
      </c>
      <c r="B1165" s="89"/>
    </row>
    <row r="1166" spans="1:2" x14ac:dyDescent="0.25">
      <c r="A1166" s="83">
        <f t="shared" si="39"/>
        <v>53</v>
      </c>
      <c r="B1166" s="89"/>
    </row>
    <row r="1167" spans="1:2" x14ac:dyDescent="0.25">
      <c r="A1167" s="83">
        <f t="shared" si="39"/>
        <v>53</v>
      </c>
      <c r="B1167" s="89"/>
    </row>
    <row r="1168" spans="1:2" x14ac:dyDescent="0.25">
      <c r="A1168" s="83">
        <f t="shared" si="39"/>
        <v>53</v>
      </c>
      <c r="B1168" s="89"/>
    </row>
    <row r="1169" spans="1:2" x14ac:dyDescent="0.25">
      <c r="A1169" s="83">
        <f t="shared" si="39"/>
        <v>53</v>
      </c>
      <c r="B1169" s="89"/>
    </row>
    <row r="1170" spans="1:2" x14ac:dyDescent="0.25">
      <c r="A1170" s="83">
        <f t="shared" si="39"/>
        <v>53</v>
      </c>
      <c r="B1170" s="89"/>
    </row>
    <row r="1171" spans="1:2" x14ac:dyDescent="0.25">
      <c r="A1171" s="83">
        <f t="shared" si="39"/>
        <v>53</v>
      </c>
      <c r="B1171" s="89"/>
    </row>
    <row r="1172" spans="1:2" x14ac:dyDescent="0.25">
      <c r="A1172" s="83">
        <f t="shared" si="39"/>
        <v>53</v>
      </c>
      <c r="B1172" s="89"/>
    </row>
    <row r="1173" spans="1:2" x14ac:dyDescent="0.25">
      <c r="A1173" s="83">
        <f t="shared" si="39"/>
        <v>53</v>
      </c>
      <c r="B1173" s="89"/>
    </row>
    <row r="1174" spans="1:2" x14ac:dyDescent="0.25">
      <c r="A1174" s="83">
        <f t="shared" si="39"/>
        <v>53</v>
      </c>
      <c r="B1174" s="89"/>
    </row>
    <row r="1175" spans="1:2" x14ac:dyDescent="0.25">
      <c r="A1175" s="83">
        <f t="shared" si="39"/>
        <v>53</v>
      </c>
      <c r="B1175" s="89"/>
    </row>
    <row r="1176" spans="1:2" x14ac:dyDescent="0.25">
      <c r="A1176" s="83">
        <f t="shared" si="39"/>
        <v>53</v>
      </c>
      <c r="B1176" s="89"/>
    </row>
    <row r="1177" spans="1:2" x14ac:dyDescent="0.25">
      <c r="A1177" s="83">
        <f t="shared" si="39"/>
        <v>53</v>
      </c>
      <c r="B1177" s="89"/>
    </row>
    <row r="1178" spans="1:2" x14ac:dyDescent="0.25">
      <c r="A1178" s="83">
        <f t="shared" si="39"/>
        <v>53</v>
      </c>
      <c r="B1178" s="89"/>
    </row>
    <row r="1179" spans="1:2" x14ac:dyDescent="0.25">
      <c r="A1179" s="83">
        <f t="shared" si="39"/>
        <v>53</v>
      </c>
      <c r="B1179" s="89"/>
    </row>
    <row r="1180" spans="1:2" x14ac:dyDescent="0.25">
      <c r="A1180" s="83">
        <f t="shared" si="39"/>
        <v>53</v>
      </c>
      <c r="B1180" s="89"/>
    </row>
    <row r="1181" spans="1:2" x14ac:dyDescent="0.25">
      <c r="A1181" s="83">
        <f t="shared" si="39"/>
        <v>53</v>
      </c>
      <c r="B1181" s="89"/>
    </row>
    <row r="1182" spans="1:2" x14ac:dyDescent="0.25">
      <c r="A1182" s="83">
        <f t="shared" si="39"/>
        <v>53</v>
      </c>
      <c r="B1182" s="89"/>
    </row>
    <row r="1183" spans="1:2" x14ac:dyDescent="0.25">
      <c r="A1183" s="83">
        <f t="shared" si="39"/>
        <v>53</v>
      </c>
      <c r="B1183" s="89"/>
    </row>
    <row r="1184" spans="1:2" x14ac:dyDescent="0.25">
      <c r="A1184" s="83">
        <f t="shared" si="39"/>
        <v>53</v>
      </c>
      <c r="B1184" s="89"/>
    </row>
    <row r="1185" spans="1:2" x14ac:dyDescent="0.25">
      <c r="A1185" s="83">
        <f t="shared" si="39"/>
        <v>53</v>
      </c>
      <c r="B1185" s="89"/>
    </row>
    <row r="1186" spans="1:2" x14ac:dyDescent="0.25">
      <c r="A1186" s="83">
        <f t="shared" si="39"/>
        <v>53</v>
      </c>
      <c r="B1186" s="89"/>
    </row>
    <row r="1187" spans="1:2" x14ac:dyDescent="0.25">
      <c r="A1187" s="83">
        <f t="shared" si="39"/>
        <v>53</v>
      </c>
      <c r="B1187" s="89"/>
    </row>
    <row r="1188" spans="1:2" x14ac:dyDescent="0.25">
      <c r="A1188" s="83">
        <f t="shared" si="39"/>
        <v>53</v>
      </c>
      <c r="B1188" s="89"/>
    </row>
    <row r="1189" spans="1:2" x14ac:dyDescent="0.25">
      <c r="A1189" s="83">
        <f t="shared" si="39"/>
        <v>53</v>
      </c>
      <c r="B1189" s="89"/>
    </row>
    <row r="1190" spans="1:2" x14ac:dyDescent="0.25">
      <c r="A1190" s="83">
        <f t="shared" si="39"/>
        <v>53</v>
      </c>
      <c r="B1190" s="89"/>
    </row>
    <row r="1191" spans="1:2" x14ac:dyDescent="0.25">
      <c r="A1191" s="83">
        <f t="shared" si="39"/>
        <v>53</v>
      </c>
      <c r="B1191" s="89"/>
    </row>
    <row r="1192" spans="1:2" x14ac:dyDescent="0.25">
      <c r="A1192" s="83">
        <f t="shared" si="39"/>
        <v>53</v>
      </c>
      <c r="B1192" s="89"/>
    </row>
    <row r="1193" spans="1:2" x14ac:dyDescent="0.25">
      <c r="A1193" s="83">
        <f t="shared" si="39"/>
        <v>53</v>
      </c>
      <c r="B1193" s="89"/>
    </row>
    <row r="1194" spans="1:2" x14ac:dyDescent="0.25">
      <c r="A1194" s="83">
        <f t="shared" si="39"/>
        <v>53</v>
      </c>
      <c r="B1194" s="89"/>
    </row>
    <row r="1195" spans="1:2" x14ac:dyDescent="0.25">
      <c r="A1195" s="83">
        <f t="shared" si="39"/>
        <v>53</v>
      </c>
      <c r="B1195" s="89"/>
    </row>
    <row r="1196" spans="1:2" x14ac:dyDescent="0.25">
      <c r="A1196" s="83">
        <f t="shared" si="39"/>
        <v>53</v>
      </c>
      <c r="B1196" s="89"/>
    </row>
    <row r="1197" spans="1:2" x14ac:dyDescent="0.25">
      <c r="A1197" s="83">
        <f t="shared" si="39"/>
        <v>53</v>
      </c>
      <c r="B1197" s="89"/>
    </row>
    <row r="1198" spans="1:2" x14ac:dyDescent="0.25">
      <c r="A1198" s="83">
        <f t="shared" si="39"/>
        <v>53</v>
      </c>
      <c r="B1198" s="89"/>
    </row>
    <row r="1199" spans="1:2" x14ac:dyDescent="0.25">
      <c r="A1199" s="83">
        <f t="shared" si="39"/>
        <v>53</v>
      </c>
      <c r="B1199" s="89"/>
    </row>
    <row r="1200" spans="1:2" x14ac:dyDescent="0.25">
      <c r="A1200" s="83">
        <f t="shared" si="39"/>
        <v>53</v>
      </c>
      <c r="B1200" s="89"/>
    </row>
    <row r="1201" spans="1:2" x14ac:dyDescent="0.25">
      <c r="A1201" s="83">
        <f t="shared" si="39"/>
        <v>53</v>
      </c>
      <c r="B1201" s="89"/>
    </row>
    <row r="1202" spans="1:2" x14ac:dyDescent="0.25">
      <c r="A1202" s="83">
        <f t="shared" si="39"/>
        <v>53</v>
      </c>
      <c r="B1202" s="89"/>
    </row>
    <row r="1203" spans="1:2" x14ac:dyDescent="0.25">
      <c r="A1203" s="83">
        <f t="shared" si="39"/>
        <v>53</v>
      </c>
      <c r="B1203" s="89"/>
    </row>
    <row r="1204" spans="1:2" x14ac:dyDescent="0.25">
      <c r="A1204" s="83">
        <f t="shared" si="39"/>
        <v>53</v>
      </c>
      <c r="B1204" s="89"/>
    </row>
    <row r="1205" spans="1:2" x14ac:dyDescent="0.25">
      <c r="A1205" s="83">
        <f t="shared" si="39"/>
        <v>53</v>
      </c>
      <c r="B1205" s="89"/>
    </row>
    <row r="1206" spans="1:2" x14ac:dyDescent="0.25">
      <c r="A1206" s="83">
        <f t="shared" ref="A1206:A1269" si="40">WEEKNUM(B1206,21)</f>
        <v>53</v>
      </c>
      <c r="B1206" s="89"/>
    </row>
    <row r="1207" spans="1:2" x14ac:dyDescent="0.25">
      <c r="A1207" s="83">
        <f t="shared" si="40"/>
        <v>53</v>
      </c>
      <c r="B1207" s="89"/>
    </row>
    <row r="1208" spans="1:2" x14ac:dyDescent="0.25">
      <c r="A1208" s="83">
        <f t="shared" si="40"/>
        <v>53</v>
      </c>
      <c r="B1208" s="89"/>
    </row>
    <row r="1209" spans="1:2" x14ac:dyDescent="0.25">
      <c r="A1209" s="83">
        <f t="shared" si="40"/>
        <v>53</v>
      </c>
      <c r="B1209" s="89"/>
    </row>
    <row r="1210" spans="1:2" x14ac:dyDescent="0.25">
      <c r="A1210" s="83">
        <f t="shared" si="40"/>
        <v>53</v>
      </c>
      <c r="B1210" s="89"/>
    </row>
    <row r="1211" spans="1:2" x14ac:dyDescent="0.25">
      <c r="A1211" s="83">
        <f t="shared" si="40"/>
        <v>53</v>
      </c>
      <c r="B1211" s="89"/>
    </row>
    <row r="1212" spans="1:2" x14ac:dyDescent="0.25">
      <c r="A1212" s="83">
        <f t="shared" si="40"/>
        <v>53</v>
      </c>
      <c r="B1212" s="89"/>
    </row>
    <row r="1213" spans="1:2" x14ac:dyDescent="0.25">
      <c r="A1213" s="83">
        <f t="shared" si="40"/>
        <v>53</v>
      </c>
      <c r="B1213" s="89"/>
    </row>
    <row r="1214" spans="1:2" x14ac:dyDescent="0.25">
      <c r="A1214" s="83">
        <f t="shared" si="40"/>
        <v>53</v>
      </c>
      <c r="B1214" s="89"/>
    </row>
    <row r="1215" spans="1:2" x14ac:dyDescent="0.25">
      <c r="A1215" s="83">
        <f t="shared" si="40"/>
        <v>53</v>
      </c>
      <c r="B1215" s="89"/>
    </row>
    <row r="1216" spans="1:2" x14ac:dyDescent="0.25">
      <c r="A1216" s="83">
        <f t="shared" si="40"/>
        <v>53</v>
      </c>
      <c r="B1216" s="89"/>
    </row>
    <row r="1217" spans="1:2" x14ac:dyDescent="0.25">
      <c r="A1217" s="83">
        <f t="shared" si="40"/>
        <v>53</v>
      </c>
      <c r="B1217" s="89"/>
    </row>
    <row r="1218" spans="1:2" x14ac:dyDescent="0.25">
      <c r="A1218" s="83">
        <f t="shared" si="40"/>
        <v>53</v>
      </c>
      <c r="B1218" s="89"/>
    </row>
    <row r="1219" spans="1:2" x14ac:dyDescent="0.25">
      <c r="A1219" s="83">
        <f t="shared" si="40"/>
        <v>53</v>
      </c>
      <c r="B1219" s="89"/>
    </row>
    <row r="1220" spans="1:2" x14ac:dyDescent="0.25">
      <c r="A1220" s="83">
        <f t="shared" si="40"/>
        <v>53</v>
      </c>
      <c r="B1220" s="89"/>
    </row>
    <row r="1221" spans="1:2" x14ac:dyDescent="0.25">
      <c r="A1221" s="83">
        <f t="shared" si="40"/>
        <v>53</v>
      </c>
      <c r="B1221" s="89"/>
    </row>
    <row r="1222" spans="1:2" x14ac:dyDescent="0.25">
      <c r="A1222" s="83">
        <f t="shared" si="40"/>
        <v>53</v>
      </c>
      <c r="B1222" s="89"/>
    </row>
    <row r="1223" spans="1:2" x14ac:dyDescent="0.25">
      <c r="A1223" s="83">
        <f t="shared" si="40"/>
        <v>53</v>
      </c>
      <c r="B1223" s="89"/>
    </row>
    <row r="1224" spans="1:2" x14ac:dyDescent="0.25">
      <c r="A1224" s="83">
        <f t="shared" si="40"/>
        <v>53</v>
      </c>
      <c r="B1224" s="89"/>
    </row>
    <row r="1225" spans="1:2" x14ac:dyDescent="0.25">
      <c r="A1225" s="83">
        <f t="shared" si="40"/>
        <v>53</v>
      </c>
      <c r="B1225" s="89"/>
    </row>
    <row r="1226" spans="1:2" x14ac:dyDescent="0.25">
      <c r="A1226" s="83">
        <f t="shared" si="40"/>
        <v>53</v>
      </c>
      <c r="B1226" s="89"/>
    </row>
    <row r="1227" spans="1:2" x14ac:dyDescent="0.25">
      <c r="A1227" s="83">
        <f t="shared" si="40"/>
        <v>53</v>
      </c>
      <c r="B1227" s="89"/>
    </row>
    <row r="1228" spans="1:2" x14ac:dyDescent="0.25">
      <c r="A1228" s="83">
        <f t="shared" si="40"/>
        <v>53</v>
      </c>
      <c r="B1228" s="89"/>
    </row>
    <row r="1229" spans="1:2" x14ac:dyDescent="0.25">
      <c r="A1229" s="83">
        <f t="shared" si="40"/>
        <v>53</v>
      </c>
      <c r="B1229" s="89"/>
    </row>
    <row r="1230" spans="1:2" x14ac:dyDescent="0.25">
      <c r="A1230" s="83">
        <f t="shared" si="40"/>
        <v>53</v>
      </c>
      <c r="B1230" s="89"/>
    </row>
    <row r="1231" spans="1:2" x14ac:dyDescent="0.25">
      <c r="A1231" s="83">
        <f t="shared" si="40"/>
        <v>53</v>
      </c>
      <c r="B1231" s="89"/>
    </row>
    <row r="1232" spans="1:2" x14ac:dyDescent="0.25">
      <c r="A1232" s="83">
        <f t="shared" si="40"/>
        <v>53</v>
      </c>
      <c r="B1232" s="89"/>
    </row>
    <row r="1233" spans="1:2" x14ac:dyDescent="0.25">
      <c r="A1233" s="83">
        <f t="shared" si="40"/>
        <v>53</v>
      </c>
      <c r="B1233" s="89"/>
    </row>
    <row r="1234" spans="1:2" x14ac:dyDescent="0.25">
      <c r="A1234" s="83">
        <f t="shared" si="40"/>
        <v>53</v>
      </c>
      <c r="B1234" s="89"/>
    </row>
    <row r="1235" spans="1:2" x14ac:dyDescent="0.25">
      <c r="A1235" s="83">
        <f t="shared" si="40"/>
        <v>53</v>
      </c>
      <c r="B1235" s="89"/>
    </row>
    <row r="1236" spans="1:2" x14ac:dyDescent="0.25">
      <c r="A1236" s="83">
        <f t="shared" si="40"/>
        <v>53</v>
      </c>
      <c r="B1236" s="89"/>
    </row>
    <row r="1237" spans="1:2" x14ac:dyDescent="0.25">
      <c r="A1237" s="83">
        <f t="shared" si="40"/>
        <v>53</v>
      </c>
      <c r="B1237" s="89"/>
    </row>
    <row r="1238" spans="1:2" x14ac:dyDescent="0.25">
      <c r="A1238" s="83">
        <f t="shared" si="40"/>
        <v>53</v>
      </c>
      <c r="B1238" s="89"/>
    </row>
    <row r="1239" spans="1:2" x14ac:dyDescent="0.25">
      <c r="A1239" s="83">
        <f t="shared" si="40"/>
        <v>53</v>
      </c>
      <c r="B1239" s="89"/>
    </row>
    <row r="1240" spans="1:2" x14ac:dyDescent="0.25">
      <c r="A1240" s="83">
        <f t="shared" si="40"/>
        <v>53</v>
      </c>
      <c r="B1240" s="89"/>
    </row>
    <row r="1241" spans="1:2" x14ac:dyDescent="0.25">
      <c r="A1241" s="83">
        <f t="shared" si="40"/>
        <v>53</v>
      </c>
      <c r="B1241" s="89"/>
    </row>
    <row r="1242" spans="1:2" x14ac:dyDescent="0.25">
      <c r="A1242" s="83">
        <f t="shared" si="40"/>
        <v>53</v>
      </c>
      <c r="B1242" s="89"/>
    </row>
    <row r="1243" spans="1:2" x14ac:dyDescent="0.25">
      <c r="A1243" s="83">
        <f t="shared" si="40"/>
        <v>53</v>
      </c>
      <c r="B1243" s="89"/>
    </row>
    <row r="1244" spans="1:2" x14ac:dyDescent="0.25">
      <c r="A1244" s="83">
        <f t="shared" si="40"/>
        <v>53</v>
      </c>
      <c r="B1244" s="89"/>
    </row>
    <row r="1245" spans="1:2" x14ac:dyDescent="0.25">
      <c r="A1245" s="83">
        <f t="shared" si="40"/>
        <v>53</v>
      </c>
      <c r="B1245" s="89"/>
    </row>
    <row r="1246" spans="1:2" x14ac:dyDescent="0.25">
      <c r="A1246" s="83">
        <f t="shared" si="40"/>
        <v>53</v>
      </c>
      <c r="B1246" s="89"/>
    </row>
    <row r="1247" spans="1:2" x14ac:dyDescent="0.25">
      <c r="A1247" s="83">
        <f t="shared" si="40"/>
        <v>53</v>
      </c>
      <c r="B1247" s="89"/>
    </row>
    <row r="1248" spans="1:2" x14ac:dyDescent="0.25">
      <c r="A1248" s="83">
        <f t="shared" si="40"/>
        <v>53</v>
      </c>
      <c r="B1248" s="89"/>
    </row>
    <row r="1249" spans="1:2" x14ac:dyDescent="0.25">
      <c r="A1249" s="83">
        <f t="shared" si="40"/>
        <v>53</v>
      </c>
      <c r="B1249" s="89"/>
    </row>
    <row r="1250" spans="1:2" x14ac:dyDescent="0.25">
      <c r="A1250" s="83">
        <f t="shared" si="40"/>
        <v>53</v>
      </c>
      <c r="B1250" s="89"/>
    </row>
    <row r="1251" spans="1:2" x14ac:dyDescent="0.25">
      <c r="A1251" s="83">
        <f t="shared" si="40"/>
        <v>53</v>
      </c>
      <c r="B1251" s="89"/>
    </row>
    <row r="1252" spans="1:2" x14ac:dyDescent="0.25">
      <c r="A1252" s="83">
        <f t="shared" si="40"/>
        <v>53</v>
      </c>
      <c r="B1252" s="89"/>
    </row>
    <row r="1253" spans="1:2" x14ac:dyDescent="0.25">
      <c r="A1253" s="83">
        <f t="shared" si="40"/>
        <v>53</v>
      </c>
      <c r="B1253" s="89"/>
    </row>
    <row r="1254" spans="1:2" x14ac:dyDescent="0.25">
      <c r="A1254" s="83">
        <f t="shared" si="40"/>
        <v>53</v>
      </c>
      <c r="B1254" s="89"/>
    </row>
    <row r="1255" spans="1:2" x14ac:dyDescent="0.25">
      <c r="A1255" s="83">
        <f t="shared" si="40"/>
        <v>53</v>
      </c>
      <c r="B1255" s="89"/>
    </row>
    <row r="1256" spans="1:2" x14ac:dyDescent="0.25">
      <c r="A1256" s="83">
        <f t="shared" si="40"/>
        <v>53</v>
      </c>
      <c r="B1256" s="89"/>
    </row>
    <row r="1257" spans="1:2" x14ac:dyDescent="0.25">
      <c r="A1257" s="83">
        <f t="shared" si="40"/>
        <v>53</v>
      </c>
      <c r="B1257" s="89"/>
    </row>
    <row r="1258" spans="1:2" x14ac:dyDescent="0.25">
      <c r="A1258" s="83">
        <f t="shared" si="40"/>
        <v>53</v>
      </c>
      <c r="B1258" s="89"/>
    </row>
    <row r="1259" spans="1:2" x14ac:dyDescent="0.25">
      <c r="A1259" s="83">
        <f t="shared" si="40"/>
        <v>53</v>
      </c>
      <c r="B1259" s="89"/>
    </row>
    <row r="1260" spans="1:2" x14ac:dyDescent="0.25">
      <c r="A1260" s="83">
        <f t="shared" si="40"/>
        <v>53</v>
      </c>
      <c r="B1260" s="89"/>
    </row>
    <row r="1261" spans="1:2" x14ac:dyDescent="0.25">
      <c r="A1261" s="83">
        <f t="shared" si="40"/>
        <v>53</v>
      </c>
      <c r="B1261" s="89"/>
    </row>
    <row r="1262" spans="1:2" x14ac:dyDescent="0.25">
      <c r="A1262" s="83">
        <f t="shared" si="40"/>
        <v>53</v>
      </c>
      <c r="B1262" s="89"/>
    </row>
    <row r="1263" spans="1:2" x14ac:dyDescent="0.25">
      <c r="A1263" s="83">
        <f t="shared" si="40"/>
        <v>53</v>
      </c>
      <c r="B1263" s="89"/>
    </row>
    <row r="1264" spans="1:2" x14ac:dyDescent="0.25">
      <c r="A1264" s="83">
        <f t="shared" si="40"/>
        <v>53</v>
      </c>
      <c r="B1264" s="89"/>
    </row>
    <row r="1265" spans="1:2" x14ac:dyDescent="0.25">
      <c r="A1265" s="83">
        <f t="shared" si="40"/>
        <v>53</v>
      </c>
      <c r="B1265" s="89"/>
    </row>
    <row r="1266" spans="1:2" x14ac:dyDescent="0.25">
      <c r="A1266" s="83">
        <f t="shared" si="40"/>
        <v>53</v>
      </c>
      <c r="B1266" s="89"/>
    </row>
    <row r="1267" spans="1:2" x14ac:dyDescent="0.25">
      <c r="A1267" s="83">
        <f t="shared" si="40"/>
        <v>53</v>
      </c>
      <c r="B1267" s="89"/>
    </row>
    <row r="1268" spans="1:2" x14ac:dyDescent="0.25">
      <c r="A1268" s="83">
        <f t="shared" si="40"/>
        <v>53</v>
      </c>
      <c r="B1268" s="89"/>
    </row>
    <row r="1269" spans="1:2" x14ac:dyDescent="0.25">
      <c r="A1269" s="83">
        <f t="shared" si="40"/>
        <v>53</v>
      </c>
      <c r="B1269" s="89"/>
    </row>
    <row r="1270" spans="1:2" x14ac:dyDescent="0.25">
      <c r="A1270" s="83">
        <f t="shared" ref="A1270:A1333" si="41">WEEKNUM(B1270,21)</f>
        <v>53</v>
      </c>
      <c r="B1270" s="89"/>
    </row>
    <row r="1271" spans="1:2" x14ac:dyDescent="0.25">
      <c r="A1271" s="83">
        <f t="shared" si="41"/>
        <v>53</v>
      </c>
      <c r="B1271" s="89"/>
    </row>
    <row r="1272" spans="1:2" x14ac:dyDescent="0.25">
      <c r="A1272" s="83">
        <f t="shared" si="41"/>
        <v>53</v>
      </c>
      <c r="B1272" s="89"/>
    </row>
    <row r="1273" spans="1:2" x14ac:dyDescent="0.25">
      <c r="A1273" s="83">
        <f t="shared" si="41"/>
        <v>53</v>
      </c>
      <c r="B1273" s="89"/>
    </row>
    <row r="1274" spans="1:2" x14ac:dyDescent="0.25">
      <c r="A1274" s="83">
        <f t="shared" si="41"/>
        <v>53</v>
      </c>
      <c r="B1274" s="89"/>
    </row>
    <row r="1275" spans="1:2" x14ac:dyDescent="0.25">
      <c r="A1275" s="83">
        <f t="shared" si="41"/>
        <v>53</v>
      </c>
      <c r="B1275" s="89"/>
    </row>
    <row r="1276" spans="1:2" x14ac:dyDescent="0.25">
      <c r="A1276" s="83">
        <f t="shared" si="41"/>
        <v>53</v>
      </c>
      <c r="B1276" s="89"/>
    </row>
    <row r="1277" spans="1:2" x14ac:dyDescent="0.25">
      <c r="A1277" s="83">
        <f t="shared" si="41"/>
        <v>53</v>
      </c>
      <c r="B1277" s="89"/>
    </row>
    <row r="1278" spans="1:2" x14ac:dyDescent="0.25">
      <c r="A1278" s="83">
        <f t="shared" si="41"/>
        <v>53</v>
      </c>
      <c r="B1278" s="89"/>
    </row>
    <row r="1279" spans="1:2" x14ac:dyDescent="0.25">
      <c r="A1279" s="83">
        <f t="shared" si="41"/>
        <v>53</v>
      </c>
      <c r="B1279" s="89"/>
    </row>
    <row r="1280" spans="1:2" x14ac:dyDescent="0.25">
      <c r="A1280" s="83">
        <f t="shared" si="41"/>
        <v>53</v>
      </c>
      <c r="B1280" s="89"/>
    </row>
    <row r="1281" spans="1:2" x14ac:dyDescent="0.25">
      <c r="A1281" s="83">
        <f t="shared" si="41"/>
        <v>53</v>
      </c>
      <c r="B1281" s="89"/>
    </row>
    <row r="1282" spans="1:2" x14ac:dyDescent="0.25">
      <c r="A1282" s="83">
        <f t="shared" si="41"/>
        <v>53</v>
      </c>
      <c r="B1282" s="89"/>
    </row>
    <row r="1283" spans="1:2" x14ac:dyDescent="0.25">
      <c r="A1283" s="83">
        <f t="shared" si="41"/>
        <v>53</v>
      </c>
      <c r="B1283" s="89"/>
    </row>
    <row r="1284" spans="1:2" x14ac:dyDescent="0.25">
      <c r="A1284" s="83">
        <f t="shared" si="41"/>
        <v>53</v>
      </c>
      <c r="B1284" s="89"/>
    </row>
    <row r="1285" spans="1:2" x14ac:dyDescent="0.25">
      <c r="A1285" s="83">
        <f t="shared" si="41"/>
        <v>53</v>
      </c>
      <c r="B1285" s="89"/>
    </row>
    <row r="1286" spans="1:2" x14ac:dyDescent="0.25">
      <c r="A1286" s="83">
        <f t="shared" si="41"/>
        <v>53</v>
      </c>
      <c r="B1286" s="89"/>
    </row>
    <row r="1287" spans="1:2" x14ac:dyDescent="0.25">
      <c r="A1287" s="83">
        <f t="shared" si="41"/>
        <v>53</v>
      </c>
      <c r="B1287" s="89"/>
    </row>
    <row r="1288" spans="1:2" x14ac:dyDescent="0.25">
      <c r="A1288" s="83">
        <f t="shared" si="41"/>
        <v>53</v>
      </c>
      <c r="B1288" s="89"/>
    </row>
    <row r="1289" spans="1:2" x14ac:dyDescent="0.25">
      <c r="A1289" s="83">
        <f t="shared" si="41"/>
        <v>53</v>
      </c>
      <c r="B1289" s="89"/>
    </row>
    <row r="1290" spans="1:2" x14ac:dyDescent="0.25">
      <c r="A1290" s="83">
        <f t="shared" si="41"/>
        <v>53</v>
      </c>
      <c r="B1290" s="89"/>
    </row>
    <row r="1291" spans="1:2" x14ac:dyDescent="0.25">
      <c r="A1291" s="83">
        <f t="shared" si="41"/>
        <v>53</v>
      </c>
      <c r="B1291" s="89"/>
    </row>
    <row r="1292" spans="1:2" x14ac:dyDescent="0.25">
      <c r="A1292" s="83">
        <f t="shared" si="41"/>
        <v>53</v>
      </c>
      <c r="B1292" s="89"/>
    </row>
    <row r="1293" spans="1:2" x14ac:dyDescent="0.25">
      <c r="A1293" s="83">
        <f t="shared" si="41"/>
        <v>53</v>
      </c>
      <c r="B1293" s="89"/>
    </row>
    <row r="1294" spans="1:2" x14ac:dyDescent="0.25">
      <c r="A1294" s="83">
        <f t="shared" si="41"/>
        <v>53</v>
      </c>
      <c r="B1294" s="89"/>
    </row>
    <row r="1295" spans="1:2" x14ac:dyDescent="0.25">
      <c r="A1295" s="83">
        <f t="shared" si="41"/>
        <v>53</v>
      </c>
      <c r="B1295" s="89"/>
    </row>
    <row r="1296" spans="1:2" x14ac:dyDescent="0.25">
      <c r="A1296" s="83">
        <f t="shared" si="41"/>
        <v>53</v>
      </c>
      <c r="B1296" s="89"/>
    </row>
    <row r="1297" spans="1:2" x14ac:dyDescent="0.25">
      <c r="A1297" s="83">
        <f t="shared" si="41"/>
        <v>53</v>
      </c>
      <c r="B1297" s="89"/>
    </row>
    <row r="1298" spans="1:2" x14ac:dyDescent="0.25">
      <c r="A1298" s="83">
        <f t="shared" si="41"/>
        <v>53</v>
      </c>
      <c r="B1298" s="89"/>
    </row>
    <row r="1299" spans="1:2" x14ac:dyDescent="0.25">
      <c r="A1299" s="83">
        <f t="shared" si="41"/>
        <v>53</v>
      </c>
      <c r="B1299" s="89"/>
    </row>
    <row r="1300" spans="1:2" x14ac:dyDescent="0.25">
      <c r="A1300" s="83">
        <f t="shared" si="41"/>
        <v>53</v>
      </c>
      <c r="B1300" s="89"/>
    </row>
    <row r="1301" spans="1:2" x14ac:dyDescent="0.25">
      <c r="A1301" s="83">
        <f t="shared" si="41"/>
        <v>53</v>
      </c>
      <c r="B1301" s="89"/>
    </row>
    <row r="1302" spans="1:2" x14ac:dyDescent="0.25">
      <c r="A1302" s="83">
        <f t="shared" si="41"/>
        <v>53</v>
      </c>
      <c r="B1302" s="89"/>
    </row>
    <row r="1303" spans="1:2" x14ac:dyDescent="0.25">
      <c r="A1303" s="83">
        <f t="shared" si="41"/>
        <v>53</v>
      </c>
      <c r="B1303" s="89"/>
    </row>
    <row r="1304" spans="1:2" x14ac:dyDescent="0.25">
      <c r="A1304" s="83">
        <f t="shared" si="41"/>
        <v>53</v>
      </c>
      <c r="B1304" s="89"/>
    </row>
    <row r="1305" spans="1:2" x14ac:dyDescent="0.25">
      <c r="A1305" s="83">
        <f t="shared" si="41"/>
        <v>53</v>
      </c>
      <c r="B1305" s="89"/>
    </row>
    <row r="1306" spans="1:2" x14ac:dyDescent="0.25">
      <c r="A1306" s="83">
        <f t="shared" si="41"/>
        <v>53</v>
      </c>
      <c r="B1306" s="89"/>
    </row>
    <row r="1307" spans="1:2" x14ac:dyDescent="0.25">
      <c r="A1307" s="83">
        <f t="shared" si="41"/>
        <v>53</v>
      </c>
      <c r="B1307" s="89"/>
    </row>
    <row r="1308" spans="1:2" x14ac:dyDescent="0.25">
      <c r="A1308" s="83">
        <f t="shared" si="41"/>
        <v>53</v>
      </c>
      <c r="B1308" s="89"/>
    </row>
    <row r="1309" spans="1:2" x14ac:dyDescent="0.25">
      <c r="A1309" s="83">
        <f t="shared" si="41"/>
        <v>53</v>
      </c>
      <c r="B1309" s="89"/>
    </row>
    <row r="1310" spans="1:2" x14ac:dyDescent="0.25">
      <c r="A1310" s="83">
        <f t="shared" si="41"/>
        <v>53</v>
      </c>
      <c r="B1310" s="89"/>
    </row>
    <row r="1311" spans="1:2" x14ac:dyDescent="0.25">
      <c r="A1311" s="83">
        <f t="shared" si="41"/>
        <v>53</v>
      </c>
      <c r="B1311" s="89"/>
    </row>
    <row r="1312" spans="1:2" x14ac:dyDescent="0.25">
      <c r="A1312" s="83">
        <f t="shared" si="41"/>
        <v>53</v>
      </c>
      <c r="B1312" s="89"/>
    </row>
    <row r="1313" spans="1:2" x14ac:dyDescent="0.25">
      <c r="A1313" s="83">
        <f t="shared" si="41"/>
        <v>53</v>
      </c>
      <c r="B1313" s="89"/>
    </row>
    <row r="1314" spans="1:2" x14ac:dyDescent="0.25">
      <c r="A1314" s="83">
        <f t="shared" si="41"/>
        <v>53</v>
      </c>
      <c r="B1314" s="89"/>
    </row>
    <row r="1315" spans="1:2" x14ac:dyDescent="0.25">
      <c r="A1315" s="83">
        <f t="shared" si="41"/>
        <v>53</v>
      </c>
      <c r="B1315" s="89"/>
    </row>
    <row r="1316" spans="1:2" x14ac:dyDescent="0.25">
      <c r="A1316" s="83">
        <f t="shared" si="41"/>
        <v>53</v>
      </c>
      <c r="B1316" s="89"/>
    </row>
    <row r="1317" spans="1:2" x14ac:dyDescent="0.25">
      <c r="A1317" s="83">
        <f t="shared" si="41"/>
        <v>53</v>
      </c>
      <c r="B1317" s="89"/>
    </row>
    <row r="1318" spans="1:2" x14ac:dyDescent="0.25">
      <c r="A1318" s="83">
        <f t="shared" si="41"/>
        <v>53</v>
      </c>
      <c r="B1318" s="89"/>
    </row>
    <row r="1319" spans="1:2" x14ac:dyDescent="0.25">
      <c r="A1319" s="83">
        <f t="shared" si="41"/>
        <v>53</v>
      </c>
      <c r="B1319" s="89"/>
    </row>
    <row r="1320" spans="1:2" x14ac:dyDescent="0.25">
      <c r="A1320" s="83">
        <f t="shared" si="41"/>
        <v>53</v>
      </c>
      <c r="B1320" s="89"/>
    </row>
    <row r="1321" spans="1:2" x14ac:dyDescent="0.25">
      <c r="A1321" s="83">
        <f t="shared" si="41"/>
        <v>53</v>
      </c>
      <c r="B1321" s="89"/>
    </row>
    <row r="1322" spans="1:2" x14ac:dyDescent="0.25">
      <c r="A1322" s="83">
        <f t="shared" si="41"/>
        <v>53</v>
      </c>
      <c r="B1322" s="89"/>
    </row>
    <row r="1323" spans="1:2" x14ac:dyDescent="0.25">
      <c r="A1323" s="83">
        <f t="shared" si="41"/>
        <v>53</v>
      </c>
      <c r="B1323" s="89"/>
    </row>
    <row r="1324" spans="1:2" x14ac:dyDescent="0.25">
      <c r="A1324" s="83">
        <f t="shared" si="41"/>
        <v>53</v>
      </c>
      <c r="B1324" s="89"/>
    </row>
    <row r="1325" spans="1:2" x14ac:dyDescent="0.25">
      <c r="A1325" s="83">
        <f t="shared" si="41"/>
        <v>53</v>
      </c>
      <c r="B1325" s="89"/>
    </row>
    <row r="1326" spans="1:2" x14ac:dyDescent="0.25">
      <c r="A1326" s="83">
        <f t="shared" si="41"/>
        <v>53</v>
      </c>
      <c r="B1326" s="89"/>
    </row>
    <row r="1327" spans="1:2" x14ac:dyDescent="0.25">
      <c r="A1327" s="83">
        <f t="shared" si="41"/>
        <v>53</v>
      </c>
      <c r="B1327" s="89"/>
    </row>
    <row r="1328" spans="1:2" x14ac:dyDescent="0.25">
      <c r="A1328" s="83">
        <f t="shared" si="41"/>
        <v>53</v>
      </c>
      <c r="B1328" s="89"/>
    </row>
    <row r="1329" spans="1:2" x14ac:dyDescent="0.25">
      <c r="A1329" s="83">
        <f t="shared" si="41"/>
        <v>53</v>
      </c>
      <c r="B1329" s="89"/>
    </row>
    <row r="1330" spans="1:2" x14ac:dyDescent="0.25">
      <c r="A1330" s="83">
        <f t="shared" si="41"/>
        <v>53</v>
      </c>
      <c r="B1330" s="89"/>
    </row>
    <row r="1331" spans="1:2" x14ac:dyDescent="0.25">
      <c r="A1331" s="83">
        <f t="shared" si="41"/>
        <v>53</v>
      </c>
      <c r="B1331" s="89"/>
    </row>
    <row r="1332" spans="1:2" x14ac:dyDescent="0.25">
      <c r="A1332" s="83">
        <f t="shared" si="41"/>
        <v>53</v>
      </c>
      <c r="B1332" s="89"/>
    </row>
    <row r="1333" spans="1:2" x14ac:dyDescent="0.25">
      <c r="A1333" s="83">
        <f t="shared" si="41"/>
        <v>53</v>
      </c>
      <c r="B1333" s="89"/>
    </row>
    <row r="1334" spans="1:2" x14ac:dyDescent="0.25">
      <c r="A1334" s="83">
        <f t="shared" ref="A1334:A1397" si="42">WEEKNUM(B1334,21)</f>
        <v>53</v>
      </c>
      <c r="B1334" s="89"/>
    </row>
    <row r="1335" spans="1:2" x14ac:dyDescent="0.25">
      <c r="A1335" s="83">
        <f t="shared" si="42"/>
        <v>53</v>
      </c>
      <c r="B1335" s="89"/>
    </row>
    <row r="1336" spans="1:2" x14ac:dyDescent="0.25">
      <c r="A1336" s="83">
        <f t="shared" si="42"/>
        <v>53</v>
      </c>
      <c r="B1336" s="89"/>
    </row>
    <row r="1337" spans="1:2" x14ac:dyDescent="0.25">
      <c r="A1337" s="83">
        <f t="shared" si="42"/>
        <v>53</v>
      </c>
      <c r="B1337" s="89"/>
    </row>
    <row r="1338" spans="1:2" x14ac:dyDescent="0.25">
      <c r="A1338" s="83">
        <f t="shared" si="42"/>
        <v>53</v>
      </c>
      <c r="B1338" s="89"/>
    </row>
    <row r="1339" spans="1:2" x14ac:dyDescent="0.25">
      <c r="A1339" s="83">
        <f t="shared" si="42"/>
        <v>53</v>
      </c>
      <c r="B1339" s="89"/>
    </row>
    <row r="1340" spans="1:2" x14ac:dyDescent="0.25">
      <c r="A1340" s="83">
        <f t="shared" si="42"/>
        <v>53</v>
      </c>
      <c r="B1340" s="89"/>
    </row>
    <row r="1341" spans="1:2" x14ac:dyDescent="0.25">
      <c r="A1341" s="83">
        <f t="shared" si="42"/>
        <v>53</v>
      </c>
      <c r="B1341" s="89"/>
    </row>
    <row r="1342" spans="1:2" x14ac:dyDescent="0.25">
      <c r="A1342" s="83">
        <f t="shared" si="42"/>
        <v>53</v>
      </c>
      <c r="B1342" s="89"/>
    </row>
    <row r="1343" spans="1:2" x14ac:dyDescent="0.25">
      <c r="A1343" s="83">
        <f t="shared" si="42"/>
        <v>53</v>
      </c>
      <c r="B1343" s="89"/>
    </row>
    <row r="1344" spans="1:2" x14ac:dyDescent="0.25">
      <c r="A1344" s="83">
        <f t="shared" si="42"/>
        <v>53</v>
      </c>
      <c r="B1344" s="89"/>
    </row>
    <row r="1345" spans="1:2" x14ac:dyDescent="0.25">
      <c r="A1345" s="83">
        <f t="shared" si="42"/>
        <v>53</v>
      </c>
      <c r="B1345" s="89"/>
    </row>
    <row r="1346" spans="1:2" x14ac:dyDescent="0.25">
      <c r="A1346" s="83">
        <f t="shared" si="42"/>
        <v>53</v>
      </c>
      <c r="B1346" s="89"/>
    </row>
    <row r="1347" spans="1:2" x14ac:dyDescent="0.25">
      <c r="A1347" s="83">
        <f t="shared" si="42"/>
        <v>53</v>
      </c>
      <c r="B1347" s="89"/>
    </row>
    <row r="1348" spans="1:2" x14ac:dyDescent="0.25">
      <c r="A1348" s="83">
        <f t="shared" si="42"/>
        <v>53</v>
      </c>
      <c r="B1348" s="89"/>
    </row>
    <row r="1349" spans="1:2" x14ac:dyDescent="0.25">
      <c r="A1349" s="83">
        <f t="shared" si="42"/>
        <v>53</v>
      </c>
      <c r="B1349" s="89"/>
    </row>
    <row r="1350" spans="1:2" x14ac:dyDescent="0.25">
      <c r="A1350" s="83">
        <f t="shared" si="42"/>
        <v>53</v>
      </c>
      <c r="B1350" s="89"/>
    </row>
    <row r="1351" spans="1:2" x14ac:dyDescent="0.25">
      <c r="A1351" s="83">
        <f t="shared" si="42"/>
        <v>53</v>
      </c>
      <c r="B1351" s="89"/>
    </row>
    <row r="1352" spans="1:2" x14ac:dyDescent="0.25">
      <c r="A1352" s="83">
        <f t="shared" si="42"/>
        <v>53</v>
      </c>
      <c r="B1352" s="89"/>
    </row>
    <row r="1353" spans="1:2" x14ac:dyDescent="0.25">
      <c r="A1353" s="83">
        <f t="shared" si="42"/>
        <v>53</v>
      </c>
      <c r="B1353" s="89"/>
    </row>
    <row r="1354" spans="1:2" x14ac:dyDescent="0.25">
      <c r="A1354" s="83">
        <f t="shared" si="42"/>
        <v>53</v>
      </c>
      <c r="B1354" s="89"/>
    </row>
    <row r="1355" spans="1:2" x14ac:dyDescent="0.25">
      <c r="A1355" s="83">
        <f t="shared" si="42"/>
        <v>53</v>
      </c>
      <c r="B1355" s="89"/>
    </row>
    <row r="1356" spans="1:2" x14ac:dyDescent="0.25">
      <c r="A1356" s="83">
        <f t="shared" si="42"/>
        <v>53</v>
      </c>
      <c r="B1356" s="89"/>
    </row>
    <row r="1357" spans="1:2" x14ac:dyDescent="0.25">
      <c r="A1357" s="83">
        <f t="shared" si="42"/>
        <v>53</v>
      </c>
      <c r="B1357" s="89"/>
    </row>
    <row r="1358" spans="1:2" x14ac:dyDescent="0.25">
      <c r="A1358" s="83">
        <f t="shared" si="42"/>
        <v>53</v>
      </c>
      <c r="B1358" s="89"/>
    </row>
    <row r="1359" spans="1:2" x14ac:dyDescent="0.25">
      <c r="A1359" s="83">
        <f t="shared" si="42"/>
        <v>53</v>
      </c>
      <c r="B1359" s="89"/>
    </row>
    <row r="1360" spans="1:2" x14ac:dyDescent="0.25">
      <c r="A1360" s="83">
        <f t="shared" si="42"/>
        <v>53</v>
      </c>
      <c r="B1360" s="89"/>
    </row>
    <row r="1361" spans="1:2" x14ac:dyDescent="0.25">
      <c r="A1361" s="83">
        <f t="shared" si="42"/>
        <v>53</v>
      </c>
      <c r="B1361" s="89"/>
    </row>
    <row r="1362" spans="1:2" x14ac:dyDescent="0.25">
      <c r="A1362" s="83">
        <f t="shared" si="42"/>
        <v>53</v>
      </c>
      <c r="B1362" s="89"/>
    </row>
    <row r="1363" spans="1:2" x14ac:dyDescent="0.25">
      <c r="A1363" s="83">
        <f t="shared" si="42"/>
        <v>53</v>
      </c>
      <c r="B1363" s="89"/>
    </row>
    <row r="1364" spans="1:2" x14ac:dyDescent="0.25">
      <c r="A1364" s="83">
        <f t="shared" si="42"/>
        <v>53</v>
      </c>
      <c r="B1364" s="89"/>
    </row>
    <row r="1365" spans="1:2" x14ac:dyDescent="0.25">
      <c r="A1365" s="83">
        <f t="shared" si="42"/>
        <v>53</v>
      </c>
      <c r="B1365" s="89"/>
    </row>
    <row r="1366" spans="1:2" x14ac:dyDescent="0.25">
      <c r="A1366" s="83">
        <f t="shared" si="42"/>
        <v>53</v>
      </c>
      <c r="B1366" s="89"/>
    </row>
    <row r="1367" spans="1:2" x14ac:dyDescent="0.25">
      <c r="A1367" s="83">
        <f t="shared" si="42"/>
        <v>53</v>
      </c>
      <c r="B1367" s="89"/>
    </row>
    <row r="1368" spans="1:2" x14ac:dyDescent="0.25">
      <c r="A1368" s="83">
        <f t="shared" si="42"/>
        <v>53</v>
      </c>
      <c r="B1368" s="89"/>
    </row>
    <row r="1369" spans="1:2" x14ac:dyDescent="0.25">
      <c r="A1369" s="83">
        <f t="shared" si="42"/>
        <v>53</v>
      </c>
      <c r="B1369" s="89"/>
    </row>
    <row r="1370" spans="1:2" x14ac:dyDescent="0.25">
      <c r="A1370" s="83">
        <f t="shared" si="42"/>
        <v>53</v>
      </c>
      <c r="B1370" s="89"/>
    </row>
    <row r="1371" spans="1:2" x14ac:dyDescent="0.25">
      <c r="A1371" s="83">
        <f t="shared" si="42"/>
        <v>53</v>
      </c>
      <c r="B1371" s="89"/>
    </row>
    <row r="1372" spans="1:2" x14ac:dyDescent="0.25">
      <c r="A1372" s="83">
        <f t="shared" si="42"/>
        <v>53</v>
      </c>
      <c r="B1372" s="89"/>
    </row>
    <row r="1373" spans="1:2" x14ac:dyDescent="0.25">
      <c r="A1373" s="83">
        <f t="shared" si="42"/>
        <v>53</v>
      </c>
      <c r="B1373" s="89"/>
    </row>
    <row r="1374" spans="1:2" x14ac:dyDescent="0.25">
      <c r="A1374" s="83">
        <f t="shared" si="42"/>
        <v>53</v>
      </c>
      <c r="B1374" s="89"/>
    </row>
    <row r="1375" spans="1:2" x14ac:dyDescent="0.25">
      <c r="A1375" s="83">
        <f t="shared" si="42"/>
        <v>53</v>
      </c>
      <c r="B1375" s="89"/>
    </row>
    <row r="1376" spans="1:2" x14ac:dyDescent="0.25">
      <c r="A1376" s="83">
        <f t="shared" si="42"/>
        <v>53</v>
      </c>
      <c r="B1376" s="89"/>
    </row>
    <row r="1377" spans="1:2" x14ac:dyDescent="0.25">
      <c r="A1377" s="83">
        <f t="shared" si="42"/>
        <v>53</v>
      </c>
      <c r="B1377" s="89"/>
    </row>
    <row r="1378" spans="1:2" x14ac:dyDescent="0.25">
      <c r="A1378" s="83">
        <f t="shared" si="42"/>
        <v>53</v>
      </c>
      <c r="B1378" s="89"/>
    </row>
    <row r="1379" spans="1:2" x14ac:dyDescent="0.25">
      <c r="A1379" s="83">
        <f t="shared" si="42"/>
        <v>53</v>
      </c>
      <c r="B1379" s="89"/>
    </row>
    <row r="1380" spans="1:2" x14ac:dyDescent="0.25">
      <c r="A1380" s="83">
        <f t="shared" si="42"/>
        <v>53</v>
      </c>
      <c r="B1380" s="89"/>
    </row>
    <row r="1381" spans="1:2" x14ac:dyDescent="0.25">
      <c r="A1381" s="83">
        <f t="shared" si="42"/>
        <v>53</v>
      </c>
      <c r="B1381" s="89"/>
    </row>
    <row r="1382" spans="1:2" x14ac:dyDescent="0.25">
      <c r="A1382" s="83">
        <f t="shared" si="42"/>
        <v>53</v>
      </c>
      <c r="B1382" s="89"/>
    </row>
    <row r="1383" spans="1:2" x14ac:dyDescent="0.25">
      <c r="A1383" s="83">
        <f t="shared" si="42"/>
        <v>53</v>
      </c>
      <c r="B1383" s="89"/>
    </row>
    <row r="1384" spans="1:2" x14ac:dyDescent="0.25">
      <c r="A1384" s="83">
        <f t="shared" si="42"/>
        <v>53</v>
      </c>
      <c r="B1384" s="89"/>
    </row>
    <row r="1385" spans="1:2" x14ac:dyDescent="0.25">
      <c r="A1385" s="83">
        <f t="shared" si="42"/>
        <v>53</v>
      </c>
      <c r="B1385" s="89"/>
    </row>
    <row r="1386" spans="1:2" x14ac:dyDescent="0.25">
      <c r="A1386" s="83">
        <f t="shared" si="42"/>
        <v>53</v>
      </c>
      <c r="B1386" s="89"/>
    </row>
    <row r="1387" spans="1:2" x14ac:dyDescent="0.25">
      <c r="A1387" s="83">
        <f t="shared" si="42"/>
        <v>53</v>
      </c>
      <c r="B1387" s="89"/>
    </row>
    <row r="1388" spans="1:2" x14ac:dyDescent="0.25">
      <c r="A1388" s="83">
        <f t="shared" si="42"/>
        <v>53</v>
      </c>
      <c r="B1388" s="89"/>
    </row>
    <row r="1389" spans="1:2" x14ac:dyDescent="0.25">
      <c r="A1389" s="83">
        <f t="shared" si="42"/>
        <v>53</v>
      </c>
      <c r="B1389" s="89"/>
    </row>
    <row r="1390" spans="1:2" x14ac:dyDescent="0.25">
      <c r="A1390" s="83">
        <f t="shared" si="42"/>
        <v>53</v>
      </c>
      <c r="B1390" s="89"/>
    </row>
    <row r="1391" spans="1:2" x14ac:dyDescent="0.25">
      <c r="A1391" s="83">
        <f t="shared" si="42"/>
        <v>53</v>
      </c>
      <c r="B1391" s="89"/>
    </row>
    <row r="1392" spans="1:2" x14ac:dyDescent="0.25">
      <c r="A1392" s="83">
        <f t="shared" si="42"/>
        <v>53</v>
      </c>
      <c r="B1392" s="89"/>
    </row>
    <row r="1393" spans="1:2" x14ac:dyDescent="0.25">
      <c r="A1393" s="83">
        <f t="shared" si="42"/>
        <v>53</v>
      </c>
      <c r="B1393" s="89"/>
    </row>
    <row r="1394" spans="1:2" x14ac:dyDescent="0.25">
      <c r="A1394" s="83">
        <f t="shared" si="42"/>
        <v>53</v>
      </c>
      <c r="B1394" s="89"/>
    </row>
    <row r="1395" spans="1:2" x14ac:dyDescent="0.25">
      <c r="A1395" s="83">
        <f t="shared" si="42"/>
        <v>53</v>
      </c>
      <c r="B1395" s="89"/>
    </row>
    <row r="1396" spans="1:2" x14ac:dyDescent="0.25">
      <c r="A1396" s="83">
        <f t="shared" si="42"/>
        <v>53</v>
      </c>
      <c r="B1396" s="89"/>
    </row>
    <row r="1397" spans="1:2" x14ac:dyDescent="0.25">
      <c r="A1397" s="83">
        <f t="shared" si="42"/>
        <v>53</v>
      </c>
      <c r="B1397" s="89"/>
    </row>
    <row r="1398" spans="1:2" x14ac:dyDescent="0.25">
      <c r="A1398" s="83">
        <f t="shared" ref="A1398:A1461" si="43">WEEKNUM(B1398,21)</f>
        <v>53</v>
      </c>
      <c r="B1398" s="89"/>
    </row>
    <row r="1399" spans="1:2" x14ac:dyDescent="0.25">
      <c r="A1399" s="83">
        <f t="shared" si="43"/>
        <v>53</v>
      </c>
      <c r="B1399" s="89"/>
    </row>
    <row r="1400" spans="1:2" x14ac:dyDescent="0.25">
      <c r="A1400" s="83">
        <f t="shared" si="43"/>
        <v>53</v>
      </c>
      <c r="B1400" s="89"/>
    </row>
    <row r="1401" spans="1:2" x14ac:dyDescent="0.25">
      <c r="A1401" s="83">
        <f t="shared" si="43"/>
        <v>53</v>
      </c>
      <c r="B1401" s="89"/>
    </row>
    <row r="1402" spans="1:2" x14ac:dyDescent="0.25">
      <c r="A1402" s="83">
        <f t="shared" si="43"/>
        <v>53</v>
      </c>
      <c r="B1402" s="89"/>
    </row>
    <row r="1403" spans="1:2" x14ac:dyDescent="0.25">
      <c r="A1403" s="83">
        <f t="shared" si="43"/>
        <v>53</v>
      </c>
      <c r="B1403" s="89"/>
    </row>
    <row r="1404" spans="1:2" x14ac:dyDescent="0.25">
      <c r="A1404" s="83">
        <f t="shared" si="43"/>
        <v>53</v>
      </c>
      <c r="B1404" s="89"/>
    </row>
    <row r="1405" spans="1:2" x14ac:dyDescent="0.25">
      <c r="A1405" s="83">
        <f t="shared" si="43"/>
        <v>53</v>
      </c>
      <c r="B1405" s="89"/>
    </row>
    <row r="1406" spans="1:2" x14ac:dyDescent="0.25">
      <c r="A1406" s="83">
        <f t="shared" si="43"/>
        <v>53</v>
      </c>
      <c r="B1406" s="89"/>
    </row>
    <row r="1407" spans="1:2" x14ac:dyDescent="0.25">
      <c r="A1407" s="83">
        <f t="shared" si="43"/>
        <v>53</v>
      </c>
      <c r="B1407" s="89"/>
    </row>
    <row r="1408" spans="1:2" x14ac:dyDescent="0.25">
      <c r="A1408" s="83">
        <f t="shared" si="43"/>
        <v>53</v>
      </c>
      <c r="B1408" s="89"/>
    </row>
    <row r="1409" spans="1:2" x14ac:dyDescent="0.25">
      <c r="A1409" s="83">
        <f t="shared" si="43"/>
        <v>53</v>
      </c>
      <c r="B1409" s="89"/>
    </row>
    <row r="1410" spans="1:2" x14ac:dyDescent="0.25">
      <c r="A1410" s="83">
        <f t="shared" si="43"/>
        <v>53</v>
      </c>
      <c r="B1410" s="89"/>
    </row>
    <row r="1411" spans="1:2" x14ac:dyDescent="0.25">
      <c r="A1411" s="83">
        <f t="shared" si="43"/>
        <v>53</v>
      </c>
      <c r="B1411" s="89"/>
    </row>
    <row r="1412" spans="1:2" x14ac:dyDescent="0.25">
      <c r="A1412" s="83">
        <f t="shared" si="43"/>
        <v>53</v>
      </c>
      <c r="B1412" s="89"/>
    </row>
    <row r="1413" spans="1:2" x14ac:dyDescent="0.25">
      <c r="A1413" s="83">
        <f t="shared" si="43"/>
        <v>53</v>
      </c>
      <c r="B1413" s="89"/>
    </row>
    <row r="1414" spans="1:2" x14ac:dyDescent="0.25">
      <c r="A1414" s="83">
        <f t="shared" si="43"/>
        <v>53</v>
      </c>
      <c r="B1414" s="89"/>
    </row>
    <row r="1415" spans="1:2" x14ac:dyDescent="0.25">
      <c r="A1415" s="83">
        <f t="shared" si="43"/>
        <v>53</v>
      </c>
      <c r="B1415" s="89"/>
    </row>
    <row r="1416" spans="1:2" x14ac:dyDescent="0.25">
      <c r="A1416" s="83">
        <f t="shared" si="43"/>
        <v>53</v>
      </c>
      <c r="B1416" s="89"/>
    </row>
    <row r="1417" spans="1:2" x14ac:dyDescent="0.25">
      <c r="A1417" s="83">
        <f t="shared" si="43"/>
        <v>53</v>
      </c>
      <c r="B1417" s="89"/>
    </row>
    <row r="1418" spans="1:2" x14ac:dyDescent="0.25">
      <c r="A1418" s="83">
        <f t="shared" si="43"/>
        <v>53</v>
      </c>
      <c r="B1418" s="89"/>
    </row>
    <row r="1419" spans="1:2" x14ac:dyDescent="0.25">
      <c r="A1419" s="83">
        <f t="shared" si="43"/>
        <v>53</v>
      </c>
      <c r="B1419" s="89"/>
    </row>
    <row r="1420" spans="1:2" x14ac:dyDescent="0.25">
      <c r="A1420" s="83">
        <f t="shared" si="43"/>
        <v>53</v>
      </c>
      <c r="B1420" s="89"/>
    </row>
    <row r="1421" spans="1:2" x14ac:dyDescent="0.25">
      <c r="A1421" s="83">
        <f t="shared" si="43"/>
        <v>53</v>
      </c>
      <c r="B1421" s="89"/>
    </row>
    <row r="1422" spans="1:2" x14ac:dyDescent="0.25">
      <c r="A1422" s="83">
        <f t="shared" si="43"/>
        <v>53</v>
      </c>
      <c r="B1422" s="89"/>
    </row>
    <row r="1423" spans="1:2" x14ac:dyDescent="0.25">
      <c r="A1423" s="83">
        <f t="shared" si="43"/>
        <v>53</v>
      </c>
      <c r="B1423" s="89"/>
    </row>
    <row r="1424" spans="1:2" x14ac:dyDescent="0.25">
      <c r="A1424" s="83">
        <f t="shared" si="43"/>
        <v>53</v>
      </c>
      <c r="B1424" s="89"/>
    </row>
    <row r="1425" spans="1:2" x14ac:dyDescent="0.25">
      <c r="A1425" s="83">
        <f t="shared" si="43"/>
        <v>53</v>
      </c>
      <c r="B1425" s="89"/>
    </row>
    <row r="1426" spans="1:2" x14ac:dyDescent="0.25">
      <c r="A1426" s="83">
        <f t="shared" si="43"/>
        <v>53</v>
      </c>
      <c r="B1426" s="89"/>
    </row>
    <row r="1427" spans="1:2" x14ac:dyDescent="0.25">
      <c r="A1427" s="83">
        <f t="shared" si="43"/>
        <v>53</v>
      </c>
      <c r="B1427" s="89"/>
    </row>
    <row r="1428" spans="1:2" x14ac:dyDescent="0.25">
      <c r="A1428" s="83">
        <f t="shared" si="43"/>
        <v>53</v>
      </c>
      <c r="B1428" s="89"/>
    </row>
    <row r="1429" spans="1:2" x14ac:dyDescent="0.25">
      <c r="A1429" s="83">
        <f t="shared" si="43"/>
        <v>53</v>
      </c>
      <c r="B1429" s="89"/>
    </row>
    <row r="1430" spans="1:2" x14ac:dyDescent="0.25">
      <c r="A1430" s="83">
        <f t="shared" si="43"/>
        <v>53</v>
      </c>
      <c r="B1430" s="89"/>
    </row>
    <row r="1431" spans="1:2" x14ac:dyDescent="0.25">
      <c r="A1431" s="83">
        <f t="shared" si="43"/>
        <v>53</v>
      </c>
      <c r="B1431" s="89"/>
    </row>
    <row r="1432" spans="1:2" x14ac:dyDescent="0.25">
      <c r="A1432" s="83">
        <f t="shared" si="43"/>
        <v>53</v>
      </c>
      <c r="B1432" s="89"/>
    </row>
    <row r="1433" spans="1:2" x14ac:dyDescent="0.25">
      <c r="A1433" s="83">
        <f t="shared" si="43"/>
        <v>53</v>
      </c>
      <c r="B1433" s="89"/>
    </row>
    <row r="1434" spans="1:2" x14ac:dyDescent="0.25">
      <c r="A1434" s="83">
        <f t="shared" si="43"/>
        <v>53</v>
      </c>
      <c r="B1434" s="89"/>
    </row>
    <row r="1435" spans="1:2" x14ac:dyDescent="0.25">
      <c r="A1435" s="83">
        <f t="shared" si="43"/>
        <v>53</v>
      </c>
      <c r="B1435" s="89"/>
    </row>
    <row r="1436" spans="1:2" x14ac:dyDescent="0.25">
      <c r="A1436" s="83">
        <f t="shared" si="43"/>
        <v>53</v>
      </c>
      <c r="B1436" s="89"/>
    </row>
    <row r="1437" spans="1:2" x14ac:dyDescent="0.25">
      <c r="A1437" s="83">
        <f t="shared" si="43"/>
        <v>53</v>
      </c>
      <c r="B1437" s="89"/>
    </row>
    <row r="1438" spans="1:2" x14ac:dyDescent="0.25">
      <c r="A1438" s="83">
        <f t="shared" si="43"/>
        <v>53</v>
      </c>
      <c r="B1438" s="89"/>
    </row>
    <row r="1439" spans="1:2" x14ac:dyDescent="0.25">
      <c r="A1439" s="83">
        <f t="shared" si="43"/>
        <v>53</v>
      </c>
      <c r="B1439" s="89"/>
    </row>
    <row r="1440" spans="1:2" x14ac:dyDescent="0.25">
      <c r="A1440" s="83">
        <f t="shared" si="43"/>
        <v>53</v>
      </c>
      <c r="B1440" s="89"/>
    </row>
    <row r="1441" spans="1:2" x14ac:dyDescent="0.25">
      <c r="A1441" s="83">
        <f t="shared" si="43"/>
        <v>53</v>
      </c>
      <c r="B1441" s="89"/>
    </row>
    <row r="1442" spans="1:2" x14ac:dyDescent="0.25">
      <c r="A1442" s="83">
        <f t="shared" si="43"/>
        <v>53</v>
      </c>
      <c r="B1442" s="89"/>
    </row>
    <row r="1443" spans="1:2" x14ac:dyDescent="0.25">
      <c r="A1443" s="83">
        <f t="shared" si="43"/>
        <v>53</v>
      </c>
      <c r="B1443" s="89"/>
    </row>
    <row r="1444" spans="1:2" x14ac:dyDescent="0.25">
      <c r="A1444" s="83">
        <f t="shared" si="43"/>
        <v>53</v>
      </c>
      <c r="B1444" s="89"/>
    </row>
    <row r="1445" spans="1:2" x14ac:dyDescent="0.25">
      <c r="A1445" s="83">
        <f t="shared" si="43"/>
        <v>53</v>
      </c>
      <c r="B1445" s="89"/>
    </row>
    <row r="1446" spans="1:2" x14ac:dyDescent="0.25">
      <c r="A1446" s="83">
        <f t="shared" si="43"/>
        <v>53</v>
      </c>
      <c r="B1446" s="89"/>
    </row>
    <row r="1447" spans="1:2" x14ac:dyDescent="0.25">
      <c r="A1447" s="83">
        <f t="shared" si="43"/>
        <v>53</v>
      </c>
      <c r="B1447" s="89"/>
    </row>
    <row r="1448" spans="1:2" x14ac:dyDescent="0.25">
      <c r="A1448" s="83">
        <f t="shared" si="43"/>
        <v>53</v>
      </c>
      <c r="B1448" s="89"/>
    </row>
    <row r="1449" spans="1:2" x14ac:dyDescent="0.25">
      <c r="A1449" s="83">
        <f t="shared" si="43"/>
        <v>53</v>
      </c>
      <c r="B1449" s="89"/>
    </row>
    <row r="1450" spans="1:2" x14ac:dyDescent="0.25">
      <c r="A1450" s="83">
        <f t="shared" si="43"/>
        <v>53</v>
      </c>
      <c r="B1450" s="89"/>
    </row>
    <row r="1451" spans="1:2" x14ac:dyDescent="0.25">
      <c r="A1451" s="83">
        <f t="shared" si="43"/>
        <v>53</v>
      </c>
      <c r="B1451" s="89"/>
    </row>
    <row r="1452" spans="1:2" x14ac:dyDescent="0.25">
      <c r="A1452" s="83">
        <f t="shared" si="43"/>
        <v>53</v>
      </c>
      <c r="B1452" s="89"/>
    </row>
    <row r="1453" spans="1:2" x14ac:dyDescent="0.25">
      <c r="A1453" s="83">
        <f t="shared" si="43"/>
        <v>53</v>
      </c>
      <c r="B1453" s="89"/>
    </row>
    <row r="1454" spans="1:2" x14ac:dyDescent="0.25">
      <c r="A1454" s="83">
        <f t="shared" si="43"/>
        <v>53</v>
      </c>
      <c r="B1454" s="89"/>
    </row>
    <row r="1455" spans="1:2" x14ac:dyDescent="0.25">
      <c r="A1455" s="83">
        <f t="shared" si="43"/>
        <v>53</v>
      </c>
      <c r="B1455" s="89"/>
    </row>
    <row r="1456" spans="1:2" x14ac:dyDescent="0.25">
      <c r="A1456" s="83">
        <f t="shared" si="43"/>
        <v>53</v>
      </c>
      <c r="B1456" s="89"/>
    </row>
    <row r="1457" spans="1:2" x14ac:dyDescent="0.25">
      <c r="A1457" s="83">
        <f t="shared" si="43"/>
        <v>53</v>
      </c>
      <c r="B1457" s="89"/>
    </row>
    <row r="1458" spans="1:2" x14ac:dyDescent="0.25">
      <c r="A1458" s="83">
        <f t="shared" si="43"/>
        <v>53</v>
      </c>
      <c r="B1458" s="89"/>
    </row>
    <row r="1459" spans="1:2" x14ac:dyDescent="0.25">
      <c r="A1459" s="83">
        <f t="shared" si="43"/>
        <v>53</v>
      </c>
      <c r="B1459" s="89"/>
    </row>
    <row r="1460" spans="1:2" x14ac:dyDescent="0.25">
      <c r="A1460" s="83">
        <f t="shared" si="43"/>
        <v>53</v>
      </c>
      <c r="B1460" s="89"/>
    </row>
    <row r="1461" spans="1:2" x14ac:dyDescent="0.25">
      <c r="A1461" s="83">
        <f t="shared" si="43"/>
        <v>53</v>
      </c>
      <c r="B1461" s="89"/>
    </row>
    <row r="1462" spans="1:2" x14ac:dyDescent="0.25">
      <c r="A1462" s="83">
        <f t="shared" ref="A1462:A1525" si="44">WEEKNUM(B1462,21)</f>
        <v>53</v>
      </c>
      <c r="B1462" s="89"/>
    </row>
    <row r="1463" spans="1:2" x14ac:dyDescent="0.25">
      <c r="A1463" s="83">
        <f t="shared" si="44"/>
        <v>53</v>
      </c>
      <c r="B1463" s="89"/>
    </row>
    <row r="1464" spans="1:2" x14ac:dyDescent="0.25">
      <c r="A1464" s="83">
        <f t="shared" si="44"/>
        <v>53</v>
      </c>
      <c r="B1464" s="89"/>
    </row>
    <row r="1465" spans="1:2" x14ac:dyDescent="0.25">
      <c r="A1465" s="83">
        <f t="shared" si="44"/>
        <v>53</v>
      </c>
      <c r="B1465" s="89"/>
    </row>
    <row r="1466" spans="1:2" x14ac:dyDescent="0.25">
      <c r="A1466" s="83">
        <f t="shared" si="44"/>
        <v>53</v>
      </c>
      <c r="B1466" s="89"/>
    </row>
    <row r="1467" spans="1:2" x14ac:dyDescent="0.25">
      <c r="A1467" s="83">
        <f t="shared" si="44"/>
        <v>53</v>
      </c>
      <c r="B1467" s="89"/>
    </row>
    <row r="1468" spans="1:2" x14ac:dyDescent="0.25">
      <c r="A1468" s="83">
        <f t="shared" si="44"/>
        <v>53</v>
      </c>
      <c r="B1468" s="89"/>
    </row>
    <row r="1469" spans="1:2" x14ac:dyDescent="0.25">
      <c r="A1469" s="83">
        <f t="shared" si="44"/>
        <v>53</v>
      </c>
      <c r="B1469" s="89"/>
    </row>
    <row r="1470" spans="1:2" x14ac:dyDescent="0.25">
      <c r="A1470" s="83">
        <f t="shared" si="44"/>
        <v>53</v>
      </c>
      <c r="B1470" s="89"/>
    </row>
    <row r="1471" spans="1:2" x14ac:dyDescent="0.25">
      <c r="A1471" s="83">
        <f t="shared" si="44"/>
        <v>53</v>
      </c>
      <c r="B1471" s="89"/>
    </row>
    <row r="1472" spans="1:2" x14ac:dyDescent="0.25">
      <c r="A1472" s="83">
        <f t="shared" si="44"/>
        <v>53</v>
      </c>
      <c r="B1472" s="89"/>
    </row>
    <row r="1473" spans="1:2" x14ac:dyDescent="0.25">
      <c r="A1473" s="83">
        <f t="shared" si="44"/>
        <v>53</v>
      </c>
      <c r="B1473" s="89"/>
    </row>
    <row r="1474" spans="1:2" x14ac:dyDescent="0.25">
      <c r="A1474" s="83">
        <f t="shared" si="44"/>
        <v>53</v>
      </c>
      <c r="B1474" s="89"/>
    </row>
    <row r="1475" spans="1:2" x14ac:dyDescent="0.25">
      <c r="A1475" s="83">
        <f t="shared" si="44"/>
        <v>53</v>
      </c>
      <c r="B1475" s="89"/>
    </row>
    <row r="1476" spans="1:2" x14ac:dyDescent="0.25">
      <c r="A1476" s="83">
        <f t="shared" si="44"/>
        <v>53</v>
      </c>
      <c r="B1476" s="89"/>
    </row>
    <row r="1477" spans="1:2" x14ac:dyDescent="0.25">
      <c r="A1477" s="83">
        <f t="shared" si="44"/>
        <v>53</v>
      </c>
      <c r="B1477" s="89"/>
    </row>
    <row r="1478" spans="1:2" x14ac:dyDescent="0.25">
      <c r="A1478" s="83">
        <f t="shared" si="44"/>
        <v>53</v>
      </c>
      <c r="B1478" s="89"/>
    </row>
    <row r="1479" spans="1:2" x14ac:dyDescent="0.25">
      <c r="A1479" s="83">
        <f t="shared" si="44"/>
        <v>53</v>
      </c>
      <c r="B1479" s="89"/>
    </row>
    <row r="1480" spans="1:2" x14ac:dyDescent="0.25">
      <c r="A1480" s="83">
        <f t="shared" si="44"/>
        <v>53</v>
      </c>
      <c r="B1480" s="89"/>
    </row>
    <row r="1481" spans="1:2" x14ac:dyDescent="0.25">
      <c r="A1481" s="83">
        <f t="shared" si="44"/>
        <v>53</v>
      </c>
      <c r="B1481" s="89"/>
    </row>
    <row r="1482" spans="1:2" x14ac:dyDescent="0.25">
      <c r="A1482" s="83">
        <f t="shared" si="44"/>
        <v>53</v>
      </c>
      <c r="B1482" s="89"/>
    </row>
    <row r="1483" spans="1:2" x14ac:dyDescent="0.25">
      <c r="A1483" s="83">
        <f t="shared" si="44"/>
        <v>53</v>
      </c>
      <c r="B1483" s="89"/>
    </row>
    <row r="1484" spans="1:2" x14ac:dyDescent="0.25">
      <c r="A1484" s="83">
        <f t="shared" si="44"/>
        <v>53</v>
      </c>
      <c r="B1484" s="89"/>
    </row>
    <row r="1485" spans="1:2" x14ac:dyDescent="0.25">
      <c r="A1485" s="83">
        <f t="shared" si="44"/>
        <v>53</v>
      </c>
      <c r="B1485" s="89"/>
    </row>
    <row r="1486" spans="1:2" x14ac:dyDescent="0.25">
      <c r="A1486" s="83">
        <f t="shared" si="44"/>
        <v>53</v>
      </c>
      <c r="B1486" s="89"/>
    </row>
    <row r="1487" spans="1:2" x14ac:dyDescent="0.25">
      <c r="A1487" s="83">
        <f t="shared" si="44"/>
        <v>53</v>
      </c>
      <c r="B1487" s="89"/>
    </row>
    <row r="1488" spans="1:2" x14ac:dyDescent="0.25">
      <c r="A1488" s="83">
        <f t="shared" si="44"/>
        <v>53</v>
      </c>
      <c r="B1488" s="89"/>
    </row>
    <row r="1489" spans="1:2" x14ac:dyDescent="0.25">
      <c r="A1489" s="83">
        <f t="shared" si="44"/>
        <v>53</v>
      </c>
      <c r="B1489" s="89"/>
    </row>
    <row r="1490" spans="1:2" x14ac:dyDescent="0.25">
      <c r="A1490" s="83">
        <f t="shared" si="44"/>
        <v>53</v>
      </c>
      <c r="B1490" s="89"/>
    </row>
    <row r="1491" spans="1:2" x14ac:dyDescent="0.25">
      <c r="A1491" s="83">
        <f t="shared" si="44"/>
        <v>53</v>
      </c>
      <c r="B1491" s="89"/>
    </row>
    <row r="1492" spans="1:2" x14ac:dyDescent="0.25">
      <c r="A1492" s="83">
        <f t="shared" si="44"/>
        <v>53</v>
      </c>
      <c r="B1492" s="89"/>
    </row>
    <row r="1493" spans="1:2" x14ac:dyDescent="0.25">
      <c r="A1493" s="83">
        <f t="shared" si="44"/>
        <v>53</v>
      </c>
      <c r="B1493" s="89"/>
    </row>
    <row r="1494" spans="1:2" x14ac:dyDescent="0.25">
      <c r="A1494" s="83">
        <f t="shared" si="44"/>
        <v>53</v>
      </c>
      <c r="B1494" s="89"/>
    </row>
    <row r="1495" spans="1:2" x14ac:dyDescent="0.25">
      <c r="A1495" s="83">
        <f t="shared" si="44"/>
        <v>53</v>
      </c>
      <c r="B1495" s="89"/>
    </row>
    <row r="1496" spans="1:2" x14ac:dyDescent="0.25">
      <c r="A1496" s="83">
        <f t="shared" si="44"/>
        <v>53</v>
      </c>
      <c r="B1496" s="89"/>
    </row>
    <row r="1497" spans="1:2" x14ac:dyDescent="0.25">
      <c r="A1497" s="83">
        <f t="shared" si="44"/>
        <v>53</v>
      </c>
      <c r="B1497" s="89"/>
    </row>
    <row r="1498" spans="1:2" x14ac:dyDescent="0.25">
      <c r="A1498" s="83">
        <f t="shared" si="44"/>
        <v>53</v>
      </c>
      <c r="B1498" s="89"/>
    </row>
    <row r="1499" spans="1:2" x14ac:dyDescent="0.25">
      <c r="A1499" s="83">
        <f t="shared" si="44"/>
        <v>53</v>
      </c>
      <c r="B1499" s="89"/>
    </row>
    <row r="1500" spans="1:2" x14ac:dyDescent="0.25">
      <c r="A1500" s="83">
        <f t="shared" si="44"/>
        <v>53</v>
      </c>
      <c r="B1500" s="89"/>
    </row>
    <row r="1501" spans="1:2" x14ac:dyDescent="0.25">
      <c r="A1501" s="83">
        <f t="shared" si="44"/>
        <v>53</v>
      </c>
      <c r="B1501" s="89"/>
    </row>
    <row r="1502" spans="1:2" x14ac:dyDescent="0.25">
      <c r="A1502" s="83">
        <f t="shared" si="44"/>
        <v>53</v>
      </c>
      <c r="B1502" s="89"/>
    </row>
    <row r="1503" spans="1:2" x14ac:dyDescent="0.25">
      <c r="A1503" s="83">
        <f t="shared" si="44"/>
        <v>53</v>
      </c>
      <c r="B1503" s="89"/>
    </row>
    <row r="1504" spans="1:2" x14ac:dyDescent="0.25">
      <c r="A1504" s="83">
        <f t="shared" si="44"/>
        <v>53</v>
      </c>
      <c r="B1504" s="89"/>
    </row>
    <row r="1505" spans="1:2" x14ac:dyDescent="0.25">
      <c r="A1505" s="83">
        <f t="shared" si="44"/>
        <v>53</v>
      </c>
      <c r="B1505" s="89"/>
    </row>
    <row r="1506" spans="1:2" x14ac:dyDescent="0.25">
      <c r="A1506" s="83">
        <f t="shared" si="44"/>
        <v>53</v>
      </c>
      <c r="B1506" s="89"/>
    </row>
    <row r="1507" spans="1:2" x14ac:dyDescent="0.25">
      <c r="A1507" s="83">
        <f t="shared" si="44"/>
        <v>53</v>
      </c>
      <c r="B1507" s="89"/>
    </row>
    <row r="1508" spans="1:2" x14ac:dyDescent="0.25">
      <c r="A1508" s="83">
        <f t="shared" si="44"/>
        <v>53</v>
      </c>
      <c r="B1508" s="89"/>
    </row>
    <row r="1509" spans="1:2" x14ac:dyDescent="0.25">
      <c r="A1509" s="83">
        <f t="shared" si="44"/>
        <v>53</v>
      </c>
      <c r="B1509" s="89"/>
    </row>
    <row r="1510" spans="1:2" x14ac:dyDescent="0.25">
      <c r="A1510" s="83">
        <f t="shared" si="44"/>
        <v>53</v>
      </c>
      <c r="B1510" s="89"/>
    </row>
    <row r="1511" spans="1:2" x14ac:dyDescent="0.25">
      <c r="A1511" s="83">
        <f t="shared" si="44"/>
        <v>53</v>
      </c>
      <c r="B1511" s="89"/>
    </row>
    <row r="1512" spans="1:2" x14ac:dyDescent="0.25">
      <c r="A1512" s="83">
        <f t="shared" si="44"/>
        <v>53</v>
      </c>
      <c r="B1512" s="89"/>
    </row>
    <row r="1513" spans="1:2" x14ac:dyDescent="0.25">
      <c r="A1513" s="83">
        <f t="shared" si="44"/>
        <v>53</v>
      </c>
      <c r="B1513" s="89"/>
    </row>
    <row r="1514" spans="1:2" x14ac:dyDescent="0.25">
      <c r="A1514" s="83">
        <f t="shared" si="44"/>
        <v>53</v>
      </c>
      <c r="B1514" s="89"/>
    </row>
    <row r="1515" spans="1:2" x14ac:dyDescent="0.25">
      <c r="A1515" s="83">
        <f t="shared" si="44"/>
        <v>53</v>
      </c>
      <c r="B1515" s="89"/>
    </row>
    <row r="1516" spans="1:2" x14ac:dyDescent="0.25">
      <c r="A1516" s="83">
        <f t="shared" si="44"/>
        <v>53</v>
      </c>
      <c r="B1516" s="89"/>
    </row>
    <row r="1517" spans="1:2" x14ac:dyDescent="0.25">
      <c r="A1517" s="83">
        <f t="shared" si="44"/>
        <v>53</v>
      </c>
      <c r="B1517" s="89"/>
    </row>
    <row r="1518" spans="1:2" x14ac:dyDescent="0.25">
      <c r="A1518" s="83">
        <f t="shared" si="44"/>
        <v>53</v>
      </c>
      <c r="B1518" s="89"/>
    </row>
    <row r="1519" spans="1:2" x14ac:dyDescent="0.25">
      <c r="A1519" s="83">
        <f t="shared" si="44"/>
        <v>53</v>
      </c>
      <c r="B1519" s="89"/>
    </row>
    <row r="1520" spans="1:2" x14ac:dyDescent="0.25">
      <c r="A1520" s="83">
        <f t="shared" si="44"/>
        <v>53</v>
      </c>
      <c r="B1520" s="89"/>
    </row>
    <row r="1521" spans="1:2" x14ac:dyDescent="0.25">
      <c r="A1521" s="83">
        <f t="shared" si="44"/>
        <v>53</v>
      </c>
      <c r="B1521" s="89"/>
    </row>
    <row r="1522" spans="1:2" x14ac:dyDescent="0.25">
      <c r="A1522" s="83">
        <f t="shared" si="44"/>
        <v>53</v>
      </c>
      <c r="B1522" s="89"/>
    </row>
    <row r="1523" spans="1:2" x14ac:dyDescent="0.25">
      <c r="A1523" s="83">
        <f t="shared" si="44"/>
        <v>53</v>
      </c>
      <c r="B1523" s="89"/>
    </row>
    <row r="1524" spans="1:2" x14ac:dyDescent="0.25">
      <c r="A1524" s="83">
        <f t="shared" si="44"/>
        <v>53</v>
      </c>
      <c r="B1524" s="89"/>
    </row>
    <row r="1525" spans="1:2" x14ac:dyDescent="0.25">
      <c r="A1525" s="83">
        <f t="shared" si="44"/>
        <v>53</v>
      </c>
      <c r="B1525" s="89"/>
    </row>
    <row r="1526" spans="1:2" x14ac:dyDescent="0.25">
      <c r="A1526" s="83">
        <f t="shared" ref="A1526:A1589" si="45">WEEKNUM(B1526,21)</f>
        <v>53</v>
      </c>
      <c r="B1526" s="89"/>
    </row>
    <row r="1527" spans="1:2" x14ac:dyDescent="0.25">
      <c r="A1527" s="83">
        <f t="shared" si="45"/>
        <v>53</v>
      </c>
      <c r="B1527" s="89"/>
    </row>
    <row r="1528" spans="1:2" x14ac:dyDescent="0.25">
      <c r="A1528" s="83">
        <f t="shared" si="45"/>
        <v>53</v>
      </c>
      <c r="B1528" s="89"/>
    </row>
    <row r="1529" spans="1:2" x14ac:dyDescent="0.25">
      <c r="A1529" s="83">
        <f t="shared" si="45"/>
        <v>53</v>
      </c>
      <c r="B1529" s="89"/>
    </row>
    <row r="1530" spans="1:2" x14ac:dyDescent="0.25">
      <c r="A1530" s="83">
        <f t="shared" si="45"/>
        <v>53</v>
      </c>
      <c r="B1530" s="89"/>
    </row>
    <row r="1531" spans="1:2" x14ac:dyDescent="0.25">
      <c r="A1531" s="83">
        <f t="shared" si="45"/>
        <v>53</v>
      </c>
      <c r="B1531" s="89"/>
    </row>
    <row r="1532" spans="1:2" x14ac:dyDescent="0.25">
      <c r="A1532" s="83">
        <f t="shared" si="45"/>
        <v>53</v>
      </c>
      <c r="B1532" s="89"/>
    </row>
    <row r="1533" spans="1:2" x14ac:dyDescent="0.25">
      <c r="A1533" s="83">
        <f t="shared" si="45"/>
        <v>53</v>
      </c>
      <c r="B1533" s="89"/>
    </row>
    <row r="1534" spans="1:2" x14ac:dyDescent="0.25">
      <c r="A1534" s="83">
        <f t="shared" si="45"/>
        <v>53</v>
      </c>
      <c r="B1534" s="89"/>
    </row>
    <row r="1535" spans="1:2" x14ac:dyDescent="0.25">
      <c r="A1535" s="83">
        <f t="shared" si="45"/>
        <v>53</v>
      </c>
      <c r="B1535" s="89"/>
    </row>
    <row r="1536" spans="1:2" x14ac:dyDescent="0.25">
      <c r="A1536" s="83">
        <f t="shared" si="45"/>
        <v>53</v>
      </c>
      <c r="B1536" s="89"/>
    </row>
    <row r="1537" spans="1:2" x14ac:dyDescent="0.25">
      <c r="A1537" s="83">
        <f t="shared" si="45"/>
        <v>53</v>
      </c>
      <c r="B1537" s="89"/>
    </row>
    <row r="1538" spans="1:2" x14ac:dyDescent="0.25">
      <c r="A1538" s="83">
        <f t="shared" si="45"/>
        <v>53</v>
      </c>
      <c r="B1538" s="89"/>
    </row>
    <row r="1539" spans="1:2" x14ac:dyDescent="0.25">
      <c r="A1539" s="83">
        <f t="shared" si="45"/>
        <v>53</v>
      </c>
      <c r="B1539" s="89"/>
    </row>
    <row r="1540" spans="1:2" x14ac:dyDescent="0.25">
      <c r="A1540" s="83">
        <f t="shared" si="45"/>
        <v>53</v>
      </c>
      <c r="B1540" s="89"/>
    </row>
    <row r="1541" spans="1:2" x14ac:dyDescent="0.25">
      <c r="A1541" s="83">
        <f t="shared" si="45"/>
        <v>53</v>
      </c>
      <c r="B1541" s="89"/>
    </row>
    <row r="1542" spans="1:2" x14ac:dyDescent="0.25">
      <c r="A1542" s="83">
        <f t="shared" si="45"/>
        <v>53</v>
      </c>
      <c r="B1542" s="89"/>
    </row>
    <row r="1543" spans="1:2" x14ac:dyDescent="0.25">
      <c r="A1543" s="83">
        <f t="shared" si="45"/>
        <v>53</v>
      </c>
      <c r="B1543" s="89"/>
    </row>
    <row r="1544" spans="1:2" x14ac:dyDescent="0.25">
      <c r="A1544" s="83">
        <f t="shared" si="45"/>
        <v>53</v>
      </c>
      <c r="B1544" s="89"/>
    </row>
    <row r="1545" spans="1:2" x14ac:dyDescent="0.25">
      <c r="A1545" s="83">
        <f t="shared" si="45"/>
        <v>53</v>
      </c>
      <c r="B1545" s="89"/>
    </row>
    <row r="1546" spans="1:2" x14ac:dyDescent="0.25">
      <c r="A1546" s="83">
        <f t="shared" si="45"/>
        <v>53</v>
      </c>
      <c r="B1546" s="89"/>
    </row>
    <row r="1547" spans="1:2" x14ac:dyDescent="0.25">
      <c r="A1547" s="83">
        <f t="shared" si="45"/>
        <v>53</v>
      </c>
      <c r="B1547" s="89"/>
    </row>
    <row r="1548" spans="1:2" x14ac:dyDescent="0.25">
      <c r="A1548" s="83">
        <f t="shared" si="45"/>
        <v>53</v>
      </c>
      <c r="B1548" s="89"/>
    </row>
    <row r="1549" spans="1:2" x14ac:dyDescent="0.25">
      <c r="A1549" s="83">
        <f t="shared" si="45"/>
        <v>53</v>
      </c>
      <c r="B1549" s="89"/>
    </row>
    <row r="1550" spans="1:2" x14ac:dyDescent="0.25">
      <c r="A1550" s="83">
        <f t="shared" si="45"/>
        <v>53</v>
      </c>
      <c r="B1550" s="89"/>
    </row>
    <row r="1551" spans="1:2" x14ac:dyDescent="0.25">
      <c r="A1551" s="83">
        <f t="shared" si="45"/>
        <v>53</v>
      </c>
      <c r="B1551" s="89"/>
    </row>
    <row r="1552" spans="1:2" x14ac:dyDescent="0.25">
      <c r="A1552" s="83">
        <f t="shared" si="45"/>
        <v>53</v>
      </c>
      <c r="B1552" s="89"/>
    </row>
    <row r="1553" spans="1:2" x14ac:dyDescent="0.25">
      <c r="A1553" s="83">
        <f t="shared" si="45"/>
        <v>53</v>
      </c>
      <c r="B1553" s="89"/>
    </row>
    <row r="1554" spans="1:2" x14ac:dyDescent="0.25">
      <c r="A1554" s="83">
        <f t="shared" si="45"/>
        <v>53</v>
      </c>
      <c r="B1554" s="89"/>
    </row>
    <row r="1555" spans="1:2" x14ac:dyDescent="0.25">
      <c r="A1555" s="83">
        <f t="shared" si="45"/>
        <v>53</v>
      </c>
      <c r="B1555" s="89"/>
    </row>
    <row r="1556" spans="1:2" x14ac:dyDescent="0.25">
      <c r="A1556" s="83">
        <f t="shared" si="45"/>
        <v>53</v>
      </c>
      <c r="B1556" s="89"/>
    </row>
    <row r="1557" spans="1:2" x14ac:dyDescent="0.25">
      <c r="A1557" s="83">
        <f t="shared" si="45"/>
        <v>53</v>
      </c>
      <c r="B1557" s="89"/>
    </row>
    <row r="1558" spans="1:2" x14ac:dyDescent="0.25">
      <c r="A1558" s="83">
        <f t="shared" si="45"/>
        <v>53</v>
      </c>
      <c r="B1558" s="89"/>
    </row>
    <row r="1559" spans="1:2" x14ac:dyDescent="0.25">
      <c r="A1559" s="83">
        <f t="shared" si="45"/>
        <v>53</v>
      </c>
      <c r="B1559" s="89"/>
    </row>
    <row r="1560" spans="1:2" x14ac:dyDescent="0.25">
      <c r="A1560" s="83">
        <f t="shared" si="45"/>
        <v>53</v>
      </c>
      <c r="B1560" s="89"/>
    </row>
    <row r="1561" spans="1:2" x14ac:dyDescent="0.25">
      <c r="A1561" s="83">
        <f t="shared" si="45"/>
        <v>53</v>
      </c>
      <c r="B1561" s="89"/>
    </row>
    <row r="1562" spans="1:2" x14ac:dyDescent="0.25">
      <c r="A1562" s="83">
        <f t="shared" si="45"/>
        <v>53</v>
      </c>
      <c r="B1562" s="89"/>
    </row>
    <row r="1563" spans="1:2" x14ac:dyDescent="0.25">
      <c r="A1563" s="83">
        <f t="shared" si="45"/>
        <v>53</v>
      </c>
      <c r="B1563" s="89"/>
    </row>
    <row r="1564" spans="1:2" x14ac:dyDescent="0.25">
      <c r="A1564" s="83">
        <f t="shared" si="45"/>
        <v>53</v>
      </c>
      <c r="B1564" s="89"/>
    </row>
    <row r="1565" spans="1:2" x14ac:dyDescent="0.25">
      <c r="A1565" s="83">
        <f t="shared" si="45"/>
        <v>53</v>
      </c>
      <c r="B1565" s="89"/>
    </row>
    <row r="1566" spans="1:2" x14ac:dyDescent="0.25">
      <c r="A1566" s="83">
        <f t="shared" si="45"/>
        <v>53</v>
      </c>
      <c r="B1566" s="89"/>
    </row>
    <row r="1567" spans="1:2" x14ac:dyDescent="0.25">
      <c r="A1567" s="83">
        <f t="shared" si="45"/>
        <v>53</v>
      </c>
      <c r="B1567" s="89"/>
    </row>
    <row r="1568" spans="1:2" x14ac:dyDescent="0.25">
      <c r="A1568" s="83">
        <f t="shared" si="45"/>
        <v>53</v>
      </c>
      <c r="B1568" s="89"/>
    </row>
    <row r="1569" spans="1:2" x14ac:dyDescent="0.25">
      <c r="A1569" s="83">
        <f t="shared" si="45"/>
        <v>53</v>
      </c>
      <c r="B1569" s="89"/>
    </row>
    <row r="1570" spans="1:2" x14ac:dyDescent="0.25">
      <c r="A1570" s="83">
        <f t="shared" si="45"/>
        <v>53</v>
      </c>
      <c r="B1570" s="89"/>
    </row>
    <row r="1571" spans="1:2" x14ac:dyDescent="0.25">
      <c r="A1571" s="83">
        <f t="shared" si="45"/>
        <v>53</v>
      </c>
      <c r="B1571" s="89"/>
    </row>
    <row r="1572" spans="1:2" x14ac:dyDescent="0.25">
      <c r="A1572" s="83">
        <f t="shared" si="45"/>
        <v>53</v>
      </c>
      <c r="B1572" s="89"/>
    </row>
    <row r="1573" spans="1:2" x14ac:dyDescent="0.25">
      <c r="A1573" s="83">
        <f t="shared" si="45"/>
        <v>53</v>
      </c>
      <c r="B1573" s="89"/>
    </row>
    <row r="1574" spans="1:2" x14ac:dyDescent="0.25">
      <c r="A1574" s="83">
        <f t="shared" si="45"/>
        <v>53</v>
      </c>
      <c r="B1574" s="89"/>
    </row>
    <row r="1575" spans="1:2" x14ac:dyDescent="0.25">
      <c r="A1575" s="83">
        <f t="shared" si="45"/>
        <v>53</v>
      </c>
      <c r="B1575" s="89"/>
    </row>
    <row r="1576" spans="1:2" x14ac:dyDescent="0.25">
      <c r="A1576" s="83">
        <f t="shared" si="45"/>
        <v>53</v>
      </c>
      <c r="B1576" s="89"/>
    </row>
    <row r="1577" spans="1:2" x14ac:dyDescent="0.25">
      <c r="A1577" s="83">
        <f t="shared" si="45"/>
        <v>53</v>
      </c>
      <c r="B1577" s="89"/>
    </row>
    <row r="1578" spans="1:2" x14ac:dyDescent="0.25">
      <c r="A1578" s="83">
        <f t="shared" si="45"/>
        <v>53</v>
      </c>
      <c r="B1578" s="89"/>
    </row>
    <row r="1579" spans="1:2" x14ac:dyDescent="0.25">
      <c r="A1579" s="83">
        <f t="shared" si="45"/>
        <v>53</v>
      </c>
      <c r="B1579" s="89"/>
    </row>
    <row r="1580" spans="1:2" x14ac:dyDescent="0.25">
      <c r="A1580" s="83">
        <f t="shared" si="45"/>
        <v>53</v>
      </c>
      <c r="B1580" s="89"/>
    </row>
    <row r="1581" spans="1:2" x14ac:dyDescent="0.25">
      <c r="A1581" s="83">
        <f t="shared" si="45"/>
        <v>53</v>
      </c>
      <c r="B1581" s="89"/>
    </row>
    <row r="1582" spans="1:2" x14ac:dyDescent="0.25">
      <c r="A1582" s="83">
        <f t="shared" si="45"/>
        <v>53</v>
      </c>
      <c r="B1582" s="89"/>
    </row>
    <row r="1583" spans="1:2" x14ac:dyDescent="0.25">
      <c r="A1583" s="83">
        <f t="shared" si="45"/>
        <v>53</v>
      </c>
      <c r="B1583" s="89"/>
    </row>
    <row r="1584" spans="1:2" x14ac:dyDescent="0.25">
      <c r="A1584" s="83">
        <f t="shared" si="45"/>
        <v>53</v>
      </c>
      <c r="B1584" s="89"/>
    </row>
    <row r="1585" spans="1:2" x14ac:dyDescent="0.25">
      <c r="A1585" s="83">
        <f t="shared" si="45"/>
        <v>53</v>
      </c>
      <c r="B1585" s="89"/>
    </row>
    <row r="1586" spans="1:2" x14ac:dyDescent="0.25">
      <c r="A1586" s="83">
        <f t="shared" si="45"/>
        <v>53</v>
      </c>
      <c r="B1586" s="89"/>
    </row>
    <row r="1587" spans="1:2" x14ac:dyDescent="0.25">
      <c r="A1587" s="83">
        <f t="shared" si="45"/>
        <v>53</v>
      </c>
      <c r="B1587" s="89"/>
    </row>
    <row r="1588" spans="1:2" x14ac:dyDescent="0.25">
      <c r="A1588" s="83">
        <f t="shared" si="45"/>
        <v>53</v>
      </c>
      <c r="B1588" s="89"/>
    </row>
    <row r="1589" spans="1:2" x14ac:dyDescent="0.25">
      <c r="A1589" s="83">
        <f t="shared" si="45"/>
        <v>53</v>
      </c>
      <c r="B1589" s="89"/>
    </row>
    <row r="1590" spans="1:2" x14ac:dyDescent="0.25">
      <c r="A1590" s="83">
        <f t="shared" ref="A1590:A1653" si="46">WEEKNUM(B1590,21)</f>
        <v>53</v>
      </c>
      <c r="B1590" s="89"/>
    </row>
    <row r="1591" spans="1:2" x14ac:dyDescent="0.25">
      <c r="A1591" s="83">
        <f t="shared" si="46"/>
        <v>53</v>
      </c>
      <c r="B1591" s="89"/>
    </row>
    <row r="1592" spans="1:2" x14ac:dyDescent="0.25">
      <c r="A1592" s="83">
        <f t="shared" si="46"/>
        <v>53</v>
      </c>
      <c r="B1592" s="89"/>
    </row>
    <row r="1593" spans="1:2" x14ac:dyDescent="0.25">
      <c r="A1593" s="83">
        <f t="shared" si="46"/>
        <v>53</v>
      </c>
      <c r="B1593" s="89"/>
    </row>
    <row r="1594" spans="1:2" x14ac:dyDescent="0.25">
      <c r="A1594" s="83">
        <f t="shared" si="46"/>
        <v>53</v>
      </c>
      <c r="B1594" s="89"/>
    </row>
    <row r="1595" spans="1:2" x14ac:dyDescent="0.25">
      <c r="A1595" s="83">
        <f t="shared" si="46"/>
        <v>53</v>
      </c>
      <c r="B1595" s="89"/>
    </row>
    <row r="1596" spans="1:2" x14ac:dyDescent="0.25">
      <c r="A1596" s="83">
        <f t="shared" si="46"/>
        <v>53</v>
      </c>
      <c r="B1596" s="89"/>
    </row>
    <row r="1597" spans="1:2" x14ac:dyDescent="0.25">
      <c r="A1597" s="83">
        <f t="shared" si="46"/>
        <v>53</v>
      </c>
      <c r="B1597" s="89"/>
    </row>
    <row r="1598" spans="1:2" x14ac:dyDescent="0.25">
      <c r="A1598" s="83">
        <f t="shared" si="46"/>
        <v>53</v>
      </c>
      <c r="B1598" s="89"/>
    </row>
    <row r="1599" spans="1:2" x14ac:dyDescent="0.25">
      <c r="A1599" s="83">
        <f t="shared" si="46"/>
        <v>53</v>
      </c>
      <c r="B1599" s="89"/>
    </row>
    <row r="1600" spans="1:2" x14ac:dyDescent="0.25">
      <c r="A1600" s="83">
        <f t="shared" si="46"/>
        <v>53</v>
      </c>
      <c r="B1600" s="89"/>
    </row>
    <row r="1601" spans="1:2" x14ac:dyDescent="0.25">
      <c r="A1601" s="83">
        <f t="shared" si="46"/>
        <v>53</v>
      </c>
      <c r="B1601" s="89"/>
    </row>
    <row r="1602" spans="1:2" x14ac:dyDescent="0.25">
      <c r="A1602" s="83">
        <f t="shared" si="46"/>
        <v>53</v>
      </c>
      <c r="B1602" s="89"/>
    </row>
    <row r="1603" spans="1:2" x14ac:dyDescent="0.25">
      <c r="A1603" s="83">
        <f t="shared" si="46"/>
        <v>53</v>
      </c>
      <c r="B1603" s="89"/>
    </row>
    <row r="1604" spans="1:2" x14ac:dyDescent="0.25">
      <c r="A1604" s="83">
        <f t="shared" si="46"/>
        <v>53</v>
      </c>
      <c r="B1604" s="89"/>
    </row>
    <row r="1605" spans="1:2" x14ac:dyDescent="0.25">
      <c r="A1605" s="83">
        <f t="shared" si="46"/>
        <v>53</v>
      </c>
      <c r="B1605" s="89"/>
    </row>
    <row r="1606" spans="1:2" x14ac:dyDescent="0.25">
      <c r="A1606" s="83">
        <f t="shared" si="46"/>
        <v>53</v>
      </c>
      <c r="B1606" s="89"/>
    </row>
    <row r="1607" spans="1:2" x14ac:dyDescent="0.25">
      <c r="A1607" s="83">
        <f t="shared" si="46"/>
        <v>53</v>
      </c>
      <c r="B1607" s="89"/>
    </row>
    <row r="1608" spans="1:2" x14ac:dyDescent="0.25">
      <c r="A1608" s="83">
        <f t="shared" si="46"/>
        <v>53</v>
      </c>
      <c r="B1608" s="89"/>
    </row>
    <row r="1609" spans="1:2" x14ac:dyDescent="0.25">
      <c r="A1609" s="83">
        <f t="shared" si="46"/>
        <v>53</v>
      </c>
      <c r="B1609" s="89"/>
    </row>
    <row r="1610" spans="1:2" x14ac:dyDescent="0.25">
      <c r="A1610" s="83">
        <f t="shared" si="46"/>
        <v>53</v>
      </c>
      <c r="B1610" s="89"/>
    </row>
    <row r="1611" spans="1:2" x14ac:dyDescent="0.25">
      <c r="A1611" s="83">
        <f t="shared" si="46"/>
        <v>53</v>
      </c>
      <c r="B1611" s="89"/>
    </row>
    <row r="1612" spans="1:2" x14ac:dyDescent="0.25">
      <c r="A1612" s="83">
        <f t="shared" si="46"/>
        <v>53</v>
      </c>
      <c r="B1612" s="89"/>
    </row>
    <row r="1613" spans="1:2" x14ac:dyDescent="0.25">
      <c r="A1613" s="83">
        <f t="shared" si="46"/>
        <v>53</v>
      </c>
      <c r="B1613" s="89"/>
    </row>
    <row r="1614" spans="1:2" x14ac:dyDescent="0.25">
      <c r="A1614" s="83">
        <f t="shared" si="46"/>
        <v>53</v>
      </c>
      <c r="B1614" s="89"/>
    </row>
    <row r="1615" spans="1:2" x14ac:dyDescent="0.25">
      <c r="A1615" s="83">
        <f t="shared" si="46"/>
        <v>53</v>
      </c>
      <c r="B1615" s="89"/>
    </row>
    <row r="1616" spans="1:2" x14ac:dyDescent="0.25">
      <c r="A1616" s="83">
        <f t="shared" si="46"/>
        <v>53</v>
      </c>
      <c r="B1616" s="89"/>
    </row>
    <row r="1617" spans="1:2" x14ac:dyDescent="0.25">
      <c r="A1617" s="83">
        <f t="shared" si="46"/>
        <v>53</v>
      </c>
      <c r="B1617" s="89"/>
    </row>
    <row r="1618" spans="1:2" x14ac:dyDescent="0.25">
      <c r="A1618" s="83">
        <f t="shared" si="46"/>
        <v>53</v>
      </c>
      <c r="B1618" s="89"/>
    </row>
    <row r="1619" spans="1:2" x14ac:dyDescent="0.25">
      <c r="A1619" s="83">
        <f t="shared" si="46"/>
        <v>53</v>
      </c>
      <c r="B1619" s="89"/>
    </row>
    <row r="1620" spans="1:2" x14ac:dyDescent="0.25">
      <c r="A1620" s="83">
        <f t="shared" si="46"/>
        <v>53</v>
      </c>
      <c r="B1620" s="89"/>
    </row>
    <row r="1621" spans="1:2" x14ac:dyDescent="0.25">
      <c r="A1621" s="83">
        <f t="shared" si="46"/>
        <v>53</v>
      </c>
      <c r="B1621" s="89"/>
    </row>
    <row r="1622" spans="1:2" x14ac:dyDescent="0.25">
      <c r="A1622" s="83">
        <f t="shared" si="46"/>
        <v>53</v>
      </c>
      <c r="B1622" s="89"/>
    </row>
    <row r="1623" spans="1:2" x14ac:dyDescent="0.25">
      <c r="A1623" s="83">
        <f t="shared" si="46"/>
        <v>53</v>
      </c>
      <c r="B1623" s="89"/>
    </row>
    <row r="1624" spans="1:2" x14ac:dyDescent="0.25">
      <c r="A1624" s="83">
        <f t="shared" si="46"/>
        <v>53</v>
      </c>
      <c r="B1624" s="89"/>
    </row>
    <row r="1625" spans="1:2" x14ac:dyDescent="0.25">
      <c r="A1625" s="83">
        <f t="shared" si="46"/>
        <v>53</v>
      </c>
      <c r="B1625" s="89"/>
    </row>
    <row r="1626" spans="1:2" x14ac:dyDescent="0.25">
      <c r="A1626" s="83">
        <f t="shared" si="46"/>
        <v>53</v>
      </c>
      <c r="B1626" s="89"/>
    </row>
    <row r="1627" spans="1:2" x14ac:dyDescent="0.25">
      <c r="A1627" s="83">
        <f t="shared" si="46"/>
        <v>53</v>
      </c>
      <c r="B1627" s="89"/>
    </row>
    <row r="1628" spans="1:2" x14ac:dyDescent="0.25">
      <c r="A1628" s="83">
        <f t="shared" si="46"/>
        <v>53</v>
      </c>
      <c r="B1628" s="89"/>
    </row>
    <row r="1629" spans="1:2" x14ac:dyDescent="0.25">
      <c r="A1629" s="83">
        <f t="shared" si="46"/>
        <v>53</v>
      </c>
      <c r="B1629" s="89"/>
    </row>
    <row r="1630" spans="1:2" x14ac:dyDescent="0.25">
      <c r="A1630" s="83">
        <f t="shared" si="46"/>
        <v>53</v>
      </c>
      <c r="B1630" s="89"/>
    </row>
    <row r="1631" spans="1:2" x14ac:dyDescent="0.25">
      <c r="A1631" s="83">
        <f t="shared" si="46"/>
        <v>53</v>
      </c>
      <c r="B1631" s="89"/>
    </row>
    <row r="1632" spans="1:2" x14ac:dyDescent="0.25">
      <c r="A1632" s="83">
        <f t="shared" si="46"/>
        <v>53</v>
      </c>
      <c r="B1632" s="89"/>
    </row>
    <row r="1633" spans="1:2" x14ac:dyDescent="0.25">
      <c r="A1633" s="83">
        <f t="shared" si="46"/>
        <v>53</v>
      </c>
      <c r="B1633" s="89"/>
    </row>
    <row r="1634" spans="1:2" x14ac:dyDescent="0.25">
      <c r="A1634" s="83">
        <f t="shared" si="46"/>
        <v>53</v>
      </c>
      <c r="B1634" s="89"/>
    </row>
    <row r="1635" spans="1:2" x14ac:dyDescent="0.25">
      <c r="A1635" s="83">
        <f t="shared" si="46"/>
        <v>53</v>
      </c>
      <c r="B1635" s="89"/>
    </row>
    <row r="1636" spans="1:2" x14ac:dyDescent="0.25">
      <c r="A1636" s="83">
        <f t="shared" si="46"/>
        <v>53</v>
      </c>
      <c r="B1636" s="89"/>
    </row>
    <row r="1637" spans="1:2" x14ac:dyDescent="0.25">
      <c r="A1637" s="83">
        <f t="shared" si="46"/>
        <v>53</v>
      </c>
      <c r="B1637" s="89"/>
    </row>
    <row r="1638" spans="1:2" x14ac:dyDescent="0.25">
      <c r="A1638" s="83">
        <f t="shared" si="46"/>
        <v>53</v>
      </c>
      <c r="B1638" s="89"/>
    </row>
    <row r="1639" spans="1:2" x14ac:dyDescent="0.25">
      <c r="A1639" s="83">
        <f t="shared" si="46"/>
        <v>53</v>
      </c>
      <c r="B1639" s="89"/>
    </row>
    <row r="1640" spans="1:2" x14ac:dyDescent="0.25">
      <c r="A1640" s="83">
        <f t="shared" si="46"/>
        <v>53</v>
      </c>
      <c r="B1640" s="89"/>
    </row>
    <row r="1641" spans="1:2" x14ac:dyDescent="0.25">
      <c r="A1641" s="83">
        <f t="shared" si="46"/>
        <v>53</v>
      </c>
      <c r="B1641" s="89"/>
    </row>
    <row r="1642" spans="1:2" x14ac:dyDescent="0.25">
      <c r="A1642" s="83">
        <f t="shared" si="46"/>
        <v>53</v>
      </c>
      <c r="B1642" s="89"/>
    </row>
    <row r="1643" spans="1:2" x14ac:dyDescent="0.25">
      <c r="A1643" s="83">
        <f t="shared" si="46"/>
        <v>53</v>
      </c>
      <c r="B1643" s="89"/>
    </row>
    <row r="1644" spans="1:2" x14ac:dyDescent="0.25">
      <c r="A1644" s="83">
        <f t="shared" si="46"/>
        <v>53</v>
      </c>
      <c r="B1644" s="89"/>
    </row>
    <row r="1645" spans="1:2" x14ac:dyDescent="0.25">
      <c r="A1645" s="83">
        <f t="shared" si="46"/>
        <v>53</v>
      </c>
      <c r="B1645" s="89"/>
    </row>
    <row r="1646" spans="1:2" x14ac:dyDescent="0.25">
      <c r="A1646" s="83">
        <f t="shared" si="46"/>
        <v>53</v>
      </c>
      <c r="B1646" s="89"/>
    </row>
    <row r="1647" spans="1:2" x14ac:dyDescent="0.25">
      <c r="A1647" s="83">
        <f t="shared" si="46"/>
        <v>53</v>
      </c>
      <c r="B1647" s="89"/>
    </row>
    <row r="1648" spans="1:2" x14ac:dyDescent="0.25">
      <c r="A1648" s="83">
        <f t="shared" si="46"/>
        <v>53</v>
      </c>
      <c r="B1648" s="89"/>
    </row>
    <row r="1649" spans="1:2" x14ac:dyDescent="0.25">
      <c r="A1649" s="83">
        <f t="shared" si="46"/>
        <v>53</v>
      </c>
      <c r="B1649" s="89"/>
    </row>
    <row r="1650" spans="1:2" x14ac:dyDescent="0.25">
      <c r="A1650" s="83">
        <f t="shared" si="46"/>
        <v>53</v>
      </c>
      <c r="B1650" s="89"/>
    </row>
    <row r="1651" spans="1:2" x14ac:dyDescent="0.25">
      <c r="A1651" s="83">
        <f t="shared" si="46"/>
        <v>53</v>
      </c>
      <c r="B1651" s="89"/>
    </row>
    <row r="1652" spans="1:2" x14ac:dyDescent="0.25">
      <c r="A1652" s="83">
        <f t="shared" si="46"/>
        <v>53</v>
      </c>
      <c r="B1652" s="89"/>
    </row>
    <row r="1653" spans="1:2" x14ac:dyDescent="0.25">
      <c r="A1653" s="83">
        <f t="shared" si="46"/>
        <v>53</v>
      </c>
      <c r="B1653" s="89"/>
    </row>
    <row r="1654" spans="1:2" x14ac:dyDescent="0.25">
      <c r="A1654" s="83">
        <f t="shared" ref="A1654:A1717" si="47">WEEKNUM(B1654,21)</f>
        <v>53</v>
      </c>
      <c r="B1654" s="89"/>
    </row>
    <row r="1655" spans="1:2" x14ac:dyDescent="0.25">
      <c r="A1655" s="83">
        <f t="shared" si="47"/>
        <v>53</v>
      </c>
      <c r="B1655" s="89"/>
    </row>
    <row r="1656" spans="1:2" x14ac:dyDescent="0.25">
      <c r="A1656" s="83">
        <f t="shared" si="47"/>
        <v>53</v>
      </c>
      <c r="B1656" s="89"/>
    </row>
    <row r="1657" spans="1:2" x14ac:dyDescent="0.25">
      <c r="A1657" s="83">
        <f t="shared" si="47"/>
        <v>53</v>
      </c>
      <c r="B1657" s="89"/>
    </row>
    <row r="1658" spans="1:2" x14ac:dyDescent="0.25">
      <c r="A1658" s="83">
        <f t="shared" si="47"/>
        <v>53</v>
      </c>
      <c r="B1658" s="89"/>
    </row>
    <row r="1659" spans="1:2" x14ac:dyDescent="0.25">
      <c r="A1659" s="83">
        <f t="shared" si="47"/>
        <v>53</v>
      </c>
      <c r="B1659" s="89"/>
    </row>
    <row r="1660" spans="1:2" x14ac:dyDescent="0.25">
      <c r="A1660" s="83">
        <f t="shared" si="47"/>
        <v>53</v>
      </c>
      <c r="B1660" s="89"/>
    </row>
    <row r="1661" spans="1:2" x14ac:dyDescent="0.25">
      <c r="A1661" s="83">
        <f t="shared" si="47"/>
        <v>53</v>
      </c>
      <c r="B1661" s="89"/>
    </row>
    <row r="1662" spans="1:2" x14ac:dyDescent="0.25">
      <c r="A1662" s="83">
        <f t="shared" si="47"/>
        <v>53</v>
      </c>
      <c r="B1662" s="89"/>
    </row>
    <row r="1663" spans="1:2" x14ac:dyDescent="0.25">
      <c r="A1663" s="83">
        <f t="shared" si="47"/>
        <v>53</v>
      </c>
      <c r="B1663" s="89"/>
    </row>
    <row r="1664" spans="1:2" x14ac:dyDescent="0.25">
      <c r="A1664" s="83">
        <f t="shared" si="47"/>
        <v>53</v>
      </c>
      <c r="B1664" s="89"/>
    </row>
    <row r="1665" spans="1:2" x14ac:dyDescent="0.25">
      <c r="A1665" s="83">
        <f t="shared" si="47"/>
        <v>53</v>
      </c>
      <c r="B1665" s="89"/>
    </row>
    <row r="1666" spans="1:2" x14ac:dyDescent="0.25">
      <c r="A1666" s="83">
        <f t="shared" si="47"/>
        <v>53</v>
      </c>
      <c r="B1666" s="89"/>
    </row>
    <row r="1667" spans="1:2" x14ac:dyDescent="0.25">
      <c r="A1667" s="83">
        <f t="shared" si="47"/>
        <v>53</v>
      </c>
      <c r="B1667" s="89"/>
    </row>
    <row r="1668" spans="1:2" x14ac:dyDescent="0.25">
      <c r="A1668" s="83">
        <f t="shared" si="47"/>
        <v>53</v>
      </c>
      <c r="B1668" s="89"/>
    </row>
    <row r="1669" spans="1:2" x14ac:dyDescent="0.25">
      <c r="A1669" s="83">
        <f t="shared" si="47"/>
        <v>53</v>
      </c>
      <c r="B1669" s="89"/>
    </row>
    <row r="1670" spans="1:2" x14ac:dyDescent="0.25">
      <c r="A1670" s="83">
        <f t="shared" si="47"/>
        <v>53</v>
      </c>
      <c r="B1670" s="89"/>
    </row>
    <row r="1671" spans="1:2" x14ac:dyDescent="0.25">
      <c r="A1671" s="83">
        <f t="shared" si="47"/>
        <v>53</v>
      </c>
      <c r="B1671" s="89"/>
    </row>
    <row r="1672" spans="1:2" x14ac:dyDescent="0.25">
      <c r="A1672" s="83">
        <f t="shared" si="47"/>
        <v>53</v>
      </c>
      <c r="B1672" s="89"/>
    </row>
    <row r="1673" spans="1:2" x14ac:dyDescent="0.25">
      <c r="A1673" s="83">
        <f t="shared" si="47"/>
        <v>53</v>
      </c>
      <c r="B1673" s="89"/>
    </row>
    <row r="1674" spans="1:2" x14ac:dyDescent="0.25">
      <c r="A1674" s="83">
        <f t="shared" si="47"/>
        <v>53</v>
      </c>
      <c r="B1674" s="89"/>
    </row>
    <row r="1675" spans="1:2" x14ac:dyDescent="0.25">
      <c r="A1675" s="83">
        <f t="shared" si="47"/>
        <v>53</v>
      </c>
      <c r="B1675" s="89"/>
    </row>
    <row r="1676" spans="1:2" x14ac:dyDescent="0.25">
      <c r="A1676" s="83">
        <f t="shared" si="47"/>
        <v>53</v>
      </c>
      <c r="B1676" s="89"/>
    </row>
    <row r="1677" spans="1:2" x14ac:dyDescent="0.25">
      <c r="A1677" s="83">
        <f t="shared" si="47"/>
        <v>53</v>
      </c>
      <c r="B1677" s="89"/>
    </row>
    <row r="1678" spans="1:2" x14ac:dyDescent="0.25">
      <c r="A1678" s="83">
        <f t="shared" si="47"/>
        <v>53</v>
      </c>
      <c r="B1678" s="89"/>
    </row>
    <row r="1679" spans="1:2" x14ac:dyDescent="0.25">
      <c r="A1679" s="83">
        <f t="shared" si="47"/>
        <v>53</v>
      </c>
      <c r="B1679" s="89"/>
    </row>
    <row r="1680" spans="1:2" x14ac:dyDescent="0.25">
      <c r="A1680" s="83">
        <f t="shared" si="47"/>
        <v>53</v>
      </c>
      <c r="B1680" s="89"/>
    </row>
    <row r="1681" spans="1:2" x14ac:dyDescent="0.25">
      <c r="A1681" s="83">
        <f t="shared" si="47"/>
        <v>53</v>
      </c>
      <c r="B1681" s="89"/>
    </row>
    <row r="1682" spans="1:2" x14ac:dyDescent="0.25">
      <c r="A1682" s="83">
        <f t="shared" si="47"/>
        <v>53</v>
      </c>
      <c r="B1682" s="89"/>
    </row>
    <row r="1683" spans="1:2" x14ac:dyDescent="0.25">
      <c r="A1683" s="83">
        <f t="shared" si="47"/>
        <v>53</v>
      </c>
      <c r="B1683" s="89"/>
    </row>
    <row r="1684" spans="1:2" x14ac:dyDescent="0.25">
      <c r="A1684" s="83">
        <f t="shared" si="47"/>
        <v>53</v>
      </c>
      <c r="B1684" s="89"/>
    </row>
    <row r="1685" spans="1:2" x14ac:dyDescent="0.25">
      <c r="A1685" s="83">
        <f t="shared" si="47"/>
        <v>53</v>
      </c>
      <c r="B1685" s="89"/>
    </row>
    <row r="1686" spans="1:2" x14ac:dyDescent="0.25">
      <c r="A1686" s="83">
        <f t="shared" si="47"/>
        <v>53</v>
      </c>
      <c r="B1686" s="89"/>
    </row>
    <row r="1687" spans="1:2" x14ac:dyDescent="0.25">
      <c r="A1687" s="83">
        <f t="shared" si="47"/>
        <v>53</v>
      </c>
      <c r="B1687" s="89"/>
    </row>
    <row r="1688" spans="1:2" x14ac:dyDescent="0.25">
      <c r="A1688" s="83">
        <f t="shared" si="47"/>
        <v>53</v>
      </c>
      <c r="B1688" s="89"/>
    </row>
    <row r="1689" spans="1:2" x14ac:dyDescent="0.25">
      <c r="A1689" s="83">
        <f t="shared" si="47"/>
        <v>53</v>
      </c>
      <c r="B1689" s="89"/>
    </row>
    <row r="1690" spans="1:2" x14ac:dyDescent="0.25">
      <c r="A1690" s="83">
        <f t="shared" si="47"/>
        <v>53</v>
      </c>
      <c r="B1690" s="89"/>
    </row>
    <row r="1691" spans="1:2" x14ac:dyDescent="0.25">
      <c r="A1691" s="83">
        <f t="shared" si="47"/>
        <v>53</v>
      </c>
      <c r="B1691" s="89"/>
    </row>
    <row r="1692" spans="1:2" x14ac:dyDescent="0.25">
      <c r="A1692" s="83">
        <f t="shared" si="47"/>
        <v>53</v>
      </c>
      <c r="B1692" s="89"/>
    </row>
    <row r="1693" spans="1:2" x14ac:dyDescent="0.25">
      <c r="A1693" s="83">
        <f t="shared" si="47"/>
        <v>53</v>
      </c>
      <c r="B1693" s="89"/>
    </row>
    <row r="1694" spans="1:2" x14ac:dyDescent="0.25">
      <c r="A1694" s="83">
        <f t="shared" si="47"/>
        <v>53</v>
      </c>
      <c r="B1694" s="89"/>
    </row>
    <row r="1695" spans="1:2" x14ac:dyDescent="0.25">
      <c r="A1695" s="83">
        <f t="shared" si="47"/>
        <v>53</v>
      </c>
      <c r="B1695" s="89"/>
    </row>
    <row r="1696" spans="1:2" x14ac:dyDescent="0.25">
      <c r="A1696" s="83">
        <f t="shared" si="47"/>
        <v>53</v>
      </c>
      <c r="B1696" s="89"/>
    </row>
    <row r="1697" spans="1:2" x14ac:dyDescent="0.25">
      <c r="A1697" s="83">
        <f t="shared" si="47"/>
        <v>53</v>
      </c>
      <c r="B1697" s="89"/>
    </row>
    <row r="1698" spans="1:2" x14ac:dyDescent="0.25">
      <c r="A1698" s="83">
        <f t="shared" si="47"/>
        <v>53</v>
      </c>
      <c r="B1698" s="89"/>
    </row>
    <row r="1699" spans="1:2" x14ac:dyDescent="0.25">
      <c r="A1699" s="83">
        <f t="shared" si="47"/>
        <v>53</v>
      </c>
      <c r="B1699" s="89"/>
    </row>
    <row r="1700" spans="1:2" x14ac:dyDescent="0.25">
      <c r="A1700" s="83">
        <f t="shared" si="47"/>
        <v>53</v>
      </c>
      <c r="B1700" s="89"/>
    </row>
    <row r="1701" spans="1:2" x14ac:dyDescent="0.25">
      <c r="A1701" s="83">
        <f t="shared" si="47"/>
        <v>53</v>
      </c>
      <c r="B1701" s="89"/>
    </row>
    <row r="1702" spans="1:2" x14ac:dyDescent="0.25">
      <c r="A1702" s="83">
        <f t="shared" si="47"/>
        <v>53</v>
      </c>
      <c r="B1702" s="89"/>
    </row>
    <row r="1703" spans="1:2" x14ac:dyDescent="0.25">
      <c r="A1703" s="83">
        <f t="shared" si="47"/>
        <v>53</v>
      </c>
      <c r="B1703" s="89"/>
    </row>
    <row r="1704" spans="1:2" x14ac:dyDescent="0.25">
      <c r="A1704" s="83">
        <f t="shared" si="47"/>
        <v>53</v>
      </c>
      <c r="B1704" s="89"/>
    </row>
    <row r="1705" spans="1:2" x14ac:dyDescent="0.25">
      <c r="A1705" s="83">
        <f t="shared" si="47"/>
        <v>53</v>
      </c>
      <c r="B1705" s="89"/>
    </row>
    <row r="1706" spans="1:2" x14ac:dyDescent="0.25">
      <c r="A1706" s="83">
        <f t="shared" si="47"/>
        <v>53</v>
      </c>
      <c r="B1706" s="89"/>
    </row>
    <row r="1707" spans="1:2" x14ac:dyDescent="0.25">
      <c r="A1707" s="83">
        <f t="shared" si="47"/>
        <v>53</v>
      </c>
      <c r="B1707" s="89"/>
    </row>
    <row r="1708" spans="1:2" x14ac:dyDescent="0.25">
      <c r="A1708" s="83">
        <f t="shared" si="47"/>
        <v>53</v>
      </c>
      <c r="B1708" s="89"/>
    </row>
    <row r="1709" spans="1:2" x14ac:dyDescent="0.25">
      <c r="A1709" s="83">
        <f t="shared" si="47"/>
        <v>53</v>
      </c>
      <c r="B1709" s="89"/>
    </row>
    <row r="1710" spans="1:2" x14ac:dyDescent="0.25">
      <c r="A1710" s="83">
        <f t="shared" si="47"/>
        <v>53</v>
      </c>
      <c r="B1710" s="89"/>
    </row>
    <row r="1711" spans="1:2" x14ac:dyDescent="0.25">
      <c r="A1711" s="83">
        <f t="shared" si="47"/>
        <v>53</v>
      </c>
      <c r="B1711" s="89"/>
    </row>
    <row r="1712" spans="1:2" x14ac:dyDescent="0.25">
      <c r="A1712" s="83">
        <f t="shared" si="47"/>
        <v>53</v>
      </c>
      <c r="B1712" s="89"/>
    </row>
    <row r="1713" spans="1:2" x14ac:dyDescent="0.25">
      <c r="A1713" s="83">
        <f t="shared" si="47"/>
        <v>53</v>
      </c>
      <c r="B1713" s="89"/>
    </row>
    <row r="1714" spans="1:2" x14ac:dyDescent="0.25">
      <c r="A1714" s="83">
        <f t="shared" si="47"/>
        <v>53</v>
      </c>
      <c r="B1714" s="89"/>
    </row>
    <row r="1715" spans="1:2" x14ac:dyDescent="0.25">
      <c r="A1715" s="83">
        <f t="shared" si="47"/>
        <v>53</v>
      </c>
      <c r="B1715" s="89"/>
    </row>
    <row r="1716" spans="1:2" x14ac:dyDescent="0.25">
      <c r="A1716" s="83">
        <f t="shared" si="47"/>
        <v>53</v>
      </c>
      <c r="B1716" s="89"/>
    </row>
    <row r="1717" spans="1:2" x14ac:dyDescent="0.25">
      <c r="A1717" s="83">
        <f t="shared" si="47"/>
        <v>53</v>
      </c>
      <c r="B1717" s="89"/>
    </row>
    <row r="1718" spans="1:2" x14ac:dyDescent="0.25">
      <c r="A1718" s="83">
        <f t="shared" ref="A1718:A1781" si="48">WEEKNUM(B1718,21)</f>
        <v>53</v>
      </c>
      <c r="B1718" s="89"/>
    </row>
    <row r="1719" spans="1:2" x14ac:dyDescent="0.25">
      <c r="A1719" s="83">
        <f t="shared" si="48"/>
        <v>53</v>
      </c>
      <c r="B1719" s="89"/>
    </row>
    <row r="1720" spans="1:2" x14ac:dyDescent="0.25">
      <c r="A1720" s="83">
        <f t="shared" si="48"/>
        <v>53</v>
      </c>
      <c r="B1720" s="89"/>
    </row>
    <row r="1721" spans="1:2" x14ac:dyDescent="0.25">
      <c r="A1721" s="83">
        <f t="shared" si="48"/>
        <v>53</v>
      </c>
      <c r="B1721" s="89"/>
    </row>
    <row r="1722" spans="1:2" x14ac:dyDescent="0.25">
      <c r="A1722" s="83">
        <f t="shared" si="48"/>
        <v>53</v>
      </c>
      <c r="B1722" s="89"/>
    </row>
    <row r="1723" spans="1:2" x14ac:dyDescent="0.25">
      <c r="A1723" s="83">
        <f t="shared" si="48"/>
        <v>53</v>
      </c>
      <c r="B1723" s="89"/>
    </row>
    <row r="1724" spans="1:2" x14ac:dyDescent="0.25">
      <c r="A1724" s="83">
        <f t="shared" si="48"/>
        <v>53</v>
      </c>
      <c r="B1724" s="89"/>
    </row>
    <row r="1725" spans="1:2" x14ac:dyDescent="0.25">
      <c r="A1725" s="83">
        <f t="shared" si="48"/>
        <v>53</v>
      </c>
      <c r="B1725" s="89"/>
    </row>
    <row r="1726" spans="1:2" x14ac:dyDescent="0.25">
      <c r="A1726" s="83">
        <f t="shared" si="48"/>
        <v>53</v>
      </c>
      <c r="B1726" s="89"/>
    </row>
    <row r="1727" spans="1:2" x14ac:dyDescent="0.25">
      <c r="A1727" s="83">
        <f t="shared" si="48"/>
        <v>53</v>
      </c>
      <c r="B1727" s="89"/>
    </row>
    <row r="1728" spans="1:2" x14ac:dyDescent="0.25">
      <c r="A1728" s="83">
        <f t="shared" si="48"/>
        <v>53</v>
      </c>
      <c r="B1728" s="89"/>
    </row>
    <row r="1729" spans="1:2" x14ac:dyDescent="0.25">
      <c r="A1729" s="83">
        <f t="shared" si="48"/>
        <v>53</v>
      </c>
      <c r="B1729" s="89"/>
    </row>
    <row r="1730" spans="1:2" x14ac:dyDescent="0.25">
      <c r="A1730" s="83">
        <f t="shared" si="48"/>
        <v>53</v>
      </c>
      <c r="B1730" s="89"/>
    </row>
    <row r="1731" spans="1:2" x14ac:dyDescent="0.25">
      <c r="A1731" s="83">
        <f t="shared" si="48"/>
        <v>53</v>
      </c>
      <c r="B1731" s="89"/>
    </row>
    <row r="1732" spans="1:2" x14ac:dyDescent="0.25">
      <c r="A1732" s="83">
        <f t="shared" si="48"/>
        <v>53</v>
      </c>
      <c r="B1732" s="89"/>
    </row>
    <row r="1733" spans="1:2" x14ac:dyDescent="0.25">
      <c r="A1733" s="83">
        <f t="shared" si="48"/>
        <v>53</v>
      </c>
      <c r="B1733" s="89"/>
    </row>
    <row r="1734" spans="1:2" x14ac:dyDescent="0.25">
      <c r="A1734" s="83">
        <f t="shared" si="48"/>
        <v>53</v>
      </c>
      <c r="B1734" s="89"/>
    </row>
    <row r="1735" spans="1:2" x14ac:dyDescent="0.25">
      <c r="A1735" s="83">
        <f t="shared" si="48"/>
        <v>53</v>
      </c>
      <c r="B1735" s="89"/>
    </row>
    <row r="1736" spans="1:2" x14ac:dyDescent="0.25">
      <c r="A1736" s="83">
        <f t="shared" si="48"/>
        <v>53</v>
      </c>
      <c r="B1736" s="89"/>
    </row>
    <row r="1737" spans="1:2" x14ac:dyDescent="0.25">
      <c r="A1737" s="83">
        <f t="shared" si="48"/>
        <v>53</v>
      </c>
      <c r="B1737" s="89"/>
    </row>
    <row r="1738" spans="1:2" x14ac:dyDescent="0.25">
      <c r="A1738" s="83">
        <f t="shared" si="48"/>
        <v>53</v>
      </c>
      <c r="B1738" s="89"/>
    </row>
    <row r="1739" spans="1:2" x14ac:dyDescent="0.25">
      <c r="A1739" s="83">
        <f t="shared" si="48"/>
        <v>53</v>
      </c>
      <c r="B1739" s="89"/>
    </row>
    <row r="1740" spans="1:2" x14ac:dyDescent="0.25">
      <c r="A1740" s="83">
        <f t="shared" si="48"/>
        <v>53</v>
      </c>
      <c r="B1740" s="89"/>
    </row>
    <row r="1741" spans="1:2" x14ac:dyDescent="0.25">
      <c r="A1741" s="83">
        <f t="shared" si="48"/>
        <v>53</v>
      </c>
      <c r="B1741" s="89"/>
    </row>
    <row r="1742" spans="1:2" x14ac:dyDescent="0.25">
      <c r="A1742" s="83">
        <f t="shared" si="48"/>
        <v>53</v>
      </c>
      <c r="B1742" s="89"/>
    </row>
    <row r="1743" spans="1:2" x14ac:dyDescent="0.25">
      <c r="A1743" s="83">
        <f t="shared" si="48"/>
        <v>53</v>
      </c>
      <c r="B1743" s="89"/>
    </row>
    <row r="1744" spans="1:2" x14ac:dyDescent="0.25">
      <c r="A1744" s="83">
        <f t="shared" si="48"/>
        <v>53</v>
      </c>
      <c r="B1744" s="89"/>
    </row>
    <row r="1745" spans="1:2" x14ac:dyDescent="0.25">
      <c r="A1745" s="83">
        <f t="shared" si="48"/>
        <v>53</v>
      </c>
      <c r="B1745" s="89"/>
    </row>
    <row r="1746" spans="1:2" x14ac:dyDescent="0.25">
      <c r="A1746" s="83">
        <f t="shared" si="48"/>
        <v>53</v>
      </c>
      <c r="B1746" s="89"/>
    </row>
    <row r="1747" spans="1:2" x14ac:dyDescent="0.25">
      <c r="A1747" s="83">
        <f t="shared" si="48"/>
        <v>53</v>
      </c>
      <c r="B1747" s="89"/>
    </row>
    <row r="1748" spans="1:2" x14ac:dyDescent="0.25">
      <c r="A1748" s="83">
        <f t="shared" si="48"/>
        <v>53</v>
      </c>
      <c r="B1748" s="89"/>
    </row>
    <row r="1749" spans="1:2" x14ac:dyDescent="0.25">
      <c r="A1749" s="83">
        <f t="shared" si="48"/>
        <v>53</v>
      </c>
      <c r="B1749" s="89"/>
    </row>
    <row r="1750" spans="1:2" x14ac:dyDescent="0.25">
      <c r="A1750" s="83">
        <f t="shared" si="48"/>
        <v>53</v>
      </c>
      <c r="B1750" s="89"/>
    </row>
    <row r="1751" spans="1:2" x14ac:dyDescent="0.25">
      <c r="A1751" s="83">
        <f t="shared" si="48"/>
        <v>53</v>
      </c>
      <c r="B1751" s="89"/>
    </row>
    <row r="1752" spans="1:2" x14ac:dyDescent="0.25">
      <c r="A1752" s="83">
        <f t="shared" si="48"/>
        <v>53</v>
      </c>
      <c r="B1752" s="89"/>
    </row>
    <row r="1753" spans="1:2" x14ac:dyDescent="0.25">
      <c r="A1753" s="83">
        <f t="shared" si="48"/>
        <v>53</v>
      </c>
      <c r="B1753" s="89"/>
    </row>
    <row r="1754" spans="1:2" x14ac:dyDescent="0.25">
      <c r="A1754" s="83">
        <f t="shared" si="48"/>
        <v>53</v>
      </c>
      <c r="B1754" s="89"/>
    </row>
    <row r="1755" spans="1:2" x14ac:dyDescent="0.25">
      <c r="A1755" s="83">
        <f t="shared" si="48"/>
        <v>53</v>
      </c>
      <c r="B1755" s="89"/>
    </row>
    <row r="1756" spans="1:2" x14ac:dyDescent="0.25">
      <c r="A1756" s="83">
        <f t="shared" si="48"/>
        <v>53</v>
      </c>
      <c r="B1756" s="89"/>
    </row>
    <row r="1757" spans="1:2" x14ac:dyDescent="0.25">
      <c r="A1757" s="83">
        <f t="shared" si="48"/>
        <v>53</v>
      </c>
      <c r="B1757" s="89"/>
    </row>
    <row r="1758" spans="1:2" x14ac:dyDescent="0.25">
      <c r="A1758" s="83">
        <f t="shared" si="48"/>
        <v>53</v>
      </c>
      <c r="B1758" s="89"/>
    </row>
    <row r="1759" spans="1:2" x14ac:dyDescent="0.25">
      <c r="A1759" s="83">
        <f t="shared" si="48"/>
        <v>53</v>
      </c>
      <c r="B1759" s="89"/>
    </row>
    <row r="1760" spans="1:2" x14ac:dyDescent="0.25">
      <c r="A1760" s="83">
        <f t="shared" si="48"/>
        <v>53</v>
      </c>
      <c r="B1760" s="89"/>
    </row>
    <row r="1761" spans="1:2" x14ac:dyDescent="0.25">
      <c r="A1761" s="83">
        <f t="shared" si="48"/>
        <v>53</v>
      </c>
      <c r="B1761" s="89"/>
    </row>
    <row r="1762" spans="1:2" x14ac:dyDescent="0.25">
      <c r="A1762" s="83">
        <f t="shared" si="48"/>
        <v>53</v>
      </c>
      <c r="B1762" s="89"/>
    </row>
    <row r="1763" spans="1:2" x14ac:dyDescent="0.25">
      <c r="A1763" s="83">
        <f t="shared" si="48"/>
        <v>53</v>
      </c>
      <c r="B1763" s="89"/>
    </row>
    <row r="1764" spans="1:2" x14ac:dyDescent="0.25">
      <c r="A1764" s="83">
        <f t="shared" si="48"/>
        <v>53</v>
      </c>
      <c r="B1764" s="89"/>
    </row>
    <row r="1765" spans="1:2" x14ac:dyDescent="0.25">
      <c r="A1765" s="83">
        <f t="shared" si="48"/>
        <v>53</v>
      </c>
      <c r="B1765" s="89"/>
    </row>
    <row r="1766" spans="1:2" x14ac:dyDescent="0.25">
      <c r="A1766" s="83">
        <f t="shared" si="48"/>
        <v>53</v>
      </c>
      <c r="B1766" s="89"/>
    </row>
    <row r="1767" spans="1:2" x14ac:dyDescent="0.25">
      <c r="A1767" s="83">
        <f t="shared" si="48"/>
        <v>53</v>
      </c>
      <c r="B1767" s="89"/>
    </row>
    <row r="1768" spans="1:2" x14ac:dyDescent="0.25">
      <c r="A1768" s="83">
        <f t="shared" si="48"/>
        <v>53</v>
      </c>
      <c r="B1768" s="89"/>
    </row>
    <row r="1769" spans="1:2" x14ac:dyDescent="0.25">
      <c r="A1769" s="83">
        <f t="shared" si="48"/>
        <v>53</v>
      </c>
      <c r="B1769" s="89"/>
    </row>
    <row r="1770" spans="1:2" x14ac:dyDescent="0.25">
      <c r="A1770" s="83">
        <f t="shared" si="48"/>
        <v>53</v>
      </c>
      <c r="B1770" s="89"/>
    </row>
    <row r="1771" spans="1:2" x14ac:dyDescent="0.25">
      <c r="A1771" s="83">
        <f t="shared" si="48"/>
        <v>53</v>
      </c>
      <c r="B1771" s="89"/>
    </row>
    <row r="1772" spans="1:2" x14ac:dyDescent="0.25">
      <c r="A1772" s="83">
        <f t="shared" si="48"/>
        <v>53</v>
      </c>
      <c r="B1772" s="89"/>
    </row>
    <row r="1773" spans="1:2" x14ac:dyDescent="0.25">
      <c r="A1773" s="83">
        <f t="shared" si="48"/>
        <v>53</v>
      </c>
      <c r="B1773" s="89"/>
    </row>
    <row r="1774" spans="1:2" x14ac:dyDescent="0.25">
      <c r="A1774" s="83">
        <f t="shared" si="48"/>
        <v>53</v>
      </c>
      <c r="B1774" s="89"/>
    </row>
    <row r="1775" spans="1:2" x14ac:dyDescent="0.25">
      <c r="A1775" s="83">
        <f t="shared" si="48"/>
        <v>53</v>
      </c>
      <c r="B1775" s="89"/>
    </row>
    <row r="1776" spans="1:2" x14ac:dyDescent="0.25">
      <c r="A1776" s="83">
        <f t="shared" si="48"/>
        <v>53</v>
      </c>
      <c r="B1776" s="89"/>
    </row>
    <row r="1777" spans="1:2" x14ac:dyDescent="0.25">
      <c r="A1777" s="83">
        <f t="shared" si="48"/>
        <v>53</v>
      </c>
      <c r="B1777" s="89"/>
    </row>
    <row r="1778" spans="1:2" x14ac:dyDescent="0.25">
      <c r="A1778" s="83">
        <f t="shared" si="48"/>
        <v>53</v>
      </c>
      <c r="B1778" s="89"/>
    </row>
    <row r="1779" spans="1:2" x14ac:dyDescent="0.25">
      <c r="A1779" s="83">
        <f t="shared" si="48"/>
        <v>53</v>
      </c>
      <c r="B1779" s="89"/>
    </row>
    <row r="1780" spans="1:2" x14ac:dyDescent="0.25">
      <c r="A1780" s="83">
        <f t="shared" si="48"/>
        <v>53</v>
      </c>
      <c r="B1780" s="89"/>
    </row>
    <row r="1781" spans="1:2" x14ac:dyDescent="0.25">
      <c r="A1781" s="83">
        <f t="shared" si="48"/>
        <v>53</v>
      </c>
      <c r="B1781" s="89"/>
    </row>
    <row r="1782" spans="1:2" x14ac:dyDescent="0.25">
      <c r="A1782" s="83">
        <f t="shared" ref="A1782:A1845" si="49">WEEKNUM(B1782,21)</f>
        <v>53</v>
      </c>
      <c r="B1782" s="89"/>
    </row>
    <row r="1783" spans="1:2" x14ac:dyDescent="0.25">
      <c r="A1783" s="83">
        <f t="shared" si="49"/>
        <v>53</v>
      </c>
      <c r="B1783" s="89"/>
    </row>
    <row r="1784" spans="1:2" x14ac:dyDescent="0.25">
      <c r="A1784" s="83">
        <f t="shared" si="49"/>
        <v>53</v>
      </c>
      <c r="B1784" s="89"/>
    </row>
    <row r="1785" spans="1:2" x14ac:dyDescent="0.25">
      <c r="A1785" s="83">
        <f t="shared" si="49"/>
        <v>53</v>
      </c>
      <c r="B1785" s="89"/>
    </row>
    <row r="1786" spans="1:2" x14ac:dyDescent="0.25">
      <c r="A1786" s="83">
        <f t="shared" si="49"/>
        <v>53</v>
      </c>
      <c r="B1786" s="89"/>
    </row>
    <row r="1787" spans="1:2" x14ac:dyDescent="0.25">
      <c r="A1787" s="83">
        <f t="shared" si="49"/>
        <v>53</v>
      </c>
      <c r="B1787" s="89"/>
    </row>
    <row r="1788" spans="1:2" x14ac:dyDescent="0.25">
      <c r="A1788" s="83">
        <f t="shared" si="49"/>
        <v>53</v>
      </c>
      <c r="B1788" s="89"/>
    </row>
    <row r="1789" spans="1:2" x14ac:dyDescent="0.25">
      <c r="A1789" s="83">
        <f t="shared" si="49"/>
        <v>53</v>
      </c>
      <c r="B1789" s="89"/>
    </row>
    <row r="1790" spans="1:2" x14ac:dyDescent="0.25">
      <c r="A1790" s="83">
        <f t="shared" si="49"/>
        <v>53</v>
      </c>
      <c r="B1790" s="89"/>
    </row>
    <row r="1791" spans="1:2" x14ac:dyDescent="0.25">
      <c r="A1791" s="83">
        <f t="shared" si="49"/>
        <v>53</v>
      </c>
      <c r="B1791" s="89"/>
    </row>
    <row r="1792" spans="1:2" x14ac:dyDescent="0.25">
      <c r="A1792" s="83">
        <f t="shared" si="49"/>
        <v>53</v>
      </c>
      <c r="B1792" s="89"/>
    </row>
    <row r="1793" spans="1:2" x14ac:dyDescent="0.25">
      <c r="A1793" s="83">
        <f t="shared" si="49"/>
        <v>53</v>
      </c>
      <c r="B1793" s="89"/>
    </row>
    <row r="1794" spans="1:2" x14ac:dyDescent="0.25">
      <c r="A1794" s="83">
        <f t="shared" si="49"/>
        <v>53</v>
      </c>
      <c r="B1794" s="89"/>
    </row>
    <row r="1795" spans="1:2" x14ac:dyDescent="0.25">
      <c r="A1795" s="83">
        <f t="shared" si="49"/>
        <v>53</v>
      </c>
      <c r="B1795" s="89"/>
    </row>
    <row r="1796" spans="1:2" x14ac:dyDescent="0.25">
      <c r="A1796" s="83">
        <f t="shared" si="49"/>
        <v>53</v>
      </c>
      <c r="B1796" s="89"/>
    </row>
    <row r="1797" spans="1:2" x14ac:dyDescent="0.25">
      <c r="A1797" s="83">
        <f t="shared" si="49"/>
        <v>53</v>
      </c>
      <c r="B1797" s="89"/>
    </row>
    <row r="1798" spans="1:2" x14ac:dyDescent="0.25">
      <c r="A1798" s="83">
        <f t="shared" si="49"/>
        <v>53</v>
      </c>
      <c r="B1798" s="89"/>
    </row>
    <row r="1799" spans="1:2" x14ac:dyDescent="0.25">
      <c r="A1799" s="83">
        <f t="shared" si="49"/>
        <v>53</v>
      </c>
      <c r="B1799" s="89"/>
    </row>
    <row r="1800" spans="1:2" x14ac:dyDescent="0.25">
      <c r="A1800" s="83">
        <f t="shared" si="49"/>
        <v>53</v>
      </c>
      <c r="B1800" s="89"/>
    </row>
    <row r="1801" spans="1:2" x14ac:dyDescent="0.25">
      <c r="A1801" s="83">
        <f t="shared" si="49"/>
        <v>53</v>
      </c>
      <c r="B1801" s="89"/>
    </row>
    <row r="1802" spans="1:2" x14ac:dyDescent="0.25">
      <c r="A1802" s="83">
        <f t="shared" si="49"/>
        <v>53</v>
      </c>
      <c r="B1802" s="89"/>
    </row>
    <row r="1803" spans="1:2" x14ac:dyDescent="0.25">
      <c r="A1803" s="83">
        <f t="shared" si="49"/>
        <v>53</v>
      </c>
      <c r="B1803" s="89"/>
    </row>
    <row r="1804" spans="1:2" x14ac:dyDescent="0.25">
      <c r="A1804" s="83">
        <f t="shared" si="49"/>
        <v>53</v>
      </c>
      <c r="B1804" s="89"/>
    </row>
    <row r="1805" spans="1:2" x14ac:dyDescent="0.25">
      <c r="A1805" s="83">
        <f t="shared" si="49"/>
        <v>53</v>
      </c>
      <c r="B1805" s="89"/>
    </row>
    <row r="1806" spans="1:2" x14ac:dyDescent="0.25">
      <c r="A1806" s="83">
        <f t="shared" si="49"/>
        <v>53</v>
      </c>
      <c r="B1806" s="89"/>
    </row>
    <row r="1807" spans="1:2" x14ac:dyDescent="0.25">
      <c r="A1807" s="83">
        <f t="shared" si="49"/>
        <v>53</v>
      </c>
      <c r="B1807" s="89"/>
    </row>
    <row r="1808" spans="1:2" x14ac:dyDescent="0.25">
      <c r="A1808" s="83">
        <f t="shared" si="49"/>
        <v>53</v>
      </c>
      <c r="B1808" s="89"/>
    </row>
    <row r="1809" spans="1:2" x14ac:dyDescent="0.25">
      <c r="A1809" s="83">
        <f t="shared" si="49"/>
        <v>53</v>
      </c>
      <c r="B1809" s="89"/>
    </row>
    <row r="1810" spans="1:2" x14ac:dyDescent="0.25">
      <c r="A1810" s="83">
        <f t="shared" si="49"/>
        <v>53</v>
      </c>
      <c r="B1810" s="89"/>
    </row>
    <row r="1811" spans="1:2" x14ac:dyDescent="0.25">
      <c r="A1811" s="83">
        <f t="shared" si="49"/>
        <v>53</v>
      </c>
      <c r="B1811" s="89"/>
    </row>
    <row r="1812" spans="1:2" x14ac:dyDescent="0.25">
      <c r="A1812" s="83">
        <f t="shared" si="49"/>
        <v>53</v>
      </c>
      <c r="B1812" s="89"/>
    </row>
    <row r="1813" spans="1:2" x14ac:dyDescent="0.25">
      <c r="A1813" s="83">
        <f t="shared" si="49"/>
        <v>53</v>
      </c>
      <c r="B1813" s="89"/>
    </row>
    <row r="1814" spans="1:2" x14ac:dyDescent="0.25">
      <c r="A1814" s="83">
        <f t="shared" si="49"/>
        <v>53</v>
      </c>
      <c r="B1814" s="89"/>
    </row>
    <row r="1815" spans="1:2" x14ac:dyDescent="0.25">
      <c r="A1815" s="83">
        <f t="shared" si="49"/>
        <v>53</v>
      </c>
      <c r="B1815" s="89"/>
    </row>
    <row r="1816" spans="1:2" x14ac:dyDescent="0.25">
      <c r="A1816" s="83">
        <f t="shared" si="49"/>
        <v>53</v>
      </c>
      <c r="B1816" s="89"/>
    </row>
    <row r="1817" spans="1:2" x14ac:dyDescent="0.25">
      <c r="A1817" s="83">
        <f t="shared" si="49"/>
        <v>53</v>
      </c>
      <c r="B1817" s="89"/>
    </row>
    <row r="1818" spans="1:2" x14ac:dyDescent="0.25">
      <c r="A1818" s="83">
        <f t="shared" si="49"/>
        <v>53</v>
      </c>
      <c r="B1818" s="89"/>
    </row>
    <row r="1819" spans="1:2" x14ac:dyDescent="0.25">
      <c r="A1819" s="83">
        <f t="shared" si="49"/>
        <v>53</v>
      </c>
      <c r="B1819" s="89"/>
    </row>
    <row r="1820" spans="1:2" x14ac:dyDescent="0.25">
      <c r="A1820" s="83">
        <f t="shared" si="49"/>
        <v>53</v>
      </c>
      <c r="B1820" s="89"/>
    </row>
    <row r="1821" spans="1:2" x14ac:dyDescent="0.25">
      <c r="A1821" s="83">
        <f t="shared" si="49"/>
        <v>53</v>
      </c>
      <c r="B1821" s="89"/>
    </row>
    <row r="1822" spans="1:2" x14ac:dyDescent="0.25">
      <c r="A1822" s="83">
        <f t="shared" si="49"/>
        <v>53</v>
      </c>
      <c r="B1822" s="89"/>
    </row>
    <row r="1823" spans="1:2" x14ac:dyDescent="0.25">
      <c r="A1823" s="83">
        <f t="shared" si="49"/>
        <v>53</v>
      </c>
      <c r="B1823" s="89"/>
    </row>
    <row r="1824" spans="1:2" x14ac:dyDescent="0.25">
      <c r="A1824" s="83">
        <f t="shared" si="49"/>
        <v>53</v>
      </c>
      <c r="B1824" s="89"/>
    </row>
    <row r="1825" spans="1:2" x14ac:dyDescent="0.25">
      <c r="A1825" s="83">
        <f t="shared" si="49"/>
        <v>53</v>
      </c>
      <c r="B1825" s="89"/>
    </row>
    <row r="1826" spans="1:2" x14ac:dyDescent="0.25">
      <c r="A1826" s="83">
        <f t="shared" si="49"/>
        <v>53</v>
      </c>
      <c r="B1826" s="89"/>
    </row>
    <row r="1827" spans="1:2" x14ac:dyDescent="0.25">
      <c r="A1827" s="83">
        <f t="shared" si="49"/>
        <v>53</v>
      </c>
      <c r="B1827" s="89"/>
    </row>
    <row r="1828" spans="1:2" x14ac:dyDescent="0.25">
      <c r="A1828" s="83">
        <f t="shared" si="49"/>
        <v>53</v>
      </c>
      <c r="B1828" s="89"/>
    </row>
    <row r="1829" spans="1:2" x14ac:dyDescent="0.25">
      <c r="A1829" s="83">
        <f t="shared" si="49"/>
        <v>53</v>
      </c>
      <c r="B1829" s="89"/>
    </row>
    <row r="1830" spans="1:2" x14ac:dyDescent="0.25">
      <c r="A1830" s="83">
        <f t="shared" si="49"/>
        <v>53</v>
      </c>
      <c r="B1830" s="89"/>
    </row>
    <row r="1831" spans="1:2" x14ac:dyDescent="0.25">
      <c r="A1831" s="83">
        <f t="shared" si="49"/>
        <v>53</v>
      </c>
      <c r="B1831" s="89"/>
    </row>
    <row r="1832" spans="1:2" x14ac:dyDescent="0.25">
      <c r="A1832" s="83">
        <f t="shared" si="49"/>
        <v>53</v>
      </c>
      <c r="B1832" s="89"/>
    </row>
    <row r="1833" spans="1:2" x14ac:dyDescent="0.25">
      <c r="A1833" s="83">
        <f t="shared" si="49"/>
        <v>53</v>
      </c>
      <c r="B1833" s="89"/>
    </row>
    <row r="1834" spans="1:2" x14ac:dyDescent="0.25">
      <c r="A1834" s="83">
        <f t="shared" si="49"/>
        <v>53</v>
      </c>
      <c r="B1834" s="89"/>
    </row>
    <row r="1835" spans="1:2" x14ac:dyDescent="0.25">
      <c r="A1835" s="83">
        <f t="shared" si="49"/>
        <v>53</v>
      </c>
      <c r="B1835" s="89"/>
    </row>
    <row r="1836" spans="1:2" x14ac:dyDescent="0.25">
      <c r="A1836" s="83">
        <f t="shared" si="49"/>
        <v>53</v>
      </c>
      <c r="B1836" s="89"/>
    </row>
    <row r="1837" spans="1:2" x14ac:dyDescent="0.25">
      <c r="A1837" s="83">
        <f t="shared" si="49"/>
        <v>53</v>
      </c>
      <c r="B1837" s="89"/>
    </row>
    <row r="1838" spans="1:2" x14ac:dyDescent="0.25">
      <c r="A1838" s="83">
        <f t="shared" si="49"/>
        <v>53</v>
      </c>
      <c r="B1838" s="89"/>
    </row>
    <row r="1839" spans="1:2" x14ac:dyDescent="0.25">
      <c r="A1839" s="83">
        <f t="shared" si="49"/>
        <v>53</v>
      </c>
      <c r="B1839" s="89"/>
    </row>
    <row r="1840" spans="1:2" x14ac:dyDescent="0.25">
      <c r="A1840" s="83">
        <f t="shared" si="49"/>
        <v>53</v>
      </c>
      <c r="B1840" s="89"/>
    </row>
    <row r="1841" spans="1:2" x14ac:dyDescent="0.25">
      <c r="A1841" s="83">
        <f t="shared" si="49"/>
        <v>53</v>
      </c>
      <c r="B1841" s="89"/>
    </row>
    <row r="1842" spans="1:2" x14ac:dyDescent="0.25">
      <c r="A1842" s="83">
        <f t="shared" si="49"/>
        <v>53</v>
      </c>
      <c r="B1842" s="89"/>
    </row>
    <row r="1843" spans="1:2" x14ac:dyDescent="0.25">
      <c r="A1843" s="83">
        <f t="shared" si="49"/>
        <v>53</v>
      </c>
      <c r="B1843" s="89"/>
    </row>
    <row r="1844" spans="1:2" x14ac:dyDescent="0.25">
      <c r="A1844" s="83">
        <f t="shared" si="49"/>
        <v>53</v>
      </c>
      <c r="B1844" s="89"/>
    </row>
    <row r="1845" spans="1:2" x14ac:dyDescent="0.25">
      <c r="A1845" s="83">
        <f t="shared" si="49"/>
        <v>53</v>
      </c>
      <c r="B1845" s="89"/>
    </row>
    <row r="1846" spans="1:2" x14ac:dyDescent="0.25">
      <c r="A1846" s="83">
        <f t="shared" ref="A1846:A1909" si="50">WEEKNUM(B1846,21)</f>
        <v>53</v>
      </c>
      <c r="B1846" s="89"/>
    </row>
    <row r="1847" spans="1:2" x14ac:dyDescent="0.25">
      <c r="A1847" s="83">
        <f t="shared" si="50"/>
        <v>53</v>
      </c>
      <c r="B1847" s="89"/>
    </row>
    <row r="1848" spans="1:2" x14ac:dyDescent="0.25">
      <c r="A1848" s="83">
        <f t="shared" si="50"/>
        <v>53</v>
      </c>
      <c r="B1848" s="89"/>
    </row>
    <row r="1849" spans="1:2" x14ac:dyDescent="0.25">
      <c r="A1849" s="83">
        <f t="shared" si="50"/>
        <v>53</v>
      </c>
      <c r="B1849" s="89"/>
    </row>
    <row r="1850" spans="1:2" x14ac:dyDescent="0.25">
      <c r="A1850" s="83">
        <f t="shared" si="50"/>
        <v>53</v>
      </c>
      <c r="B1850" s="89"/>
    </row>
    <row r="1851" spans="1:2" x14ac:dyDescent="0.25">
      <c r="A1851" s="83">
        <f t="shared" si="50"/>
        <v>53</v>
      </c>
      <c r="B1851" s="89"/>
    </row>
    <row r="1852" spans="1:2" x14ac:dyDescent="0.25">
      <c r="A1852" s="83">
        <f t="shared" si="50"/>
        <v>53</v>
      </c>
      <c r="B1852" s="89"/>
    </row>
    <row r="1853" spans="1:2" x14ac:dyDescent="0.25">
      <c r="A1853" s="83">
        <f t="shared" si="50"/>
        <v>53</v>
      </c>
      <c r="B1853" s="89"/>
    </row>
    <row r="1854" spans="1:2" x14ac:dyDescent="0.25">
      <c r="A1854" s="83">
        <f t="shared" si="50"/>
        <v>53</v>
      </c>
      <c r="B1854" s="89"/>
    </row>
    <row r="1855" spans="1:2" x14ac:dyDescent="0.25">
      <c r="A1855" s="83">
        <f t="shared" si="50"/>
        <v>53</v>
      </c>
      <c r="B1855" s="89"/>
    </row>
    <row r="1856" spans="1:2" x14ac:dyDescent="0.25">
      <c r="A1856" s="83">
        <f t="shared" si="50"/>
        <v>53</v>
      </c>
      <c r="B1856" s="89"/>
    </row>
    <row r="1857" spans="1:2" x14ac:dyDescent="0.25">
      <c r="A1857" s="83">
        <f t="shared" si="50"/>
        <v>53</v>
      </c>
      <c r="B1857" s="89"/>
    </row>
    <row r="1858" spans="1:2" x14ac:dyDescent="0.25">
      <c r="A1858" s="83">
        <f t="shared" si="50"/>
        <v>53</v>
      </c>
      <c r="B1858" s="89"/>
    </row>
    <row r="1859" spans="1:2" x14ac:dyDescent="0.25">
      <c r="A1859" s="83">
        <f t="shared" si="50"/>
        <v>53</v>
      </c>
      <c r="B1859" s="89"/>
    </row>
    <row r="1860" spans="1:2" x14ac:dyDescent="0.25">
      <c r="A1860" s="83">
        <f t="shared" si="50"/>
        <v>53</v>
      </c>
      <c r="B1860" s="89"/>
    </row>
    <row r="1861" spans="1:2" x14ac:dyDescent="0.25">
      <c r="A1861" s="83">
        <f t="shared" si="50"/>
        <v>53</v>
      </c>
      <c r="B1861" s="89"/>
    </row>
    <row r="1862" spans="1:2" x14ac:dyDescent="0.25">
      <c r="A1862" s="83">
        <f t="shared" si="50"/>
        <v>53</v>
      </c>
      <c r="B1862" s="89"/>
    </row>
    <row r="1863" spans="1:2" x14ac:dyDescent="0.25">
      <c r="A1863" s="83">
        <f t="shared" si="50"/>
        <v>53</v>
      </c>
      <c r="B1863" s="89"/>
    </row>
    <row r="1864" spans="1:2" x14ac:dyDescent="0.25">
      <c r="A1864" s="83">
        <f t="shared" si="50"/>
        <v>53</v>
      </c>
      <c r="B1864" s="89"/>
    </row>
    <row r="1865" spans="1:2" x14ac:dyDescent="0.25">
      <c r="A1865" s="83">
        <f t="shared" si="50"/>
        <v>53</v>
      </c>
      <c r="B1865" s="89"/>
    </row>
    <row r="1866" spans="1:2" x14ac:dyDescent="0.25">
      <c r="A1866" s="83">
        <f t="shared" si="50"/>
        <v>53</v>
      </c>
      <c r="B1866" s="89"/>
    </row>
    <row r="1867" spans="1:2" x14ac:dyDescent="0.25">
      <c r="A1867" s="83">
        <f t="shared" si="50"/>
        <v>53</v>
      </c>
      <c r="B1867" s="89"/>
    </row>
    <row r="1868" spans="1:2" x14ac:dyDescent="0.25">
      <c r="A1868" s="83">
        <f t="shared" si="50"/>
        <v>53</v>
      </c>
      <c r="B1868" s="89"/>
    </row>
    <row r="1869" spans="1:2" x14ac:dyDescent="0.25">
      <c r="A1869" s="83">
        <f t="shared" si="50"/>
        <v>53</v>
      </c>
      <c r="B1869" s="89"/>
    </row>
    <row r="1870" spans="1:2" x14ac:dyDescent="0.25">
      <c r="A1870" s="83">
        <f t="shared" si="50"/>
        <v>53</v>
      </c>
      <c r="B1870" s="89"/>
    </row>
    <row r="1871" spans="1:2" x14ac:dyDescent="0.25">
      <c r="A1871" s="83">
        <f t="shared" si="50"/>
        <v>53</v>
      </c>
      <c r="B1871" s="89"/>
    </row>
    <row r="1872" spans="1:2" x14ac:dyDescent="0.25">
      <c r="A1872" s="83">
        <f t="shared" si="50"/>
        <v>53</v>
      </c>
      <c r="B1872" s="89"/>
    </row>
    <row r="1873" spans="1:2" x14ac:dyDescent="0.25">
      <c r="A1873" s="83">
        <f t="shared" si="50"/>
        <v>53</v>
      </c>
      <c r="B1873" s="89"/>
    </row>
    <row r="1874" spans="1:2" x14ac:dyDescent="0.25">
      <c r="A1874" s="83">
        <f t="shared" si="50"/>
        <v>53</v>
      </c>
      <c r="B1874" s="89"/>
    </row>
    <row r="1875" spans="1:2" x14ac:dyDescent="0.25">
      <c r="A1875" s="83">
        <f t="shared" si="50"/>
        <v>53</v>
      </c>
      <c r="B1875" s="89"/>
    </row>
    <row r="1876" spans="1:2" x14ac:dyDescent="0.25">
      <c r="A1876" s="83">
        <f t="shared" si="50"/>
        <v>53</v>
      </c>
      <c r="B1876" s="89"/>
    </row>
    <row r="1877" spans="1:2" x14ac:dyDescent="0.25">
      <c r="A1877" s="83">
        <f t="shared" si="50"/>
        <v>53</v>
      </c>
      <c r="B1877" s="89"/>
    </row>
    <row r="1878" spans="1:2" x14ac:dyDescent="0.25">
      <c r="A1878" s="83">
        <f t="shared" si="50"/>
        <v>53</v>
      </c>
      <c r="B1878" s="89"/>
    </row>
    <row r="1879" spans="1:2" x14ac:dyDescent="0.25">
      <c r="A1879" s="83">
        <f t="shared" si="50"/>
        <v>53</v>
      </c>
      <c r="B1879" s="89"/>
    </row>
    <row r="1880" spans="1:2" x14ac:dyDescent="0.25">
      <c r="A1880" s="83">
        <f t="shared" si="50"/>
        <v>53</v>
      </c>
      <c r="B1880" s="89"/>
    </row>
    <row r="1881" spans="1:2" x14ac:dyDescent="0.25">
      <c r="A1881" s="83">
        <f t="shared" si="50"/>
        <v>53</v>
      </c>
      <c r="B1881" s="89"/>
    </row>
    <row r="1882" spans="1:2" x14ac:dyDescent="0.25">
      <c r="A1882" s="83">
        <f t="shared" si="50"/>
        <v>53</v>
      </c>
      <c r="B1882" s="89"/>
    </row>
    <row r="1883" spans="1:2" x14ac:dyDescent="0.25">
      <c r="A1883" s="83">
        <f t="shared" si="50"/>
        <v>53</v>
      </c>
      <c r="B1883" s="89"/>
    </row>
    <row r="1884" spans="1:2" x14ac:dyDescent="0.25">
      <c r="A1884" s="83">
        <f t="shared" si="50"/>
        <v>53</v>
      </c>
      <c r="B1884" s="89"/>
    </row>
    <row r="1885" spans="1:2" x14ac:dyDescent="0.25">
      <c r="A1885" s="83">
        <f t="shared" si="50"/>
        <v>53</v>
      </c>
      <c r="B1885" s="89"/>
    </row>
    <row r="1886" spans="1:2" x14ac:dyDescent="0.25">
      <c r="A1886" s="83">
        <f t="shared" si="50"/>
        <v>53</v>
      </c>
      <c r="B1886" s="89"/>
    </row>
    <row r="1887" spans="1:2" x14ac:dyDescent="0.25">
      <c r="A1887" s="83">
        <f t="shared" si="50"/>
        <v>53</v>
      </c>
      <c r="B1887" s="89"/>
    </row>
    <row r="1888" spans="1:2" x14ac:dyDescent="0.25">
      <c r="A1888" s="83">
        <f t="shared" si="50"/>
        <v>53</v>
      </c>
      <c r="B1888" s="89"/>
    </row>
    <row r="1889" spans="1:2" x14ac:dyDescent="0.25">
      <c r="A1889" s="83">
        <f t="shared" si="50"/>
        <v>53</v>
      </c>
      <c r="B1889" s="89"/>
    </row>
    <row r="1890" spans="1:2" x14ac:dyDescent="0.25">
      <c r="A1890" s="83">
        <f t="shared" si="50"/>
        <v>53</v>
      </c>
      <c r="B1890" s="89"/>
    </row>
    <row r="1891" spans="1:2" x14ac:dyDescent="0.25">
      <c r="A1891" s="83">
        <f t="shared" si="50"/>
        <v>53</v>
      </c>
      <c r="B1891" s="89"/>
    </row>
    <row r="1892" spans="1:2" x14ac:dyDescent="0.25">
      <c r="A1892" s="83">
        <f t="shared" si="50"/>
        <v>53</v>
      </c>
      <c r="B1892" s="89"/>
    </row>
    <row r="1893" spans="1:2" x14ac:dyDescent="0.25">
      <c r="A1893" s="83">
        <f t="shared" si="50"/>
        <v>53</v>
      </c>
      <c r="B1893" s="89"/>
    </row>
    <row r="1894" spans="1:2" x14ac:dyDescent="0.25">
      <c r="A1894" s="83">
        <f t="shared" si="50"/>
        <v>53</v>
      </c>
      <c r="B1894" s="89"/>
    </row>
    <row r="1895" spans="1:2" x14ac:dyDescent="0.25">
      <c r="A1895" s="83">
        <f t="shared" si="50"/>
        <v>53</v>
      </c>
      <c r="B1895" s="89"/>
    </row>
    <row r="1896" spans="1:2" x14ac:dyDescent="0.25">
      <c r="A1896" s="83">
        <f t="shared" si="50"/>
        <v>53</v>
      </c>
      <c r="B1896" s="89"/>
    </row>
    <row r="1897" spans="1:2" x14ac:dyDescent="0.25">
      <c r="A1897" s="83">
        <f t="shared" si="50"/>
        <v>53</v>
      </c>
      <c r="B1897" s="89"/>
    </row>
    <row r="1898" spans="1:2" x14ac:dyDescent="0.25">
      <c r="A1898" s="83">
        <f t="shared" si="50"/>
        <v>53</v>
      </c>
      <c r="B1898" s="89"/>
    </row>
    <row r="1899" spans="1:2" x14ac:dyDescent="0.25">
      <c r="A1899" s="83">
        <f t="shared" si="50"/>
        <v>53</v>
      </c>
      <c r="B1899" s="89"/>
    </row>
    <row r="1900" spans="1:2" x14ac:dyDescent="0.25">
      <c r="A1900" s="83">
        <f t="shared" si="50"/>
        <v>53</v>
      </c>
      <c r="B1900" s="89"/>
    </row>
    <row r="1901" spans="1:2" x14ac:dyDescent="0.25">
      <c r="A1901" s="83">
        <f t="shared" si="50"/>
        <v>53</v>
      </c>
      <c r="B1901" s="89"/>
    </row>
    <row r="1902" spans="1:2" x14ac:dyDescent="0.25">
      <c r="A1902" s="83">
        <f t="shared" si="50"/>
        <v>53</v>
      </c>
      <c r="B1902" s="89"/>
    </row>
    <row r="1903" spans="1:2" x14ac:dyDescent="0.25">
      <c r="A1903" s="83">
        <f t="shared" si="50"/>
        <v>53</v>
      </c>
      <c r="B1903" s="89"/>
    </row>
    <row r="1904" spans="1:2" x14ac:dyDescent="0.25">
      <c r="A1904" s="83">
        <f t="shared" si="50"/>
        <v>53</v>
      </c>
      <c r="B1904" s="89"/>
    </row>
    <row r="1905" spans="1:2" x14ac:dyDescent="0.25">
      <c r="A1905" s="83">
        <f t="shared" si="50"/>
        <v>53</v>
      </c>
      <c r="B1905" s="89"/>
    </row>
    <row r="1906" spans="1:2" x14ac:dyDescent="0.25">
      <c r="A1906" s="83">
        <f t="shared" si="50"/>
        <v>53</v>
      </c>
      <c r="B1906" s="89"/>
    </row>
    <row r="1907" spans="1:2" x14ac:dyDescent="0.25">
      <c r="A1907" s="83">
        <f t="shared" si="50"/>
        <v>53</v>
      </c>
      <c r="B1907" s="89"/>
    </row>
    <row r="1908" spans="1:2" x14ac:dyDescent="0.25">
      <c r="A1908" s="83">
        <f t="shared" si="50"/>
        <v>53</v>
      </c>
      <c r="B1908" s="89"/>
    </row>
    <row r="1909" spans="1:2" x14ac:dyDescent="0.25">
      <c r="A1909" s="83">
        <f t="shared" si="50"/>
        <v>53</v>
      </c>
      <c r="B1909" s="89"/>
    </row>
    <row r="1910" spans="1:2" x14ac:dyDescent="0.25">
      <c r="A1910" s="83">
        <f t="shared" ref="A1910:A1973" si="51">WEEKNUM(B1910,21)</f>
        <v>53</v>
      </c>
      <c r="B1910" s="89"/>
    </row>
    <row r="1911" spans="1:2" x14ac:dyDescent="0.25">
      <c r="A1911" s="83">
        <f t="shared" si="51"/>
        <v>53</v>
      </c>
      <c r="B1911" s="89"/>
    </row>
    <row r="1912" spans="1:2" x14ac:dyDescent="0.25">
      <c r="A1912" s="83">
        <f t="shared" si="51"/>
        <v>53</v>
      </c>
      <c r="B1912" s="89"/>
    </row>
    <row r="1913" spans="1:2" x14ac:dyDescent="0.25">
      <c r="A1913" s="83">
        <f t="shared" si="51"/>
        <v>53</v>
      </c>
      <c r="B1913" s="89"/>
    </row>
    <row r="1914" spans="1:2" x14ac:dyDescent="0.25">
      <c r="A1914" s="83">
        <f t="shared" si="51"/>
        <v>53</v>
      </c>
      <c r="B1914" s="89"/>
    </row>
    <row r="1915" spans="1:2" x14ac:dyDescent="0.25">
      <c r="A1915" s="83">
        <f t="shared" si="51"/>
        <v>53</v>
      </c>
      <c r="B1915" s="89"/>
    </row>
    <row r="1916" spans="1:2" x14ac:dyDescent="0.25">
      <c r="A1916" s="83">
        <f t="shared" si="51"/>
        <v>53</v>
      </c>
      <c r="B1916" s="89"/>
    </row>
    <row r="1917" spans="1:2" x14ac:dyDescent="0.25">
      <c r="A1917" s="83">
        <f t="shared" si="51"/>
        <v>53</v>
      </c>
      <c r="B1917" s="89"/>
    </row>
    <row r="1918" spans="1:2" x14ac:dyDescent="0.25">
      <c r="A1918" s="83">
        <f t="shared" si="51"/>
        <v>53</v>
      </c>
      <c r="B1918" s="89"/>
    </row>
    <row r="1919" spans="1:2" x14ac:dyDescent="0.25">
      <c r="A1919" s="83">
        <f t="shared" si="51"/>
        <v>53</v>
      </c>
      <c r="B1919" s="89"/>
    </row>
    <row r="1920" spans="1:2" x14ac:dyDescent="0.25">
      <c r="A1920" s="83">
        <f t="shared" si="51"/>
        <v>53</v>
      </c>
      <c r="B1920" s="89"/>
    </row>
    <row r="1921" spans="1:2" x14ac:dyDescent="0.25">
      <c r="A1921" s="83">
        <f t="shared" si="51"/>
        <v>53</v>
      </c>
      <c r="B1921" s="89"/>
    </row>
    <row r="1922" spans="1:2" x14ac:dyDescent="0.25">
      <c r="A1922" s="83">
        <f t="shared" si="51"/>
        <v>53</v>
      </c>
      <c r="B1922" s="89"/>
    </row>
    <row r="1923" spans="1:2" x14ac:dyDescent="0.25">
      <c r="A1923" s="83">
        <f t="shared" si="51"/>
        <v>53</v>
      </c>
      <c r="B1923" s="89"/>
    </row>
    <row r="1924" spans="1:2" x14ac:dyDescent="0.25">
      <c r="A1924" s="83">
        <f t="shared" si="51"/>
        <v>53</v>
      </c>
      <c r="B1924" s="89"/>
    </row>
    <row r="1925" spans="1:2" x14ac:dyDescent="0.25">
      <c r="A1925" s="83">
        <f t="shared" si="51"/>
        <v>53</v>
      </c>
      <c r="B1925" s="89"/>
    </row>
    <row r="1926" spans="1:2" x14ac:dyDescent="0.25">
      <c r="A1926" s="83">
        <f t="shared" si="51"/>
        <v>53</v>
      </c>
      <c r="B1926" s="89"/>
    </row>
    <row r="1927" spans="1:2" x14ac:dyDescent="0.25">
      <c r="A1927" s="83">
        <f t="shared" si="51"/>
        <v>53</v>
      </c>
      <c r="B1927" s="89"/>
    </row>
    <row r="1928" spans="1:2" x14ac:dyDescent="0.25">
      <c r="A1928" s="83">
        <f t="shared" si="51"/>
        <v>53</v>
      </c>
      <c r="B1928" s="89"/>
    </row>
    <row r="1929" spans="1:2" x14ac:dyDescent="0.25">
      <c r="A1929" s="83">
        <f t="shared" si="51"/>
        <v>53</v>
      </c>
      <c r="B1929" s="89"/>
    </row>
    <row r="1930" spans="1:2" x14ac:dyDescent="0.25">
      <c r="A1930" s="83">
        <f t="shared" si="51"/>
        <v>53</v>
      </c>
      <c r="B1930" s="89"/>
    </row>
    <row r="1931" spans="1:2" x14ac:dyDescent="0.25">
      <c r="A1931" s="83">
        <f t="shared" si="51"/>
        <v>53</v>
      </c>
      <c r="B1931" s="89"/>
    </row>
    <row r="1932" spans="1:2" x14ac:dyDescent="0.25">
      <c r="A1932" s="83">
        <f t="shared" si="51"/>
        <v>53</v>
      </c>
      <c r="B1932" s="89"/>
    </row>
    <row r="1933" spans="1:2" x14ac:dyDescent="0.25">
      <c r="A1933" s="83">
        <f t="shared" si="51"/>
        <v>53</v>
      </c>
      <c r="B1933" s="89"/>
    </row>
    <row r="1934" spans="1:2" x14ac:dyDescent="0.25">
      <c r="A1934" s="83">
        <f t="shared" si="51"/>
        <v>53</v>
      </c>
      <c r="B1934" s="89"/>
    </row>
    <row r="1935" spans="1:2" x14ac:dyDescent="0.25">
      <c r="A1935" s="83">
        <f t="shared" si="51"/>
        <v>53</v>
      </c>
      <c r="B1935" s="89"/>
    </row>
    <row r="1936" spans="1:2" x14ac:dyDescent="0.25">
      <c r="A1936" s="83">
        <f t="shared" si="51"/>
        <v>53</v>
      </c>
      <c r="B1936" s="89"/>
    </row>
    <row r="1937" spans="1:2" x14ac:dyDescent="0.25">
      <c r="A1937" s="83">
        <f t="shared" si="51"/>
        <v>53</v>
      </c>
      <c r="B1937" s="89"/>
    </row>
    <row r="1938" spans="1:2" x14ac:dyDescent="0.25">
      <c r="A1938" s="83">
        <f t="shared" si="51"/>
        <v>53</v>
      </c>
      <c r="B1938" s="89"/>
    </row>
    <row r="1939" spans="1:2" x14ac:dyDescent="0.25">
      <c r="A1939" s="83">
        <f t="shared" si="51"/>
        <v>53</v>
      </c>
      <c r="B1939" s="89"/>
    </row>
    <row r="1940" spans="1:2" x14ac:dyDescent="0.25">
      <c r="A1940" s="83">
        <f t="shared" si="51"/>
        <v>53</v>
      </c>
      <c r="B1940" s="89"/>
    </row>
    <row r="1941" spans="1:2" x14ac:dyDescent="0.25">
      <c r="A1941" s="83">
        <f t="shared" si="51"/>
        <v>53</v>
      </c>
      <c r="B1941" s="89"/>
    </row>
    <row r="1942" spans="1:2" x14ac:dyDescent="0.25">
      <c r="A1942" s="83">
        <f t="shared" si="51"/>
        <v>53</v>
      </c>
      <c r="B1942" s="89"/>
    </row>
    <row r="1943" spans="1:2" x14ac:dyDescent="0.25">
      <c r="A1943" s="83">
        <f t="shared" si="51"/>
        <v>53</v>
      </c>
      <c r="B1943" s="89"/>
    </row>
    <row r="1944" spans="1:2" x14ac:dyDescent="0.25">
      <c r="A1944" s="83">
        <f t="shared" si="51"/>
        <v>53</v>
      </c>
      <c r="B1944" s="89"/>
    </row>
    <row r="1945" spans="1:2" x14ac:dyDescent="0.25">
      <c r="A1945" s="83">
        <f t="shared" si="51"/>
        <v>53</v>
      </c>
      <c r="B1945" s="89"/>
    </row>
    <row r="1946" spans="1:2" x14ac:dyDescent="0.25">
      <c r="A1946" s="83">
        <f t="shared" si="51"/>
        <v>53</v>
      </c>
      <c r="B1946" s="89"/>
    </row>
    <row r="1947" spans="1:2" x14ac:dyDescent="0.25">
      <c r="A1947" s="83">
        <f t="shared" si="51"/>
        <v>53</v>
      </c>
      <c r="B1947" s="89"/>
    </row>
    <row r="1948" spans="1:2" x14ac:dyDescent="0.25">
      <c r="A1948" s="83">
        <f t="shared" si="51"/>
        <v>53</v>
      </c>
      <c r="B1948" s="89"/>
    </row>
    <row r="1949" spans="1:2" x14ac:dyDescent="0.25">
      <c r="A1949" s="83">
        <f t="shared" si="51"/>
        <v>53</v>
      </c>
      <c r="B1949" s="89"/>
    </row>
    <row r="1950" spans="1:2" x14ac:dyDescent="0.25">
      <c r="A1950" s="83">
        <f t="shared" si="51"/>
        <v>53</v>
      </c>
      <c r="B1950" s="89"/>
    </row>
    <row r="1951" spans="1:2" x14ac:dyDescent="0.25">
      <c r="A1951" s="83">
        <f t="shared" si="51"/>
        <v>53</v>
      </c>
      <c r="B1951" s="89"/>
    </row>
    <row r="1952" spans="1:2" x14ac:dyDescent="0.25">
      <c r="A1952" s="83">
        <f t="shared" si="51"/>
        <v>53</v>
      </c>
      <c r="B1952" s="89"/>
    </row>
    <row r="1953" spans="1:2" x14ac:dyDescent="0.25">
      <c r="A1953" s="83">
        <f t="shared" si="51"/>
        <v>53</v>
      </c>
      <c r="B1953" s="89"/>
    </row>
    <row r="1954" spans="1:2" x14ac:dyDescent="0.25">
      <c r="A1954" s="83">
        <f t="shared" si="51"/>
        <v>53</v>
      </c>
      <c r="B1954" s="89"/>
    </row>
    <row r="1955" spans="1:2" x14ac:dyDescent="0.25">
      <c r="A1955" s="83">
        <f t="shared" si="51"/>
        <v>53</v>
      </c>
      <c r="B1955" s="89"/>
    </row>
    <row r="1956" spans="1:2" x14ac:dyDescent="0.25">
      <c r="A1956" s="83">
        <f t="shared" si="51"/>
        <v>53</v>
      </c>
      <c r="B1956" s="89"/>
    </row>
    <row r="1957" spans="1:2" x14ac:dyDescent="0.25">
      <c r="A1957" s="83">
        <f t="shared" si="51"/>
        <v>53</v>
      </c>
      <c r="B1957" s="89"/>
    </row>
    <row r="1958" spans="1:2" x14ac:dyDescent="0.25">
      <c r="A1958" s="83">
        <f t="shared" si="51"/>
        <v>53</v>
      </c>
      <c r="B1958" s="89"/>
    </row>
    <row r="1959" spans="1:2" x14ac:dyDescent="0.25">
      <c r="A1959" s="83">
        <f t="shared" si="51"/>
        <v>53</v>
      </c>
      <c r="B1959" s="89"/>
    </row>
    <row r="1960" spans="1:2" x14ac:dyDescent="0.25">
      <c r="A1960" s="83">
        <f t="shared" si="51"/>
        <v>53</v>
      </c>
      <c r="B1960" s="89"/>
    </row>
    <row r="1961" spans="1:2" x14ac:dyDescent="0.25">
      <c r="A1961" s="83">
        <f t="shared" si="51"/>
        <v>53</v>
      </c>
      <c r="B1961" s="89"/>
    </row>
    <row r="1962" spans="1:2" x14ac:dyDescent="0.25">
      <c r="A1962" s="83">
        <f t="shared" si="51"/>
        <v>53</v>
      </c>
      <c r="B1962" s="89"/>
    </row>
    <row r="1963" spans="1:2" x14ac:dyDescent="0.25">
      <c r="A1963" s="83">
        <f t="shared" si="51"/>
        <v>53</v>
      </c>
      <c r="B1963" s="89"/>
    </row>
    <row r="1964" spans="1:2" x14ac:dyDescent="0.25">
      <c r="A1964" s="83">
        <f t="shared" si="51"/>
        <v>53</v>
      </c>
      <c r="B1964" s="89"/>
    </row>
    <row r="1965" spans="1:2" x14ac:dyDescent="0.25">
      <c r="A1965" s="83">
        <f t="shared" si="51"/>
        <v>53</v>
      </c>
      <c r="B1965" s="89"/>
    </row>
    <row r="1966" spans="1:2" x14ac:dyDescent="0.25">
      <c r="A1966" s="83">
        <f t="shared" si="51"/>
        <v>53</v>
      </c>
      <c r="B1966" s="89"/>
    </row>
    <row r="1967" spans="1:2" x14ac:dyDescent="0.25">
      <c r="A1967" s="83">
        <f t="shared" si="51"/>
        <v>53</v>
      </c>
      <c r="B1967" s="89"/>
    </row>
    <row r="1968" spans="1:2" x14ac:dyDescent="0.25">
      <c r="A1968" s="83">
        <f t="shared" si="51"/>
        <v>53</v>
      </c>
      <c r="B1968" s="89"/>
    </row>
    <row r="1969" spans="1:2" x14ac:dyDescent="0.25">
      <c r="A1969" s="83">
        <f t="shared" si="51"/>
        <v>53</v>
      </c>
      <c r="B1969" s="89"/>
    </row>
    <row r="1970" spans="1:2" x14ac:dyDescent="0.25">
      <c r="A1970" s="83">
        <f t="shared" si="51"/>
        <v>53</v>
      </c>
      <c r="B1970" s="89"/>
    </row>
    <row r="1971" spans="1:2" x14ac:dyDescent="0.25">
      <c r="A1971" s="83">
        <f t="shared" si="51"/>
        <v>53</v>
      </c>
      <c r="B1971" s="89"/>
    </row>
    <row r="1972" spans="1:2" x14ac:dyDescent="0.25">
      <c r="A1972" s="83">
        <f t="shared" si="51"/>
        <v>53</v>
      </c>
      <c r="B1972" s="89"/>
    </row>
    <row r="1973" spans="1:2" x14ac:dyDescent="0.25">
      <c r="A1973" s="83">
        <f t="shared" si="51"/>
        <v>53</v>
      </c>
      <c r="B1973" s="89"/>
    </row>
    <row r="1974" spans="1:2" x14ac:dyDescent="0.25">
      <c r="A1974" s="83">
        <f t="shared" ref="A1974:A2037" si="52">WEEKNUM(B1974,21)</f>
        <v>53</v>
      </c>
      <c r="B1974" s="89"/>
    </row>
    <row r="1975" spans="1:2" x14ac:dyDescent="0.25">
      <c r="A1975" s="83">
        <f t="shared" si="52"/>
        <v>53</v>
      </c>
      <c r="B1975" s="89"/>
    </row>
    <row r="1976" spans="1:2" x14ac:dyDescent="0.25">
      <c r="A1976" s="83">
        <f t="shared" si="52"/>
        <v>53</v>
      </c>
      <c r="B1976" s="89"/>
    </row>
    <row r="1977" spans="1:2" x14ac:dyDescent="0.25">
      <c r="A1977" s="83">
        <f t="shared" si="52"/>
        <v>53</v>
      </c>
      <c r="B1977" s="89"/>
    </row>
    <row r="1978" spans="1:2" x14ac:dyDescent="0.25">
      <c r="A1978" s="83">
        <f t="shared" si="52"/>
        <v>53</v>
      </c>
      <c r="B1978" s="89"/>
    </row>
    <row r="1979" spans="1:2" x14ac:dyDescent="0.25">
      <c r="A1979" s="83">
        <f t="shared" si="52"/>
        <v>53</v>
      </c>
      <c r="B1979" s="89"/>
    </row>
    <row r="1980" spans="1:2" x14ac:dyDescent="0.25">
      <c r="A1980" s="83">
        <f t="shared" si="52"/>
        <v>53</v>
      </c>
      <c r="B1980" s="89"/>
    </row>
    <row r="1981" spans="1:2" x14ac:dyDescent="0.25">
      <c r="A1981" s="83">
        <f t="shared" si="52"/>
        <v>53</v>
      </c>
      <c r="B1981" s="89"/>
    </row>
    <row r="1982" spans="1:2" x14ac:dyDescent="0.25">
      <c r="A1982" s="83">
        <f t="shared" si="52"/>
        <v>53</v>
      </c>
      <c r="B1982" s="89"/>
    </row>
    <row r="1983" spans="1:2" x14ac:dyDescent="0.25">
      <c r="A1983" s="83">
        <f t="shared" si="52"/>
        <v>53</v>
      </c>
      <c r="B1983" s="89"/>
    </row>
    <row r="1984" spans="1:2" x14ac:dyDescent="0.25">
      <c r="A1984" s="83">
        <f t="shared" si="52"/>
        <v>53</v>
      </c>
      <c r="B1984" s="89"/>
    </row>
    <row r="1985" spans="1:2" x14ac:dyDescent="0.25">
      <c r="A1985" s="83">
        <f t="shared" si="52"/>
        <v>53</v>
      </c>
      <c r="B1985" s="89"/>
    </row>
    <row r="1986" spans="1:2" x14ac:dyDescent="0.25">
      <c r="A1986" s="83">
        <f t="shared" si="52"/>
        <v>53</v>
      </c>
      <c r="B1986" s="89"/>
    </row>
    <row r="1987" spans="1:2" x14ac:dyDescent="0.25">
      <c r="A1987" s="83">
        <f t="shared" si="52"/>
        <v>53</v>
      </c>
      <c r="B1987" s="89"/>
    </row>
    <row r="1988" spans="1:2" x14ac:dyDescent="0.25">
      <c r="A1988" s="83">
        <f t="shared" si="52"/>
        <v>53</v>
      </c>
      <c r="B1988" s="89"/>
    </row>
    <row r="1989" spans="1:2" x14ac:dyDescent="0.25">
      <c r="A1989" s="83">
        <f t="shared" si="52"/>
        <v>53</v>
      </c>
      <c r="B1989" s="89"/>
    </row>
    <row r="1990" spans="1:2" x14ac:dyDescent="0.25">
      <c r="A1990" s="83">
        <f t="shared" si="52"/>
        <v>53</v>
      </c>
      <c r="B1990" s="89"/>
    </row>
    <row r="1991" spans="1:2" x14ac:dyDescent="0.25">
      <c r="A1991" s="83">
        <f t="shared" si="52"/>
        <v>53</v>
      </c>
      <c r="B1991" s="89"/>
    </row>
    <row r="1992" spans="1:2" x14ac:dyDescent="0.25">
      <c r="A1992" s="83">
        <f t="shared" si="52"/>
        <v>53</v>
      </c>
      <c r="B1992" s="89"/>
    </row>
    <row r="1993" spans="1:2" x14ac:dyDescent="0.25">
      <c r="A1993" s="83">
        <f t="shared" si="52"/>
        <v>53</v>
      </c>
      <c r="B1993" s="89"/>
    </row>
    <row r="1994" spans="1:2" x14ac:dyDescent="0.25">
      <c r="A1994" s="83">
        <f t="shared" si="52"/>
        <v>53</v>
      </c>
      <c r="B1994" s="89"/>
    </row>
    <row r="1995" spans="1:2" x14ac:dyDescent="0.25">
      <c r="A1995" s="83">
        <f t="shared" si="52"/>
        <v>53</v>
      </c>
      <c r="B1995" s="89"/>
    </row>
    <row r="1996" spans="1:2" x14ac:dyDescent="0.25">
      <c r="A1996" s="83">
        <f t="shared" si="52"/>
        <v>53</v>
      </c>
      <c r="B1996" s="89"/>
    </row>
    <row r="1997" spans="1:2" x14ac:dyDescent="0.25">
      <c r="A1997" s="83">
        <f t="shared" si="52"/>
        <v>53</v>
      </c>
      <c r="B1997" s="89"/>
    </row>
    <row r="1998" spans="1:2" x14ac:dyDescent="0.25">
      <c r="A1998" s="83">
        <f t="shared" si="52"/>
        <v>53</v>
      </c>
      <c r="B1998" s="89"/>
    </row>
    <row r="1999" spans="1:2" x14ac:dyDescent="0.25">
      <c r="A1999" s="83">
        <f t="shared" si="52"/>
        <v>53</v>
      </c>
      <c r="B1999" s="89"/>
    </row>
    <row r="2000" spans="1:2" x14ac:dyDescent="0.25">
      <c r="A2000" s="83">
        <f t="shared" si="52"/>
        <v>53</v>
      </c>
      <c r="B2000" s="89"/>
    </row>
    <row r="2001" spans="1:2" x14ac:dyDescent="0.25">
      <c r="A2001" s="83">
        <f t="shared" si="52"/>
        <v>53</v>
      </c>
      <c r="B2001" s="89"/>
    </row>
    <row r="2002" spans="1:2" x14ac:dyDescent="0.25">
      <c r="A2002" s="83">
        <f t="shared" si="52"/>
        <v>53</v>
      </c>
      <c r="B2002" s="89"/>
    </row>
    <row r="2003" spans="1:2" x14ac:dyDescent="0.25">
      <c r="A2003" s="83">
        <f t="shared" si="52"/>
        <v>53</v>
      </c>
      <c r="B2003" s="89"/>
    </row>
    <row r="2004" spans="1:2" x14ac:dyDescent="0.25">
      <c r="A2004" s="83">
        <f t="shared" si="52"/>
        <v>53</v>
      </c>
      <c r="B2004" s="89"/>
    </row>
    <row r="2005" spans="1:2" x14ac:dyDescent="0.25">
      <c r="A2005" s="83">
        <f t="shared" si="52"/>
        <v>53</v>
      </c>
      <c r="B2005" s="89"/>
    </row>
    <row r="2006" spans="1:2" x14ac:dyDescent="0.25">
      <c r="A2006" s="83">
        <f t="shared" si="52"/>
        <v>53</v>
      </c>
      <c r="B2006" s="89"/>
    </row>
    <row r="2007" spans="1:2" x14ac:dyDescent="0.25">
      <c r="A2007" s="83">
        <f t="shared" si="52"/>
        <v>53</v>
      </c>
      <c r="B2007" s="89"/>
    </row>
    <row r="2008" spans="1:2" x14ac:dyDescent="0.25">
      <c r="A2008" s="83">
        <f t="shared" si="52"/>
        <v>53</v>
      </c>
      <c r="B2008" s="89"/>
    </row>
    <row r="2009" spans="1:2" x14ac:dyDescent="0.25">
      <c r="A2009" s="83">
        <f t="shared" si="52"/>
        <v>53</v>
      </c>
      <c r="B2009" s="89"/>
    </row>
    <row r="2010" spans="1:2" x14ac:dyDescent="0.25">
      <c r="A2010" s="83">
        <f t="shared" si="52"/>
        <v>53</v>
      </c>
      <c r="B2010" s="89"/>
    </row>
    <row r="2011" spans="1:2" x14ac:dyDescent="0.25">
      <c r="A2011" s="83">
        <f t="shared" si="52"/>
        <v>53</v>
      </c>
      <c r="B2011" s="89"/>
    </row>
    <row r="2012" spans="1:2" x14ac:dyDescent="0.25">
      <c r="A2012" s="83">
        <f t="shared" si="52"/>
        <v>53</v>
      </c>
      <c r="B2012" s="89"/>
    </row>
    <row r="2013" spans="1:2" x14ac:dyDescent="0.25">
      <c r="A2013" s="83">
        <f t="shared" si="52"/>
        <v>53</v>
      </c>
      <c r="B2013" s="89"/>
    </row>
    <row r="2014" spans="1:2" x14ac:dyDescent="0.25">
      <c r="A2014" s="83">
        <f t="shared" si="52"/>
        <v>53</v>
      </c>
      <c r="B2014" s="89"/>
    </row>
    <row r="2015" spans="1:2" x14ac:dyDescent="0.25">
      <c r="A2015" s="83">
        <f t="shared" si="52"/>
        <v>53</v>
      </c>
      <c r="B2015" s="89"/>
    </row>
    <row r="2016" spans="1:2" x14ac:dyDescent="0.25">
      <c r="A2016" s="83">
        <f t="shared" si="52"/>
        <v>53</v>
      </c>
      <c r="B2016" s="89"/>
    </row>
    <row r="2017" spans="1:2" x14ac:dyDescent="0.25">
      <c r="A2017" s="83">
        <f t="shared" si="52"/>
        <v>53</v>
      </c>
      <c r="B2017" s="89"/>
    </row>
    <row r="2018" spans="1:2" x14ac:dyDescent="0.25">
      <c r="A2018" s="83">
        <f t="shared" si="52"/>
        <v>53</v>
      </c>
      <c r="B2018" s="89"/>
    </row>
    <row r="2019" spans="1:2" x14ac:dyDescent="0.25">
      <c r="A2019" s="83">
        <f t="shared" si="52"/>
        <v>53</v>
      </c>
      <c r="B2019" s="89"/>
    </row>
    <row r="2020" spans="1:2" x14ac:dyDescent="0.25">
      <c r="A2020" s="83">
        <f t="shared" si="52"/>
        <v>53</v>
      </c>
      <c r="B2020" s="89"/>
    </row>
    <row r="2021" spans="1:2" x14ac:dyDescent="0.25">
      <c r="A2021" s="83">
        <f t="shared" si="52"/>
        <v>53</v>
      </c>
      <c r="B2021" s="89"/>
    </row>
    <row r="2022" spans="1:2" x14ac:dyDescent="0.25">
      <c r="A2022" s="83">
        <f t="shared" si="52"/>
        <v>53</v>
      </c>
      <c r="B2022" s="89"/>
    </row>
    <row r="2023" spans="1:2" x14ac:dyDescent="0.25">
      <c r="A2023" s="83">
        <f t="shared" si="52"/>
        <v>53</v>
      </c>
      <c r="B2023" s="89"/>
    </row>
    <row r="2024" spans="1:2" x14ac:dyDescent="0.25">
      <c r="A2024" s="83">
        <f t="shared" si="52"/>
        <v>53</v>
      </c>
      <c r="B2024" s="89"/>
    </row>
    <row r="2025" spans="1:2" x14ac:dyDescent="0.25">
      <c r="A2025" s="83">
        <f t="shared" si="52"/>
        <v>53</v>
      </c>
      <c r="B2025" s="89"/>
    </row>
    <row r="2026" spans="1:2" x14ac:dyDescent="0.25">
      <c r="A2026" s="83">
        <f t="shared" si="52"/>
        <v>53</v>
      </c>
      <c r="B2026" s="89"/>
    </row>
    <row r="2027" spans="1:2" x14ac:dyDescent="0.25">
      <c r="A2027" s="83">
        <f t="shared" si="52"/>
        <v>53</v>
      </c>
      <c r="B2027" s="89"/>
    </row>
    <row r="2028" spans="1:2" x14ac:dyDescent="0.25">
      <c r="A2028" s="83">
        <f t="shared" si="52"/>
        <v>53</v>
      </c>
      <c r="B2028" s="89"/>
    </row>
    <row r="2029" spans="1:2" x14ac:dyDescent="0.25">
      <c r="A2029" s="83">
        <f t="shared" si="52"/>
        <v>53</v>
      </c>
      <c r="B2029" s="89"/>
    </row>
    <row r="2030" spans="1:2" x14ac:dyDescent="0.25">
      <c r="A2030" s="83">
        <f t="shared" si="52"/>
        <v>53</v>
      </c>
      <c r="B2030" s="89"/>
    </row>
    <row r="2031" spans="1:2" x14ac:dyDescent="0.25">
      <c r="A2031" s="83">
        <f t="shared" si="52"/>
        <v>53</v>
      </c>
      <c r="B2031" s="89"/>
    </row>
    <row r="2032" spans="1:2" x14ac:dyDescent="0.25">
      <c r="A2032" s="83">
        <f t="shared" si="52"/>
        <v>53</v>
      </c>
      <c r="B2032" s="89"/>
    </row>
    <row r="2033" spans="1:2" x14ac:dyDescent="0.25">
      <c r="A2033" s="83">
        <f t="shared" si="52"/>
        <v>53</v>
      </c>
      <c r="B2033" s="89"/>
    </row>
    <row r="2034" spans="1:2" x14ac:dyDescent="0.25">
      <c r="A2034" s="83">
        <f t="shared" si="52"/>
        <v>53</v>
      </c>
      <c r="B2034" s="89"/>
    </row>
    <row r="2035" spans="1:2" x14ac:dyDescent="0.25">
      <c r="A2035" s="83">
        <f t="shared" si="52"/>
        <v>53</v>
      </c>
      <c r="B2035" s="89"/>
    </row>
    <row r="2036" spans="1:2" x14ac:dyDescent="0.25">
      <c r="A2036" s="83">
        <f t="shared" si="52"/>
        <v>53</v>
      </c>
      <c r="B2036" s="89"/>
    </row>
    <row r="2037" spans="1:2" x14ac:dyDescent="0.25">
      <c r="A2037" s="83">
        <f t="shared" si="52"/>
        <v>53</v>
      </c>
      <c r="B2037" s="89"/>
    </row>
    <row r="2038" spans="1:2" x14ac:dyDescent="0.25">
      <c r="A2038" s="83">
        <f t="shared" ref="A2038:A2101" si="53">WEEKNUM(B2038,21)</f>
        <v>53</v>
      </c>
      <c r="B2038" s="89"/>
    </row>
    <row r="2039" spans="1:2" x14ac:dyDescent="0.25">
      <c r="A2039" s="83">
        <f t="shared" si="53"/>
        <v>53</v>
      </c>
      <c r="B2039" s="89"/>
    </row>
    <row r="2040" spans="1:2" x14ac:dyDescent="0.25">
      <c r="A2040" s="83">
        <f t="shared" si="53"/>
        <v>53</v>
      </c>
      <c r="B2040" s="89"/>
    </row>
    <row r="2041" spans="1:2" x14ac:dyDescent="0.25">
      <c r="A2041" s="83">
        <f t="shared" si="53"/>
        <v>53</v>
      </c>
      <c r="B2041" s="89"/>
    </row>
    <row r="2042" spans="1:2" x14ac:dyDescent="0.25">
      <c r="A2042" s="83">
        <f t="shared" si="53"/>
        <v>53</v>
      </c>
      <c r="B2042" s="89"/>
    </row>
    <row r="2043" spans="1:2" x14ac:dyDescent="0.25">
      <c r="A2043" s="83">
        <f t="shared" si="53"/>
        <v>53</v>
      </c>
      <c r="B2043" s="89"/>
    </row>
    <row r="2044" spans="1:2" x14ac:dyDescent="0.25">
      <c r="A2044" s="83">
        <f t="shared" si="53"/>
        <v>53</v>
      </c>
      <c r="B2044" s="89"/>
    </row>
    <row r="2045" spans="1:2" x14ac:dyDescent="0.25">
      <c r="A2045" s="83">
        <f t="shared" si="53"/>
        <v>53</v>
      </c>
      <c r="B2045" s="89"/>
    </row>
    <row r="2046" spans="1:2" x14ac:dyDescent="0.25">
      <c r="A2046" s="83">
        <f t="shared" si="53"/>
        <v>53</v>
      </c>
      <c r="B2046" s="89"/>
    </row>
    <row r="2047" spans="1:2" x14ac:dyDescent="0.25">
      <c r="A2047" s="83">
        <f t="shared" si="53"/>
        <v>53</v>
      </c>
      <c r="B2047" s="89"/>
    </row>
    <row r="2048" spans="1:2" x14ac:dyDescent="0.25">
      <c r="A2048" s="83">
        <f t="shared" si="53"/>
        <v>53</v>
      </c>
      <c r="B2048" s="89"/>
    </row>
    <row r="2049" spans="1:2" x14ac:dyDescent="0.25">
      <c r="A2049" s="83">
        <f t="shared" si="53"/>
        <v>53</v>
      </c>
      <c r="B2049" s="89"/>
    </row>
    <row r="2050" spans="1:2" x14ac:dyDescent="0.25">
      <c r="A2050" s="83">
        <f t="shared" si="53"/>
        <v>53</v>
      </c>
      <c r="B2050" s="89"/>
    </row>
    <row r="2051" spans="1:2" x14ac:dyDescent="0.25">
      <c r="A2051" s="83">
        <f t="shared" si="53"/>
        <v>53</v>
      </c>
      <c r="B2051" s="89"/>
    </row>
    <row r="2052" spans="1:2" x14ac:dyDescent="0.25">
      <c r="A2052" s="83">
        <f t="shared" si="53"/>
        <v>53</v>
      </c>
      <c r="B2052" s="89"/>
    </row>
    <row r="2053" spans="1:2" x14ac:dyDescent="0.25">
      <c r="A2053" s="83">
        <f t="shared" si="53"/>
        <v>53</v>
      </c>
      <c r="B2053" s="89"/>
    </row>
    <row r="2054" spans="1:2" x14ac:dyDescent="0.25">
      <c r="A2054" s="83">
        <f t="shared" si="53"/>
        <v>53</v>
      </c>
      <c r="B2054" s="89"/>
    </row>
    <row r="2055" spans="1:2" x14ac:dyDescent="0.25">
      <c r="A2055" s="83">
        <f t="shared" si="53"/>
        <v>53</v>
      </c>
      <c r="B2055" s="89"/>
    </row>
    <row r="2056" spans="1:2" x14ac:dyDescent="0.25">
      <c r="A2056" s="83">
        <f t="shared" si="53"/>
        <v>53</v>
      </c>
      <c r="B2056" s="89"/>
    </row>
    <row r="2057" spans="1:2" x14ac:dyDescent="0.25">
      <c r="A2057" s="83">
        <f t="shared" si="53"/>
        <v>53</v>
      </c>
      <c r="B2057" s="89"/>
    </row>
    <row r="2058" spans="1:2" x14ac:dyDescent="0.25">
      <c r="A2058" s="83">
        <f t="shared" si="53"/>
        <v>53</v>
      </c>
      <c r="B2058" s="89"/>
    </row>
    <row r="2059" spans="1:2" x14ac:dyDescent="0.25">
      <c r="A2059" s="83">
        <f t="shared" si="53"/>
        <v>53</v>
      </c>
      <c r="B2059" s="89"/>
    </row>
    <row r="2060" spans="1:2" x14ac:dyDescent="0.25">
      <c r="A2060" s="83">
        <f t="shared" si="53"/>
        <v>53</v>
      </c>
      <c r="B2060" s="89"/>
    </row>
    <row r="2061" spans="1:2" x14ac:dyDescent="0.25">
      <c r="A2061" s="83">
        <f t="shared" si="53"/>
        <v>53</v>
      </c>
      <c r="B2061" s="89"/>
    </row>
    <row r="2062" spans="1:2" x14ac:dyDescent="0.25">
      <c r="A2062" s="83">
        <f t="shared" si="53"/>
        <v>53</v>
      </c>
      <c r="B2062" s="89"/>
    </row>
    <row r="2063" spans="1:2" x14ac:dyDescent="0.25">
      <c r="A2063" s="83">
        <f t="shared" si="53"/>
        <v>53</v>
      </c>
      <c r="B2063" s="89"/>
    </row>
    <row r="2064" spans="1:2" x14ac:dyDescent="0.25">
      <c r="A2064" s="83">
        <f t="shared" si="53"/>
        <v>53</v>
      </c>
      <c r="B2064" s="89"/>
    </row>
    <row r="2065" spans="1:2" x14ac:dyDescent="0.25">
      <c r="A2065" s="83">
        <f t="shared" si="53"/>
        <v>53</v>
      </c>
      <c r="B2065" s="89"/>
    </row>
    <row r="2066" spans="1:2" x14ac:dyDescent="0.25">
      <c r="A2066" s="83">
        <f t="shared" si="53"/>
        <v>53</v>
      </c>
      <c r="B2066" s="89"/>
    </row>
    <row r="2067" spans="1:2" x14ac:dyDescent="0.25">
      <c r="A2067" s="83">
        <f t="shared" si="53"/>
        <v>53</v>
      </c>
      <c r="B2067" s="89"/>
    </row>
    <row r="2068" spans="1:2" x14ac:dyDescent="0.25">
      <c r="A2068" s="83">
        <f t="shared" si="53"/>
        <v>53</v>
      </c>
      <c r="B2068" s="89"/>
    </row>
    <row r="2069" spans="1:2" x14ac:dyDescent="0.25">
      <c r="A2069" s="83">
        <f t="shared" si="53"/>
        <v>53</v>
      </c>
      <c r="B2069" s="89"/>
    </row>
    <row r="2070" spans="1:2" x14ac:dyDescent="0.25">
      <c r="A2070" s="83">
        <f t="shared" si="53"/>
        <v>53</v>
      </c>
      <c r="B2070" s="89"/>
    </row>
    <row r="2071" spans="1:2" x14ac:dyDescent="0.25">
      <c r="A2071" s="83">
        <f t="shared" si="53"/>
        <v>53</v>
      </c>
      <c r="B2071" s="89"/>
    </row>
    <row r="2072" spans="1:2" x14ac:dyDescent="0.25">
      <c r="A2072" s="83">
        <f t="shared" si="53"/>
        <v>53</v>
      </c>
      <c r="B2072" s="89"/>
    </row>
    <row r="2073" spans="1:2" x14ac:dyDescent="0.25">
      <c r="A2073" s="83">
        <f t="shared" si="53"/>
        <v>53</v>
      </c>
      <c r="B2073" s="89"/>
    </row>
    <row r="2074" spans="1:2" x14ac:dyDescent="0.25">
      <c r="A2074" s="83">
        <f t="shared" si="53"/>
        <v>53</v>
      </c>
      <c r="B2074" s="89"/>
    </row>
    <row r="2075" spans="1:2" x14ac:dyDescent="0.25">
      <c r="A2075" s="83">
        <f t="shared" si="53"/>
        <v>53</v>
      </c>
      <c r="B2075" s="89"/>
    </row>
    <row r="2076" spans="1:2" x14ac:dyDescent="0.25">
      <c r="A2076" s="83">
        <f t="shared" si="53"/>
        <v>53</v>
      </c>
      <c r="B2076" s="89"/>
    </row>
    <row r="2077" spans="1:2" x14ac:dyDescent="0.25">
      <c r="A2077" s="83">
        <f t="shared" si="53"/>
        <v>53</v>
      </c>
      <c r="B2077" s="89"/>
    </row>
    <row r="2078" spans="1:2" x14ac:dyDescent="0.25">
      <c r="A2078" s="83">
        <f t="shared" si="53"/>
        <v>53</v>
      </c>
      <c r="B2078" s="89"/>
    </row>
    <row r="2079" spans="1:2" x14ac:dyDescent="0.25">
      <c r="A2079" s="83">
        <f t="shared" si="53"/>
        <v>53</v>
      </c>
      <c r="B2079" s="89"/>
    </row>
    <row r="2080" spans="1:2" x14ac:dyDescent="0.25">
      <c r="A2080" s="83">
        <f t="shared" si="53"/>
        <v>53</v>
      </c>
      <c r="B2080" s="89"/>
    </row>
    <row r="2081" spans="1:2" x14ac:dyDescent="0.25">
      <c r="A2081" s="83">
        <f t="shared" si="53"/>
        <v>53</v>
      </c>
      <c r="B2081" s="89"/>
    </row>
    <row r="2082" spans="1:2" x14ac:dyDescent="0.25">
      <c r="A2082" s="83">
        <f t="shared" si="53"/>
        <v>53</v>
      </c>
      <c r="B2082" s="89"/>
    </row>
    <row r="2083" spans="1:2" x14ac:dyDescent="0.25">
      <c r="A2083" s="83">
        <f t="shared" si="53"/>
        <v>53</v>
      </c>
      <c r="B2083" s="89"/>
    </row>
    <row r="2084" spans="1:2" x14ac:dyDescent="0.25">
      <c r="A2084" s="83">
        <f t="shared" si="53"/>
        <v>53</v>
      </c>
      <c r="B2084" s="89"/>
    </row>
    <row r="2085" spans="1:2" x14ac:dyDescent="0.25">
      <c r="A2085" s="83">
        <f t="shared" si="53"/>
        <v>53</v>
      </c>
      <c r="B2085" s="89"/>
    </row>
    <row r="2086" spans="1:2" x14ac:dyDescent="0.25">
      <c r="A2086" s="83">
        <f t="shared" si="53"/>
        <v>53</v>
      </c>
      <c r="B2086" s="89"/>
    </row>
    <row r="2087" spans="1:2" x14ac:dyDescent="0.25">
      <c r="A2087" s="83">
        <f t="shared" si="53"/>
        <v>53</v>
      </c>
      <c r="B2087" s="89"/>
    </row>
    <row r="2088" spans="1:2" x14ac:dyDescent="0.25">
      <c r="A2088" s="83">
        <f t="shared" si="53"/>
        <v>53</v>
      </c>
      <c r="B2088" s="89"/>
    </row>
    <row r="2089" spans="1:2" x14ac:dyDescent="0.25">
      <c r="A2089" s="83">
        <f t="shared" si="53"/>
        <v>53</v>
      </c>
      <c r="B2089" s="89"/>
    </row>
    <row r="2090" spans="1:2" x14ac:dyDescent="0.25">
      <c r="A2090" s="83">
        <f t="shared" si="53"/>
        <v>53</v>
      </c>
      <c r="B2090" s="89"/>
    </row>
    <row r="2091" spans="1:2" x14ac:dyDescent="0.25">
      <c r="A2091" s="83">
        <f t="shared" si="53"/>
        <v>53</v>
      </c>
      <c r="B2091" s="89"/>
    </row>
    <row r="2092" spans="1:2" x14ac:dyDescent="0.25">
      <c r="A2092" s="83">
        <f t="shared" si="53"/>
        <v>53</v>
      </c>
      <c r="B2092" s="89"/>
    </row>
    <row r="2093" spans="1:2" x14ac:dyDescent="0.25">
      <c r="A2093" s="83">
        <f t="shared" si="53"/>
        <v>53</v>
      </c>
      <c r="B2093" s="89"/>
    </row>
    <row r="2094" spans="1:2" x14ac:dyDescent="0.25">
      <c r="A2094" s="83">
        <f t="shared" si="53"/>
        <v>53</v>
      </c>
      <c r="B2094" s="89"/>
    </row>
    <row r="2095" spans="1:2" x14ac:dyDescent="0.25">
      <c r="A2095" s="83">
        <f t="shared" si="53"/>
        <v>53</v>
      </c>
      <c r="B2095" s="89"/>
    </row>
    <row r="2096" spans="1:2" x14ac:dyDescent="0.25">
      <c r="A2096" s="83">
        <f t="shared" si="53"/>
        <v>53</v>
      </c>
      <c r="B2096" s="89"/>
    </row>
    <row r="2097" spans="1:2" x14ac:dyDescent="0.25">
      <c r="A2097" s="83">
        <f t="shared" si="53"/>
        <v>53</v>
      </c>
      <c r="B2097" s="89"/>
    </row>
    <row r="2098" spans="1:2" x14ac:dyDescent="0.25">
      <c r="A2098" s="83">
        <f t="shared" si="53"/>
        <v>53</v>
      </c>
      <c r="B2098" s="89"/>
    </row>
    <row r="2099" spans="1:2" x14ac:dyDescent="0.25">
      <c r="A2099" s="83">
        <f t="shared" si="53"/>
        <v>53</v>
      </c>
      <c r="B2099" s="89"/>
    </row>
    <row r="2100" spans="1:2" x14ac:dyDescent="0.25">
      <c r="A2100" s="83">
        <f t="shared" si="53"/>
        <v>53</v>
      </c>
      <c r="B2100" s="89"/>
    </row>
    <row r="2101" spans="1:2" x14ac:dyDescent="0.25">
      <c r="A2101" s="83">
        <f t="shared" si="53"/>
        <v>53</v>
      </c>
      <c r="B2101" s="89"/>
    </row>
    <row r="2102" spans="1:2" x14ac:dyDescent="0.25">
      <c r="A2102" s="83">
        <f t="shared" ref="A2102:A2165" si="54">WEEKNUM(B2102,21)</f>
        <v>53</v>
      </c>
      <c r="B2102" s="89"/>
    </row>
    <row r="2103" spans="1:2" x14ac:dyDescent="0.25">
      <c r="A2103" s="83">
        <f t="shared" si="54"/>
        <v>53</v>
      </c>
      <c r="B2103" s="89"/>
    </row>
    <row r="2104" spans="1:2" x14ac:dyDescent="0.25">
      <c r="A2104" s="83">
        <f t="shared" si="54"/>
        <v>53</v>
      </c>
      <c r="B2104" s="89"/>
    </row>
    <row r="2105" spans="1:2" x14ac:dyDescent="0.25">
      <c r="A2105" s="83">
        <f t="shared" si="54"/>
        <v>53</v>
      </c>
      <c r="B2105" s="89"/>
    </row>
    <row r="2106" spans="1:2" x14ac:dyDescent="0.25">
      <c r="A2106" s="83">
        <f t="shared" si="54"/>
        <v>53</v>
      </c>
      <c r="B2106" s="89"/>
    </row>
    <row r="2107" spans="1:2" x14ac:dyDescent="0.25">
      <c r="A2107" s="83">
        <f t="shared" si="54"/>
        <v>53</v>
      </c>
      <c r="B2107" s="89"/>
    </row>
    <row r="2108" spans="1:2" x14ac:dyDescent="0.25">
      <c r="A2108" s="83">
        <f t="shared" si="54"/>
        <v>53</v>
      </c>
      <c r="B2108" s="89"/>
    </row>
    <row r="2109" spans="1:2" x14ac:dyDescent="0.25">
      <c r="A2109" s="83">
        <f t="shared" si="54"/>
        <v>53</v>
      </c>
      <c r="B2109" s="89"/>
    </row>
    <row r="2110" spans="1:2" x14ac:dyDescent="0.25">
      <c r="A2110" s="83">
        <f t="shared" si="54"/>
        <v>53</v>
      </c>
      <c r="B2110" s="89"/>
    </row>
    <row r="2111" spans="1:2" x14ac:dyDescent="0.25">
      <c r="A2111" s="83">
        <f t="shared" si="54"/>
        <v>53</v>
      </c>
      <c r="B2111" s="89"/>
    </row>
    <row r="2112" spans="1:2" x14ac:dyDescent="0.25">
      <c r="A2112" s="83">
        <f t="shared" si="54"/>
        <v>53</v>
      </c>
      <c r="B2112" s="89"/>
    </row>
    <row r="2113" spans="1:2" x14ac:dyDescent="0.25">
      <c r="A2113" s="83">
        <f t="shared" si="54"/>
        <v>53</v>
      </c>
      <c r="B2113" s="89"/>
    </row>
    <row r="2114" spans="1:2" x14ac:dyDescent="0.25">
      <c r="A2114" s="83">
        <f t="shared" si="54"/>
        <v>53</v>
      </c>
      <c r="B2114" s="89"/>
    </row>
    <row r="2115" spans="1:2" x14ac:dyDescent="0.25">
      <c r="A2115" s="83">
        <f t="shared" si="54"/>
        <v>53</v>
      </c>
      <c r="B2115" s="89"/>
    </row>
    <row r="2116" spans="1:2" x14ac:dyDescent="0.25">
      <c r="A2116" s="83">
        <f t="shared" si="54"/>
        <v>53</v>
      </c>
      <c r="B2116" s="89"/>
    </row>
    <row r="2117" spans="1:2" x14ac:dyDescent="0.25">
      <c r="A2117" s="83">
        <f t="shared" si="54"/>
        <v>53</v>
      </c>
      <c r="B2117" s="89"/>
    </row>
    <row r="2118" spans="1:2" x14ac:dyDescent="0.25">
      <c r="A2118" s="83">
        <f t="shared" si="54"/>
        <v>53</v>
      </c>
      <c r="B2118" s="89"/>
    </row>
    <row r="2119" spans="1:2" x14ac:dyDescent="0.25">
      <c r="A2119" s="83">
        <f t="shared" si="54"/>
        <v>53</v>
      </c>
      <c r="B2119" s="89"/>
    </row>
    <row r="2120" spans="1:2" x14ac:dyDescent="0.25">
      <c r="A2120" s="83">
        <f t="shared" si="54"/>
        <v>53</v>
      </c>
      <c r="B2120" s="89"/>
    </row>
    <row r="2121" spans="1:2" x14ac:dyDescent="0.25">
      <c r="A2121" s="83">
        <f t="shared" si="54"/>
        <v>53</v>
      </c>
      <c r="B2121" s="89"/>
    </row>
    <row r="2122" spans="1:2" x14ac:dyDescent="0.25">
      <c r="A2122" s="83">
        <f t="shared" si="54"/>
        <v>53</v>
      </c>
      <c r="B2122" s="89"/>
    </row>
    <row r="2123" spans="1:2" x14ac:dyDescent="0.25">
      <c r="A2123" s="83">
        <f t="shared" si="54"/>
        <v>53</v>
      </c>
      <c r="B2123" s="89"/>
    </row>
    <row r="2124" spans="1:2" x14ac:dyDescent="0.25">
      <c r="A2124" s="83">
        <f t="shared" si="54"/>
        <v>53</v>
      </c>
      <c r="B2124" s="89"/>
    </row>
    <row r="2125" spans="1:2" x14ac:dyDescent="0.25">
      <c r="A2125" s="83">
        <f t="shared" si="54"/>
        <v>53</v>
      </c>
      <c r="B2125" s="89"/>
    </row>
    <row r="2126" spans="1:2" x14ac:dyDescent="0.25">
      <c r="A2126" s="83">
        <f t="shared" si="54"/>
        <v>53</v>
      </c>
      <c r="B2126" s="89"/>
    </row>
    <row r="2127" spans="1:2" x14ac:dyDescent="0.25">
      <c r="A2127" s="83">
        <f t="shared" si="54"/>
        <v>53</v>
      </c>
      <c r="B2127" s="89"/>
    </row>
    <row r="2128" spans="1:2" x14ac:dyDescent="0.25">
      <c r="A2128" s="83">
        <f t="shared" si="54"/>
        <v>53</v>
      </c>
      <c r="B2128" s="89"/>
    </row>
    <row r="2129" spans="1:2" x14ac:dyDescent="0.25">
      <c r="A2129" s="83">
        <f t="shared" si="54"/>
        <v>53</v>
      </c>
      <c r="B2129" s="89"/>
    </row>
    <row r="2130" spans="1:2" x14ac:dyDescent="0.25">
      <c r="A2130" s="83">
        <f t="shared" si="54"/>
        <v>53</v>
      </c>
      <c r="B2130" s="89"/>
    </row>
    <row r="2131" spans="1:2" x14ac:dyDescent="0.25">
      <c r="A2131" s="83">
        <f t="shared" si="54"/>
        <v>53</v>
      </c>
      <c r="B2131" s="89"/>
    </row>
    <row r="2132" spans="1:2" x14ac:dyDescent="0.25">
      <c r="A2132" s="83">
        <f t="shared" si="54"/>
        <v>53</v>
      </c>
      <c r="B2132" s="89"/>
    </row>
    <row r="2133" spans="1:2" x14ac:dyDescent="0.25">
      <c r="A2133" s="83">
        <f t="shared" si="54"/>
        <v>53</v>
      </c>
      <c r="B2133" s="89"/>
    </row>
    <row r="2134" spans="1:2" x14ac:dyDescent="0.25">
      <c r="A2134" s="83">
        <f t="shared" si="54"/>
        <v>53</v>
      </c>
      <c r="B2134" s="89"/>
    </row>
    <row r="2135" spans="1:2" x14ac:dyDescent="0.25">
      <c r="A2135" s="83">
        <f t="shared" si="54"/>
        <v>53</v>
      </c>
      <c r="B2135" s="89"/>
    </row>
    <row r="2136" spans="1:2" x14ac:dyDescent="0.25">
      <c r="A2136" s="83">
        <f t="shared" si="54"/>
        <v>53</v>
      </c>
      <c r="B2136" s="89"/>
    </row>
    <row r="2137" spans="1:2" x14ac:dyDescent="0.25">
      <c r="A2137" s="83">
        <f t="shared" si="54"/>
        <v>53</v>
      </c>
      <c r="B2137" s="89"/>
    </row>
    <row r="2138" spans="1:2" x14ac:dyDescent="0.25">
      <c r="A2138" s="83">
        <f t="shared" si="54"/>
        <v>53</v>
      </c>
      <c r="B2138" s="89"/>
    </row>
    <row r="2139" spans="1:2" x14ac:dyDescent="0.25">
      <c r="A2139" s="83">
        <f t="shared" si="54"/>
        <v>53</v>
      </c>
      <c r="B2139" s="89"/>
    </row>
    <row r="2140" spans="1:2" x14ac:dyDescent="0.25">
      <c r="A2140" s="83">
        <f t="shared" si="54"/>
        <v>53</v>
      </c>
      <c r="B2140" s="89"/>
    </row>
    <row r="2141" spans="1:2" x14ac:dyDescent="0.25">
      <c r="A2141" s="83">
        <f t="shared" si="54"/>
        <v>53</v>
      </c>
      <c r="B2141" s="89"/>
    </row>
    <row r="2142" spans="1:2" x14ac:dyDescent="0.25">
      <c r="A2142" s="83">
        <f t="shared" si="54"/>
        <v>53</v>
      </c>
      <c r="B2142" s="89"/>
    </row>
    <row r="2143" spans="1:2" x14ac:dyDescent="0.25">
      <c r="A2143" s="83">
        <f t="shared" si="54"/>
        <v>53</v>
      </c>
      <c r="B2143" s="89"/>
    </row>
    <row r="2144" spans="1:2" x14ac:dyDescent="0.25">
      <c r="A2144" s="83">
        <f t="shared" si="54"/>
        <v>53</v>
      </c>
      <c r="B2144" s="89"/>
    </row>
    <row r="2145" spans="1:2" x14ac:dyDescent="0.25">
      <c r="A2145" s="83">
        <f t="shared" si="54"/>
        <v>53</v>
      </c>
      <c r="B2145" s="89"/>
    </row>
    <row r="2146" spans="1:2" x14ac:dyDescent="0.25">
      <c r="A2146" s="83">
        <f t="shared" si="54"/>
        <v>53</v>
      </c>
      <c r="B2146" s="89"/>
    </row>
    <row r="2147" spans="1:2" x14ac:dyDescent="0.25">
      <c r="A2147" s="83">
        <f t="shared" si="54"/>
        <v>53</v>
      </c>
      <c r="B2147" s="89"/>
    </row>
    <row r="2148" spans="1:2" x14ac:dyDescent="0.25">
      <c r="A2148" s="83">
        <f t="shared" si="54"/>
        <v>53</v>
      </c>
      <c r="B2148" s="89"/>
    </row>
    <row r="2149" spans="1:2" x14ac:dyDescent="0.25">
      <c r="A2149" s="83">
        <f t="shared" si="54"/>
        <v>53</v>
      </c>
      <c r="B2149" s="89"/>
    </row>
    <row r="2150" spans="1:2" x14ac:dyDescent="0.25">
      <c r="A2150" s="83">
        <f t="shared" si="54"/>
        <v>53</v>
      </c>
      <c r="B2150" s="89"/>
    </row>
    <row r="2151" spans="1:2" x14ac:dyDescent="0.25">
      <c r="A2151" s="83">
        <f t="shared" si="54"/>
        <v>53</v>
      </c>
      <c r="B2151" s="89"/>
    </row>
    <row r="2152" spans="1:2" x14ac:dyDescent="0.25">
      <c r="A2152" s="83">
        <f t="shared" si="54"/>
        <v>53</v>
      </c>
      <c r="B2152" s="89"/>
    </row>
    <row r="2153" spans="1:2" x14ac:dyDescent="0.25">
      <c r="A2153" s="83">
        <f t="shared" si="54"/>
        <v>53</v>
      </c>
      <c r="B2153" s="89"/>
    </row>
    <row r="2154" spans="1:2" x14ac:dyDescent="0.25">
      <c r="A2154" s="83">
        <f t="shared" si="54"/>
        <v>53</v>
      </c>
      <c r="B2154" s="89"/>
    </row>
    <row r="2155" spans="1:2" x14ac:dyDescent="0.25">
      <c r="A2155" s="83">
        <f t="shared" si="54"/>
        <v>53</v>
      </c>
      <c r="B2155" s="89"/>
    </row>
    <row r="2156" spans="1:2" x14ac:dyDescent="0.25">
      <c r="A2156" s="83">
        <f t="shared" si="54"/>
        <v>53</v>
      </c>
      <c r="B2156" s="89"/>
    </row>
    <row r="2157" spans="1:2" x14ac:dyDescent="0.25">
      <c r="A2157" s="83">
        <f t="shared" si="54"/>
        <v>53</v>
      </c>
      <c r="B2157" s="89"/>
    </row>
    <row r="2158" spans="1:2" x14ac:dyDescent="0.25">
      <c r="A2158" s="83">
        <f t="shared" si="54"/>
        <v>53</v>
      </c>
      <c r="B2158" s="89"/>
    </row>
    <row r="2159" spans="1:2" x14ac:dyDescent="0.25">
      <c r="A2159" s="83">
        <f t="shared" si="54"/>
        <v>53</v>
      </c>
      <c r="B2159" s="89"/>
    </row>
    <row r="2160" spans="1:2" x14ac:dyDescent="0.25">
      <c r="A2160" s="83">
        <f t="shared" si="54"/>
        <v>53</v>
      </c>
      <c r="B2160" s="89"/>
    </row>
    <row r="2161" spans="1:2" x14ac:dyDescent="0.25">
      <c r="A2161" s="83">
        <f t="shared" si="54"/>
        <v>53</v>
      </c>
      <c r="B2161" s="89"/>
    </row>
    <row r="2162" spans="1:2" x14ac:dyDescent="0.25">
      <c r="A2162" s="83">
        <f t="shared" si="54"/>
        <v>53</v>
      </c>
      <c r="B2162" s="89"/>
    </row>
    <row r="2163" spans="1:2" x14ac:dyDescent="0.25">
      <c r="A2163" s="83">
        <f t="shared" si="54"/>
        <v>53</v>
      </c>
      <c r="B2163" s="89"/>
    </row>
    <row r="2164" spans="1:2" x14ac:dyDescent="0.25">
      <c r="A2164" s="83">
        <f t="shared" si="54"/>
        <v>53</v>
      </c>
      <c r="B2164" s="89"/>
    </row>
    <row r="2165" spans="1:2" x14ac:dyDescent="0.25">
      <c r="A2165" s="83">
        <f t="shared" si="54"/>
        <v>53</v>
      </c>
      <c r="B2165" s="89"/>
    </row>
    <row r="2166" spans="1:2" x14ac:dyDescent="0.25">
      <c r="A2166" s="83">
        <f t="shared" ref="A2166:A2229" si="55">WEEKNUM(B2166,21)</f>
        <v>53</v>
      </c>
      <c r="B2166" s="89"/>
    </row>
    <row r="2167" spans="1:2" x14ac:dyDescent="0.25">
      <c r="A2167" s="83">
        <f t="shared" si="55"/>
        <v>53</v>
      </c>
      <c r="B2167" s="89"/>
    </row>
    <row r="2168" spans="1:2" x14ac:dyDescent="0.25">
      <c r="A2168" s="83">
        <f t="shared" si="55"/>
        <v>53</v>
      </c>
      <c r="B2168" s="89"/>
    </row>
    <row r="2169" spans="1:2" x14ac:dyDescent="0.25">
      <c r="A2169" s="83">
        <f t="shared" si="55"/>
        <v>53</v>
      </c>
      <c r="B2169" s="89"/>
    </row>
    <row r="2170" spans="1:2" x14ac:dyDescent="0.25">
      <c r="A2170" s="83">
        <f t="shared" si="55"/>
        <v>53</v>
      </c>
      <c r="B2170" s="89"/>
    </row>
    <row r="2171" spans="1:2" x14ac:dyDescent="0.25">
      <c r="A2171" s="83">
        <f t="shared" si="55"/>
        <v>53</v>
      </c>
      <c r="B2171" s="89"/>
    </row>
    <row r="2172" spans="1:2" x14ac:dyDescent="0.25">
      <c r="A2172" s="83">
        <f t="shared" si="55"/>
        <v>53</v>
      </c>
      <c r="B2172" s="89"/>
    </row>
    <row r="2173" spans="1:2" x14ac:dyDescent="0.25">
      <c r="A2173" s="83">
        <f t="shared" si="55"/>
        <v>53</v>
      </c>
      <c r="B2173" s="89"/>
    </row>
    <row r="2174" spans="1:2" x14ac:dyDescent="0.25">
      <c r="A2174" s="83">
        <f t="shared" si="55"/>
        <v>53</v>
      </c>
      <c r="B2174" s="89"/>
    </row>
    <row r="2175" spans="1:2" x14ac:dyDescent="0.25">
      <c r="A2175" s="83">
        <f t="shared" si="55"/>
        <v>53</v>
      </c>
      <c r="B2175" s="89"/>
    </row>
    <row r="2176" spans="1:2" x14ac:dyDescent="0.25">
      <c r="A2176" s="83">
        <f t="shared" si="55"/>
        <v>53</v>
      </c>
      <c r="B2176" s="89"/>
    </row>
    <row r="2177" spans="1:2" x14ac:dyDescent="0.25">
      <c r="A2177" s="83">
        <f t="shared" si="55"/>
        <v>53</v>
      </c>
      <c r="B2177" s="89"/>
    </row>
    <row r="2178" spans="1:2" x14ac:dyDescent="0.25">
      <c r="A2178" s="83">
        <f t="shared" si="55"/>
        <v>53</v>
      </c>
      <c r="B2178" s="89"/>
    </row>
    <row r="2179" spans="1:2" x14ac:dyDescent="0.25">
      <c r="A2179" s="83">
        <f t="shared" si="55"/>
        <v>53</v>
      </c>
      <c r="B2179" s="89"/>
    </row>
    <row r="2180" spans="1:2" x14ac:dyDescent="0.25">
      <c r="A2180" s="83">
        <f t="shared" si="55"/>
        <v>53</v>
      </c>
      <c r="B2180" s="89"/>
    </row>
    <row r="2181" spans="1:2" x14ac:dyDescent="0.25">
      <c r="A2181" s="83">
        <f t="shared" si="55"/>
        <v>53</v>
      </c>
      <c r="B2181" s="89"/>
    </row>
    <row r="2182" spans="1:2" x14ac:dyDescent="0.25">
      <c r="A2182" s="83">
        <f t="shared" si="55"/>
        <v>53</v>
      </c>
      <c r="B2182" s="89"/>
    </row>
    <row r="2183" spans="1:2" x14ac:dyDescent="0.25">
      <c r="A2183" s="83">
        <f t="shared" si="55"/>
        <v>53</v>
      </c>
      <c r="B2183" s="89"/>
    </row>
    <row r="2184" spans="1:2" x14ac:dyDescent="0.25">
      <c r="A2184" s="83">
        <f t="shared" si="55"/>
        <v>53</v>
      </c>
      <c r="B2184" s="89"/>
    </row>
    <row r="2185" spans="1:2" x14ac:dyDescent="0.25">
      <c r="A2185" s="83">
        <f t="shared" si="55"/>
        <v>53</v>
      </c>
      <c r="B2185" s="89"/>
    </row>
    <row r="2186" spans="1:2" x14ac:dyDescent="0.25">
      <c r="A2186" s="83">
        <f t="shared" si="55"/>
        <v>53</v>
      </c>
      <c r="B2186" s="89"/>
    </row>
    <row r="2187" spans="1:2" x14ac:dyDescent="0.25">
      <c r="A2187" s="83">
        <f t="shared" si="55"/>
        <v>53</v>
      </c>
      <c r="B2187" s="89"/>
    </row>
    <row r="2188" spans="1:2" x14ac:dyDescent="0.25">
      <c r="A2188" s="83">
        <f t="shared" si="55"/>
        <v>53</v>
      </c>
      <c r="B2188" s="89"/>
    </row>
    <row r="2189" spans="1:2" x14ac:dyDescent="0.25">
      <c r="A2189" s="83">
        <f t="shared" si="55"/>
        <v>53</v>
      </c>
      <c r="B2189" s="89"/>
    </row>
    <row r="2190" spans="1:2" x14ac:dyDescent="0.25">
      <c r="A2190" s="83">
        <f t="shared" si="55"/>
        <v>53</v>
      </c>
      <c r="B2190" s="89"/>
    </row>
    <row r="2191" spans="1:2" x14ac:dyDescent="0.25">
      <c r="A2191" s="83">
        <f t="shared" si="55"/>
        <v>53</v>
      </c>
      <c r="B2191" s="89"/>
    </row>
    <row r="2192" spans="1:2" x14ac:dyDescent="0.25">
      <c r="A2192" s="83">
        <f t="shared" si="55"/>
        <v>53</v>
      </c>
      <c r="B2192" s="89"/>
    </row>
    <row r="2193" spans="1:2" x14ac:dyDescent="0.25">
      <c r="A2193" s="83">
        <f t="shared" si="55"/>
        <v>53</v>
      </c>
      <c r="B2193" s="89"/>
    </row>
    <row r="2194" spans="1:2" x14ac:dyDescent="0.25">
      <c r="A2194" s="83">
        <f t="shared" si="55"/>
        <v>53</v>
      </c>
      <c r="B2194" s="89"/>
    </row>
    <row r="2195" spans="1:2" x14ac:dyDescent="0.25">
      <c r="A2195" s="83">
        <f t="shared" si="55"/>
        <v>53</v>
      </c>
      <c r="B2195" s="89"/>
    </row>
    <row r="2196" spans="1:2" x14ac:dyDescent="0.25">
      <c r="A2196" s="83">
        <f t="shared" si="55"/>
        <v>53</v>
      </c>
      <c r="B2196" s="89"/>
    </row>
    <row r="2197" spans="1:2" x14ac:dyDescent="0.25">
      <c r="A2197" s="83">
        <f t="shared" si="55"/>
        <v>53</v>
      </c>
      <c r="B2197" s="89"/>
    </row>
    <row r="2198" spans="1:2" x14ac:dyDescent="0.25">
      <c r="A2198" s="83">
        <f t="shared" si="55"/>
        <v>53</v>
      </c>
      <c r="B2198" s="89"/>
    </row>
    <row r="2199" spans="1:2" x14ac:dyDescent="0.25">
      <c r="A2199" s="83">
        <f t="shared" si="55"/>
        <v>53</v>
      </c>
      <c r="B2199" s="89"/>
    </row>
    <row r="2200" spans="1:2" x14ac:dyDescent="0.25">
      <c r="A2200" s="83">
        <f t="shared" si="55"/>
        <v>53</v>
      </c>
      <c r="B2200" s="89"/>
    </row>
    <row r="2201" spans="1:2" x14ac:dyDescent="0.25">
      <c r="A2201" s="83">
        <f t="shared" si="55"/>
        <v>53</v>
      </c>
      <c r="B2201" s="89"/>
    </row>
    <row r="2202" spans="1:2" x14ac:dyDescent="0.25">
      <c r="A2202" s="83">
        <f t="shared" si="55"/>
        <v>53</v>
      </c>
      <c r="B2202" s="89"/>
    </row>
    <row r="2203" spans="1:2" x14ac:dyDescent="0.25">
      <c r="A2203" s="83">
        <f t="shared" si="55"/>
        <v>53</v>
      </c>
      <c r="B2203" s="89"/>
    </row>
    <row r="2204" spans="1:2" x14ac:dyDescent="0.25">
      <c r="A2204" s="83">
        <f t="shared" si="55"/>
        <v>53</v>
      </c>
      <c r="B2204" s="89"/>
    </row>
    <row r="2205" spans="1:2" x14ac:dyDescent="0.25">
      <c r="A2205" s="83">
        <f t="shared" si="55"/>
        <v>53</v>
      </c>
      <c r="B2205" s="89"/>
    </row>
    <row r="2206" spans="1:2" x14ac:dyDescent="0.25">
      <c r="A2206" s="83">
        <f t="shared" si="55"/>
        <v>53</v>
      </c>
      <c r="B2206" s="89"/>
    </row>
    <row r="2207" spans="1:2" x14ac:dyDescent="0.25">
      <c r="A2207" s="83">
        <f t="shared" si="55"/>
        <v>53</v>
      </c>
      <c r="B2207" s="89"/>
    </row>
    <row r="2208" spans="1:2" x14ac:dyDescent="0.25">
      <c r="A2208" s="83">
        <f t="shared" si="55"/>
        <v>53</v>
      </c>
      <c r="B2208" s="89"/>
    </row>
    <row r="2209" spans="1:2" x14ac:dyDescent="0.25">
      <c r="A2209" s="83">
        <f t="shared" si="55"/>
        <v>53</v>
      </c>
      <c r="B2209" s="89"/>
    </row>
    <row r="2210" spans="1:2" x14ac:dyDescent="0.25">
      <c r="A2210" s="83">
        <f t="shared" si="55"/>
        <v>53</v>
      </c>
      <c r="B2210" s="89"/>
    </row>
    <row r="2211" spans="1:2" x14ac:dyDescent="0.25">
      <c r="A2211" s="83">
        <f t="shared" si="55"/>
        <v>53</v>
      </c>
      <c r="B2211" s="89"/>
    </row>
    <row r="2212" spans="1:2" x14ac:dyDescent="0.25">
      <c r="A2212" s="83">
        <f t="shared" si="55"/>
        <v>53</v>
      </c>
      <c r="B2212" s="89"/>
    </row>
    <row r="2213" spans="1:2" x14ac:dyDescent="0.25">
      <c r="A2213" s="83">
        <f t="shared" si="55"/>
        <v>53</v>
      </c>
      <c r="B2213" s="89"/>
    </row>
    <row r="2214" spans="1:2" x14ac:dyDescent="0.25">
      <c r="A2214" s="83">
        <f t="shared" si="55"/>
        <v>53</v>
      </c>
      <c r="B2214" s="89"/>
    </row>
    <row r="2215" spans="1:2" x14ac:dyDescent="0.25">
      <c r="A2215" s="83">
        <f t="shared" si="55"/>
        <v>53</v>
      </c>
      <c r="B2215" s="89"/>
    </row>
    <row r="2216" spans="1:2" x14ac:dyDescent="0.25">
      <c r="A2216" s="83">
        <f t="shared" si="55"/>
        <v>53</v>
      </c>
      <c r="B2216" s="89"/>
    </row>
    <row r="2217" spans="1:2" x14ac:dyDescent="0.25">
      <c r="A2217" s="83">
        <f t="shared" si="55"/>
        <v>53</v>
      </c>
      <c r="B2217" s="89"/>
    </row>
    <row r="2218" spans="1:2" x14ac:dyDescent="0.25">
      <c r="A2218" s="83">
        <f t="shared" si="55"/>
        <v>53</v>
      </c>
      <c r="B2218" s="89"/>
    </row>
    <row r="2219" spans="1:2" x14ac:dyDescent="0.25">
      <c r="A2219" s="83">
        <f t="shared" si="55"/>
        <v>53</v>
      </c>
      <c r="B2219" s="89"/>
    </row>
    <row r="2220" spans="1:2" x14ac:dyDescent="0.25">
      <c r="A2220" s="83">
        <f t="shared" si="55"/>
        <v>53</v>
      </c>
      <c r="B2220" s="89"/>
    </row>
    <row r="2221" spans="1:2" x14ac:dyDescent="0.25">
      <c r="A2221" s="83">
        <f t="shared" si="55"/>
        <v>53</v>
      </c>
      <c r="B2221" s="89"/>
    </row>
    <row r="2222" spans="1:2" x14ac:dyDescent="0.25">
      <c r="A2222" s="83">
        <f t="shared" si="55"/>
        <v>53</v>
      </c>
      <c r="B2222" s="89"/>
    </row>
    <row r="2223" spans="1:2" x14ac:dyDescent="0.25">
      <c r="A2223" s="83">
        <f t="shared" si="55"/>
        <v>53</v>
      </c>
      <c r="B2223" s="89"/>
    </row>
    <row r="2224" spans="1:2" x14ac:dyDescent="0.25">
      <c r="A2224" s="83">
        <f t="shared" si="55"/>
        <v>53</v>
      </c>
      <c r="B2224" s="89"/>
    </row>
    <row r="2225" spans="1:2" x14ac:dyDescent="0.25">
      <c r="A2225" s="83">
        <f t="shared" si="55"/>
        <v>53</v>
      </c>
      <c r="B2225" s="89"/>
    </row>
    <row r="2226" spans="1:2" x14ac:dyDescent="0.25">
      <c r="A2226" s="83">
        <f t="shared" si="55"/>
        <v>53</v>
      </c>
      <c r="B2226" s="89"/>
    </row>
    <row r="2227" spans="1:2" x14ac:dyDescent="0.25">
      <c r="A2227" s="83">
        <f t="shared" si="55"/>
        <v>53</v>
      </c>
      <c r="B2227" s="89"/>
    </row>
    <row r="2228" spans="1:2" x14ac:dyDescent="0.25">
      <c r="A2228" s="83">
        <f t="shared" si="55"/>
        <v>53</v>
      </c>
      <c r="B2228" s="89"/>
    </row>
    <row r="2229" spans="1:2" x14ac:dyDescent="0.25">
      <c r="A2229" s="83">
        <f t="shared" si="55"/>
        <v>53</v>
      </c>
      <c r="B2229" s="89"/>
    </row>
    <row r="2230" spans="1:2" x14ac:dyDescent="0.25">
      <c r="A2230" s="83">
        <f t="shared" ref="A2230:A2293" si="56">WEEKNUM(B2230,21)</f>
        <v>53</v>
      </c>
      <c r="B2230" s="89"/>
    </row>
    <row r="2231" spans="1:2" x14ac:dyDescent="0.25">
      <c r="A2231" s="83">
        <f t="shared" si="56"/>
        <v>53</v>
      </c>
      <c r="B2231" s="89"/>
    </row>
    <row r="2232" spans="1:2" x14ac:dyDescent="0.25">
      <c r="A2232" s="83">
        <f t="shared" si="56"/>
        <v>53</v>
      </c>
      <c r="B2232" s="89"/>
    </row>
    <row r="2233" spans="1:2" x14ac:dyDescent="0.25">
      <c r="A2233" s="83">
        <f t="shared" si="56"/>
        <v>53</v>
      </c>
      <c r="B2233" s="89"/>
    </row>
    <row r="2234" spans="1:2" x14ac:dyDescent="0.25">
      <c r="A2234" s="83">
        <f t="shared" si="56"/>
        <v>53</v>
      </c>
      <c r="B2234" s="89"/>
    </row>
    <row r="2235" spans="1:2" x14ac:dyDescent="0.25">
      <c r="A2235" s="83">
        <f t="shared" si="56"/>
        <v>53</v>
      </c>
      <c r="B2235" s="89"/>
    </row>
    <row r="2236" spans="1:2" x14ac:dyDescent="0.25">
      <c r="A2236" s="83">
        <f t="shared" si="56"/>
        <v>53</v>
      </c>
      <c r="B2236" s="89"/>
    </row>
    <row r="2237" spans="1:2" x14ac:dyDescent="0.25">
      <c r="A2237" s="83">
        <f t="shared" si="56"/>
        <v>53</v>
      </c>
      <c r="B2237" s="89"/>
    </row>
    <row r="2238" spans="1:2" x14ac:dyDescent="0.25">
      <c r="A2238" s="83">
        <f t="shared" si="56"/>
        <v>53</v>
      </c>
      <c r="B2238" s="89"/>
    </row>
    <row r="2239" spans="1:2" x14ac:dyDescent="0.25">
      <c r="A2239" s="83">
        <f t="shared" si="56"/>
        <v>53</v>
      </c>
      <c r="B2239" s="89"/>
    </row>
    <row r="2240" spans="1:2" x14ac:dyDescent="0.25">
      <c r="A2240" s="83">
        <f t="shared" si="56"/>
        <v>53</v>
      </c>
      <c r="B2240" s="89"/>
    </row>
    <row r="2241" spans="1:2" x14ac:dyDescent="0.25">
      <c r="A2241" s="83">
        <f t="shared" si="56"/>
        <v>53</v>
      </c>
      <c r="B2241" s="89"/>
    </row>
    <row r="2242" spans="1:2" x14ac:dyDescent="0.25">
      <c r="A2242" s="83">
        <f t="shared" si="56"/>
        <v>53</v>
      </c>
      <c r="B2242" s="89"/>
    </row>
    <row r="2243" spans="1:2" x14ac:dyDescent="0.25">
      <c r="A2243" s="83">
        <f t="shared" si="56"/>
        <v>53</v>
      </c>
      <c r="B2243" s="89"/>
    </row>
    <row r="2244" spans="1:2" x14ac:dyDescent="0.25">
      <c r="A2244" s="83">
        <f t="shared" si="56"/>
        <v>53</v>
      </c>
      <c r="B2244" s="89"/>
    </row>
    <row r="2245" spans="1:2" x14ac:dyDescent="0.25">
      <c r="A2245" s="83">
        <f t="shared" si="56"/>
        <v>53</v>
      </c>
      <c r="B2245" s="89"/>
    </row>
    <row r="2246" spans="1:2" x14ac:dyDescent="0.25">
      <c r="A2246" s="83">
        <f t="shared" si="56"/>
        <v>53</v>
      </c>
      <c r="B2246" s="89"/>
    </row>
    <row r="2247" spans="1:2" x14ac:dyDescent="0.25">
      <c r="A2247" s="83">
        <f t="shared" si="56"/>
        <v>53</v>
      </c>
      <c r="B2247" s="89"/>
    </row>
    <row r="2248" spans="1:2" x14ac:dyDescent="0.25">
      <c r="A2248" s="83">
        <f t="shared" si="56"/>
        <v>53</v>
      </c>
      <c r="B2248" s="89"/>
    </row>
    <row r="2249" spans="1:2" x14ac:dyDescent="0.25">
      <c r="A2249" s="83">
        <f t="shared" si="56"/>
        <v>53</v>
      </c>
      <c r="B2249" s="89"/>
    </row>
    <row r="2250" spans="1:2" x14ac:dyDescent="0.25">
      <c r="A2250" s="83">
        <f t="shared" si="56"/>
        <v>53</v>
      </c>
      <c r="B2250" s="89"/>
    </row>
    <row r="2251" spans="1:2" x14ac:dyDescent="0.25">
      <c r="A2251" s="83">
        <f t="shared" si="56"/>
        <v>53</v>
      </c>
      <c r="B2251" s="89"/>
    </row>
    <row r="2252" spans="1:2" x14ac:dyDescent="0.25">
      <c r="A2252" s="83">
        <f t="shared" si="56"/>
        <v>53</v>
      </c>
      <c r="B2252" s="89"/>
    </row>
    <row r="2253" spans="1:2" x14ac:dyDescent="0.25">
      <c r="A2253" s="83">
        <f t="shared" si="56"/>
        <v>53</v>
      </c>
      <c r="B2253" s="89"/>
    </row>
    <row r="2254" spans="1:2" x14ac:dyDescent="0.25">
      <c r="A2254" s="83">
        <f t="shared" si="56"/>
        <v>53</v>
      </c>
      <c r="B2254" s="89"/>
    </row>
    <row r="2255" spans="1:2" x14ac:dyDescent="0.25">
      <c r="A2255" s="83">
        <f t="shared" si="56"/>
        <v>53</v>
      </c>
      <c r="B2255" s="89"/>
    </row>
    <row r="2256" spans="1:2" x14ac:dyDescent="0.25">
      <c r="A2256" s="83">
        <f t="shared" si="56"/>
        <v>53</v>
      </c>
      <c r="B2256" s="89"/>
    </row>
    <row r="2257" spans="1:2" x14ac:dyDescent="0.25">
      <c r="A2257" s="83">
        <f t="shared" si="56"/>
        <v>53</v>
      </c>
      <c r="B2257" s="89"/>
    </row>
    <row r="2258" spans="1:2" x14ac:dyDescent="0.25">
      <c r="A2258" s="83">
        <f t="shared" si="56"/>
        <v>53</v>
      </c>
      <c r="B2258" s="89"/>
    </row>
    <row r="2259" spans="1:2" x14ac:dyDescent="0.25">
      <c r="A2259" s="83">
        <f t="shared" si="56"/>
        <v>53</v>
      </c>
      <c r="B2259" s="89"/>
    </row>
    <row r="2260" spans="1:2" x14ac:dyDescent="0.25">
      <c r="A2260" s="83">
        <f t="shared" si="56"/>
        <v>53</v>
      </c>
      <c r="B2260" s="89"/>
    </row>
    <row r="2261" spans="1:2" x14ac:dyDescent="0.25">
      <c r="A2261" s="83">
        <f t="shared" si="56"/>
        <v>53</v>
      </c>
      <c r="B2261" s="89"/>
    </row>
    <row r="2262" spans="1:2" x14ac:dyDescent="0.25">
      <c r="A2262" s="83">
        <f t="shared" si="56"/>
        <v>53</v>
      </c>
      <c r="B2262" s="89"/>
    </row>
    <row r="2263" spans="1:2" x14ac:dyDescent="0.25">
      <c r="A2263" s="83">
        <f t="shared" si="56"/>
        <v>53</v>
      </c>
      <c r="B2263" s="89"/>
    </row>
    <row r="2264" spans="1:2" x14ac:dyDescent="0.25">
      <c r="A2264" s="83">
        <f t="shared" si="56"/>
        <v>53</v>
      </c>
      <c r="B2264" s="89"/>
    </row>
    <row r="2265" spans="1:2" x14ac:dyDescent="0.25">
      <c r="A2265" s="83">
        <f t="shared" si="56"/>
        <v>53</v>
      </c>
      <c r="B2265" s="89"/>
    </row>
    <row r="2266" spans="1:2" x14ac:dyDescent="0.25">
      <c r="A2266" s="83">
        <f t="shared" si="56"/>
        <v>53</v>
      </c>
      <c r="B2266" s="89"/>
    </row>
    <row r="2267" spans="1:2" x14ac:dyDescent="0.25">
      <c r="A2267" s="83">
        <f t="shared" si="56"/>
        <v>53</v>
      </c>
      <c r="B2267" s="89"/>
    </row>
    <row r="2268" spans="1:2" x14ac:dyDescent="0.25">
      <c r="A2268" s="83">
        <f t="shared" si="56"/>
        <v>53</v>
      </c>
      <c r="B2268" s="89"/>
    </row>
    <row r="2269" spans="1:2" x14ac:dyDescent="0.25">
      <c r="A2269" s="83">
        <f t="shared" si="56"/>
        <v>53</v>
      </c>
      <c r="B2269" s="89"/>
    </row>
    <row r="2270" spans="1:2" x14ac:dyDescent="0.25">
      <c r="A2270" s="83">
        <f t="shared" si="56"/>
        <v>53</v>
      </c>
      <c r="B2270" s="89"/>
    </row>
    <row r="2271" spans="1:2" x14ac:dyDescent="0.25">
      <c r="A2271" s="83">
        <f t="shared" si="56"/>
        <v>53</v>
      </c>
      <c r="B2271" s="89"/>
    </row>
    <row r="2272" spans="1:2" x14ac:dyDescent="0.25">
      <c r="A2272" s="83">
        <f t="shared" si="56"/>
        <v>53</v>
      </c>
      <c r="B2272" s="89"/>
    </row>
    <row r="2273" spans="1:2" x14ac:dyDescent="0.25">
      <c r="A2273" s="83">
        <f t="shared" si="56"/>
        <v>53</v>
      </c>
      <c r="B2273" s="89"/>
    </row>
    <row r="2274" spans="1:2" x14ac:dyDescent="0.25">
      <c r="A2274" s="83">
        <f t="shared" si="56"/>
        <v>53</v>
      </c>
      <c r="B2274" s="89"/>
    </row>
    <row r="2275" spans="1:2" x14ac:dyDescent="0.25">
      <c r="A2275" s="83">
        <f t="shared" si="56"/>
        <v>53</v>
      </c>
      <c r="B2275" s="89"/>
    </row>
    <row r="2276" spans="1:2" x14ac:dyDescent="0.25">
      <c r="A2276" s="83">
        <f t="shared" si="56"/>
        <v>53</v>
      </c>
      <c r="B2276" s="89"/>
    </row>
    <row r="2277" spans="1:2" x14ac:dyDescent="0.25">
      <c r="A2277" s="83">
        <f t="shared" si="56"/>
        <v>53</v>
      </c>
      <c r="B2277" s="89"/>
    </row>
    <row r="2278" spans="1:2" x14ac:dyDescent="0.25">
      <c r="A2278" s="83">
        <f t="shared" si="56"/>
        <v>53</v>
      </c>
      <c r="B2278" s="89"/>
    </row>
    <row r="2279" spans="1:2" x14ac:dyDescent="0.25">
      <c r="A2279" s="83">
        <f t="shared" si="56"/>
        <v>53</v>
      </c>
      <c r="B2279" s="89"/>
    </row>
    <row r="2280" spans="1:2" x14ac:dyDescent="0.25">
      <c r="A2280" s="83">
        <f t="shared" si="56"/>
        <v>53</v>
      </c>
      <c r="B2280" s="89"/>
    </row>
    <row r="2281" spans="1:2" x14ac:dyDescent="0.25">
      <c r="A2281" s="83">
        <f t="shared" si="56"/>
        <v>53</v>
      </c>
      <c r="B2281" s="89"/>
    </row>
    <row r="2282" spans="1:2" x14ac:dyDescent="0.25">
      <c r="A2282" s="83">
        <f t="shared" si="56"/>
        <v>53</v>
      </c>
      <c r="B2282" s="89"/>
    </row>
    <row r="2283" spans="1:2" x14ac:dyDescent="0.25">
      <c r="A2283" s="83">
        <f t="shared" si="56"/>
        <v>53</v>
      </c>
      <c r="B2283" s="89"/>
    </row>
    <row r="2284" spans="1:2" x14ac:dyDescent="0.25">
      <c r="A2284" s="83">
        <f t="shared" si="56"/>
        <v>53</v>
      </c>
      <c r="B2284" s="89"/>
    </row>
    <row r="2285" spans="1:2" x14ac:dyDescent="0.25">
      <c r="A2285" s="83">
        <f t="shared" si="56"/>
        <v>53</v>
      </c>
      <c r="B2285" s="89"/>
    </row>
    <row r="2286" spans="1:2" x14ac:dyDescent="0.25">
      <c r="A2286" s="83">
        <f t="shared" si="56"/>
        <v>53</v>
      </c>
      <c r="B2286" s="89"/>
    </row>
    <row r="2287" spans="1:2" x14ac:dyDescent="0.25">
      <c r="A2287" s="83">
        <f t="shared" si="56"/>
        <v>53</v>
      </c>
      <c r="B2287" s="89"/>
    </row>
    <row r="2288" spans="1:2" x14ac:dyDescent="0.25">
      <c r="A2288" s="83">
        <f t="shared" si="56"/>
        <v>53</v>
      </c>
      <c r="B2288" s="89"/>
    </row>
    <row r="2289" spans="1:2" x14ac:dyDescent="0.25">
      <c r="A2289" s="83">
        <f t="shared" si="56"/>
        <v>53</v>
      </c>
      <c r="B2289" s="89"/>
    </row>
    <row r="2290" spans="1:2" x14ac:dyDescent="0.25">
      <c r="A2290" s="83">
        <f t="shared" si="56"/>
        <v>53</v>
      </c>
      <c r="B2290" s="89"/>
    </row>
    <row r="2291" spans="1:2" x14ac:dyDescent="0.25">
      <c r="A2291" s="83">
        <f t="shared" si="56"/>
        <v>53</v>
      </c>
      <c r="B2291" s="89"/>
    </row>
    <row r="2292" spans="1:2" x14ac:dyDescent="0.25">
      <c r="A2292" s="83">
        <f t="shared" si="56"/>
        <v>53</v>
      </c>
      <c r="B2292" s="89"/>
    </row>
    <row r="2293" spans="1:2" x14ac:dyDescent="0.25">
      <c r="A2293" s="83">
        <f t="shared" si="56"/>
        <v>53</v>
      </c>
      <c r="B2293" s="89"/>
    </row>
    <row r="2294" spans="1:2" x14ac:dyDescent="0.25">
      <c r="A2294" s="83">
        <f t="shared" ref="A2294:A2357" si="57">WEEKNUM(B2294,21)</f>
        <v>53</v>
      </c>
      <c r="B2294" s="89"/>
    </row>
    <row r="2295" spans="1:2" x14ac:dyDescent="0.25">
      <c r="A2295" s="83">
        <f t="shared" si="57"/>
        <v>53</v>
      </c>
      <c r="B2295" s="89"/>
    </row>
    <row r="2296" spans="1:2" x14ac:dyDescent="0.25">
      <c r="A2296" s="83">
        <f t="shared" si="57"/>
        <v>53</v>
      </c>
      <c r="B2296" s="89"/>
    </row>
    <row r="2297" spans="1:2" x14ac:dyDescent="0.25">
      <c r="A2297" s="83">
        <f t="shared" si="57"/>
        <v>53</v>
      </c>
      <c r="B2297" s="89"/>
    </row>
    <row r="2298" spans="1:2" x14ac:dyDescent="0.25">
      <c r="A2298" s="83">
        <f t="shared" si="57"/>
        <v>53</v>
      </c>
      <c r="B2298" s="89"/>
    </row>
    <row r="2299" spans="1:2" x14ac:dyDescent="0.25">
      <c r="A2299" s="83">
        <f t="shared" si="57"/>
        <v>53</v>
      </c>
      <c r="B2299" s="89"/>
    </row>
    <row r="2300" spans="1:2" x14ac:dyDescent="0.25">
      <c r="A2300" s="83">
        <f t="shared" si="57"/>
        <v>53</v>
      </c>
      <c r="B2300" s="89"/>
    </row>
    <row r="2301" spans="1:2" x14ac:dyDescent="0.25">
      <c r="A2301" s="83">
        <f t="shared" si="57"/>
        <v>53</v>
      </c>
      <c r="B2301" s="89"/>
    </row>
    <row r="2302" spans="1:2" x14ac:dyDescent="0.25">
      <c r="A2302" s="83">
        <f t="shared" si="57"/>
        <v>53</v>
      </c>
      <c r="B2302" s="89"/>
    </row>
    <row r="2303" spans="1:2" x14ac:dyDescent="0.25">
      <c r="A2303" s="83">
        <f t="shared" si="57"/>
        <v>53</v>
      </c>
      <c r="B2303" s="89"/>
    </row>
    <row r="2304" spans="1:2" x14ac:dyDescent="0.25">
      <c r="A2304" s="83">
        <f t="shared" si="57"/>
        <v>53</v>
      </c>
      <c r="B2304" s="89"/>
    </row>
    <row r="2305" spans="1:2" x14ac:dyDescent="0.25">
      <c r="A2305" s="83">
        <f t="shared" si="57"/>
        <v>53</v>
      </c>
      <c r="B2305" s="89"/>
    </row>
    <row r="2306" spans="1:2" x14ac:dyDescent="0.25">
      <c r="A2306" s="83">
        <f t="shared" si="57"/>
        <v>53</v>
      </c>
      <c r="B2306" s="89"/>
    </row>
    <row r="2307" spans="1:2" x14ac:dyDescent="0.25">
      <c r="A2307" s="83">
        <f t="shared" si="57"/>
        <v>53</v>
      </c>
      <c r="B2307" s="89"/>
    </row>
    <row r="2308" spans="1:2" x14ac:dyDescent="0.25">
      <c r="A2308" s="83">
        <f t="shared" si="57"/>
        <v>53</v>
      </c>
      <c r="B2308" s="89"/>
    </row>
    <row r="2309" spans="1:2" x14ac:dyDescent="0.25">
      <c r="A2309" s="83">
        <f t="shared" si="57"/>
        <v>53</v>
      </c>
      <c r="B2309" s="89"/>
    </row>
    <row r="2310" spans="1:2" x14ac:dyDescent="0.25">
      <c r="A2310" s="83">
        <f t="shared" si="57"/>
        <v>53</v>
      </c>
      <c r="B2310" s="89"/>
    </row>
    <row r="2311" spans="1:2" x14ac:dyDescent="0.25">
      <c r="A2311" s="83">
        <f t="shared" si="57"/>
        <v>53</v>
      </c>
      <c r="B2311" s="89"/>
    </row>
    <row r="2312" spans="1:2" x14ac:dyDescent="0.25">
      <c r="A2312" s="83">
        <f t="shared" si="57"/>
        <v>53</v>
      </c>
      <c r="B2312" s="89"/>
    </row>
    <row r="2313" spans="1:2" x14ac:dyDescent="0.25">
      <c r="A2313" s="83">
        <f t="shared" si="57"/>
        <v>53</v>
      </c>
      <c r="B2313" s="89"/>
    </row>
    <row r="2314" spans="1:2" x14ac:dyDescent="0.25">
      <c r="A2314" s="83">
        <f t="shared" si="57"/>
        <v>53</v>
      </c>
      <c r="B2314" s="89"/>
    </row>
    <row r="2315" spans="1:2" x14ac:dyDescent="0.25">
      <c r="A2315" s="83">
        <f t="shared" si="57"/>
        <v>53</v>
      </c>
      <c r="B2315" s="89"/>
    </row>
    <row r="2316" spans="1:2" x14ac:dyDescent="0.25">
      <c r="A2316" s="83">
        <f t="shared" si="57"/>
        <v>53</v>
      </c>
      <c r="B2316" s="89"/>
    </row>
    <row r="2317" spans="1:2" x14ac:dyDescent="0.25">
      <c r="A2317" s="83">
        <f t="shared" si="57"/>
        <v>53</v>
      </c>
      <c r="B2317" s="89"/>
    </row>
    <row r="2318" spans="1:2" x14ac:dyDescent="0.25">
      <c r="A2318" s="83">
        <f t="shared" si="57"/>
        <v>53</v>
      </c>
      <c r="B2318" s="89"/>
    </row>
    <row r="2319" spans="1:2" x14ac:dyDescent="0.25">
      <c r="A2319" s="83">
        <f t="shared" si="57"/>
        <v>53</v>
      </c>
      <c r="B2319" s="89"/>
    </row>
    <row r="2320" spans="1:2" x14ac:dyDescent="0.25">
      <c r="A2320" s="83">
        <f t="shared" si="57"/>
        <v>53</v>
      </c>
      <c r="B2320" s="89"/>
    </row>
    <row r="2321" spans="1:2" x14ac:dyDescent="0.25">
      <c r="A2321" s="83">
        <f t="shared" si="57"/>
        <v>53</v>
      </c>
      <c r="B2321" s="89"/>
    </row>
    <row r="2322" spans="1:2" x14ac:dyDescent="0.25">
      <c r="A2322" s="83">
        <f t="shared" si="57"/>
        <v>53</v>
      </c>
      <c r="B2322" s="89"/>
    </row>
    <row r="2323" spans="1:2" x14ac:dyDescent="0.25">
      <c r="A2323" s="83">
        <f t="shared" si="57"/>
        <v>53</v>
      </c>
      <c r="B2323" s="89"/>
    </row>
    <row r="2324" spans="1:2" x14ac:dyDescent="0.25">
      <c r="A2324" s="83">
        <f t="shared" si="57"/>
        <v>53</v>
      </c>
      <c r="B2324" s="89"/>
    </row>
    <row r="2325" spans="1:2" x14ac:dyDescent="0.25">
      <c r="A2325" s="83">
        <f t="shared" si="57"/>
        <v>53</v>
      </c>
      <c r="B2325" s="89"/>
    </row>
    <row r="2326" spans="1:2" x14ac:dyDescent="0.25">
      <c r="A2326" s="83">
        <f t="shared" si="57"/>
        <v>53</v>
      </c>
      <c r="B2326" s="89"/>
    </row>
    <row r="2327" spans="1:2" x14ac:dyDescent="0.25">
      <c r="A2327" s="83">
        <f t="shared" si="57"/>
        <v>53</v>
      </c>
      <c r="B2327" s="89"/>
    </row>
    <row r="2328" spans="1:2" x14ac:dyDescent="0.25">
      <c r="A2328" s="83">
        <f t="shared" si="57"/>
        <v>53</v>
      </c>
      <c r="B2328" s="89"/>
    </row>
    <row r="2329" spans="1:2" x14ac:dyDescent="0.25">
      <c r="A2329" s="83">
        <f t="shared" si="57"/>
        <v>53</v>
      </c>
      <c r="B2329" s="89"/>
    </row>
    <row r="2330" spans="1:2" x14ac:dyDescent="0.25">
      <c r="A2330" s="83">
        <f t="shared" si="57"/>
        <v>53</v>
      </c>
      <c r="B2330" s="89"/>
    </row>
    <row r="2331" spans="1:2" x14ac:dyDescent="0.25">
      <c r="A2331" s="83">
        <f t="shared" si="57"/>
        <v>53</v>
      </c>
      <c r="B2331" s="89"/>
    </row>
    <row r="2332" spans="1:2" x14ac:dyDescent="0.25">
      <c r="A2332" s="83">
        <f t="shared" si="57"/>
        <v>53</v>
      </c>
      <c r="B2332" s="89"/>
    </row>
    <row r="2333" spans="1:2" x14ac:dyDescent="0.25">
      <c r="A2333" s="83">
        <f t="shared" si="57"/>
        <v>53</v>
      </c>
      <c r="B2333" s="89"/>
    </row>
    <row r="2334" spans="1:2" x14ac:dyDescent="0.25">
      <c r="A2334" s="83">
        <f t="shared" si="57"/>
        <v>53</v>
      </c>
      <c r="B2334" s="89"/>
    </row>
    <row r="2335" spans="1:2" x14ac:dyDescent="0.25">
      <c r="A2335" s="83">
        <f t="shared" si="57"/>
        <v>53</v>
      </c>
      <c r="B2335" s="89"/>
    </row>
    <row r="2336" spans="1:2" x14ac:dyDescent="0.25">
      <c r="A2336" s="83">
        <f t="shared" si="57"/>
        <v>53</v>
      </c>
      <c r="B2336" s="89"/>
    </row>
    <row r="2337" spans="1:2" x14ac:dyDescent="0.25">
      <c r="A2337" s="83">
        <f t="shared" si="57"/>
        <v>53</v>
      </c>
      <c r="B2337" s="89"/>
    </row>
    <row r="2338" spans="1:2" x14ac:dyDescent="0.25">
      <c r="A2338" s="83">
        <f t="shared" si="57"/>
        <v>53</v>
      </c>
      <c r="B2338" s="89"/>
    </row>
    <row r="2339" spans="1:2" x14ac:dyDescent="0.25">
      <c r="A2339" s="83">
        <f t="shared" si="57"/>
        <v>53</v>
      </c>
      <c r="B2339" s="89"/>
    </row>
    <row r="2340" spans="1:2" x14ac:dyDescent="0.25">
      <c r="A2340" s="83">
        <f t="shared" si="57"/>
        <v>53</v>
      </c>
      <c r="B2340" s="89"/>
    </row>
    <row r="2341" spans="1:2" x14ac:dyDescent="0.25">
      <c r="A2341" s="83">
        <f t="shared" si="57"/>
        <v>53</v>
      </c>
      <c r="B2341" s="89"/>
    </row>
    <row r="2342" spans="1:2" x14ac:dyDescent="0.25">
      <c r="A2342" s="83">
        <f t="shared" si="57"/>
        <v>53</v>
      </c>
      <c r="B2342" s="89"/>
    </row>
    <row r="2343" spans="1:2" x14ac:dyDescent="0.25">
      <c r="A2343" s="83">
        <f t="shared" si="57"/>
        <v>53</v>
      </c>
      <c r="B2343" s="89"/>
    </row>
    <row r="2344" spans="1:2" x14ac:dyDescent="0.25">
      <c r="A2344" s="83">
        <f t="shared" si="57"/>
        <v>53</v>
      </c>
      <c r="B2344" s="89"/>
    </row>
    <row r="2345" spans="1:2" x14ac:dyDescent="0.25">
      <c r="A2345" s="83">
        <f t="shared" si="57"/>
        <v>53</v>
      </c>
      <c r="B2345" s="89"/>
    </row>
    <row r="2346" spans="1:2" x14ac:dyDescent="0.25">
      <c r="A2346" s="83">
        <f t="shared" si="57"/>
        <v>53</v>
      </c>
      <c r="B2346" s="89"/>
    </row>
    <row r="2347" spans="1:2" x14ac:dyDescent="0.25">
      <c r="A2347" s="83">
        <f t="shared" si="57"/>
        <v>53</v>
      </c>
      <c r="B2347" s="89"/>
    </row>
    <row r="2348" spans="1:2" x14ac:dyDescent="0.25">
      <c r="A2348" s="83">
        <f t="shared" si="57"/>
        <v>53</v>
      </c>
      <c r="B2348" s="89"/>
    </row>
    <row r="2349" spans="1:2" x14ac:dyDescent="0.25">
      <c r="A2349" s="83">
        <f t="shared" si="57"/>
        <v>53</v>
      </c>
      <c r="B2349" s="89"/>
    </row>
    <row r="2350" spans="1:2" x14ac:dyDescent="0.25">
      <c r="A2350" s="83">
        <f t="shared" si="57"/>
        <v>53</v>
      </c>
      <c r="B2350" s="89"/>
    </row>
    <row r="2351" spans="1:2" x14ac:dyDescent="0.25">
      <c r="A2351" s="83">
        <f t="shared" si="57"/>
        <v>53</v>
      </c>
      <c r="B2351" s="89"/>
    </row>
    <row r="2352" spans="1:2" x14ac:dyDescent="0.25">
      <c r="A2352" s="83">
        <f t="shared" si="57"/>
        <v>53</v>
      </c>
      <c r="B2352" s="89"/>
    </row>
    <row r="2353" spans="1:2" x14ac:dyDescent="0.25">
      <c r="A2353" s="83">
        <f t="shared" si="57"/>
        <v>53</v>
      </c>
      <c r="B2353" s="89"/>
    </row>
    <row r="2354" spans="1:2" x14ac:dyDescent="0.25">
      <c r="A2354" s="83">
        <f t="shared" si="57"/>
        <v>53</v>
      </c>
      <c r="B2354" s="89"/>
    </row>
    <row r="2355" spans="1:2" x14ac:dyDescent="0.25">
      <c r="A2355" s="83">
        <f t="shared" si="57"/>
        <v>53</v>
      </c>
      <c r="B2355" s="89"/>
    </row>
    <row r="2356" spans="1:2" x14ac:dyDescent="0.25">
      <c r="A2356" s="83">
        <f t="shared" si="57"/>
        <v>53</v>
      </c>
      <c r="B2356" s="89"/>
    </row>
    <row r="2357" spans="1:2" x14ac:dyDescent="0.25">
      <c r="A2357" s="83">
        <f t="shared" si="57"/>
        <v>53</v>
      </c>
      <c r="B2357" s="89"/>
    </row>
    <row r="2358" spans="1:2" x14ac:dyDescent="0.25">
      <c r="A2358" s="83">
        <f t="shared" ref="A2358:A2421" si="58">WEEKNUM(B2358,21)</f>
        <v>53</v>
      </c>
      <c r="B2358" s="89"/>
    </row>
    <row r="2359" spans="1:2" x14ac:dyDescent="0.25">
      <c r="A2359" s="83">
        <f t="shared" si="58"/>
        <v>53</v>
      </c>
      <c r="B2359" s="89"/>
    </row>
    <row r="2360" spans="1:2" x14ac:dyDescent="0.25">
      <c r="A2360" s="83">
        <f t="shared" si="58"/>
        <v>53</v>
      </c>
      <c r="B2360" s="89"/>
    </row>
    <row r="2361" spans="1:2" x14ac:dyDescent="0.25">
      <c r="A2361" s="83">
        <f t="shared" si="58"/>
        <v>53</v>
      </c>
      <c r="B2361" s="89"/>
    </row>
    <row r="2362" spans="1:2" x14ac:dyDescent="0.25">
      <c r="A2362" s="83">
        <f t="shared" si="58"/>
        <v>53</v>
      </c>
      <c r="B2362" s="89"/>
    </row>
    <row r="2363" spans="1:2" x14ac:dyDescent="0.25">
      <c r="A2363" s="83">
        <f t="shared" si="58"/>
        <v>53</v>
      </c>
      <c r="B2363" s="89"/>
    </row>
    <row r="2364" spans="1:2" x14ac:dyDescent="0.25">
      <c r="A2364" s="83">
        <f t="shared" si="58"/>
        <v>53</v>
      </c>
      <c r="B2364" s="89"/>
    </row>
    <row r="2365" spans="1:2" x14ac:dyDescent="0.25">
      <c r="A2365" s="83">
        <f t="shared" si="58"/>
        <v>53</v>
      </c>
      <c r="B2365" s="89"/>
    </row>
    <row r="2366" spans="1:2" x14ac:dyDescent="0.25">
      <c r="A2366" s="83">
        <f t="shared" si="58"/>
        <v>53</v>
      </c>
      <c r="B2366" s="89"/>
    </row>
    <row r="2367" spans="1:2" x14ac:dyDescent="0.25">
      <c r="A2367" s="83">
        <f t="shared" si="58"/>
        <v>53</v>
      </c>
      <c r="B2367" s="89"/>
    </row>
    <row r="2368" spans="1:2" x14ac:dyDescent="0.25">
      <c r="A2368" s="83">
        <f t="shared" si="58"/>
        <v>53</v>
      </c>
      <c r="B2368" s="89"/>
    </row>
    <row r="2369" spans="1:2" x14ac:dyDescent="0.25">
      <c r="A2369" s="83">
        <f t="shared" si="58"/>
        <v>53</v>
      </c>
      <c r="B2369" s="89"/>
    </row>
    <row r="2370" spans="1:2" x14ac:dyDescent="0.25">
      <c r="A2370" s="83">
        <f t="shared" si="58"/>
        <v>53</v>
      </c>
      <c r="B2370" s="89"/>
    </row>
    <row r="2371" spans="1:2" x14ac:dyDescent="0.25">
      <c r="A2371" s="83">
        <f t="shared" si="58"/>
        <v>53</v>
      </c>
      <c r="B2371" s="89"/>
    </row>
    <row r="2372" spans="1:2" x14ac:dyDescent="0.25">
      <c r="A2372" s="83">
        <f t="shared" si="58"/>
        <v>53</v>
      </c>
      <c r="B2372" s="89"/>
    </row>
    <row r="2373" spans="1:2" x14ac:dyDescent="0.25">
      <c r="A2373" s="83">
        <f t="shared" si="58"/>
        <v>53</v>
      </c>
      <c r="B2373" s="89"/>
    </row>
    <row r="2374" spans="1:2" x14ac:dyDescent="0.25">
      <c r="A2374" s="83">
        <f t="shared" si="58"/>
        <v>53</v>
      </c>
      <c r="B2374" s="89"/>
    </row>
    <row r="2375" spans="1:2" x14ac:dyDescent="0.25">
      <c r="A2375" s="83">
        <f t="shared" si="58"/>
        <v>53</v>
      </c>
      <c r="B2375" s="89"/>
    </row>
    <row r="2376" spans="1:2" x14ac:dyDescent="0.25">
      <c r="A2376" s="83">
        <f t="shared" si="58"/>
        <v>53</v>
      </c>
      <c r="B2376" s="89"/>
    </row>
    <row r="2377" spans="1:2" x14ac:dyDescent="0.25">
      <c r="A2377" s="83">
        <f t="shared" si="58"/>
        <v>53</v>
      </c>
      <c r="B2377" s="89"/>
    </row>
    <row r="2378" spans="1:2" x14ac:dyDescent="0.25">
      <c r="A2378" s="83">
        <f t="shared" si="58"/>
        <v>53</v>
      </c>
      <c r="B2378" s="89"/>
    </row>
    <row r="2379" spans="1:2" x14ac:dyDescent="0.25">
      <c r="A2379" s="83">
        <f t="shared" si="58"/>
        <v>53</v>
      </c>
      <c r="B2379" s="89"/>
    </row>
    <row r="2380" spans="1:2" x14ac:dyDescent="0.25">
      <c r="A2380" s="83">
        <f t="shared" si="58"/>
        <v>53</v>
      </c>
      <c r="B2380" s="89"/>
    </row>
    <row r="2381" spans="1:2" x14ac:dyDescent="0.25">
      <c r="A2381" s="83">
        <f t="shared" si="58"/>
        <v>53</v>
      </c>
      <c r="B2381" s="89"/>
    </row>
    <row r="2382" spans="1:2" x14ac:dyDescent="0.25">
      <c r="A2382" s="83">
        <f t="shared" si="58"/>
        <v>53</v>
      </c>
      <c r="B2382" s="89"/>
    </row>
    <row r="2383" spans="1:2" x14ac:dyDescent="0.25">
      <c r="A2383" s="83">
        <f t="shared" si="58"/>
        <v>53</v>
      </c>
      <c r="B2383" s="89"/>
    </row>
    <row r="2384" spans="1:2" x14ac:dyDescent="0.25">
      <c r="A2384" s="83">
        <f t="shared" si="58"/>
        <v>53</v>
      </c>
      <c r="B2384" s="89"/>
    </row>
    <row r="2385" spans="1:2" x14ac:dyDescent="0.25">
      <c r="A2385" s="83">
        <f t="shared" si="58"/>
        <v>53</v>
      </c>
      <c r="B2385" s="89"/>
    </row>
    <row r="2386" spans="1:2" x14ac:dyDescent="0.25">
      <c r="A2386" s="83">
        <f t="shared" si="58"/>
        <v>53</v>
      </c>
      <c r="B2386" s="89"/>
    </row>
    <row r="2387" spans="1:2" x14ac:dyDescent="0.25">
      <c r="A2387" s="83">
        <f t="shared" si="58"/>
        <v>53</v>
      </c>
      <c r="B2387" s="89"/>
    </row>
    <row r="2388" spans="1:2" x14ac:dyDescent="0.25">
      <c r="A2388" s="83">
        <f t="shared" si="58"/>
        <v>53</v>
      </c>
      <c r="B2388" s="89"/>
    </row>
    <row r="2389" spans="1:2" x14ac:dyDescent="0.25">
      <c r="A2389" s="83">
        <f t="shared" si="58"/>
        <v>53</v>
      </c>
      <c r="B2389" s="89"/>
    </row>
    <row r="2390" spans="1:2" x14ac:dyDescent="0.25">
      <c r="A2390" s="83">
        <f t="shared" si="58"/>
        <v>53</v>
      </c>
      <c r="B2390" s="89"/>
    </row>
    <row r="2391" spans="1:2" x14ac:dyDescent="0.25">
      <c r="A2391" s="83">
        <f t="shared" si="58"/>
        <v>53</v>
      </c>
      <c r="B2391" s="89"/>
    </row>
    <row r="2392" spans="1:2" x14ac:dyDescent="0.25">
      <c r="A2392" s="83">
        <f t="shared" si="58"/>
        <v>53</v>
      </c>
      <c r="B2392" s="89"/>
    </row>
    <row r="2393" spans="1:2" x14ac:dyDescent="0.25">
      <c r="A2393" s="83">
        <f t="shared" si="58"/>
        <v>53</v>
      </c>
      <c r="B2393" s="89"/>
    </row>
    <row r="2394" spans="1:2" x14ac:dyDescent="0.25">
      <c r="A2394" s="83">
        <f t="shared" si="58"/>
        <v>53</v>
      </c>
      <c r="B2394" s="89"/>
    </row>
    <row r="2395" spans="1:2" x14ac:dyDescent="0.25">
      <c r="A2395" s="83">
        <f t="shared" si="58"/>
        <v>53</v>
      </c>
      <c r="B2395" s="89"/>
    </row>
    <row r="2396" spans="1:2" x14ac:dyDescent="0.25">
      <c r="A2396" s="83">
        <f t="shared" si="58"/>
        <v>53</v>
      </c>
      <c r="B2396" s="89"/>
    </row>
    <row r="2397" spans="1:2" x14ac:dyDescent="0.25">
      <c r="A2397" s="83">
        <f t="shared" si="58"/>
        <v>53</v>
      </c>
      <c r="B2397" s="89"/>
    </row>
    <row r="2398" spans="1:2" x14ac:dyDescent="0.25">
      <c r="A2398" s="83">
        <f t="shared" si="58"/>
        <v>53</v>
      </c>
      <c r="B2398" s="89"/>
    </row>
    <row r="2399" spans="1:2" x14ac:dyDescent="0.25">
      <c r="A2399" s="83">
        <f t="shared" si="58"/>
        <v>53</v>
      </c>
      <c r="B2399" s="89"/>
    </row>
    <row r="2400" spans="1:2" x14ac:dyDescent="0.25">
      <c r="A2400" s="83">
        <f t="shared" si="58"/>
        <v>53</v>
      </c>
      <c r="B2400" s="89"/>
    </row>
    <row r="2401" spans="1:2" x14ac:dyDescent="0.25">
      <c r="A2401" s="83">
        <f t="shared" si="58"/>
        <v>53</v>
      </c>
      <c r="B2401" s="89"/>
    </row>
    <row r="2402" spans="1:2" x14ac:dyDescent="0.25">
      <c r="A2402" s="83">
        <f t="shared" si="58"/>
        <v>53</v>
      </c>
      <c r="B2402" s="89"/>
    </row>
    <row r="2403" spans="1:2" x14ac:dyDescent="0.25">
      <c r="A2403" s="83">
        <f t="shared" si="58"/>
        <v>53</v>
      </c>
      <c r="B2403" s="89"/>
    </row>
    <row r="2404" spans="1:2" x14ac:dyDescent="0.25">
      <c r="A2404" s="83">
        <f t="shared" si="58"/>
        <v>53</v>
      </c>
      <c r="B2404" s="89"/>
    </row>
    <row r="2405" spans="1:2" x14ac:dyDescent="0.25">
      <c r="A2405" s="83">
        <f t="shared" si="58"/>
        <v>53</v>
      </c>
      <c r="B2405" s="89"/>
    </row>
    <row r="2406" spans="1:2" x14ac:dyDescent="0.25">
      <c r="A2406" s="83">
        <f t="shared" si="58"/>
        <v>53</v>
      </c>
      <c r="B2406" s="89"/>
    </row>
    <row r="2407" spans="1:2" x14ac:dyDescent="0.25">
      <c r="A2407" s="83">
        <f t="shared" si="58"/>
        <v>53</v>
      </c>
      <c r="B2407" s="89"/>
    </row>
    <row r="2408" spans="1:2" x14ac:dyDescent="0.25">
      <c r="A2408" s="83">
        <f t="shared" si="58"/>
        <v>53</v>
      </c>
      <c r="B2408" s="89"/>
    </row>
    <row r="2409" spans="1:2" x14ac:dyDescent="0.25">
      <c r="A2409" s="83">
        <f t="shared" si="58"/>
        <v>53</v>
      </c>
      <c r="B2409" s="89"/>
    </row>
    <row r="2410" spans="1:2" x14ac:dyDescent="0.25">
      <c r="A2410" s="83">
        <f t="shared" si="58"/>
        <v>53</v>
      </c>
      <c r="B2410" s="89"/>
    </row>
    <row r="2411" spans="1:2" x14ac:dyDescent="0.25">
      <c r="A2411" s="83">
        <f t="shared" si="58"/>
        <v>53</v>
      </c>
      <c r="B2411" s="89"/>
    </row>
    <row r="2412" spans="1:2" x14ac:dyDescent="0.25">
      <c r="A2412" s="83">
        <f t="shared" si="58"/>
        <v>53</v>
      </c>
      <c r="B2412" s="89"/>
    </row>
    <row r="2413" spans="1:2" x14ac:dyDescent="0.25">
      <c r="A2413" s="83">
        <f t="shared" si="58"/>
        <v>53</v>
      </c>
      <c r="B2413" s="89"/>
    </row>
    <row r="2414" spans="1:2" x14ac:dyDescent="0.25">
      <c r="A2414" s="83">
        <f t="shared" si="58"/>
        <v>53</v>
      </c>
      <c r="B2414" s="89"/>
    </row>
    <row r="2415" spans="1:2" x14ac:dyDescent="0.25">
      <c r="A2415" s="83">
        <f t="shared" si="58"/>
        <v>53</v>
      </c>
      <c r="B2415" s="89"/>
    </row>
    <row r="2416" spans="1:2" x14ac:dyDescent="0.25">
      <c r="A2416" s="83">
        <f t="shared" si="58"/>
        <v>53</v>
      </c>
      <c r="B2416" s="89"/>
    </row>
    <row r="2417" spans="1:2" x14ac:dyDescent="0.25">
      <c r="A2417" s="83">
        <f t="shared" si="58"/>
        <v>53</v>
      </c>
      <c r="B2417" s="89"/>
    </row>
    <row r="2418" spans="1:2" x14ac:dyDescent="0.25">
      <c r="A2418" s="83">
        <f t="shared" si="58"/>
        <v>53</v>
      </c>
      <c r="B2418" s="89"/>
    </row>
    <row r="2419" spans="1:2" x14ac:dyDescent="0.25">
      <c r="A2419" s="83">
        <f t="shared" si="58"/>
        <v>53</v>
      </c>
      <c r="B2419" s="89"/>
    </row>
    <row r="2420" spans="1:2" x14ac:dyDescent="0.25">
      <c r="A2420" s="83">
        <f t="shared" si="58"/>
        <v>53</v>
      </c>
      <c r="B2420" s="89"/>
    </row>
    <row r="2421" spans="1:2" x14ac:dyDescent="0.25">
      <c r="A2421" s="83">
        <f t="shared" si="58"/>
        <v>53</v>
      </c>
      <c r="B2421" s="89"/>
    </row>
    <row r="2422" spans="1:2" x14ac:dyDescent="0.25">
      <c r="A2422" s="83">
        <f t="shared" ref="A2422:A2485" si="59">WEEKNUM(B2422,21)</f>
        <v>53</v>
      </c>
      <c r="B2422" s="89"/>
    </row>
    <row r="2423" spans="1:2" x14ac:dyDescent="0.25">
      <c r="A2423" s="83">
        <f t="shared" si="59"/>
        <v>53</v>
      </c>
      <c r="B2423" s="89"/>
    </row>
    <row r="2424" spans="1:2" x14ac:dyDescent="0.25">
      <c r="A2424" s="83">
        <f t="shared" si="59"/>
        <v>53</v>
      </c>
      <c r="B2424" s="89"/>
    </row>
    <row r="2425" spans="1:2" x14ac:dyDescent="0.25">
      <c r="A2425" s="83">
        <f t="shared" si="59"/>
        <v>53</v>
      </c>
      <c r="B2425" s="89"/>
    </row>
    <row r="2426" spans="1:2" x14ac:dyDescent="0.25">
      <c r="A2426" s="83">
        <f t="shared" si="59"/>
        <v>53</v>
      </c>
      <c r="B2426" s="89"/>
    </row>
    <row r="2427" spans="1:2" x14ac:dyDescent="0.25">
      <c r="A2427" s="83">
        <f t="shared" si="59"/>
        <v>53</v>
      </c>
      <c r="B2427" s="89"/>
    </row>
    <row r="2428" spans="1:2" x14ac:dyDescent="0.25">
      <c r="A2428" s="83">
        <f t="shared" si="59"/>
        <v>53</v>
      </c>
      <c r="B2428" s="89"/>
    </row>
    <row r="2429" spans="1:2" x14ac:dyDescent="0.25">
      <c r="A2429" s="83">
        <f t="shared" si="59"/>
        <v>53</v>
      </c>
      <c r="B2429" s="89"/>
    </row>
    <row r="2430" spans="1:2" x14ac:dyDescent="0.25">
      <c r="A2430" s="83">
        <f t="shared" si="59"/>
        <v>53</v>
      </c>
      <c r="B2430" s="89"/>
    </row>
    <row r="2431" spans="1:2" x14ac:dyDescent="0.25">
      <c r="A2431" s="83">
        <f t="shared" si="59"/>
        <v>53</v>
      </c>
      <c r="B2431" s="89"/>
    </row>
    <row r="2432" spans="1:2" x14ac:dyDescent="0.25">
      <c r="A2432" s="83">
        <f t="shared" si="59"/>
        <v>53</v>
      </c>
      <c r="B2432" s="89"/>
    </row>
    <row r="2433" spans="1:2" x14ac:dyDescent="0.25">
      <c r="A2433" s="83">
        <f t="shared" si="59"/>
        <v>53</v>
      </c>
      <c r="B2433" s="89"/>
    </row>
    <row r="2434" spans="1:2" x14ac:dyDescent="0.25">
      <c r="A2434" s="83">
        <f t="shared" si="59"/>
        <v>53</v>
      </c>
      <c r="B2434" s="89"/>
    </row>
    <row r="2435" spans="1:2" x14ac:dyDescent="0.25">
      <c r="A2435" s="83">
        <f t="shared" si="59"/>
        <v>53</v>
      </c>
      <c r="B2435" s="89"/>
    </row>
    <row r="2436" spans="1:2" x14ac:dyDescent="0.25">
      <c r="A2436" s="83">
        <f t="shared" si="59"/>
        <v>53</v>
      </c>
      <c r="B2436" s="89"/>
    </row>
    <row r="2437" spans="1:2" x14ac:dyDescent="0.25">
      <c r="A2437" s="83">
        <f t="shared" si="59"/>
        <v>53</v>
      </c>
      <c r="B2437" s="89"/>
    </row>
    <row r="2438" spans="1:2" x14ac:dyDescent="0.25">
      <c r="A2438" s="83">
        <f t="shared" si="59"/>
        <v>53</v>
      </c>
      <c r="B2438" s="89"/>
    </row>
    <row r="2439" spans="1:2" x14ac:dyDescent="0.25">
      <c r="A2439" s="83">
        <f t="shared" si="59"/>
        <v>53</v>
      </c>
      <c r="B2439" s="89"/>
    </row>
    <row r="2440" spans="1:2" x14ac:dyDescent="0.25">
      <c r="A2440" s="83">
        <f t="shared" si="59"/>
        <v>53</v>
      </c>
      <c r="B2440" s="89"/>
    </row>
    <row r="2441" spans="1:2" x14ac:dyDescent="0.25">
      <c r="A2441" s="83">
        <f t="shared" si="59"/>
        <v>53</v>
      </c>
      <c r="B2441" s="89"/>
    </row>
    <row r="2442" spans="1:2" x14ac:dyDescent="0.25">
      <c r="A2442" s="83">
        <f t="shared" si="59"/>
        <v>53</v>
      </c>
      <c r="B2442" s="89"/>
    </row>
    <row r="2443" spans="1:2" x14ac:dyDescent="0.25">
      <c r="A2443" s="83">
        <f t="shared" si="59"/>
        <v>53</v>
      </c>
      <c r="B2443" s="89"/>
    </row>
    <row r="2444" spans="1:2" x14ac:dyDescent="0.25">
      <c r="A2444" s="83">
        <f t="shared" si="59"/>
        <v>53</v>
      </c>
      <c r="B2444" s="89"/>
    </row>
    <row r="2445" spans="1:2" x14ac:dyDescent="0.25">
      <c r="A2445" s="83">
        <f t="shared" si="59"/>
        <v>53</v>
      </c>
      <c r="B2445" s="89"/>
    </row>
    <row r="2446" spans="1:2" x14ac:dyDescent="0.25">
      <c r="A2446" s="83">
        <f t="shared" si="59"/>
        <v>53</v>
      </c>
      <c r="B2446" s="89"/>
    </row>
    <row r="2447" spans="1:2" x14ac:dyDescent="0.25">
      <c r="A2447" s="83">
        <f t="shared" si="59"/>
        <v>53</v>
      </c>
      <c r="B2447" s="89"/>
    </row>
    <row r="2448" spans="1:2" x14ac:dyDescent="0.25">
      <c r="A2448" s="83">
        <f t="shared" si="59"/>
        <v>53</v>
      </c>
      <c r="B2448" s="89"/>
    </row>
    <row r="2449" spans="1:2" x14ac:dyDescent="0.25">
      <c r="A2449" s="83">
        <f t="shared" si="59"/>
        <v>53</v>
      </c>
      <c r="B2449" s="89"/>
    </row>
    <row r="2450" spans="1:2" x14ac:dyDescent="0.25">
      <c r="A2450" s="83">
        <f t="shared" si="59"/>
        <v>53</v>
      </c>
      <c r="B2450" s="89"/>
    </row>
    <row r="2451" spans="1:2" x14ac:dyDescent="0.25">
      <c r="A2451" s="83">
        <f t="shared" si="59"/>
        <v>53</v>
      </c>
      <c r="B2451" s="89"/>
    </row>
    <row r="2452" spans="1:2" x14ac:dyDescent="0.25">
      <c r="A2452" s="83">
        <f t="shared" si="59"/>
        <v>53</v>
      </c>
      <c r="B2452" s="89"/>
    </row>
    <row r="2453" spans="1:2" x14ac:dyDescent="0.25">
      <c r="A2453" s="83">
        <f t="shared" si="59"/>
        <v>53</v>
      </c>
      <c r="B2453" s="89"/>
    </row>
    <row r="2454" spans="1:2" x14ac:dyDescent="0.25">
      <c r="A2454" s="83">
        <f t="shared" si="59"/>
        <v>53</v>
      </c>
      <c r="B2454" s="89"/>
    </row>
    <row r="2455" spans="1:2" x14ac:dyDescent="0.25">
      <c r="A2455" s="83">
        <f t="shared" si="59"/>
        <v>53</v>
      </c>
      <c r="B2455" s="89"/>
    </row>
    <row r="2456" spans="1:2" x14ac:dyDescent="0.25">
      <c r="A2456" s="83">
        <f t="shared" si="59"/>
        <v>53</v>
      </c>
      <c r="B2456" s="89"/>
    </row>
    <row r="2457" spans="1:2" x14ac:dyDescent="0.25">
      <c r="A2457" s="83">
        <f t="shared" si="59"/>
        <v>53</v>
      </c>
      <c r="B2457" s="89"/>
    </row>
    <row r="2458" spans="1:2" x14ac:dyDescent="0.25">
      <c r="A2458" s="83">
        <f t="shared" si="59"/>
        <v>53</v>
      </c>
      <c r="B2458" s="89"/>
    </row>
    <row r="2459" spans="1:2" x14ac:dyDescent="0.25">
      <c r="A2459" s="83">
        <f t="shared" si="59"/>
        <v>53</v>
      </c>
      <c r="B2459" s="89"/>
    </row>
    <row r="2460" spans="1:2" x14ac:dyDescent="0.25">
      <c r="A2460" s="83">
        <f t="shared" si="59"/>
        <v>53</v>
      </c>
      <c r="B2460" s="89"/>
    </row>
    <row r="2461" spans="1:2" x14ac:dyDescent="0.25">
      <c r="A2461" s="83">
        <f t="shared" si="59"/>
        <v>53</v>
      </c>
      <c r="B2461" s="89"/>
    </row>
    <row r="2462" spans="1:2" x14ac:dyDescent="0.25">
      <c r="A2462" s="83">
        <f t="shared" si="59"/>
        <v>53</v>
      </c>
      <c r="B2462" s="89"/>
    </row>
    <row r="2463" spans="1:2" x14ac:dyDescent="0.25">
      <c r="A2463" s="83">
        <f t="shared" si="59"/>
        <v>53</v>
      </c>
      <c r="B2463" s="89"/>
    </row>
    <row r="2464" spans="1:2" x14ac:dyDescent="0.25">
      <c r="A2464" s="83">
        <f t="shared" si="59"/>
        <v>53</v>
      </c>
      <c r="B2464" s="89"/>
    </row>
    <row r="2465" spans="1:2" x14ac:dyDescent="0.25">
      <c r="A2465" s="83">
        <f t="shared" si="59"/>
        <v>53</v>
      </c>
      <c r="B2465" s="89"/>
    </row>
    <row r="2466" spans="1:2" x14ac:dyDescent="0.25">
      <c r="A2466" s="83">
        <f t="shared" si="59"/>
        <v>53</v>
      </c>
      <c r="B2466" s="89"/>
    </row>
    <row r="2467" spans="1:2" x14ac:dyDescent="0.25">
      <c r="A2467" s="83">
        <f t="shared" si="59"/>
        <v>53</v>
      </c>
      <c r="B2467" s="89"/>
    </row>
    <row r="2468" spans="1:2" x14ac:dyDescent="0.25">
      <c r="A2468" s="83">
        <f t="shared" si="59"/>
        <v>53</v>
      </c>
      <c r="B2468" s="89"/>
    </row>
    <row r="2469" spans="1:2" x14ac:dyDescent="0.25">
      <c r="A2469" s="83">
        <f t="shared" si="59"/>
        <v>53</v>
      </c>
      <c r="B2469" s="89"/>
    </row>
    <row r="2470" spans="1:2" x14ac:dyDescent="0.25">
      <c r="A2470" s="83">
        <f t="shared" si="59"/>
        <v>53</v>
      </c>
      <c r="B2470" s="89"/>
    </row>
    <row r="2471" spans="1:2" x14ac:dyDescent="0.25">
      <c r="A2471" s="83">
        <f t="shared" si="59"/>
        <v>53</v>
      </c>
      <c r="B2471" s="89"/>
    </row>
    <row r="2472" spans="1:2" x14ac:dyDescent="0.25">
      <c r="A2472" s="83">
        <f t="shared" si="59"/>
        <v>53</v>
      </c>
      <c r="B2472" s="89"/>
    </row>
    <row r="2473" spans="1:2" x14ac:dyDescent="0.25">
      <c r="A2473" s="83">
        <f t="shared" si="59"/>
        <v>53</v>
      </c>
      <c r="B2473" s="89"/>
    </row>
    <row r="2474" spans="1:2" x14ac:dyDescent="0.25">
      <c r="A2474" s="83">
        <f t="shared" si="59"/>
        <v>53</v>
      </c>
      <c r="B2474" s="89"/>
    </row>
    <row r="2475" spans="1:2" x14ac:dyDescent="0.25">
      <c r="A2475" s="83">
        <f t="shared" si="59"/>
        <v>53</v>
      </c>
      <c r="B2475" s="89"/>
    </row>
    <row r="2476" spans="1:2" x14ac:dyDescent="0.25">
      <c r="A2476" s="83">
        <f t="shared" si="59"/>
        <v>53</v>
      </c>
      <c r="B2476" s="89"/>
    </row>
    <row r="2477" spans="1:2" x14ac:dyDescent="0.25">
      <c r="A2477" s="83">
        <f t="shared" si="59"/>
        <v>53</v>
      </c>
      <c r="B2477" s="89"/>
    </row>
    <row r="2478" spans="1:2" x14ac:dyDescent="0.25">
      <c r="A2478" s="83">
        <f t="shared" si="59"/>
        <v>53</v>
      </c>
      <c r="B2478" s="89"/>
    </row>
    <row r="2479" spans="1:2" x14ac:dyDescent="0.25">
      <c r="A2479" s="83">
        <f t="shared" si="59"/>
        <v>53</v>
      </c>
      <c r="B2479" s="89"/>
    </row>
    <row r="2480" spans="1:2" x14ac:dyDescent="0.25">
      <c r="A2480" s="83">
        <f t="shared" si="59"/>
        <v>53</v>
      </c>
      <c r="B2480" s="89"/>
    </row>
    <row r="2481" spans="1:2" x14ac:dyDescent="0.25">
      <c r="A2481" s="83">
        <f t="shared" si="59"/>
        <v>53</v>
      </c>
      <c r="B2481" s="89"/>
    </row>
    <row r="2482" spans="1:2" x14ac:dyDescent="0.25">
      <c r="A2482" s="83">
        <f t="shared" si="59"/>
        <v>53</v>
      </c>
      <c r="B2482" s="89"/>
    </row>
    <row r="2483" spans="1:2" x14ac:dyDescent="0.25">
      <c r="A2483" s="83">
        <f t="shared" si="59"/>
        <v>53</v>
      </c>
      <c r="B2483" s="89"/>
    </row>
    <row r="2484" spans="1:2" x14ac:dyDescent="0.25">
      <c r="A2484" s="83">
        <f t="shared" si="59"/>
        <v>53</v>
      </c>
      <c r="B2484" s="89"/>
    </row>
    <row r="2485" spans="1:2" x14ac:dyDescent="0.25">
      <c r="A2485" s="83">
        <f t="shared" si="59"/>
        <v>53</v>
      </c>
      <c r="B2485" s="89"/>
    </row>
    <row r="2486" spans="1:2" x14ac:dyDescent="0.25">
      <c r="A2486" s="83">
        <f t="shared" ref="A2486:A2549" si="60">WEEKNUM(B2486,21)</f>
        <v>53</v>
      </c>
      <c r="B2486" s="89"/>
    </row>
    <row r="2487" spans="1:2" x14ac:dyDescent="0.25">
      <c r="A2487" s="83">
        <f t="shared" si="60"/>
        <v>53</v>
      </c>
      <c r="B2487" s="89"/>
    </row>
    <row r="2488" spans="1:2" x14ac:dyDescent="0.25">
      <c r="A2488" s="83">
        <f t="shared" si="60"/>
        <v>53</v>
      </c>
      <c r="B2488" s="89"/>
    </row>
    <row r="2489" spans="1:2" x14ac:dyDescent="0.25">
      <c r="A2489" s="83">
        <f t="shared" si="60"/>
        <v>53</v>
      </c>
      <c r="B2489" s="89"/>
    </row>
    <row r="2490" spans="1:2" x14ac:dyDescent="0.25">
      <c r="A2490" s="83">
        <f t="shared" si="60"/>
        <v>53</v>
      </c>
      <c r="B2490" s="89"/>
    </row>
    <row r="2491" spans="1:2" x14ac:dyDescent="0.25">
      <c r="A2491" s="83">
        <f t="shared" si="60"/>
        <v>53</v>
      </c>
      <c r="B2491" s="89"/>
    </row>
    <row r="2492" spans="1:2" x14ac:dyDescent="0.25">
      <c r="A2492" s="83">
        <f t="shared" si="60"/>
        <v>53</v>
      </c>
      <c r="B2492" s="89"/>
    </row>
    <row r="2493" spans="1:2" x14ac:dyDescent="0.25">
      <c r="A2493" s="83">
        <f t="shared" si="60"/>
        <v>53</v>
      </c>
      <c r="B2493" s="89"/>
    </row>
    <row r="2494" spans="1:2" x14ac:dyDescent="0.25">
      <c r="A2494" s="83">
        <f t="shared" si="60"/>
        <v>53</v>
      </c>
      <c r="B2494" s="89"/>
    </row>
    <row r="2495" spans="1:2" x14ac:dyDescent="0.25">
      <c r="A2495" s="83">
        <f t="shared" si="60"/>
        <v>53</v>
      </c>
      <c r="B2495" s="89"/>
    </row>
    <row r="2496" spans="1:2" x14ac:dyDescent="0.25">
      <c r="A2496" s="83">
        <f t="shared" si="60"/>
        <v>53</v>
      </c>
      <c r="B2496" s="89"/>
    </row>
    <row r="2497" spans="1:2" x14ac:dyDescent="0.25">
      <c r="A2497" s="83">
        <f t="shared" si="60"/>
        <v>53</v>
      </c>
      <c r="B2497" s="89"/>
    </row>
    <row r="2498" spans="1:2" x14ac:dyDescent="0.25">
      <c r="A2498" s="83">
        <f t="shared" si="60"/>
        <v>53</v>
      </c>
      <c r="B2498" s="89"/>
    </row>
    <row r="2499" spans="1:2" x14ac:dyDescent="0.25">
      <c r="A2499" s="83">
        <f t="shared" si="60"/>
        <v>53</v>
      </c>
      <c r="B2499" s="89"/>
    </row>
    <row r="2500" spans="1:2" x14ac:dyDescent="0.25">
      <c r="A2500" s="83">
        <f t="shared" si="60"/>
        <v>53</v>
      </c>
      <c r="B2500" s="89"/>
    </row>
    <row r="2501" spans="1:2" x14ac:dyDescent="0.25">
      <c r="A2501" s="83">
        <f t="shared" si="60"/>
        <v>53</v>
      </c>
      <c r="B2501" s="89"/>
    </row>
    <row r="2502" spans="1:2" x14ac:dyDescent="0.25">
      <c r="A2502" s="83">
        <f t="shared" si="60"/>
        <v>53</v>
      </c>
      <c r="B2502" s="89"/>
    </row>
    <row r="2503" spans="1:2" x14ac:dyDescent="0.25">
      <c r="A2503" s="83">
        <f t="shared" si="60"/>
        <v>53</v>
      </c>
      <c r="B2503" s="89"/>
    </row>
    <row r="2504" spans="1:2" x14ac:dyDescent="0.25">
      <c r="A2504" s="83">
        <f t="shared" si="60"/>
        <v>53</v>
      </c>
      <c r="B2504" s="89"/>
    </row>
    <row r="2505" spans="1:2" x14ac:dyDescent="0.25">
      <c r="A2505" s="83">
        <f t="shared" si="60"/>
        <v>53</v>
      </c>
      <c r="B2505" s="89"/>
    </row>
    <row r="2506" spans="1:2" x14ac:dyDescent="0.25">
      <c r="A2506" s="83">
        <f t="shared" si="60"/>
        <v>53</v>
      </c>
      <c r="B2506" s="89"/>
    </row>
    <row r="2507" spans="1:2" x14ac:dyDescent="0.25">
      <c r="A2507" s="83">
        <f t="shared" si="60"/>
        <v>53</v>
      </c>
      <c r="B2507" s="89"/>
    </row>
    <row r="2508" spans="1:2" x14ac:dyDescent="0.25">
      <c r="A2508" s="83">
        <f t="shared" si="60"/>
        <v>53</v>
      </c>
      <c r="B2508" s="89"/>
    </row>
    <row r="2509" spans="1:2" x14ac:dyDescent="0.25">
      <c r="A2509" s="83">
        <f t="shared" si="60"/>
        <v>53</v>
      </c>
      <c r="B2509" s="89"/>
    </row>
    <row r="2510" spans="1:2" x14ac:dyDescent="0.25">
      <c r="A2510" s="83">
        <f t="shared" si="60"/>
        <v>53</v>
      </c>
      <c r="B2510" s="89"/>
    </row>
    <row r="2511" spans="1:2" x14ac:dyDescent="0.25">
      <c r="A2511" s="83">
        <f t="shared" si="60"/>
        <v>53</v>
      </c>
      <c r="B2511" s="89"/>
    </row>
    <row r="2512" spans="1:2" x14ac:dyDescent="0.25">
      <c r="A2512" s="83">
        <f t="shared" si="60"/>
        <v>53</v>
      </c>
      <c r="B2512" s="89"/>
    </row>
    <row r="2513" spans="1:2" x14ac:dyDescent="0.25">
      <c r="A2513" s="83">
        <f t="shared" si="60"/>
        <v>53</v>
      </c>
      <c r="B2513" s="89"/>
    </row>
    <row r="2514" spans="1:2" x14ac:dyDescent="0.25">
      <c r="A2514" s="83">
        <f t="shared" si="60"/>
        <v>53</v>
      </c>
      <c r="B2514" s="89"/>
    </row>
    <row r="2515" spans="1:2" x14ac:dyDescent="0.25">
      <c r="A2515" s="83">
        <f t="shared" si="60"/>
        <v>53</v>
      </c>
      <c r="B2515" s="89"/>
    </row>
    <row r="2516" spans="1:2" x14ac:dyDescent="0.25">
      <c r="A2516" s="83">
        <f t="shared" si="60"/>
        <v>53</v>
      </c>
      <c r="B2516" s="89"/>
    </row>
    <row r="2517" spans="1:2" x14ac:dyDescent="0.25">
      <c r="A2517" s="83">
        <f t="shared" si="60"/>
        <v>53</v>
      </c>
      <c r="B2517" s="89"/>
    </row>
    <row r="2518" spans="1:2" x14ac:dyDescent="0.25">
      <c r="A2518" s="83">
        <f t="shared" si="60"/>
        <v>53</v>
      </c>
      <c r="B2518" s="89"/>
    </row>
    <row r="2519" spans="1:2" x14ac:dyDescent="0.25">
      <c r="A2519" s="83">
        <f t="shared" si="60"/>
        <v>53</v>
      </c>
      <c r="B2519" s="89"/>
    </row>
    <row r="2520" spans="1:2" x14ac:dyDescent="0.25">
      <c r="A2520" s="83">
        <f t="shared" si="60"/>
        <v>53</v>
      </c>
      <c r="B2520" s="89"/>
    </row>
    <row r="2521" spans="1:2" x14ac:dyDescent="0.25">
      <c r="A2521" s="83">
        <f t="shared" si="60"/>
        <v>53</v>
      </c>
      <c r="B2521" s="89"/>
    </row>
    <row r="2522" spans="1:2" x14ac:dyDescent="0.25">
      <c r="A2522" s="83">
        <f t="shared" si="60"/>
        <v>53</v>
      </c>
      <c r="B2522" s="89"/>
    </row>
    <row r="2523" spans="1:2" x14ac:dyDescent="0.25">
      <c r="A2523" s="83">
        <f t="shared" si="60"/>
        <v>53</v>
      </c>
      <c r="B2523" s="89"/>
    </row>
    <row r="2524" spans="1:2" x14ac:dyDescent="0.25">
      <c r="A2524" s="83">
        <f t="shared" si="60"/>
        <v>53</v>
      </c>
      <c r="B2524" s="89"/>
    </row>
    <row r="2525" spans="1:2" x14ac:dyDescent="0.25">
      <c r="A2525" s="83">
        <f t="shared" si="60"/>
        <v>53</v>
      </c>
      <c r="B2525" s="89"/>
    </row>
    <row r="2526" spans="1:2" x14ac:dyDescent="0.25">
      <c r="A2526" s="83">
        <f t="shared" si="60"/>
        <v>53</v>
      </c>
      <c r="B2526" s="89"/>
    </row>
    <row r="2527" spans="1:2" x14ac:dyDescent="0.25">
      <c r="A2527" s="83">
        <f t="shared" si="60"/>
        <v>53</v>
      </c>
      <c r="B2527" s="89"/>
    </row>
    <row r="2528" spans="1:2" x14ac:dyDescent="0.25">
      <c r="A2528" s="83">
        <f t="shared" si="60"/>
        <v>53</v>
      </c>
      <c r="B2528" s="89"/>
    </row>
    <row r="2529" spans="1:2" x14ac:dyDescent="0.25">
      <c r="A2529" s="83">
        <f t="shared" si="60"/>
        <v>53</v>
      </c>
      <c r="B2529" s="89"/>
    </row>
    <row r="2530" spans="1:2" x14ac:dyDescent="0.25">
      <c r="A2530" s="83">
        <f t="shared" si="60"/>
        <v>53</v>
      </c>
      <c r="B2530" s="89"/>
    </row>
    <row r="2531" spans="1:2" x14ac:dyDescent="0.25">
      <c r="A2531" s="83">
        <f t="shared" si="60"/>
        <v>53</v>
      </c>
      <c r="B2531" s="89"/>
    </row>
    <row r="2532" spans="1:2" x14ac:dyDescent="0.25">
      <c r="A2532" s="83">
        <f t="shared" si="60"/>
        <v>53</v>
      </c>
      <c r="B2532" s="89"/>
    </row>
    <row r="2533" spans="1:2" x14ac:dyDescent="0.25">
      <c r="A2533" s="83">
        <f t="shared" si="60"/>
        <v>53</v>
      </c>
      <c r="B2533" s="89"/>
    </row>
    <row r="2534" spans="1:2" x14ac:dyDescent="0.25">
      <c r="A2534" s="83">
        <f t="shared" si="60"/>
        <v>53</v>
      </c>
      <c r="B2534" s="89"/>
    </row>
    <row r="2535" spans="1:2" x14ac:dyDescent="0.25">
      <c r="A2535" s="83">
        <f t="shared" si="60"/>
        <v>53</v>
      </c>
      <c r="B2535" s="89"/>
    </row>
    <row r="2536" spans="1:2" x14ac:dyDescent="0.25">
      <c r="A2536" s="83">
        <f t="shared" si="60"/>
        <v>53</v>
      </c>
      <c r="B2536" s="89"/>
    </row>
    <row r="2537" spans="1:2" x14ac:dyDescent="0.25">
      <c r="A2537" s="83">
        <f t="shared" si="60"/>
        <v>53</v>
      </c>
      <c r="B2537" s="89"/>
    </row>
    <row r="2538" spans="1:2" x14ac:dyDescent="0.25">
      <c r="A2538" s="83">
        <f t="shared" si="60"/>
        <v>53</v>
      </c>
      <c r="B2538" s="89"/>
    </row>
    <row r="2539" spans="1:2" x14ac:dyDescent="0.25">
      <c r="A2539" s="83">
        <f t="shared" si="60"/>
        <v>53</v>
      </c>
      <c r="B2539" s="89"/>
    </row>
    <row r="2540" spans="1:2" x14ac:dyDescent="0.25">
      <c r="A2540" s="83">
        <f t="shared" si="60"/>
        <v>53</v>
      </c>
      <c r="B2540" s="89"/>
    </row>
    <row r="2541" spans="1:2" x14ac:dyDescent="0.25">
      <c r="A2541" s="83">
        <f t="shared" si="60"/>
        <v>53</v>
      </c>
      <c r="B2541" s="89"/>
    </row>
    <row r="2542" spans="1:2" x14ac:dyDescent="0.25">
      <c r="A2542" s="83">
        <f t="shared" si="60"/>
        <v>53</v>
      </c>
      <c r="B2542" s="89"/>
    </row>
    <row r="2543" spans="1:2" x14ac:dyDescent="0.25">
      <c r="A2543" s="83">
        <f t="shared" si="60"/>
        <v>53</v>
      </c>
      <c r="B2543" s="89"/>
    </row>
    <row r="2544" spans="1:2" x14ac:dyDescent="0.25">
      <c r="A2544" s="83">
        <f t="shared" si="60"/>
        <v>53</v>
      </c>
      <c r="B2544" s="89"/>
    </row>
    <row r="2545" spans="1:2" x14ac:dyDescent="0.25">
      <c r="A2545" s="83">
        <f t="shared" si="60"/>
        <v>53</v>
      </c>
      <c r="B2545" s="89"/>
    </row>
    <row r="2546" spans="1:2" x14ac:dyDescent="0.25">
      <c r="A2546" s="83">
        <f t="shared" si="60"/>
        <v>53</v>
      </c>
      <c r="B2546" s="89"/>
    </row>
    <row r="2547" spans="1:2" x14ac:dyDescent="0.25">
      <c r="A2547" s="83">
        <f t="shared" si="60"/>
        <v>53</v>
      </c>
      <c r="B2547" s="89"/>
    </row>
    <row r="2548" spans="1:2" x14ac:dyDescent="0.25">
      <c r="A2548" s="83">
        <f t="shared" si="60"/>
        <v>53</v>
      </c>
      <c r="B2548" s="89"/>
    </row>
    <row r="2549" spans="1:2" x14ac:dyDescent="0.25">
      <c r="A2549" s="83">
        <f t="shared" si="60"/>
        <v>53</v>
      </c>
      <c r="B2549" s="89"/>
    </row>
    <row r="2550" spans="1:2" x14ac:dyDescent="0.25">
      <c r="A2550" s="83">
        <f t="shared" ref="A2550:A2613" si="61">WEEKNUM(B2550,21)</f>
        <v>53</v>
      </c>
      <c r="B2550" s="89"/>
    </row>
    <row r="2551" spans="1:2" x14ac:dyDescent="0.25">
      <c r="A2551" s="83">
        <f t="shared" si="61"/>
        <v>53</v>
      </c>
      <c r="B2551" s="89"/>
    </row>
    <row r="2552" spans="1:2" x14ac:dyDescent="0.25">
      <c r="A2552" s="83">
        <f t="shared" si="61"/>
        <v>53</v>
      </c>
      <c r="B2552" s="89"/>
    </row>
    <row r="2553" spans="1:2" x14ac:dyDescent="0.25">
      <c r="A2553" s="83">
        <f t="shared" si="61"/>
        <v>53</v>
      </c>
      <c r="B2553" s="89"/>
    </row>
    <row r="2554" spans="1:2" x14ac:dyDescent="0.25">
      <c r="A2554" s="83">
        <f t="shared" si="61"/>
        <v>53</v>
      </c>
      <c r="B2554" s="89"/>
    </row>
    <row r="2555" spans="1:2" x14ac:dyDescent="0.25">
      <c r="A2555" s="83">
        <f t="shared" si="61"/>
        <v>53</v>
      </c>
      <c r="B2555" s="89"/>
    </row>
    <row r="2556" spans="1:2" x14ac:dyDescent="0.25">
      <c r="A2556" s="83">
        <f t="shared" si="61"/>
        <v>53</v>
      </c>
      <c r="B2556" s="89"/>
    </row>
    <row r="2557" spans="1:2" x14ac:dyDescent="0.25">
      <c r="A2557" s="83">
        <f t="shared" si="61"/>
        <v>53</v>
      </c>
      <c r="B2557" s="89"/>
    </row>
    <row r="2558" spans="1:2" x14ac:dyDescent="0.25">
      <c r="A2558" s="83">
        <f t="shared" si="61"/>
        <v>53</v>
      </c>
      <c r="B2558" s="89"/>
    </row>
    <row r="2559" spans="1:2" x14ac:dyDescent="0.25">
      <c r="A2559" s="83">
        <f t="shared" si="61"/>
        <v>53</v>
      </c>
      <c r="B2559" s="89"/>
    </row>
    <row r="2560" spans="1:2" x14ac:dyDescent="0.25">
      <c r="A2560" s="83">
        <f t="shared" si="61"/>
        <v>53</v>
      </c>
      <c r="B2560" s="89"/>
    </row>
    <row r="2561" spans="1:2" x14ac:dyDescent="0.25">
      <c r="A2561" s="83">
        <f t="shared" si="61"/>
        <v>53</v>
      </c>
      <c r="B2561" s="89"/>
    </row>
    <row r="2562" spans="1:2" x14ac:dyDescent="0.25">
      <c r="A2562" s="83">
        <f t="shared" si="61"/>
        <v>53</v>
      </c>
      <c r="B2562" s="89"/>
    </row>
    <row r="2563" spans="1:2" x14ac:dyDescent="0.25">
      <c r="A2563" s="83">
        <f t="shared" si="61"/>
        <v>53</v>
      </c>
      <c r="B2563" s="89"/>
    </row>
    <row r="2564" spans="1:2" x14ac:dyDescent="0.25">
      <c r="A2564" s="83">
        <f t="shared" si="61"/>
        <v>53</v>
      </c>
      <c r="B2564" s="89"/>
    </row>
    <row r="2565" spans="1:2" x14ac:dyDescent="0.25">
      <c r="A2565" s="83">
        <f t="shared" si="61"/>
        <v>53</v>
      </c>
      <c r="B2565" s="89"/>
    </row>
    <row r="2566" spans="1:2" x14ac:dyDescent="0.25">
      <c r="A2566" s="83">
        <f t="shared" si="61"/>
        <v>53</v>
      </c>
      <c r="B2566" s="89"/>
    </row>
    <row r="2567" spans="1:2" x14ac:dyDescent="0.25">
      <c r="A2567" s="83">
        <f t="shared" si="61"/>
        <v>53</v>
      </c>
      <c r="B2567" s="89"/>
    </row>
    <row r="2568" spans="1:2" x14ac:dyDescent="0.25">
      <c r="A2568" s="83">
        <f t="shared" si="61"/>
        <v>53</v>
      </c>
      <c r="B2568" s="89"/>
    </row>
    <row r="2569" spans="1:2" x14ac:dyDescent="0.25">
      <c r="A2569" s="83">
        <f t="shared" si="61"/>
        <v>53</v>
      </c>
      <c r="B2569" s="89"/>
    </row>
    <row r="2570" spans="1:2" x14ac:dyDescent="0.25">
      <c r="A2570" s="83">
        <f t="shared" si="61"/>
        <v>53</v>
      </c>
      <c r="B2570" s="89"/>
    </row>
    <row r="2571" spans="1:2" x14ac:dyDescent="0.25">
      <c r="A2571" s="83">
        <f t="shared" si="61"/>
        <v>53</v>
      </c>
      <c r="B2571" s="89"/>
    </row>
    <row r="2572" spans="1:2" x14ac:dyDescent="0.25">
      <c r="A2572" s="83">
        <f t="shared" si="61"/>
        <v>53</v>
      </c>
      <c r="B2572" s="89"/>
    </row>
    <row r="2573" spans="1:2" x14ac:dyDescent="0.25">
      <c r="A2573" s="83">
        <f t="shared" si="61"/>
        <v>53</v>
      </c>
      <c r="B2573" s="89"/>
    </row>
    <row r="2574" spans="1:2" x14ac:dyDescent="0.25">
      <c r="A2574" s="83">
        <f t="shared" si="61"/>
        <v>53</v>
      </c>
      <c r="B2574" s="89"/>
    </row>
    <row r="2575" spans="1:2" x14ac:dyDescent="0.25">
      <c r="A2575" s="83">
        <f t="shared" si="61"/>
        <v>53</v>
      </c>
      <c r="B2575" s="89"/>
    </row>
    <row r="2576" spans="1:2" x14ac:dyDescent="0.25">
      <c r="A2576" s="83">
        <f t="shared" si="61"/>
        <v>53</v>
      </c>
      <c r="B2576" s="89"/>
    </row>
    <row r="2577" spans="1:2" x14ac:dyDescent="0.25">
      <c r="A2577" s="83">
        <f t="shared" si="61"/>
        <v>53</v>
      </c>
      <c r="B2577" s="89"/>
    </row>
    <row r="2578" spans="1:2" x14ac:dyDescent="0.25">
      <c r="A2578" s="83">
        <f t="shared" si="61"/>
        <v>53</v>
      </c>
      <c r="B2578" s="89"/>
    </row>
    <row r="2579" spans="1:2" x14ac:dyDescent="0.25">
      <c r="A2579" s="83">
        <f t="shared" si="61"/>
        <v>53</v>
      </c>
      <c r="B2579" s="89"/>
    </row>
    <row r="2580" spans="1:2" x14ac:dyDescent="0.25">
      <c r="A2580" s="83">
        <f t="shared" si="61"/>
        <v>53</v>
      </c>
      <c r="B2580" s="89"/>
    </row>
    <row r="2581" spans="1:2" x14ac:dyDescent="0.25">
      <c r="A2581" s="83">
        <f t="shared" si="61"/>
        <v>53</v>
      </c>
      <c r="B2581" s="89"/>
    </row>
    <row r="2582" spans="1:2" x14ac:dyDescent="0.25">
      <c r="A2582" s="83">
        <f t="shared" si="61"/>
        <v>53</v>
      </c>
      <c r="B2582" s="89"/>
    </row>
    <row r="2583" spans="1:2" x14ac:dyDescent="0.25">
      <c r="A2583" s="83">
        <f t="shared" si="61"/>
        <v>53</v>
      </c>
      <c r="B2583" s="89"/>
    </row>
    <row r="2584" spans="1:2" x14ac:dyDescent="0.25">
      <c r="A2584" s="83">
        <f t="shared" si="61"/>
        <v>53</v>
      </c>
      <c r="B2584" s="89"/>
    </row>
    <row r="2585" spans="1:2" x14ac:dyDescent="0.25">
      <c r="A2585" s="83">
        <f t="shared" si="61"/>
        <v>53</v>
      </c>
      <c r="B2585" s="89"/>
    </row>
    <row r="2586" spans="1:2" x14ac:dyDescent="0.25">
      <c r="A2586" s="83">
        <f t="shared" si="61"/>
        <v>53</v>
      </c>
      <c r="B2586" s="89"/>
    </row>
    <row r="2587" spans="1:2" x14ac:dyDescent="0.25">
      <c r="A2587" s="83">
        <f t="shared" si="61"/>
        <v>53</v>
      </c>
      <c r="B2587" s="89"/>
    </row>
    <row r="2588" spans="1:2" x14ac:dyDescent="0.25">
      <c r="A2588" s="83">
        <f t="shared" si="61"/>
        <v>53</v>
      </c>
      <c r="B2588" s="89"/>
    </row>
    <row r="2589" spans="1:2" x14ac:dyDescent="0.25">
      <c r="A2589" s="83">
        <f t="shared" si="61"/>
        <v>53</v>
      </c>
      <c r="B2589" s="89"/>
    </row>
    <row r="2590" spans="1:2" x14ac:dyDescent="0.25">
      <c r="A2590" s="83">
        <f t="shared" si="61"/>
        <v>53</v>
      </c>
      <c r="B2590" s="89"/>
    </row>
    <row r="2591" spans="1:2" x14ac:dyDescent="0.25">
      <c r="A2591" s="83">
        <f t="shared" si="61"/>
        <v>53</v>
      </c>
      <c r="B2591" s="89"/>
    </row>
    <row r="2592" spans="1:2" x14ac:dyDescent="0.25">
      <c r="A2592" s="83">
        <f t="shared" si="61"/>
        <v>53</v>
      </c>
      <c r="B2592" s="89"/>
    </row>
    <row r="2593" spans="1:2" x14ac:dyDescent="0.25">
      <c r="A2593" s="83">
        <f t="shared" si="61"/>
        <v>53</v>
      </c>
      <c r="B2593" s="89"/>
    </row>
    <row r="2594" spans="1:2" x14ac:dyDescent="0.25">
      <c r="A2594" s="83">
        <f t="shared" si="61"/>
        <v>53</v>
      </c>
      <c r="B2594" s="89"/>
    </row>
    <row r="2595" spans="1:2" x14ac:dyDescent="0.25">
      <c r="A2595" s="83">
        <f t="shared" si="61"/>
        <v>53</v>
      </c>
      <c r="B2595" s="89"/>
    </row>
    <row r="2596" spans="1:2" x14ac:dyDescent="0.25">
      <c r="A2596" s="83">
        <f t="shared" si="61"/>
        <v>53</v>
      </c>
      <c r="B2596" s="89"/>
    </row>
    <row r="2597" spans="1:2" x14ac:dyDescent="0.25">
      <c r="A2597" s="83">
        <f t="shared" si="61"/>
        <v>53</v>
      </c>
      <c r="B2597" s="89"/>
    </row>
    <row r="2598" spans="1:2" x14ac:dyDescent="0.25">
      <c r="A2598" s="83">
        <f t="shared" si="61"/>
        <v>53</v>
      </c>
      <c r="B2598" s="89"/>
    </row>
    <row r="2599" spans="1:2" x14ac:dyDescent="0.25">
      <c r="A2599" s="83">
        <f t="shared" si="61"/>
        <v>53</v>
      </c>
      <c r="B2599" s="89"/>
    </row>
    <row r="2600" spans="1:2" x14ac:dyDescent="0.25">
      <c r="A2600" s="83">
        <f t="shared" si="61"/>
        <v>53</v>
      </c>
      <c r="B2600" s="89"/>
    </row>
    <row r="2601" spans="1:2" x14ac:dyDescent="0.25">
      <c r="A2601" s="83">
        <f t="shared" si="61"/>
        <v>53</v>
      </c>
      <c r="B2601" s="89"/>
    </row>
    <row r="2602" spans="1:2" x14ac:dyDescent="0.25">
      <c r="A2602" s="83">
        <f t="shared" si="61"/>
        <v>53</v>
      </c>
      <c r="B2602" s="89"/>
    </row>
    <row r="2603" spans="1:2" x14ac:dyDescent="0.25">
      <c r="A2603" s="83">
        <f t="shared" si="61"/>
        <v>53</v>
      </c>
      <c r="B2603" s="89"/>
    </row>
    <row r="2604" spans="1:2" x14ac:dyDescent="0.25">
      <c r="A2604" s="83">
        <f t="shared" si="61"/>
        <v>53</v>
      </c>
      <c r="B2604" s="89"/>
    </row>
    <row r="2605" spans="1:2" x14ac:dyDescent="0.25">
      <c r="A2605" s="83">
        <f t="shared" si="61"/>
        <v>53</v>
      </c>
      <c r="B2605" s="89"/>
    </row>
    <row r="2606" spans="1:2" x14ac:dyDescent="0.25">
      <c r="A2606" s="83">
        <f t="shared" si="61"/>
        <v>53</v>
      </c>
      <c r="B2606" s="89"/>
    </row>
    <row r="2607" spans="1:2" x14ac:dyDescent="0.25">
      <c r="A2607" s="83">
        <f t="shared" si="61"/>
        <v>53</v>
      </c>
      <c r="B2607" s="89"/>
    </row>
    <row r="2608" spans="1:2" x14ac:dyDescent="0.25">
      <c r="A2608" s="83">
        <f t="shared" si="61"/>
        <v>53</v>
      </c>
      <c r="B2608" s="89"/>
    </row>
    <row r="2609" spans="1:2" x14ac:dyDescent="0.25">
      <c r="A2609" s="83">
        <f t="shared" si="61"/>
        <v>53</v>
      </c>
      <c r="B2609" s="89"/>
    </row>
    <row r="2610" spans="1:2" x14ac:dyDescent="0.25">
      <c r="A2610" s="83">
        <f t="shared" si="61"/>
        <v>53</v>
      </c>
      <c r="B2610" s="89"/>
    </row>
    <row r="2611" spans="1:2" x14ac:dyDescent="0.25">
      <c r="A2611" s="83">
        <f t="shared" si="61"/>
        <v>53</v>
      </c>
      <c r="B2611" s="89"/>
    </row>
    <row r="2612" spans="1:2" x14ac:dyDescent="0.25">
      <c r="A2612" s="83">
        <f t="shared" si="61"/>
        <v>53</v>
      </c>
      <c r="B2612" s="89"/>
    </row>
    <row r="2613" spans="1:2" x14ac:dyDescent="0.25">
      <c r="A2613" s="83">
        <f t="shared" si="61"/>
        <v>53</v>
      </c>
      <c r="B2613" s="89"/>
    </row>
    <row r="2614" spans="1:2" x14ac:dyDescent="0.25">
      <c r="A2614" s="83">
        <f t="shared" ref="A2614:A2677" si="62">WEEKNUM(B2614,21)</f>
        <v>53</v>
      </c>
      <c r="B2614" s="89"/>
    </row>
    <row r="2615" spans="1:2" x14ac:dyDescent="0.25">
      <c r="A2615" s="83">
        <f t="shared" si="62"/>
        <v>53</v>
      </c>
      <c r="B2615" s="89"/>
    </row>
    <row r="2616" spans="1:2" x14ac:dyDescent="0.25">
      <c r="A2616" s="83">
        <f t="shared" si="62"/>
        <v>53</v>
      </c>
      <c r="B2616" s="89"/>
    </row>
    <row r="2617" spans="1:2" x14ac:dyDescent="0.25">
      <c r="A2617" s="83">
        <f t="shared" si="62"/>
        <v>53</v>
      </c>
      <c r="B2617" s="89"/>
    </row>
    <row r="2618" spans="1:2" x14ac:dyDescent="0.25">
      <c r="A2618" s="83">
        <f t="shared" si="62"/>
        <v>53</v>
      </c>
      <c r="B2618" s="89"/>
    </row>
    <row r="2619" spans="1:2" x14ac:dyDescent="0.25">
      <c r="A2619" s="83">
        <f t="shared" si="62"/>
        <v>53</v>
      </c>
      <c r="B2619" s="89"/>
    </row>
    <row r="2620" spans="1:2" x14ac:dyDescent="0.25">
      <c r="A2620" s="83">
        <f t="shared" si="62"/>
        <v>53</v>
      </c>
      <c r="B2620" s="89"/>
    </row>
    <row r="2621" spans="1:2" x14ac:dyDescent="0.25">
      <c r="A2621" s="83">
        <f t="shared" si="62"/>
        <v>53</v>
      </c>
      <c r="B2621" s="89"/>
    </row>
    <row r="2622" spans="1:2" x14ac:dyDescent="0.25">
      <c r="A2622" s="83">
        <f t="shared" si="62"/>
        <v>53</v>
      </c>
      <c r="B2622" s="89"/>
    </row>
    <row r="2623" spans="1:2" x14ac:dyDescent="0.25">
      <c r="A2623" s="83">
        <f t="shared" si="62"/>
        <v>53</v>
      </c>
      <c r="B2623" s="89"/>
    </row>
    <row r="2624" spans="1:2" x14ac:dyDescent="0.25">
      <c r="A2624" s="83">
        <f t="shared" si="62"/>
        <v>53</v>
      </c>
      <c r="B2624" s="89"/>
    </row>
    <row r="2625" spans="1:2" x14ac:dyDescent="0.25">
      <c r="A2625" s="83">
        <f t="shared" si="62"/>
        <v>53</v>
      </c>
      <c r="B2625" s="89"/>
    </row>
    <row r="2626" spans="1:2" x14ac:dyDescent="0.25">
      <c r="A2626" s="83">
        <f t="shared" si="62"/>
        <v>53</v>
      </c>
      <c r="B2626" s="89"/>
    </row>
    <row r="2627" spans="1:2" x14ac:dyDescent="0.25">
      <c r="A2627" s="83">
        <f t="shared" si="62"/>
        <v>53</v>
      </c>
      <c r="B2627" s="89"/>
    </row>
    <row r="2628" spans="1:2" x14ac:dyDescent="0.25">
      <c r="A2628" s="83">
        <f t="shared" si="62"/>
        <v>53</v>
      </c>
      <c r="B2628" s="89"/>
    </row>
    <row r="2629" spans="1:2" x14ac:dyDescent="0.25">
      <c r="A2629" s="83">
        <f t="shared" si="62"/>
        <v>53</v>
      </c>
      <c r="B2629" s="89"/>
    </row>
    <row r="2630" spans="1:2" x14ac:dyDescent="0.25">
      <c r="A2630" s="83">
        <f t="shared" si="62"/>
        <v>53</v>
      </c>
      <c r="B2630" s="89"/>
    </row>
    <row r="2631" spans="1:2" x14ac:dyDescent="0.25">
      <c r="A2631" s="83">
        <f t="shared" si="62"/>
        <v>53</v>
      </c>
      <c r="B2631" s="89"/>
    </row>
    <row r="2632" spans="1:2" x14ac:dyDescent="0.25">
      <c r="A2632" s="83">
        <f t="shared" si="62"/>
        <v>53</v>
      </c>
      <c r="B2632" s="89"/>
    </row>
    <row r="2633" spans="1:2" x14ac:dyDescent="0.25">
      <c r="A2633" s="83">
        <f t="shared" si="62"/>
        <v>53</v>
      </c>
      <c r="B2633" s="89"/>
    </row>
    <row r="2634" spans="1:2" x14ac:dyDescent="0.25">
      <c r="A2634" s="83">
        <f t="shared" si="62"/>
        <v>53</v>
      </c>
      <c r="B2634" s="89"/>
    </row>
    <row r="2635" spans="1:2" x14ac:dyDescent="0.25">
      <c r="A2635" s="83">
        <f t="shared" si="62"/>
        <v>53</v>
      </c>
      <c r="B2635" s="89"/>
    </row>
    <row r="2636" spans="1:2" x14ac:dyDescent="0.25">
      <c r="A2636" s="83">
        <f t="shared" si="62"/>
        <v>53</v>
      </c>
      <c r="B2636" s="89"/>
    </row>
    <row r="2637" spans="1:2" x14ac:dyDescent="0.25">
      <c r="A2637" s="83">
        <f t="shared" si="62"/>
        <v>53</v>
      </c>
      <c r="B2637" s="89"/>
    </row>
    <row r="2638" spans="1:2" x14ac:dyDescent="0.25">
      <c r="A2638" s="83">
        <f t="shared" si="62"/>
        <v>53</v>
      </c>
      <c r="B2638" s="89"/>
    </row>
    <row r="2639" spans="1:2" x14ac:dyDescent="0.25">
      <c r="A2639" s="83">
        <f t="shared" si="62"/>
        <v>53</v>
      </c>
      <c r="B2639" s="89"/>
    </row>
    <row r="2640" spans="1:2" x14ac:dyDescent="0.25">
      <c r="A2640" s="83">
        <f t="shared" si="62"/>
        <v>53</v>
      </c>
      <c r="B2640" s="89"/>
    </row>
    <row r="2641" spans="1:2" x14ac:dyDescent="0.25">
      <c r="A2641" s="83">
        <f t="shared" si="62"/>
        <v>53</v>
      </c>
      <c r="B2641" s="89"/>
    </row>
    <row r="2642" spans="1:2" x14ac:dyDescent="0.25">
      <c r="A2642" s="83">
        <f t="shared" si="62"/>
        <v>53</v>
      </c>
      <c r="B2642" s="89"/>
    </row>
    <row r="2643" spans="1:2" x14ac:dyDescent="0.25">
      <c r="A2643" s="83">
        <f t="shared" si="62"/>
        <v>53</v>
      </c>
      <c r="B2643" s="89"/>
    </row>
    <row r="2644" spans="1:2" x14ac:dyDescent="0.25">
      <c r="A2644" s="83">
        <f t="shared" si="62"/>
        <v>53</v>
      </c>
      <c r="B2644" s="89"/>
    </row>
    <row r="2645" spans="1:2" x14ac:dyDescent="0.25">
      <c r="A2645" s="83">
        <f t="shared" si="62"/>
        <v>53</v>
      </c>
      <c r="B2645" s="89"/>
    </row>
    <row r="2646" spans="1:2" x14ac:dyDescent="0.25">
      <c r="A2646" s="83">
        <f t="shared" si="62"/>
        <v>53</v>
      </c>
      <c r="B2646" s="89"/>
    </row>
    <row r="2647" spans="1:2" x14ac:dyDescent="0.25">
      <c r="A2647" s="83">
        <f t="shared" si="62"/>
        <v>53</v>
      </c>
      <c r="B2647" s="89"/>
    </row>
    <row r="2648" spans="1:2" x14ac:dyDescent="0.25">
      <c r="A2648" s="83">
        <f t="shared" si="62"/>
        <v>53</v>
      </c>
      <c r="B2648" s="89"/>
    </row>
    <row r="2649" spans="1:2" x14ac:dyDescent="0.25">
      <c r="A2649" s="83">
        <f t="shared" si="62"/>
        <v>53</v>
      </c>
      <c r="B2649" s="89"/>
    </row>
    <row r="2650" spans="1:2" x14ac:dyDescent="0.25">
      <c r="A2650" s="83">
        <f t="shared" si="62"/>
        <v>53</v>
      </c>
      <c r="B2650" s="89"/>
    </row>
    <row r="2651" spans="1:2" x14ac:dyDescent="0.25">
      <c r="A2651" s="83">
        <f t="shared" si="62"/>
        <v>53</v>
      </c>
      <c r="B2651" s="89"/>
    </row>
    <row r="2652" spans="1:2" x14ac:dyDescent="0.25">
      <c r="A2652" s="83">
        <f t="shared" si="62"/>
        <v>53</v>
      </c>
      <c r="B2652" s="89"/>
    </row>
    <row r="2653" spans="1:2" x14ac:dyDescent="0.25">
      <c r="A2653" s="83">
        <f t="shared" si="62"/>
        <v>53</v>
      </c>
      <c r="B2653" s="89"/>
    </row>
    <row r="2654" spans="1:2" x14ac:dyDescent="0.25">
      <c r="A2654" s="83">
        <f t="shared" si="62"/>
        <v>53</v>
      </c>
      <c r="B2654" s="89"/>
    </row>
    <row r="2655" spans="1:2" x14ac:dyDescent="0.25">
      <c r="A2655" s="83">
        <f t="shared" si="62"/>
        <v>53</v>
      </c>
      <c r="B2655" s="89"/>
    </row>
    <row r="2656" spans="1:2" x14ac:dyDescent="0.25">
      <c r="A2656" s="83">
        <f t="shared" si="62"/>
        <v>53</v>
      </c>
      <c r="B2656" s="89"/>
    </row>
    <row r="2657" spans="1:2" x14ac:dyDescent="0.25">
      <c r="A2657" s="83">
        <f t="shared" si="62"/>
        <v>53</v>
      </c>
      <c r="B2657" s="89"/>
    </row>
    <row r="2658" spans="1:2" x14ac:dyDescent="0.25">
      <c r="A2658" s="83">
        <f t="shared" si="62"/>
        <v>53</v>
      </c>
      <c r="B2658" s="89"/>
    </row>
    <row r="2659" spans="1:2" x14ac:dyDescent="0.25">
      <c r="A2659" s="83">
        <f t="shared" si="62"/>
        <v>53</v>
      </c>
      <c r="B2659" s="89"/>
    </row>
    <row r="2660" spans="1:2" x14ac:dyDescent="0.25">
      <c r="A2660" s="83">
        <f t="shared" si="62"/>
        <v>53</v>
      </c>
      <c r="B2660" s="89"/>
    </row>
    <row r="2661" spans="1:2" x14ac:dyDescent="0.25">
      <c r="A2661" s="83">
        <f t="shared" si="62"/>
        <v>53</v>
      </c>
      <c r="B2661" s="89"/>
    </row>
    <row r="2662" spans="1:2" x14ac:dyDescent="0.25">
      <c r="A2662" s="83">
        <f t="shared" si="62"/>
        <v>53</v>
      </c>
      <c r="B2662" s="89"/>
    </row>
    <row r="2663" spans="1:2" x14ac:dyDescent="0.25">
      <c r="A2663" s="83">
        <f t="shared" si="62"/>
        <v>53</v>
      </c>
      <c r="B2663" s="89"/>
    </row>
    <row r="2664" spans="1:2" x14ac:dyDescent="0.25">
      <c r="A2664" s="83">
        <f t="shared" si="62"/>
        <v>53</v>
      </c>
      <c r="B2664" s="89"/>
    </row>
    <row r="2665" spans="1:2" x14ac:dyDescent="0.25">
      <c r="A2665" s="83">
        <f t="shared" si="62"/>
        <v>53</v>
      </c>
      <c r="B2665" s="89"/>
    </row>
    <row r="2666" spans="1:2" x14ac:dyDescent="0.25">
      <c r="A2666" s="83">
        <f t="shared" si="62"/>
        <v>53</v>
      </c>
      <c r="B2666" s="89"/>
    </row>
    <row r="2667" spans="1:2" x14ac:dyDescent="0.25">
      <c r="A2667" s="83">
        <f t="shared" si="62"/>
        <v>53</v>
      </c>
      <c r="B2667" s="89"/>
    </row>
    <row r="2668" spans="1:2" x14ac:dyDescent="0.25">
      <c r="A2668" s="83">
        <f t="shared" si="62"/>
        <v>53</v>
      </c>
      <c r="B2668" s="89"/>
    </row>
    <row r="2669" spans="1:2" x14ac:dyDescent="0.25">
      <c r="A2669" s="83">
        <f t="shared" si="62"/>
        <v>53</v>
      </c>
      <c r="B2669" s="89"/>
    </row>
    <row r="2670" spans="1:2" x14ac:dyDescent="0.25">
      <c r="A2670" s="83">
        <f t="shared" si="62"/>
        <v>53</v>
      </c>
      <c r="B2670" s="89"/>
    </row>
    <row r="2671" spans="1:2" x14ac:dyDescent="0.25">
      <c r="A2671" s="83">
        <f t="shared" si="62"/>
        <v>53</v>
      </c>
      <c r="B2671" s="89"/>
    </row>
    <row r="2672" spans="1:2" x14ac:dyDescent="0.25">
      <c r="A2672" s="83">
        <f t="shared" si="62"/>
        <v>53</v>
      </c>
      <c r="B2672" s="89"/>
    </row>
    <row r="2673" spans="1:2" x14ac:dyDescent="0.25">
      <c r="A2673" s="83">
        <f t="shared" si="62"/>
        <v>53</v>
      </c>
      <c r="B2673" s="89"/>
    </row>
    <row r="2674" spans="1:2" x14ac:dyDescent="0.25">
      <c r="A2674" s="83">
        <f t="shared" si="62"/>
        <v>53</v>
      </c>
      <c r="B2674" s="89"/>
    </row>
    <row r="2675" spans="1:2" x14ac:dyDescent="0.25">
      <c r="A2675" s="83">
        <f t="shared" si="62"/>
        <v>53</v>
      </c>
      <c r="B2675" s="89"/>
    </row>
    <row r="2676" spans="1:2" x14ac:dyDescent="0.25">
      <c r="A2676" s="83">
        <f t="shared" si="62"/>
        <v>53</v>
      </c>
      <c r="B2676" s="89"/>
    </row>
    <row r="2677" spans="1:2" x14ac:dyDescent="0.25">
      <c r="A2677" s="83">
        <f t="shared" si="62"/>
        <v>53</v>
      </c>
      <c r="B2677" s="89"/>
    </row>
    <row r="2678" spans="1:2" x14ac:dyDescent="0.25">
      <c r="A2678" s="83">
        <f t="shared" ref="A2678:A2741" si="63">WEEKNUM(B2678,21)</f>
        <v>53</v>
      </c>
      <c r="B2678" s="89"/>
    </row>
    <row r="2679" spans="1:2" x14ac:dyDescent="0.25">
      <c r="A2679" s="83">
        <f t="shared" si="63"/>
        <v>53</v>
      </c>
      <c r="B2679" s="89"/>
    </row>
    <row r="2680" spans="1:2" x14ac:dyDescent="0.25">
      <c r="A2680" s="83">
        <f t="shared" si="63"/>
        <v>53</v>
      </c>
      <c r="B2680" s="89"/>
    </row>
    <row r="2681" spans="1:2" x14ac:dyDescent="0.25">
      <c r="A2681" s="83">
        <f t="shared" si="63"/>
        <v>53</v>
      </c>
      <c r="B2681" s="89"/>
    </row>
    <row r="2682" spans="1:2" x14ac:dyDescent="0.25">
      <c r="A2682" s="83">
        <f t="shared" si="63"/>
        <v>53</v>
      </c>
      <c r="B2682" s="89"/>
    </row>
    <row r="2683" spans="1:2" x14ac:dyDescent="0.25">
      <c r="A2683" s="83">
        <f t="shared" si="63"/>
        <v>53</v>
      </c>
      <c r="B2683" s="89"/>
    </row>
    <row r="2684" spans="1:2" x14ac:dyDescent="0.25">
      <c r="A2684" s="83">
        <f t="shared" si="63"/>
        <v>53</v>
      </c>
      <c r="B2684" s="89"/>
    </row>
    <row r="2685" spans="1:2" x14ac:dyDescent="0.25">
      <c r="A2685" s="83">
        <f t="shared" si="63"/>
        <v>53</v>
      </c>
      <c r="B2685" s="89"/>
    </row>
    <row r="2686" spans="1:2" x14ac:dyDescent="0.25">
      <c r="A2686" s="83">
        <f t="shared" si="63"/>
        <v>53</v>
      </c>
      <c r="B2686" s="89"/>
    </row>
    <row r="2687" spans="1:2" x14ac:dyDescent="0.25">
      <c r="A2687" s="83">
        <f t="shared" si="63"/>
        <v>53</v>
      </c>
      <c r="B2687" s="89"/>
    </row>
    <row r="2688" spans="1:2" x14ac:dyDescent="0.25">
      <c r="A2688" s="83">
        <f t="shared" si="63"/>
        <v>53</v>
      </c>
      <c r="B2688" s="89"/>
    </row>
    <row r="2689" spans="1:2" x14ac:dyDescent="0.25">
      <c r="A2689" s="83">
        <f t="shared" si="63"/>
        <v>53</v>
      </c>
      <c r="B2689" s="89"/>
    </row>
    <row r="2690" spans="1:2" x14ac:dyDescent="0.25">
      <c r="A2690" s="83">
        <f t="shared" si="63"/>
        <v>53</v>
      </c>
      <c r="B2690" s="89"/>
    </row>
    <row r="2691" spans="1:2" x14ac:dyDescent="0.25">
      <c r="A2691" s="83">
        <f t="shared" si="63"/>
        <v>53</v>
      </c>
      <c r="B2691" s="89"/>
    </row>
    <row r="2692" spans="1:2" x14ac:dyDescent="0.25">
      <c r="A2692" s="83">
        <f t="shared" si="63"/>
        <v>53</v>
      </c>
      <c r="B2692" s="89"/>
    </row>
    <row r="2693" spans="1:2" x14ac:dyDescent="0.25">
      <c r="A2693" s="83">
        <f t="shared" si="63"/>
        <v>53</v>
      </c>
      <c r="B2693" s="89"/>
    </row>
    <row r="2694" spans="1:2" x14ac:dyDescent="0.25">
      <c r="A2694" s="83">
        <f t="shared" si="63"/>
        <v>53</v>
      </c>
      <c r="B2694" s="89"/>
    </row>
    <row r="2695" spans="1:2" x14ac:dyDescent="0.25">
      <c r="A2695" s="83">
        <f t="shared" si="63"/>
        <v>53</v>
      </c>
      <c r="B2695" s="89"/>
    </row>
    <row r="2696" spans="1:2" x14ac:dyDescent="0.25">
      <c r="A2696" s="83">
        <f t="shared" si="63"/>
        <v>53</v>
      </c>
      <c r="B2696" s="89"/>
    </row>
    <row r="2697" spans="1:2" x14ac:dyDescent="0.25">
      <c r="A2697" s="83">
        <f t="shared" si="63"/>
        <v>53</v>
      </c>
      <c r="B2697" s="89"/>
    </row>
    <row r="2698" spans="1:2" x14ac:dyDescent="0.25">
      <c r="A2698" s="83">
        <f t="shared" si="63"/>
        <v>53</v>
      </c>
      <c r="B2698" s="89"/>
    </row>
    <row r="2699" spans="1:2" x14ac:dyDescent="0.25">
      <c r="A2699" s="83">
        <f t="shared" si="63"/>
        <v>53</v>
      </c>
      <c r="B2699" s="89"/>
    </row>
    <row r="2700" spans="1:2" x14ac:dyDescent="0.25">
      <c r="A2700" s="83">
        <f t="shared" si="63"/>
        <v>53</v>
      </c>
      <c r="B2700" s="89"/>
    </row>
    <row r="2701" spans="1:2" x14ac:dyDescent="0.25">
      <c r="A2701" s="83">
        <f t="shared" si="63"/>
        <v>53</v>
      </c>
      <c r="B2701" s="89"/>
    </row>
    <row r="2702" spans="1:2" x14ac:dyDescent="0.25">
      <c r="A2702" s="83">
        <f t="shared" si="63"/>
        <v>53</v>
      </c>
      <c r="B2702" s="89"/>
    </row>
    <row r="2703" spans="1:2" x14ac:dyDescent="0.25">
      <c r="A2703" s="83">
        <f t="shared" si="63"/>
        <v>53</v>
      </c>
      <c r="B2703" s="89"/>
    </row>
    <row r="2704" spans="1:2" x14ac:dyDescent="0.25">
      <c r="A2704" s="83">
        <f t="shared" si="63"/>
        <v>53</v>
      </c>
      <c r="B2704" s="89"/>
    </row>
    <row r="2705" spans="1:2" x14ac:dyDescent="0.25">
      <c r="A2705" s="83">
        <f t="shared" si="63"/>
        <v>53</v>
      </c>
      <c r="B2705" s="89"/>
    </row>
    <row r="2706" spans="1:2" x14ac:dyDescent="0.25">
      <c r="A2706" s="83">
        <f t="shared" si="63"/>
        <v>53</v>
      </c>
      <c r="B2706" s="89"/>
    </row>
    <row r="2707" spans="1:2" x14ac:dyDescent="0.25">
      <c r="A2707" s="83">
        <f t="shared" si="63"/>
        <v>53</v>
      </c>
      <c r="B2707" s="89"/>
    </row>
    <row r="2708" spans="1:2" x14ac:dyDescent="0.25">
      <c r="A2708" s="83">
        <f t="shared" si="63"/>
        <v>53</v>
      </c>
      <c r="B2708" s="89"/>
    </row>
    <row r="2709" spans="1:2" x14ac:dyDescent="0.25">
      <c r="A2709" s="83">
        <f t="shared" si="63"/>
        <v>53</v>
      </c>
      <c r="B2709" s="89"/>
    </row>
    <row r="2710" spans="1:2" x14ac:dyDescent="0.25">
      <c r="A2710" s="83">
        <f t="shared" si="63"/>
        <v>53</v>
      </c>
      <c r="B2710" s="89"/>
    </row>
    <row r="2711" spans="1:2" x14ac:dyDescent="0.25">
      <c r="A2711" s="83">
        <f t="shared" si="63"/>
        <v>53</v>
      </c>
      <c r="B2711" s="89"/>
    </row>
    <row r="2712" spans="1:2" x14ac:dyDescent="0.25">
      <c r="A2712" s="83">
        <f t="shared" si="63"/>
        <v>53</v>
      </c>
      <c r="B2712" s="89"/>
    </row>
    <row r="2713" spans="1:2" x14ac:dyDescent="0.25">
      <c r="A2713" s="83">
        <f t="shared" si="63"/>
        <v>53</v>
      </c>
      <c r="B2713" s="89"/>
    </row>
    <row r="2714" spans="1:2" x14ac:dyDescent="0.25">
      <c r="A2714" s="83">
        <f t="shared" si="63"/>
        <v>53</v>
      </c>
      <c r="B2714" s="89"/>
    </row>
    <row r="2715" spans="1:2" x14ac:dyDescent="0.25">
      <c r="A2715" s="83">
        <f t="shared" si="63"/>
        <v>53</v>
      </c>
      <c r="B2715" s="89"/>
    </row>
    <row r="2716" spans="1:2" x14ac:dyDescent="0.25">
      <c r="A2716" s="83">
        <f t="shared" si="63"/>
        <v>53</v>
      </c>
      <c r="B2716" s="89"/>
    </row>
    <row r="2717" spans="1:2" x14ac:dyDescent="0.25">
      <c r="A2717" s="83">
        <f t="shared" si="63"/>
        <v>53</v>
      </c>
      <c r="B2717" s="89"/>
    </row>
    <row r="2718" spans="1:2" x14ac:dyDescent="0.25">
      <c r="A2718" s="83">
        <f t="shared" si="63"/>
        <v>53</v>
      </c>
      <c r="B2718" s="89"/>
    </row>
    <row r="2719" spans="1:2" x14ac:dyDescent="0.25">
      <c r="A2719" s="83">
        <f t="shared" si="63"/>
        <v>53</v>
      </c>
      <c r="B2719" s="89"/>
    </row>
    <row r="2720" spans="1:2" x14ac:dyDescent="0.25">
      <c r="A2720" s="83">
        <f t="shared" si="63"/>
        <v>53</v>
      </c>
      <c r="B2720" s="89"/>
    </row>
    <row r="2721" spans="1:2" x14ac:dyDescent="0.25">
      <c r="A2721" s="83">
        <f t="shared" si="63"/>
        <v>53</v>
      </c>
      <c r="B2721" s="89"/>
    </row>
    <row r="2722" spans="1:2" x14ac:dyDescent="0.25">
      <c r="A2722" s="83">
        <f t="shared" si="63"/>
        <v>53</v>
      </c>
      <c r="B2722" s="89"/>
    </row>
    <row r="2723" spans="1:2" x14ac:dyDescent="0.25">
      <c r="A2723" s="83">
        <f t="shared" si="63"/>
        <v>53</v>
      </c>
      <c r="B2723" s="89"/>
    </row>
    <row r="2724" spans="1:2" x14ac:dyDescent="0.25">
      <c r="A2724" s="83">
        <f t="shared" si="63"/>
        <v>53</v>
      </c>
      <c r="B2724" s="89"/>
    </row>
    <row r="2725" spans="1:2" x14ac:dyDescent="0.25">
      <c r="A2725" s="83">
        <f t="shared" si="63"/>
        <v>53</v>
      </c>
      <c r="B2725" s="89"/>
    </row>
    <row r="2726" spans="1:2" x14ac:dyDescent="0.25">
      <c r="A2726" s="83">
        <f t="shared" si="63"/>
        <v>53</v>
      </c>
      <c r="B2726" s="89"/>
    </row>
    <row r="2727" spans="1:2" x14ac:dyDescent="0.25">
      <c r="A2727" s="83">
        <f t="shared" si="63"/>
        <v>53</v>
      </c>
      <c r="B2727" s="89"/>
    </row>
    <row r="2728" spans="1:2" x14ac:dyDescent="0.25">
      <c r="A2728" s="83">
        <f t="shared" si="63"/>
        <v>53</v>
      </c>
      <c r="B2728" s="89"/>
    </row>
    <row r="2729" spans="1:2" x14ac:dyDescent="0.25">
      <c r="A2729" s="83">
        <f t="shared" si="63"/>
        <v>53</v>
      </c>
      <c r="B2729" s="89"/>
    </row>
    <row r="2730" spans="1:2" x14ac:dyDescent="0.25">
      <c r="A2730" s="83">
        <f t="shared" si="63"/>
        <v>53</v>
      </c>
      <c r="B2730" s="89"/>
    </row>
    <row r="2731" spans="1:2" x14ac:dyDescent="0.25">
      <c r="A2731" s="83">
        <f t="shared" si="63"/>
        <v>53</v>
      </c>
      <c r="B2731" s="89"/>
    </row>
    <row r="2732" spans="1:2" x14ac:dyDescent="0.25">
      <c r="A2732" s="83">
        <f t="shared" si="63"/>
        <v>53</v>
      </c>
      <c r="B2732" s="89"/>
    </row>
    <row r="2733" spans="1:2" x14ac:dyDescent="0.25">
      <c r="A2733" s="83">
        <f t="shared" si="63"/>
        <v>53</v>
      </c>
      <c r="B2733" s="89"/>
    </row>
    <row r="2734" spans="1:2" x14ac:dyDescent="0.25">
      <c r="A2734" s="83">
        <f t="shared" si="63"/>
        <v>53</v>
      </c>
      <c r="B2734" s="89"/>
    </row>
    <row r="2735" spans="1:2" x14ac:dyDescent="0.25">
      <c r="A2735" s="83">
        <f t="shared" si="63"/>
        <v>53</v>
      </c>
      <c r="B2735" s="89"/>
    </row>
    <row r="2736" spans="1:2" x14ac:dyDescent="0.25">
      <c r="A2736" s="83">
        <f t="shared" si="63"/>
        <v>53</v>
      </c>
      <c r="B2736" s="89"/>
    </row>
    <row r="2737" spans="1:2" x14ac:dyDescent="0.25">
      <c r="A2737" s="83">
        <f t="shared" si="63"/>
        <v>53</v>
      </c>
      <c r="B2737" s="89"/>
    </row>
    <row r="2738" spans="1:2" x14ac:dyDescent="0.25">
      <c r="A2738" s="83">
        <f t="shared" si="63"/>
        <v>53</v>
      </c>
      <c r="B2738" s="89"/>
    </row>
    <row r="2739" spans="1:2" x14ac:dyDescent="0.25">
      <c r="A2739" s="83">
        <f t="shared" si="63"/>
        <v>53</v>
      </c>
      <c r="B2739" s="89"/>
    </row>
    <row r="2740" spans="1:2" x14ac:dyDescent="0.25">
      <c r="A2740" s="83">
        <f t="shared" si="63"/>
        <v>53</v>
      </c>
      <c r="B2740" s="89"/>
    </row>
    <row r="2741" spans="1:2" x14ac:dyDescent="0.25">
      <c r="A2741" s="83">
        <f t="shared" si="63"/>
        <v>53</v>
      </c>
      <c r="B2741" s="89"/>
    </row>
    <row r="2742" spans="1:2" x14ac:dyDescent="0.25">
      <c r="A2742" s="83">
        <f t="shared" ref="A2742:A2805" si="64">WEEKNUM(B2742,21)</f>
        <v>53</v>
      </c>
      <c r="B2742" s="89"/>
    </row>
    <row r="2743" spans="1:2" x14ac:dyDescent="0.25">
      <c r="A2743" s="83">
        <f t="shared" si="64"/>
        <v>53</v>
      </c>
      <c r="B2743" s="89"/>
    </row>
    <row r="2744" spans="1:2" x14ac:dyDescent="0.25">
      <c r="A2744" s="83">
        <f t="shared" si="64"/>
        <v>53</v>
      </c>
      <c r="B2744" s="89"/>
    </row>
    <row r="2745" spans="1:2" x14ac:dyDescent="0.25">
      <c r="A2745" s="83">
        <f t="shared" si="64"/>
        <v>53</v>
      </c>
      <c r="B2745" s="89"/>
    </row>
    <row r="2746" spans="1:2" x14ac:dyDescent="0.25">
      <c r="A2746" s="83">
        <f t="shared" si="64"/>
        <v>53</v>
      </c>
      <c r="B2746" s="89"/>
    </row>
    <row r="2747" spans="1:2" x14ac:dyDescent="0.25">
      <c r="A2747" s="83">
        <f t="shared" si="64"/>
        <v>53</v>
      </c>
      <c r="B2747" s="89"/>
    </row>
    <row r="2748" spans="1:2" x14ac:dyDescent="0.25">
      <c r="A2748" s="83">
        <f t="shared" si="64"/>
        <v>53</v>
      </c>
      <c r="B2748" s="89"/>
    </row>
    <row r="2749" spans="1:2" x14ac:dyDescent="0.25">
      <c r="A2749" s="83">
        <f t="shared" si="64"/>
        <v>53</v>
      </c>
      <c r="B2749" s="89"/>
    </row>
    <row r="2750" spans="1:2" x14ac:dyDescent="0.25">
      <c r="A2750" s="83">
        <f t="shared" si="64"/>
        <v>53</v>
      </c>
      <c r="B2750" s="89"/>
    </row>
    <row r="2751" spans="1:2" x14ac:dyDescent="0.25">
      <c r="A2751" s="83">
        <f t="shared" si="64"/>
        <v>53</v>
      </c>
      <c r="B2751" s="89"/>
    </row>
    <row r="2752" spans="1:2" x14ac:dyDescent="0.25">
      <c r="A2752" s="83">
        <f t="shared" si="64"/>
        <v>53</v>
      </c>
      <c r="B2752" s="89"/>
    </row>
    <row r="2753" spans="1:2" x14ac:dyDescent="0.25">
      <c r="A2753" s="83">
        <f t="shared" si="64"/>
        <v>53</v>
      </c>
      <c r="B2753" s="89"/>
    </row>
    <row r="2754" spans="1:2" x14ac:dyDescent="0.25">
      <c r="A2754" s="83">
        <f t="shared" si="64"/>
        <v>53</v>
      </c>
      <c r="B2754" s="89"/>
    </row>
    <row r="2755" spans="1:2" x14ac:dyDescent="0.25">
      <c r="A2755" s="83">
        <f t="shared" si="64"/>
        <v>53</v>
      </c>
      <c r="B2755" s="89"/>
    </row>
    <row r="2756" spans="1:2" x14ac:dyDescent="0.25">
      <c r="A2756" s="83">
        <f t="shared" si="64"/>
        <v>53</v>
      </c>
      <c r="B2756" s="89"/>
    </row>
    <row r="2757" spans="1:2" x14ac:dyDescent="0.25">
      <c r="A2757" s="83">
        <f t="shared" si="64"/>
        <v>53</v>
      </c>
      <c r="B2757" s="89"/>
    </row>
    <row r="2758" spans="1:2" x14ac:dyDescent="0.25">
      <c r="A2758" s="83">
        <f t="shared" si="64"/>
        <v>53</v>
      </c>
      <c r="B2758" s="89"/>
    </row>
    <row r="2759" spans="1:2" x14ac:dyDescent="0.25">
      <c r="A2759" s="83">
        <f t="shared" si="64"/>
        <v>53</v>
      </c>
      <c r="B2759" s="89"/>
    </row>
    <row r="2760" spans="1:2" x14ac:dyDescent="0.25">
      <c r="A2760" s="83">
        <f t="shared" si="64"/>
        <v>53</v>
      </c>
      <c r="B2760" s="89"/>
    </row>
    <row r="2761" spans="1:2" x14ac:dyDescent="0.25">
      <c r="A2761" s="83">
        <f t="shared" si="64"/>
        <v>53</v>
      </c>
      <c r="B2761" s="89"/>
    </row>
    <row r="2762" spans="1:2" x14ac:dyDescent="0.25">
      <c r="A2762" s="83">
        <f t="shared" si="64"/>
        <v>53</v>
      </c>
      <c r="B2762" s="89"/>
    </row>
    <row r="2763" spans="1:2" x14ac:dyDescent="0.25">
      <c r="A2763" s="83">
        <f t="shared" si="64"/>
        <v>53</v>
      </c>
      <c r="B2763" s="89"/>
    </row>
    <row r="2764" spans="1:2" x14ac:dyDescent="0.25">
      <c r="A2764" s="83">
        <f t="shared" si="64"/>
        <v>53</v>
      </c>
      <c r="B2764" s="89"/>
    </row>
    <row r="2765" spans="1:2" x14ac:dyDescent="0.25">
      <c r="A2765" s="83">
        <f t="shared" si="64"/>
        <v>53</v>
      </c>
      <c r="B2765" s="89"/>
    </row>
    <row r="2766" spans="1:2" x14ac:dyDescent="0.25">
      <c r="A2766" s="83">
        <f t="shared" si="64"/>
        <v>53</v>
      </c>
    </row>
    <row r="2767" spans="1:2" x14ac:dyDescent="0.25">
      <c r="A2767" s="83">
        <f t="shared" si="64"/>
        <v>53</v>
      </c>
    </row>
    <row r="2768" spans="1:2" x14ac:dyDescent="0.25">
      <c r="A2768" s="83">
        <f t="shared" si="64"/>
        <v>53</v>
      </c>
    </row>
    <row r="2769" spans="1:1" x14ac:dyDescent="0.25">
      <c r="A2769" s="83">
        <f t="shared" si="64"/>
        <v>53</v>
      </c>
    </row>
    <row r="2770" spans="1:1" x14ac:dyDescent="0.25">
      <c r="A2770" s="83">
        <f t="shared" si="64"/>
        <v>53</v>
      </c>
    </row>
    <row r="2771" spans="1:1" x14ac:dyDescent="0.25">
      <c r="A2771" s="83">
        <f t="shared" si="64"/>
        <v>53</v>
      </c>
    </row>
    <row r="2772" spans="1:1" x14ac:dyDescent="0.25">
      <c r="A2772" s="83">
        <f t="shared" si="64"/>
        <v>53</v>
      </c>
    </row>
    <row r="2773" spans="1:1" x14ac:dyDescent="0.25">
      <c r="A2773" s="83">
        <f t="shared" si="64"/>
        <v>53</v>
      </c>
    </row>
    <row r="2774" spans="1:1" x14ac:dyDescent="0.25">
      <c r="A2774" s="83">
        <f t="shared" si="64"/>
        <v>53</v>
      </c>
    </row>
    <row r="2775" spans="1:1" x14ac:dyDescent="0.25">
      <c r="A2775" s="83">
        <f t="shared" si="64"/>
        <v>53</v>
      </c>
    </row>
    <row r="2776" spans="1:1" x14ac:dyDescent="0.25">
      <c r="A2776" s="83">
        <f t="shared" si="64"/>
        <v>53</v>
      </c>
    </row>
    <row r="2777" spans="1:1" x14ac:dyDescent="0.25">
      <c r="A2777" s="83">
        <f t="shared" si="64"/>
        <v>53</v>
      </c>
    </row>
    <row r="2778" spans="1:1" x14ac:dyDescent="0.25">
      <c r="A2778" s="83">
        <f t="shared" si="64"/>
        <v>53</v>
      </c>
    </row>
    <row r="2779" spans="1:1" x14ac:dyDescent="0.25">
      <c r="A2779" s="83">
        <f t="shared" si="64"/>
        <v>53</v>
      </c>
    </row>
    <row r="2780" spans="1:1" x14ac:dyDescent="0.25">
      <c r="A2780" s="83">
        <f t="shared" si="64"/>
        <v>53</v>
      </c>
    </row>
    <row r="2781" spans="1:1" x14ac:dyDescent="0.25">
      <c r="A2781" s="83">
        <f t="shared" si="64"/>
        <v>53</v>
      </c>
    </row>
    <row r="2782" spans="1:1" x14ac:dyDescent="0.25">
      <c r="A2782" s="83">
        <f t="shared" si="64"/>
        <v>53</v>
      </c>
    </row>
    <row r="2783" spans="1:1" x14ac:dyDescent="0.25">
      <c r="A2783" s="83">
        <f t="shared" si="64"/>
        <v>53</v>
      </c>
    </row>
    <row r="2784" spans="1:1" x14ac:dyDescent="0.25">
      <c r="A2784" s="83">
        <f t="shared" si="64"/>
        <v>53</v>
      </c>
    </row>
    <row r="2785" spans="1:1" x14ac:dyDescent="0.25">
      <c r="A2785" s="83">
        <f t="shared" si="64"/>
        <v>53</v>
      </c>
    </row>
    <row r="2786" spans="1:1" x14ac:dyDescent="0.25">
      <c r="A2786" s="83">
        <f t="shared" si="64"/>
        <v>53</v>
      </c>
    </row>
    <row r="2787" spans="1:1" x14ac:dyDescent="0.25">
      <c r="A2787" s="83">
        <f t="shared" si="64"/>
        <v>53</v>
      </c>
    </row>
    <row r="2788" spans="1:1" x14ac:dyDescent="0.25">
      <c r="A2788" s="83">
        <f t="shared" si="64"/>
        <v>53</v>
      </c>
    </row>
    <row r="2789" spans="1:1" x14ac:dyDescent="0.25">
      <c r="A2789" s="83">
        <f t="shared" si="64"/>
        <v>53</v>
      </c>
    </row>
    <row r="2790" spans="1:1" x14ac:dyDescent="0.25">
      <c r="A2790" s="83">
        <f t="shared" si="64"/>
        <v>53</v>
      </c>
    </row>
    <row r="2791" spans="1:1" x14ac:dyDescent="0.25">
      <c r="A2791" s="83">
        <f t="shared" si="64"/>
        <v>53</v>
      </c>
    </row>
    <row r="2792" spans="1:1" x14ac:dyDescent="0.25">
      <c r="A2792" s="83">
        <f t="shared" si="64"/>
        <v>53</v>
      </c>
    </row>
    <row r="2793" spans="1:1" x14ac:dyDescent="0.25">
      <c r="A2793" s="83">
        <f t="shared" si="64"/>
        <v>53</v>
      </c>
    </row>
    <row r="2794" spans="1:1" x14ac:dyDescent="0.25">
      <c r="A2794" s="83">
        <f t="shared" si="64"/>
        <v>53</v>
      </c>
    </row>
    <row r="2795" spans="1:1" x14ac:dyDescent="0.25">
      <c r="A2795" s="83">
        <f t="shared" si="64"/>
        <v>53</v>
      </c>
    </row>
    <row r="2796" spans="1:1" x14ac:dyDescent="0.25">
      <c r="A2796" s="83">
        <f t="shared" si="64"/>
        <v>53</v>
      </c>
    </row>
    <row r="2797" spans="1:1" x14ac:dyDescent="0.25">
      <c r="A2797" s="83">
        <f t="shared" si="64"/>
        <v>53</v>
      </c>
    </row>
    <row r="2798" spans="1:1" x14ac:dyDescent="0.25">
      <c r="A2798" s="83">
        <f t="shared" si="64"/>
        <v>53</v>
      </c>
    </row>
    <row r="2799" spans="1:1" x14ac:dyDescent="0.25">
      <c r="A2799" s="83">
        <f t="shared" si="64"/>
        <v>53</v>
      </c>
    </row>
    <row r="2800" spans="1:1" x14ac:dyDescent="0.25">
      <c r="A2800" s="83">
        <f t="shared" si="64"/>
        <v>53</v>
      </c>
    </row>
    <row r="2801" spans="1:1" x14ac:dyDescent="0.25">
      <c r="A2801" s="83">
        <f t="shared" si="64"/>
        <v>53</v>
      </c>
    </row>
    <row r="2802" spans="1:1" x14ac:dyDescent="0.25">
      <c r="A2802" s="83">
        <f t="shared" si="64"/>
        <v>53</v>
      </c>
    </row>
    <row r="2803" spans="1:1" x14ac:dyDescent="0.25">
      <c r="A2803" s="83">
        <f t="shared" si="64"/>
        <v>53</v>
      </c>
    </row>
    <row r="2804" spans="1:1" x14ac:dyDescent="0.25">
      <c r="A2804" s="83">
        <f t="shared" si="64"/>
        <v>53</v>
      </c>
    </row>
    <row r="2805" spans="1:1" x14ac:dyDescent="0.25">
      <c r="A2805" s="83">
        <f t="shared" si="64"/>
        <v>53</v>
      </c>
    </row>
    <row r="2806" spans="1:1" x14ac:dyDescent="0.25">
      <c r="A2806" s="83">
        <f t="shared" ref="A2806:A2869" si="65">WEEKNUM(B2806,21)</f>
        <v>53</v>
      </c>
    </row>
    <row r="2807" spans="1:1" x14ac:dyDescent="0.25">
      <c r="A2807" s="83">
        <f t="shared" si="65"/>
        <v>53</v>
      </c>
    </row>
    <row r="2808" spans="1:1" x14ac:dyDescent="0.25">
      <c r="A2808" s="83">
        <f t="shared" si="65"/>
        <v>53</v>
      </c>
    </row>
    <row r="2809" spans="1:1" x14ac:dyDescent="0.25">
      <c r="A2809" s="83">
        <f t="shared" si="65"/>
        <v>53</v>
      </c>
    </row>
    <row r="2810" spans="1:1" x14ac:dyDescent="0.25">
      <c r="A2810" s="83">
        <f t="shared" si="65"/>
        <v>53</v>
      </c>
    </row>
    <row r="2811" spans="1:1" x14ac:dyDescent="0.25">
      <c r="A2811" s="83">
        <f t="shared" si="65"/>
        <v>53</v>
      </c>
    </row>
    <row r="2812" spans="1:1" x14ac:dyDescent="0.25">
      <c r="A2812" s="83">
        <f t="shared" si="65"/>
        <v>53</v>
      </c>
    </row>
    <row r="2813" spans="1:1" x14ac:dyDescent="0.25">
      <c r="A2813" s="83">
        <f t="shared" si="65"/>
        <v>53</v>
      </c>
    </row>
    <row r="2814" spans="1:1" x14ac:dyDescent="0.25">
      <c r="A2814" s="83">
        <f t="shared" si="65"/>
        <v>53</v>
      </c>
    </row>
    <row r="2815" spans="1:1" x14ac:dyDescent="0.25">
      <c r="A2815" s="83">
        <f t="shared" si="65"/>
        <v>53</v>
      </c>
    </row>
    <row r="2816" spans="1:1" x14ac:dyDescent="0.25">
      <c r="A2816" s="83">
        <f t="shared" si="65"/>
        <v>53</v>
      </c>
    </row>
    <row r="2817" spans="1:1" x14ac:dyDescent="0.25">
      <c r="A2817" s="83">
        <f t="shared" si="65"/>
        <v>53</v>
      </c>
    </row>
    <row r="2818" spans="1:1" x14ac:dyDescent="0.25">
      <c r="A2818" s="83">
        <f t="shared" si="65"/>
        <v>53</v>
      </c>
    </row>
    <row r="2819" spans="1:1" x14ac:dyDescent="0.25">
      <c r="A2819" s="83">
        <f t="shared" si="65"/>
        <v>53</v>
      </c>
    </row>
    <row r="2820" spans="1:1" x14ac:dyDescent="0.25">
      <c r="A2820" s="83">
        <f t="shared" si="65"/>
        <v>53</v>
      </c>
    </row>
    <row r="2821" spans="1:1" x14ac:dyDescent="0.25">
      <c r="A2821" s="83">
        <f t="shared" si="65"/>
        <v>53</v>
      </c>
    </row>
    <row r="2822" spans="1:1" x14ac:dyDescent="0.25">
      <c r="A2822" s="83">
        <f t="shared" si="65"/>
        <v>53</v>
      </c>
    </row>
    <row r="2823" spans="1:1" x14ac:dyDescent="0.25">
      <c r="A2823" s="83">
        <f t="shared" si="65"/>
        <v>53</v>
      </c>
    </row>
    <row r="2824" spans="1:1" x14ac:dyDescent="0.25">
      <c r="A2824" s="83">
        <f t="shared" si="65"/>
        <v>53</v>
      </c>
    </row>
    <row r="2825" spans="1:1" x14ac:dyDescent="0.25">
      <c r="A2825" s="83">
        <f t="shared" si="65"/>
        <v>53</v>
      </c>
    </row>
    <row r="2826" spans="1:1" x14ac:dyDescent="0.25">
      <c r="A2826" s="83">
        <f t="shared" si="65"/>
        <v>53</v>
      </c>
    </row>
    <row r="2827" spans="1:1" x14ac:dyDescent="0.25">
      <c r="A2827" s="83">
        <f t="shared" si="65"/>
        <v>53</v>
      </c>
    </row>
    <row r="2828" spans="1:1" x14ac:dyDescent="0.25">
      <c r="A2828" s="83">
        <f t="shared" si="65"/>
        <v>53</v>
      </c>
    </row>
    <row r="2829" spans="1:1" x14ac:dyDescent="0.25">
      <c r="A2829" s="83">
        <f t="shared" si="65"/>
        <v>53</v>
      </c>
    </row>
    <row r="2830" spans="1:1" x14ac:dyDescent="0.25">
      <c r="A2830" s="83">
        <f t="shared" si="65"/>
        <v>53</v>
      </c>
    </row>
    <row r="2831" spans="1:1" x14ac:dyDescent="0.25">
      <c r="A2831" s="83">
        <f t="shared" si="65"/>
        <v>53</v>
      </c>
    </row>
    <row r="2832" spans="1:1" x14ac:dyDescent="0.25">
      <c r="A2832" s="83">
        <f t="shared" si="65"/>
        <v>53</v>
      </c>
    </row>
    <row r="2833" spans="1:1" x14ac:dyDescent="0.25">
      <c r="A2833" s="83">
        <f t="shared" si="65"/>
        <v>53</v>
      </c>
    </row>
    <row r="2834" spans="1:1" x14ac:dyDescent="0.25">
      <c r="A2834" s="83">
        <f t="shared" si="65"/>
        <v>53</v>
      </c>
    </row>
    <row r="2835" spans="1:1" x14ac:dyDescent="0.25">
      <c r="A2835" s="83">
        <f t="shared" si="65"/>
        <v>53</v>
      </c>
    </row>
    <row r="2836" spans="1:1" x14ac:dyDescent="0.25">
      <c r="A2836" s="83">
        <f t="shared" si="65"/>
        <v>53</v>
      </c>
    </row>
    <row r="2837" spans="1:1" x14ac:dyDescent="0.25">
      <c r="A2837" s="83">
        <f t="shared" si="65"/>
        <v>53</v>
      </c>
    </row>
    <row r="2838" spans="1:1" x14ac:dyDescent="0.25">
      <c r="A2838" s="83">
        <f t="shared" si="65"/>
        <v>53</v>
      </c>
    </row>
    <row r="2839" spans="1:1" x14ac:dyDescent="0.25">
      <c r="A2839" s="83">
        <f t="shared" si="65"/>
        <v>53</v>
      </c>
    </row>
    <row r="2840" spans="1:1" x14ac:dyDescent="0.25">
      <c r="A2840" s="83">
        <f t="shared" si="65"/>
        <v>53</v>
      </c>
    </row>
    <row r="2841" spans="1:1" x14ac:dyDescent="0.25">
      <c r="A2841" s="83">
        <f t="shared" si="65"/>
        <v>53</v>
      </c>
    </row>
    <row r="2842" spans="1:1" x14ac:dyDescent="0.25">
      <c r="A2842" s="83">
        <f t="shared" si="65"/>
        <v>53</v>
      </c>
    </row>
    <row r="2843" spans="1:1" x14ac:dyDescent="0.25">
      <c r="A2843" s="83">
        <f t="shared" si="65"/>
        <v>53</v>
      </c>
    </row>
    <row r="2844" spans="1:1" x14ac:dyDescent="0.25">
      <c r="A2844" s="83">
        <f t="shared" si="65"/>
        <v>53</v>
      </c>
    </row>
    <row r="2845" spans="1:1" x14ac:dyDescent="0.25">
      <c r="A2845" s="83">
        <f t="shared" si="65"/>
        <v>53</v>
      </c>
    </row>
    <row r="2846" spans="1:1" x14ac:dyDescent="0.25">
      <c r="A2846" s="83">
        <f t="shared" si="65"/>
        <v>53</v>
      </c>
    </row>
    <row r="2847" spans="1:1" x14ac:dyDescent="0.25">
      <c r="A2847" s="83">
        <f t="shared" si="65"/>
        <v>53</v>
      </c>
    </row>
    <row r="2848" spans="1:1" x14ac:dyDescent="0.25">
      <c r="A2848" s="83">
        <f t="shared" si="65"/>
        <v>53</v>
      </c>
    </row>
    <row r="2849" spans="1:1" x14ac:dyDescent="0.25">
      <c r="A2849" s="83">
        <f t="shared" si="65"/>
        <v>53</v>
      </c>
    </row>
    <row r="2850" spans="1:1" x14ac:dyDescent="0.25">
      <c r="A2850" s="83">
        <f t="shared" si="65"/>
        <v>53</v>
      </c>
    </row>
    <row r="2851" spans="1:1" x14ac:dyDescent="0.25">
      <c r="A2851" s="83">
        <f t="shared" si="65"/>
        <v>53</v>
      </c>
    </row>
    <row r="2852" spans="1:1" x14ac:dyDescent="0.25">
      <c r="A2852" s="83">
        <f t="shared" si="65"/>
        <v>53</v>
      </c>
    </row>
    <row r="2853" spans="1:1" x14ac:dyDescent="0.25">
      <c r="A2853" s="83">
        <f t="shared" si="65"/>
        <v>53</v>
      </c>
    </row>
    <row r="2854" spans="1:1" x14ac:dyDescent="0.25">
      <c r="A2854" s="83">
        <f t="shared" si="65"/>
        <v>53</v>
      </c>
    </row>
    <row r="2855" spans="1:1" x14ac:dyDescent="0.25">
      <c r="A2855" s="83">
        <f t="shared" si="65"/>
        <v>53</v>
      </c>
    </row>
    <row r="2856" spans="1:1" x14ac:dyDescent="0.25">
      <c r="A2856" s="83">
        <f t="shared" si="65"/>
        <v>53</v>
      </c>
    </row>
    <row r="2857" spans="1:1" x14ac:dyDescent="0.25">
      <c r="A2857" s="83">
        <f t="shared" si="65"/>
        <v>53</v>
      </c>
    </row>
    <row r="2858" spans="1:1" x14ac:dyDescent="0.25">
      <c r="A2858" s="83">
        <f t="shared" si="65"/>
        <v>53</v>
      </c>
    </row>
    <row r="2859" spans="1:1" x14ac:dyDescent="0.25">
      <c r="A2859" s="83">
        <f t="shared" si="65"/>
        <v>53</v>
      </c>
    </row>
    <row r="2860" spans="1:1" x14ac:dyDescent="0.25">
      <c r="A2860" s="83">
        <f t="shared" si="65"/>
        <v>53</v>
      </c>
    </row>
    <row r="2861" spans="1:1" x14ac:dyDescent="0.25">
      <c r="A2861" s="83">
        <f t="shared" si="65"/>
        <v>53</v>
      </c>
    </row>
    <row r="2862" spans="1:1" x14ac:dyDescent="0.25">
      <c r="A2862" s="83">
        <f t="shared" si="65"/>
        <v>53</v>
      </c>
    </row>
    <row r="2863" spans="1:1" x14ac:dyDescent="0.25">
      <c r="A2863" s="83">
        <f t="shared" si="65"/>
        <v>53</v>
      </c>
    </row>
    <row r="2864" spans="1:1" x14ac:dyDescent="0.25">
      <c r="A2864" s="83">
        <f t="shared" si="65"/>
        <v>53</v>
      </c>
    </row>
    <row r="2865" spans="1:1" x14ac:dyDescent="0.25">
      <c r="A2865" s="83">
        <f t="shared" si="65"/>
        <v>53</v>
      </c>
    </row>
    <row r="2866" spans="1:1" x14ac:dyDescent="0.25">
      <c r="A2866" s="83">
        <f t="shared" si="65"/>
        <v>53</v>
      </c>
    </row>
    <row r="2867" spans="1:1" x14ac:dyDescent="0.25">
      <c r="A2867" s="83">
        <f t="shared" si="65"/>
        <v>53</v>
      </c>
    </row>
    <row r="2868" spans="1:1" x14ac:dyDescent="0.25">
      <c r="A2868" s="83">
        <f t="shared" si="65"/>
        <v>53</v>
      </c>
    </row>
    <row r="2869" spans="1:1" x14ac:dyDescent="0.25">
      <c r="A2869" s="83">
        <f t="shared" si="65"/>
        <v>53</v>
      </c>
    </row>
    <row r="2870" spans="1:1" x14ac:dyDescent="0.25">
      <c r="A2870" s="83">
        <f t="shared" ref="A2870:A2933" si="66">WEEKNUM(B2870,21)</f>
        <v>53</v>
      </c>
    </row>
    <row r="2871" spans="1:1" x14ac:dyDescent="0.25">
      <c r="A2871" s="83">
        <f t="shared" si="66"/>
        <v>53</v>
      </c>
    </row>
    <row r="2872" spans="1:1" x14ac:dyDescent="0.25">
      <c r="A2872" s="83">
        <f t="shared" si="66"/>
        <v>53</v>
      </c>
    </row>
    <row r="2873" spans="1:1" x14ac:dyDescent="0.25">
      <c r="A2873" s="83">
        <f t="shared" si="66"/>
        <v>53</v>
      </c>
    </row>
    <row r="2874" spans="1:1" x14ac:dyDescent="0.25">
      <c r="A2874" s="83">
        <f t="shared" si="66"/>
        <v>53</v>
      </c>
    </row>
    <row r="2875" spans="1:1" x14ac:dyDescent="0.25">
      <c r="A2875" s="83">
        <f t="shared" si="66"/>
        <v>53</v>
      </c>
    </row>
    <row r="2876" spans="1:1" x14ac:dyDescent="0.25">
      <c r="A2876" s="83">
        <f t="shared" si="66"/>
        <v>53</v>
      </c>
    </row>
    <row r="2877" spans="1:1" x14ac:dyDescent="0.25">
      <c r="A2877" s="83">
        <f t="shared" si="66"/>
        <v>53</v>
      </c>
    </row>
    <row r="2878" spans="1:1" x14ac:dyDescent="0.25">
      <c r="A2878" s="83">
        <f t="shared" si="66"/>
        <v>53</v>
      </c>
    </row>
    <row r="2879" spans="1:1" x14ac:dyDescent="0.25">
      <c r="A2879" s="83">
        <f t="shared" si="66"/>
        <v>53</v>
      </c>
    </row>
    <row r="2880" spans="1:1" x14ac:dyDescent="0.25">
      <c r="A2880" s="83">
        <f t="shared" si="66"/>
        <v>53</v>
      </c>
    </row>
    <row r="2881" spans="1:1" x14ac:dyDescent="0.25">
      <c r="A2881" s="83">
        <f t="shared" si="66"/>
        <v>53</v>
      </c>
    </row>
    <row r="2882" spans="1:1" x14ac:dyDescent="0.25">
      <c r="A2882" s="83">
        <f t="shared" si="66"/>
        <v>53</v>
      </c>
    </row>
    <row r="2883" spans="1:1" x14ac:dyDescent="0.25">
      <c r="A2883" s="83">
        <f t="shared" si="66"/>
        <v>53</v>
      </c>
    </row>
    <row r="2884" spans="1:1" x14ac:dyDescent="0.25">
      <c r="A2884" s="83">
        <f t="shared" si="66"/>
        <v>53</v>
      </c>
    </row>
    <row r="2885" spans="1:1" x14ac:dyDescent="0.25">
      <c r="A2885" s="83">
        <f t="shared" si="66"/>
        <v>53</v>
      </c>
    </row>
    <row r="2886" spans="1:1" x14ac:dyDescent="0.25">
      <c r="A2886" s="83">
        <f t="shared" si="66"/>
        <v>53</v>
      </c>
    </row>
    <row r="2887" spans="1:1" x14ac:dyDescent="0.25">
      <c r="A2887" s="83">
        <f t="shared" si="66"/>
        <v>53</v>
      </c>
    </row>
    <row r="2888" spans="1:1" x14ac:dyDescent="0.25">
      <c r="A2888" s="83">
        <f t="shared" si="66"/>
        <v>53</v>
      </c>
    </row>
    <row r="2889" spans="1:1" x14ac:dyDescent="0.25">
      <c r="A2889" s="83">
        <f t="shared" si="66"/>
        <v>53</v>
      </c>
    </row>
    <row r="2890" spans="1:1" x14ac:dyDescent="0.25">
      <c r="A2890" s="83">
        <f t="shared" si="66"/>
        <v>53</v>
      </c>
    </row>
    <row r="2891" spans="1:1" x14ac:dyDescent="0.25">
      <c r="A2891" s="83">
        <f t="shared" si="66"/>
        <v>53</v>
      </c>
    </row>
    <row r="2892" spans="1:1" x14ac:dyDescent="0.25">
      <c r="A2892" s="83">
        <f t="shared" si="66"/>
        <v>53</v>
      </c>
    </row>
    <row r="2893" spans="1:1" x14ac:dyDescent="0.25">
      <c r="A2893" s="83">
        <f t="shared" si="66"/>
        <v>53</v>
      </c>
    </row>
    <row r="2894" spans="1:1" x14ac:dyDescent="0.25">
      <c r="A2894" s="83">
        <f t="shared" si="66"/>
        <v>53</v>
      </c>
    </row>
    <row r="2895" spans="1:1" x14ac:dyDescent="0.25">
      <c r="A2895" s="83">
        <f t="shared" si="66"/>
        <v>53</v>
      </c>
    </row>
    <row r="2896" spans="1:1" x14ac:dyDescent="0.25">
      <c r="A2896" s="83">
        <f t="shared" si="66"/>
        <v>53</v>
      </c>
    </row>
    <row r="2897" spans="1:1" x14ac:dyDescent="0.25">
      <c r="A2897" s="83">
        <f t="shared" si="66"/>
        <v>53</v>
      </c>
    </row>
    <row r="2898" spans="1:1" x14ac:dyDescent="0.25">
      <c r="A2898" s="83">
        <f t="shared" si="66"/>
        <v>53</v>
      </c>
    </row>
    <row r="2899" spans="1:1" x14ac:dyDescent="0.25">
      <c r="A2899" s="83">
        <f t="shared" si="66"/>
        <v>53</v>
      </c>
    </row>
    <row r="2900" spans="1:1" x14ac:dyDescent="0.25">
      <c r="A2900" s="83">
        <f t="shared" si="66"/>
        <v>53</v>
      </c>
    </row>
    <row r="2901" spans="1:1" x14ac:dyDescent="0.25">
      <c r="A2901" s="83">
        <f t="shared" si="66"/>
        <v>53</v>
      </c>
    </row>
    <row r="2902" spans="1:1" x14ac:dyDescent="0.25">
      <c r="A2902" s="83">
        <f t="shared" si="66"/>
        <v>53</v>
      </c>
    </row>
    <row r="2903" spans="1:1" x14ac:dyDescent="0.25">
      <c r="A2903" s="83">
        <f t="shared" si="66"/>
        <v>53</v>
      </c>
    </row>
    <row r="2904" spans="1:1" x14ac:dyDescent="0.25">
      <c r="A2904" s="83">
        <f t="shared" si="66"/>
        <v>53</v>
      </c>
    </row>
    <row r="2905" spans="1:1" x14ac:dyDescent="0.25">
      <c r="A2905" s="83">
        <f t="shared" si="66"/>
        <v>53</v>
      </c>
    </row>
    <row r="2906" spans="1:1" x14ac:dyDescent="0.25">
      <c r="A2906" s="83">
        <f t="shared" si="66"/>
        <v>53</v>
      </c>
    </row>
    <row r="2907" spans="1:1" x14ac:dyDescent="0.25">
      <c r="A2907" s="83">
        <f t="shared" si="66"/>
        <v>53</v>
      </c>
    </row>
    <row r="2908" spans="1:1" x14ac:dyDescent="0.25">
      <c r="A2908" s="83">
        <f t="shared" si="66"/>
        <v>53</v>
      </c>
    </row>
    <row r="2909" spans="1:1" x14ac:dyDescent="0.25">
      <c r="A2909" s="83">
        <f t="shared" si="66"/>
        <v>53</v>
      </c>
    </row>
    <row r="2910" spans="1:1" x14ac:dyDescent="0.25">
      <c r="A2910" s="83">
        <f t="shared" si="66"/>
        <v>53</v>
      </c>
    </row>
    <row r="2911" spans="1:1" x14ac:dyDescent="0.25">
      <c r="A2911" s="83">
        <f t="shared" si="66"/>
        <v>53</v>
      </c>
    </row>
    <row r="2912" spans="1:1" x14ac:dyDescent="0.25">
      <c r="A2912" s="83">
        <f t="shared" si="66"/>
        <v>53</v>
      </c>
    </row>
    <row r="2913" spans="1:1" x14ac:dyDescent="0.25">
      <c r="A2913" s="83">
        <f t="shared" si="66"/>
        <v>53</v>
      </c>
    </row>
    <row r="2914" spans="1:1" x14ac:dyDescent="0.25">
      <c r="A2914" s="83">
        <f t="shared" si="66"/>
        <v>53</v>
      </c>
    </row>
    <row r="2915" spans="1:1" x14ac:dyDescent="0.25">
      <c r="A2915" s="83">
        <f t="shared" si="66"/>
        <v>53</v>
      </c>
    </row>
    <row r="2916" spans="1:1" x14ac:dyDescent="0.25">
      <c r="A2916" s="83">
        <f t="shared" si="66"/>
        <v>53</v>
      </c>
    </row>
    <row r="2917" spans="1:1" x14ac:dyDescent="0.25">
      <c r="A2917" s="83">
        <f t="shared" si="66"/>
        <v>53</v>
      </c>
    </row>
    <row r="2918" spans="1:1" x14ac:dyDescent="0.25">
      <c r="A2918" s="83">
        <f t="shared" si="66"/>
        <v>53</v>
      </c>
    </row>
    <row r="2919" spans="1:1" x14ac:dyDescent="0.25">
      <c r="A2919" s="83">
        <f t="shared" si="66"/>
        <v>53</v>
      </c>
    </row>
    <row r="2920" spans="1:1" x14ac:dyDescent="0.25">
      <c r="A2920" s="83">
        <f t="shared" si="66"/>
        <v>53</v>
      </c>
    </row>
    <row r="2921" spans="1:1" x14ac:dyDescent="0.25">
      <c r="A2921" s="83">
        <f t="shared" si="66"/>
        <v>53</v>
      </c>
    </row>
    <row r="2922" spans="1:1" x14ac:dyDescent="0.25">
      <c r="A2922" s="83">
        <f t="shared" si="66"/>
        <v>53</v>
      </c>
    </row>
    <row r="2923" spans="1:1" x14ac:dyDescent="0.25">
      <c r="A2923" s="83">
        <f t="shared" si="66"/>
        <v>53</v>
      </c>
    </row>
    <row r="2924" spans="1:1" x14ac:dyDescent="0.25">
      <c r="A2924" s="83">
        <f t="shared" si="66"/>
        <v>53</v>
      </c>
    </row>
    <row r="2925" spans="1:1" x14ac:dyDescent="0.25">
      <c r="A2925" s="83">
        <f t="shared" si="66"/>
        <v>53</v>
      </c>
    </row>
    <row r="2926" spans="1:1" x14ac:dyDescent="0.25">
      <c r="A2926" s="83">
        <f t="shared" si="66"/>
        <v>53</v>
      </c>
    </row>
    <row r="2927" spans="1:1" x14ac:dyDescent="0.25">
      <c r="A2927" s="83">
        <f t="shared" si="66"/>
        <v>53</v>
      </c>
    </row>
    <row r="2928" spans="1:1" x14ac:dyDescent="0.25">
      <c r="A2928" s="83">
        <f t="shared" si="66"/>
        <v>53</v>
      </c>
    </row>
    <row r="2929" spans="1:1" x14ac:dyDescent="0.25">
      <c r="A2929" s="83">
        <f t="shared" si="66"/>
        <v>53</v>
      </c>
    </row>
    <row r="2930" spans="1:1" x14ac:dyDescent="0.25">
      <c r="A2930" s="83">
        <f t="shared" si="66"/>
        <v>53</v>
      </c>
    </row>
    <row r="2931" spans="1:1" x14ac:dyDescent="0.25">
      <c r="A2931" s="83">
        <f t="shared" si="66"/>
        <v>53</v>
      </c>
    </row>
    <row r="2932" spans="1:1" x14ac:dyDescent="0.25">
      <c r="A2932" s="83">
        <f t="shared" si="66"/>
        <v>53</v>
      </c>
    </row>
    <row r="2933" spans="1:1" x14ac:dyDescent="0.25">
      <c r="A2933" s="83">
        <f t="shared" si="66"/>
        <v>53</v>
      </c>
    </row>
    <row r="2934" spans="1:1" x14ac:dyDescent="0.25">
      <c r="A2934" s="83">
        <f t="shared" ref="A2934:A2997" si="67">WEEKNUM(B2934,21)</f>
        <v>53</v>
      </c>
    </row>
    <row r="2935" spans="1:1" x14ac:dyDescent="0.25">
      <c r="A2935" s="83">
        <f t="shared" si="67"/>
        <v>53</v>
      </c>
    </row>
    <row r="2936" spans="1:1" x14ac:dyDescent="0.25">
      <c r="A2936" s="83">
        <f t="shared" si="67"/>
        <v>53</v>
      </c>
    </row>
    <row r="2937" spans="1:1" x14ac:dyDescent="0.25">
      <c r="A2937" s="83">
        <f t="shared" si="67"/>
        <v>53</v>
      </c>
    </row>
    <row r="2938" spans="1:1" x14ac:dyDescent="0.25">
      <c r="A2938" s="83">
        <f t="shared" si="67"/>
        <v>53</v>
      </c>
    </row>
    <row r="2939" spans="1:1" x14ac:dyDescent="0.25">
      <c r="A2939" s="83">
        <f t="shared" si="67"/>
        <v>53</v>
      </c>
    </row>
    <row r="2940" spans="1:1" x14ac:dyDescent="0.25">
      <c r="A2940" s="83">
        <f t="shared" si="67"/>
        <v>53</v>
      </c>
    </row>
    <row r="2941" spans="1:1" x14ac:dyDescent="0.25">
      <c r="A2941" s="83">
        <f t="shared" si="67"/>
        <v>53</v>
      </c>
    </row>
    <row r="2942" spans="1:1" x14ac:dyDescent="0.25">
      <c r="A2942" s="83">
        <f t="shared" si="67"/>
        <v>53</v>
      </c>
    </row>
    <row r="2943" spans="1:1" x14ac:dyDescent="0.25">
      <c r="A2943" s="83">
        <f t="shared" si="67"/>
        <v>53</v>
      </c>
    </row>
    <row r="2944" spans="1:1" x14ac:dyDescent="0.25">
      <c r="A2944" s="83">
        <f t="shared" si="67"/>
        <v>53</v>
      </c>
    </row>
    <row r="2945" spans="1:1" x14ac:dyDescent="0.25">
      <c r="A2945" s="83">
        <f t="shared" si="67"/>
        <v>53</v>
      </c>
    </row>
    <row r="2946" spans="1:1" x14ac:dyDescent="0.25">
      <c r="A2946" s="83">
        <f t="shared" si="67"/>
        <v>53</v>
      </c>
    </row>
    <row r="2947" spans="1:1" x14ac:dyDescent="0.25">
      <c r="A2947" s="83">
        <f t="shared" si="67"/>
        <v>53</v>
      </c>
    </row>
    <row r="2948" spans="1:1" x14ac:dyDescent="0.25">
      <c r="A2948" s="83">
        <f t="shared" si="67"/>
        <v>53</v>
      </c>
    </row>
    <row r="2949" spans="1:1" x14ac:dyDescent="0.25">
      <c r="A2949" s="83">
        <f t="shared" si="67"/>
        <v>53</v>
      </c>
    </row>
    <row r="2950" spans="1:1" x14ac:dyDescent="0.25">
      <c r="A2950" s="83">
        <f t="shared" si="67"/>
        <v>53</v>
      </c>
    </row>
    <row r="2951" spans="1:1" x14ac:dyDescent="0.25">
      <c r="A2951" s="83">
        <f t="shared" si="67"/>
        <v>53</v>
      </c>
    </row>
    <row r="2952" spans="1:1" x14ac:dyDescent="0.25">
      <c r="A2952" s="83">
        <f t="shared" si="67"/>
        <v>53</v>
      </c>
    </row>
    <row r="2953" spans="1:1" x14ac:dyDescent="0.25">
      <c r="A2953" s="83">
        <f t="shared" si="67"/>
        <v>53</v>
      </c>
    </row>
    <row r="2954" spans="1:1" x14ac:dyDescent="0.25">
      <c r="A2954" s="83">
        <f t="shared" si="67"/>
        <v>53</v>
      </c>
    </row>
    <row r="2955" spans="1:1" x14ac:dyDescent="0.25">
      <c r="A2955" s="83">
        <f t="shared" si="67"/>
        <v>53</v>
      </c>
    </row>
    <row r="2956" spans="1:1" x14ac:dyDescent="0.25">
      <c r="A2956" s="83">
        <f t="shared" si="67"/>
        <v>53</v>
      </c>
    </row>
    <row r="2957" spans="1:1" x14ac:dyDescent="0.25">
      <c r="A2957" s="83">
        <f t="shared" si="67"/>
        <v>53</v>
      </c>
    </row>
    <row r="2958" spans="1:1" x14ac:dyDescent="0.25">
      <c r="A2958" s="83">
        <f t="shared" si="67"/>
        <v>53</v>
      </c>
    </row>
    <row r="2959" spans="1:1" x14ac:dyDescent="0.25">
      <c r="A2959" s="83">
        <f t="shared" si="67"/>
        <v>53</v>
      </c>
    </row>
    <row r="2960" spans="1:1" x14ac:dyDescent="0.25">
      <c r="A2960" s="83">
        <f t="shared" si="67"/>
        <v>53</v>
      </c>
    </row>
    <row r="2961" spans="1:1" x14ac:dyDescent="0.25">
      <c r="A2961" s="83">
        <f t="shared" si="67"/>
        <v>53</v>
      </c>
    </row>
    <row r="2962" spans="1:1" x14ac:dyDescent="0.25">
      <c r="A2962" s="83">
        <f t="shared" si="67"/>
        <v>53</v>
      </c>
    </row>
    <row r="2963" spans="1:1" x14ac:dyDescent="0.25">
      <c r="A2963" s="83">
        <f t="shared" si="67"/>
        <v>53</v>
      </c>
    </row>
    <row r="2964" spans="1:1" x14ac:dyDescent="0.25">
      <c r="A2964" s="83">
        <f t="shared" si="67"/>
        <v>53</v>
      </c>
    </row>
    <row r="2965" spans="1:1" x14ac:dyDescent="0.25">
      <c r="A2965" s="83">
        <f t="shared" si="67"/>
        <v>53</v>
      </c>
    </row>
    <row r="2966" spans="1:1" x14ac:dyDescent="0.25">
      <c r="A2966" s="83">
        <f t="shared" si="67"/>
        <v>53</v>
      </c>
    </row>
    <row r="2967" spans="1:1" x14ac:dyDescent="0.25">
      <c r="A2967" s="83">
        <f t="shared" si="67"/>
        <v>53</v>
      </c>
    </row>
    <row r="2968" spans="1:1" x14ac:dyDescent="0.25">
      <c r="A2968" s="83">
        <f t="shared" si="67"/>
        <v>53</v>
      </c>
    </row>
    <row r="2969" spans="1:1" x14ac:dyDescent="0.25">
      <c r="A2969" s="83">
        <f t="shared" si="67"/>
        <v>53</v>
      </c>
    </row>
    <row r="2970" spans="1:1" x14ac:dyDescent="0.25">
      <c r="A2970" s="83">
        <f t="shared" si="67"/>
        <v>53</v>
      </c>
    </row>
    <row r="2971" spans="1:1" x14ac:dyDescent="0.25">
      <c r="A2971" s="83">
        <f t="shared" si="67"/>
        <v>53</v>
      </c>
    </row>
    <row r="2972" spans="1:1" x14ac:dyDescent="0.25">
      <c r="A2972" s="83">
        <f t="shared" si="67"/>
        <v>53</v>
      </c>
    </row>
    <row r="2973" spans="1:1" x14ac:dyDescent="0.25">
      <c r="A2973" s="83">
        <f t="shared" si="67"/>
        <v>53</v>
      </c>
    </row>
    <row r="2974" spans="1:1" x14ac:dyDescent="0.25">
      <c r="A2974" s="83">
        <f t="shared" si="67"/>
        <v>53</v>
      </c>
    </row>
    <row r="2975" spans="1:1" x14ac:dyDescent="0.25">
      <c r="A2975" s="83">
        <f t="shared" si="67"/>
        <v>53</v>
      </c>
    </row>
    <row r="2976" spans="1:1" x14ac:dyDescent="0.25">
      <c r="A2976" s="83">
        <f t="shared" si="67"/>
        <v>53</v>
      </c>
    </row>
    <row r="2977" spans="1:1" x14ac:dyDescent="0.25">
      <c r="A2977" s="83">
        <f t="shared" si="67"/>
        <v>53</v>
      </c>
    </row>
    <row r="2978" spans="1:1" x14ac:dyDescent="0.25">
      <c r="A2978" s="83">
        <f t="shared" si="67"/>
        <v>53</v>
      </c>
    </row>
    <row r="2979" spans="1:1" x14ac:dyDescent="0.25">
      <c r="A2979" s="83">
        <f t="shared" si="67"/>
        <v>53</v>
      </c>
    </row>
    <row r="2980" spans="1:1" x14ac:dyDescent="0.25">
      <c r="A2980" s="83">
        <f t="shared" si="67"/>
        <v>53</v>
      </c>
    </row>
    <row r="2981" spans="1:1" x14ac:dyDescent="0.25">
      <c r="A2981" s="83">
        <f t="shared" si="67"/>
        <v>53</v>
      </c>
    </row>
    <row r="2982" spans="1:1" x14ac:dyDescent="0.25">
      <c r="A2982" s="83">
        <f t="shared" si="67"/>
        <v>53</v>
      </c>
    </row>
    <row r="2983" spans="1:1" x14ac:dyDescent="0.25">
      <c r="A2983" s="83">
        <f t="shared" si="67"/>
        <v>53</v>
      </c>
    </row>
    <row r="2984" spans="1:1" x14ac:dyDescent="0.25">
      <c r="A2984" s="83">
        <f t="shared" si="67"/>
        <v>53</v>
      </c>
    </row>
    <row r="2985" spans="1:1" x14ac:dyDescent="0.25">
      <c r="A2985" s="83">
        <f t="shared" si="67"/>
        <v>53</v>
      </c>
    </row>
    <row r="2986" spans="1:1" x14ac:dyDescent="0.25">
      <c r="A2986" s="83">
        <f t="shared" si="67"/>
        <v>53</v>
      </c>
    </row>
    <row r="2987" spans="1:1" x14ac:dyDescent="0.25">
      <c r="A2987" s="83">
        <f t="shared" si="67"/>
        <v>53</v>
      </c>
    </row>
    <row r="2988" spans="1:1" x14ac:dyDescent="0.25">
      <c r="A2988" s="83">
        <f t="shared" si="67"/>
        <v>53</v>
      </c>
    </row>
    <row r="2989" spans="1:1" x14ac:dyDescent="0.25">
      <c r="A2989" s="83">
        <f t="shared" si="67"/>
        <v>53</v>
      </c>
    </row>
    <row r="2990" spans="1:1" x14ac:dyDescent="0.25">
      <c r="A2990" s="83">
        <f t="shared" si="67"/>
        <v>53</v>
      </c>
    </row>
    <row r="2991" spans="1:1" x14ac:dyDescent="0.25">
      <c r="A2991" s="83">
        <f t="shared" si="67"/>
        <v>53</v>
      </c>
    </row>
    <row r="2992" spans="1:1" x14ac:dyDescent="0.25">
      <c r="A2992" s="83">
        <f t="shared" si="67"/>
        <v>53</v>
      </c>
    </row>
    <row r="2993" spans="1:1" x14ac:dyDescent="0.25">
      <c r="A2993" s="83">
        <f t="shared" si="67"/>
        <v>53</v>
      </c>
    </row>
    <row r="2994" spans="1:1" x14ac:dyDescent="0.25">
      <c r="A2994" s="83">
        <f t="shared" si="67"/>
        <v>53</v>
      </c>
    </row>
    <row r="2995" spans="1:1" x14ac:dyDescent="0.25">
      <c r="A2995" s="83">
        <f t="shared" si="67"/>
        <v>53</v>
      </c>
    </row>
    <row r="2996" spans="1:1" x14ac:dyDescent="0.25">
      <c r="A2996" s="83">
        <f t="shared" si="67"/>
        <v>53</v>
      </c>
    </row>
    <row r="2997" spans="1:1" x14ac:dyDescent="0.25">
      <c r="A2997" s="83">
        <f t="shared" si="67"/>
        <v>53</v>
      </c>
    </row>
    <row r="2998" spans="1:1" x14ac:dyDescent="0.25">
      <c r="A2998" s="83">
        <f t="shared" ref="A2998:A3061" si="68">WEEKNUM(B2998,21)</f>
        <v>53</v>
      </c>
    </row>
    <row r="2999" spans="1:1" x14ac:dyDescent="0.25">
      <c r="A2999" s="83">
        <f t="shared" si="68"/>
        <v>53</v>
      </c>
    </row>
    <row r="3000" spans="1:1" x14ac:dyDescent="0.25">
      <c r="A3000" s="83">
        <f t="shared" si="68"/>
        <v>53</v>
      </c>
    </row>
    <row r="3001" spans="1:1" x14ac:dyDescent="0.25">
      <c r="A3001" s="83">
        <f t="shared" si="68"/>
        <v>53</v>
      </c>
    </row>
    <row r="3002" spans="1:1" x14ac:dyDescent="0.25">
      <c r="A3002" s="83">
        <f t="shared" si="68"/>
        <v>53</v>
      </c>
    </row>
    <row r="3003" spans="1:1" x14ac:dyDescent="0.25">
      <c r="A3003" s="83">
        <f t="shared" si="68"/>
        <v>53</v>
      </c>
    </row>
    <row r="3004" spans="1:1" x14ac:dyDescent="0.25">
      <c r="A3004" s="83">
        <f t="shared" si="68"/>
        <v>53</v>
      </c>
    </row>
    <row r="3005" spans="1:1" x14ac:dyDescent="0.25">
      <c r="A3005" s="83">
        <f t="shared" si="68"/>
        <v>53</v>
      </c>
    </row>
    <row r="3006" spans="1:1" x14ac:dyDescent="0.25">
      <c r="A3006" s="83">
        <f t="shared" si="68"/>
        <v>53</v>
      </c>
    </row>
    <row r="3007" spans="1:1" x14ac:dyDescent="0.25">
      <c r="A3007" s="83">
        <f t="shared" si="68"/>
        <v>53</v>
      </c>
    </row>
    <row r="3008" spans="1:1" x14ac:dyDescent="0.25">
      <c r="A3008" s="83">
        <f t="shared" si="68"/>
        <v>53</v>
      </c>
    </row>
    <row r="3009" spans="1:1" x14ac:dyDescent="0.25">
      <c r="A3009" s="83">
        <f t="shared" si="68"/>
        <v>53</v>
      </c>
    </row>
    <row r="3010" spans="1:1" x14ac:dyDescent="0.25">
      <c r="A3010" s="83">
        <f t="shared" si="68"/>
        <v>53</v>
      </c>
    </row>
    <row r="3011" spans="1:1" x14ac:dyDescent="0.25">
      <c r="A3011" s="83">
        <f t="shared" si="68"/>
        <v>53</v>
      </c>
    </row>
    <row r="3012" spans="1:1" x14ac:dyDescent="0.25">
      <c r="A3012" s="83">
        <f t="shared" si="68"/>
        <v>53</v>
      </c>
    </row>
    <row r="3013" spans="1:1" x14ac:dyDescent="0.25">
      <c r="A3013" s="83">
        <f t="shared" si="68"/>
        <v>53</v>
      </c>
    </row>
    <row r="3014" spans="1:1" x14ac:dyDescent="0.25">
      <c r="A3014" s="83">
        <f t="shared" si="68"/>
        <v>53</v>
      </c>
    </row>
    <row r="3015" spans="1:1" x14ac:dyDescent="0.25">
      <c r="A3015" s="83">
        <f t="shared" si="68"/>
        <v>53</v>
      </c>
    </row>
    <row r="3016" spans="1:1" x14ac:dyDescent="0.25">
      <c r="A3016" s="83">
        <f t="shared" si="68"/>
        <v>53</v>
      </c>
    </row>
    <row r="3017" spans="1:1" x14ac:dyDescent="0.25">
      <c r="A3017" s="83">
        <f t="shared" si="68"/>
        <v>53</v>
      </c>
    </row>
    <row r="3018" spans="1:1" x14ac:dyDescent="0.25">
      <c r="A3018" s="83">
        <f t="shared" si="68"/>
        <v>53</v>
      </c>
    </row>
    <row r="3019" spans="1:1" x14ac:dyDescent="0.25">
      <c r="A3019" s="83">
        <f t="shared" si="68"/>
        <v>53</v>
      </c>
    </row>
    <row r="3020" spans="1:1" x14ac:dyDescent="0.25">
      <c r="A3020" s="83">
        <f t="shared" si="68"/>
        <v>53</v>
      </c>
    </row>
    <row r="3021" spans="1:1" x14ac:dyDescent="0.25">
      <c r="A3021" s="83">
        <f t="shared" si="68"/>
        <v>53</v>
      </c>
    </row>
    <row r="3022" spans="1:1" x14ac:dyDescent="0.25">
      <c r="A3022" s="83">
        <f t="shared" si="68"/>
        <v>53</v>
      </c>
    </row>
    <row r="3023" spans="1:1" x14ac:dyDescent="0.25">
      <c r="A3023" s="83">
        <f t="shared" si="68"/>
        <v>53</v>
      </c>
    </row>
    <row r="3024" spans="1:1" x14ac:dyDescent="0.25">
      <c r="A3024" s="83">
        <f t="shared" si="68"/>
        <v>53</v>
      </c>
    </row>
    <row r="3025" spans="1:1" x14ac:dyDescent="0.25">
      <c r="A3025" s="83">
        <f t="shared" si="68"/>
        <v>53</v>
      </c>
    </row>
    <row r="3026" spans="1:1" x14ac:dyDescent="0.25">
      <c r="A3026" s="83">
        <f t="shared" si="68"/>
        <v>53</v>
      </c>
    </row>
    <row r="3027" spans="1:1" x14ac:dyDescent="0.25">
      <c r="A3027" s="83">
        <f t="shared" si="68"/>
        <v>53</v>
      </c>
    </row>
    <row r="3028" spans="1:1" x14ac:dyDescent="0.25">
      <c r="A3028" s="83">
        <f t="shared" si="68"/>
        <v>53</v>
      </c>
    </row>
    <row r="3029" spans="1:1" x14ac:dyDescent="0.25">
      <c r="A3029" s="83">
        <f t="shared" si="68"/>
        <v>53</v>
      </c>
    </row>
    <row r="3030" spans="1:1" x14ac:dyDescent="0.25">
      <c r="A3030" s="83">
        <f t="shared" si="68"/>
        <v>53</v>
      </c>
    </row>
    <row r="3031" spans="1:1" x14ac:dyDescent="0.25">
      <c r="A3031" s="83">
        <f t="shared" si="68"/>
        <v>53</v>
      </c>
    </row>
    <row r="3032" spans="1:1" x14ac:dyDescent="0.25">
      <c r="A3032" s="83">
        <f t="shared" si="68"/>
        <v>53</v>
      </c>
    </row>
    <row r="3033" spans="1:1" x14ac:dyDescent="0.25">
      <c r="A3033" s="83">
        <f t="shared" si="68"/>
        <v>53</v>
      </c>
    </row>
    <row r="3034" spans="1:1" x14ac:dyDescent="0.25">
      <c r="A3034" s="83">
        <f t="shared" si="68"/>
        <v>53</v>
      </c>
    </row>
    <row r="3035" spans="1:1" x14ac:dyDescent="0.25">
      <c r="A3035" s="83">
        <f t="shared" si="68"/>
        <v>53</v>
      </c>
    </row>
    <row r="3036" spans="1:1" x14ac:dyDescent="0.25">
      <c r="A3036" s="83">
        <f t="shared" si="68"/>
        <v>53</v>
      </c>
    </row>
    <row r="3037" spans="1:1" x14ac:dyDescent="0.25">
      <c r="A3037" s="83">
        <f t="shared" si="68"/>
        <v>53</v>
      </c>
    </row>
    <row r="3038" spans="1:1" x14ac:dyDescent="0.25">
      <c r="A3038" s="83">
        <f t="shared" si="68"/>
        <v>53</v>
      </c>
    </row>
    <row r="3039" spans="1:1" x14ac:dyDescent="0.25">
      <c r="A3039" s="83">
        <f t="shared" si="68"/>
        <v>53</v>
      </c>
    </row>
    <row r="3040" spans="1:1" x14ac:dyDescent="0.25">
      <c r="A3040" s="83">
        <f t="shared" si="68"/>
        <v>53</v>
      </c>
    </row>
    <row r="3041" spans="1:1" x14ac:dyDescent="0.25">
      <c r="A3041" s="83">
        <f t="shared" si="68"/>
        <v>53</v>
      </c>
    </row>
    <row r="3042" spans="1:1" x14ac:dyDescent="0.25">
      <c r="A3042" s="83">
        <f t="shared" si="68"/>
        <v>53</v>
      </c>
    </row>
    <row r="3043" spans="1:1" x14ac:dyDescent="0.25">
      <c r="A3043" s="83">
        <f t="shared" si="68"/>
        <v>53</v>
      </c>
    </row>
    <row r="3044" spans="1:1" x14ac:dyDescent="0.25">
      <c r="A3044" s="83">
        <f t="shared" si="68"/>
        <v>53</v>
      </c>
    </row>
    <row r="3045" spans="1:1" x14ac:dyDescent="0.25">
      <c r="A3045" s="83">
        <f t="shared" si="68"/>
        <v>53</v>
      </c>
    </row>
    <row r="3046" spans="1:1" x14ac:dyDescent="0.25">
      <c r="A3046" s="83">
        <f t="shared" si="68"/>
        <v>53</v>
      </c>
    </row>
    <row r="3047" spans="1:1" x14ac:dyDescent="0.25">
      <c r="A3047" s="83">
        <f t="shared" si="68"/>
        <v>53</v>
      </c>
    </row>
    <row r="3048" spans="1:1" x14ac:dyDescent="0.25">
      <c r="A3048" s="83">
        <f t="shared" si="68"/>
        <v>53</v>
      </c>
    </row>
    <row r="3049" spans="1:1" x14ac:dyDescent="0.25">
      <c r="A3049" s="83">
        <f t="shared" si="68"/>
        <v>53</v>
      </c>
    </row>
    <row r="3050" spans="1:1" x14ac:dyDescent="0.25">
      <c r="A3050" s="83">
        <f t="shared" si="68"/>
        <v>53</v>
      </c>
    </row>
    <row r="3051" spans="1:1" x14ac:dyDescent="0.25">
      <c r="A3051" s="83">
        <f t="shared" si="68"/>
        <v>53</v>
      </c>
    </row>
    <row r="3052" spans="1:1" x14ac:dyDescent="0.25">
      <c r="A3052" s="83">
        <f t="shared" si="68"/>
        <v>53</v>
      </c>
    </row>
    <row r="3053" spans="1:1" x14ac:dyDescent="0.25">
      <c r="A3053" s="83">
        <f t="shared" si="68"/>
        <v>53</v>
      </c>
    </row>
    <row r="3054" spans="1:1" x14ac:dyDescent="0.25">
      <c r="A3054" s="83">
        <f t="shared" si="68"/>
        <v>53</v>
      </c>
    </row>
    <row r="3055" spans="1:1" x14ac:dyDescent="0.25">
      <c r="A3055" s="83">
        <f t="shared" si="68"/>
        <v>53</v>
      </c>
    </row>
    <row r="3056" spans="1:1" x14ac:dyDescent="0.25">
      <c r="A3056" s="83">
        <f t="shared" si="68"/>
        <v>53</v>
      </c>
    </row>
    <row r="3057" spans="1:1" x14ac:dyDescent="0.25">
      <c r="A3057" s="83">
        <f t="shared" si="68"/>
        <v>53</v>
      </c>
    </row>
    <row r="3058" spans="1:1" x14ac:dyDescent="0.25">
      <c r="A3058" s="83">
        <f t="shared" si="68"/>
        <v>53</v>
      </c>
    </row>
    <row r="3059" spans="1:1" x14ac:dyDescent="0.25">
      <c r="A3059" s="83">
        <f t="shared" si="68"/>
        <v>53</v>
      </c>
    </row>
    <row r="3060" spans="1:1" x14ac:dyDescent="0.25">
      <c r="A3060" s="83">
        <f t="shared" si="68"/>
        <v>53</v>
      </c>
    </row>
    <row r="3061" spans="1:1" x14ac:dyDescent="0.25">
      <c r="A3061" s="83">
        <f t="shared" si="68"/>
        <v>53</v>
      </c>
    </row>
    <row r="3062" spans="1:1" x14ac:dyDescent="0.25">
      <c r="A3062" s="83">
        <f t="shared" ref="A3062:A3125" si="69">WEEKNUM(B3062,21)</f>
        <v>53</v>
      </c>
    </row>
    <row r="3063" spans="1:1" x14ac:dyDescent="0.25">
      <c r="A3063" s="83">
        <f t="shared" si="69"/>
        <v>53</v>
      </c>
    </row>
    <row r="3064" spans="1:1" x14ac:dyDescent="0.25">
      <c r="A3064" s="83">
        <f t="shared" si="69"/>
        <v>53</v>
      </c>
    </row>
    <row r="3065" spans="1:1" x14ac:dyDescent="0.25">
      <c r="A3065" s="83">
        <f t="shared" si="69"/>
        <v>53</v>
      </c>
    </row>
    <row r="3066" spans="1:1" x14ac:dyDescent="0.25">
      <c r="A3066" s="83">
        <f t="shared" si="69"/>
        <v>53</v>
      </c>
    </row>
    <row r="3067" spans="1:1" x14ac:dyDescent="0.25">
      <c r="A3067" s="83">
        <f t="shared" si="69"/>
        <v>53</v>
      </c>
    </row>
    <row r="3068" spans="1:1" x14ac:dyDescent="0.25">
      <c r="A3068" s="83">
        <f t="shared" si="69"/>
        <v>53</v>
      </c>
    </row>
    <row r="3069" spans="1:1" x14ac:dyDescent="0.25">
      <c r="A3069" s="83">
        <f t="shared" si="69"/>
        <v>53</v>
      </c>
    </row>
    <row r="3070" spans="1:1" x14ac:dyDescent="0.25">
      <c r="A3070" s="83">
        <f t="shared" si="69"/>
        <v>53</v>
      </c>
    </row>
    <row r="3071" spans="1:1" x14ac:dyDescent="0.25">
      <c r="A3071" s="83">
        <f t="shared" si="69"/>
        <v>53</v>
      </c>
    </row>
    <row r="3072" spans="1:1" x14ac:dyDescent="0.25">
      <c r="A3072" s="83">
        <f t="shared" si="69"/>
        <v>53</v>
      </c>
    </row>
    <row r="3073" spans="1:1" x14ac:dyDescent="0.25">
      <c r="A3073" s="83">
        <f t="shared" si="69"/>
        <v>53</v>
      </c>
    </row>
    <row r="3074" spans="1:1" x14ac:dyDescent="0.25">
      <c r="A3074" s="83">
        <f t="shared" si="69"/>
        <v>53</v>
      </c>
    </row>
    <row r="3075" spans="1:1" x14ac:dyDescent="0.25">
      <c r="A3075" s="83">
        <f t="shared" si="69"/>
        <v>53</v>
      </c>
    </row>
    <row r="3076" spans="1:1" x14ac:dyDescent="0.25">
      <c r="A3076" s="83">
        <f t="shared" si="69"/>
        <v>53</v>
      </c>
    </row>
    <row r="3077" spans="1:1" x14ac:dyDescent="0.25">
      <c r="A3077" s="83">
        <f t="shared" si="69"/>
        <v>53</v>
      </c>
    </row>
    <row r="3078" spans="1:1" x14ac:dyDescent="0.25">
      <c r="A3078" s="83">
        <f t="shared" si="69"/>
        <v>53</v>
      </c>
    </row>
    <row r="3079" spans="1:1" x14ac:dyDescent="0.25">
      <c r="A3079" s="83">
        <f t="shared" si="69"/>
        <v>53</v>
      </c>
    </row>
    <row r="3080" spans="1:1" x14ac:dyDescent="0.25">
      <c r="A3080" s="83">
        <f t="shared" si="69"/>
        <v>53</v>
      </c>
    </row>
    <row r="3081" spans="1:1" x14ac:dyDescent="0.25">
      <c r="A3081" s="83">
        <f t="shared" si="69"/>
        <v>53</v>
      </c>
    </row>
    <row r="3082" spans="1:1" x14ac:dyDescent="0.25">
      <c r="A3082" s="83">
        <f t="shared" si="69"/>
        <v>53</v>
      </c>
    </row>
    <row r="3083" spans="1:1" x14ac:dyDescent="0.25">
      <c r="A3083" s="83">
        <f t="shared" si="69"/>
        <v>53</v>
      </c>
    </row>
    <row r="3084" spans="1:1" x14ac:dyDescent="0.25">
      <c r="A3084" s="83">
        <f t="shared" si="69"/>
        <v>53</v>
      </c>
    </row>
    <row r="3085" spans="1:1" x14ac:dyDescent="0.25">
      <c r="A3085" s="83">
        <f t="shared" si="69"/>
        <v>53</v>
      </c>
    </row>
    <row r="3086" spans="1:1" x14ac:dyDescent="0.25">
      <c r="A3086" s="83">
        <f t="shared" si="69"/>
        <v>53</v>
      </c>
    </row>
    <row r="3087" spans="1:1" x14ac:dyDescent="0.25">
      <c r="A3087" s="83">
        <f t="shared" si="69"/>
        <v>53</v>
      </c>
    </row>
    <row r="3088" spans="1:1" x14ac:dyDescent="0.25">
      <c r="A3088" s="83">
        <f t="shared" si="69"/>
        <v>53</v>
      </c>
    </row>
    <row r="3089" spans="1:1" x14ac:dyDescent="0.25">
      <c r="A3089" s="83">
        <f t="shared" si="69"/>
        <v>53</v>
      </c>
    </row>
    <row r="3090" spans="1:1" x14ac:dyDescent="0.25">
      <c r="A3090" s="83">
        <f t="shared" si="69"/>
        <v>53</v>
      </c>
    </row>
    <row r="3091" spans="1:1" x14ac:dyDescent="0.25">
      <c r="A3091" s="83">
        <f t="shared" si="69"/>
        <v>53</v>
      </c>
    </row>
    <row r="3092" spans="1:1" x14ac:dyDescent="0.25">
      <c r="A3092" s="83">
        <f t="shared" si="69"/>
        <v>53</v>
      </c>
    </row>
    <row r="3093" spans="1:1" x14ac:dyDescent="0.25">
      <c r="A3093" s="83">
        <f t="shared" si="69"/>
        <v>53</v>
      </c>
    </row>
    <row r="3094" spans="1:1" x14ac:dyDescent="0.25">
      <c r="A3094" s="83">
        <f t="shared" si="69"/>
        <v>53</v>
      </c>
    </row>
    <row r="3095" spans="1:1" x14ac:dyDescent="0.25">
      <c r="A3095" s="83">
        <f t="shared" si="69"/>
        <v>53</v>
      </c>
    </row>
    <row r="3096" spans="1:1" x14ac:dyDescent="0.25">
      <c r="A3096" s="83">
        <f t="shared" si="69"/>
        <v>53</v>
      </c>
    </row>
    <row r="3097" spans="1:1" x14ac:dyDescent="0.25">
      <c r="A3097" s="83">
        <f t="shared" si="69"/>
        <v>53</v>
      </c>
    </row>
    <row r="3098" spans="1:1" x14ac:dyDescent="0.25">
      <c r="A3098" s="83">
        <f t="shared" si="69"/>
        <v>53</v>
      </c>
    </row>
    <row r="3099" spans="1:1" x14ac:dyDescent="0.25">
      <c r="A3099" s="83">
        <f t="shared" si="69"/>
        <v>53</v>
      </c>
    </row>
    <row r="3100" spans="1:1" x14ac:dyDescent="0.25">
      <c r="A3100" s="83">
        <f t="shared" si="69"/>
        <v>53</v>
      </c>
    </row>
    <row r="3101" spans="1:1" x14ac:dyDescent="0.25">
      <c r="A3101" s="83">
        <f t="shared" si="69"/>
        <v>53</v>
      </c>
    </row>
    <row r="3102" spans="1:1" x14ac:dyDescent="0.25">
      <c r="A3102" s="83">
        <f t="shared" si="69"/>
        <v>53</v>
      </c>
    </row>
    <row r="3103" spans="1:1" x14ac:dyDescent="0.25">
      <c r="A3103" s="83">
        <f t="shared" si="69"/>
        <v>53</v>
      </c>
    </row>
    <row r="3104" spans="1:1" x14ac:dyDescent="0.25">
      <c r="A3104" s="83">
        <f t="shared" si="69"/>
        <v>53</v>
      </c>
    </row>
    <row r="3105" spans="1:1" x14ac:dyDescent="0.25">
      <c r="A3105" s="83">
        <f t="shared" si="69"/>
        <v>53</v>
      </c>
    </row>
    <row r="3106" spans="1:1" x14ac:dyDescent="0.25">
      <c r="A3106" s="83">
        <f t="shared" si="69"/>
        <v>53</v>
      </c>
    </row>
    <row r="3107" spans="1:1" x14ac:dyDescent="0.25">
      <c r="A3107" s="83">
        <f t="shared" si="69"/>
        <v>53</v>
      </c>
    </row>
    <row r="3108" spans="1:1" x14ac:dyDescent="0.25">
      <c r="A3108" s="83">
        <f t="shared" si="69"/>
        <v>53</v>
      </c>
    </row>
    <row r="3109" spans="1:1" x14ac:dyDescent="0.25">
      <c r="A3109" s="83">
        <f t="shared" si="69"/>
        <v>53</v>
      </c>
    </row>
    <row r="3110" spans="1:1" x14ac:dyDescent="0.25">
      <c r="A3110" s="83">
        <f t="shared" si="69"/>
        <v>53</v>
      </c>
    </row>
    <row r="3111" spans="1:1" x14ac:dyDescent="0.25">
      <c r="A3111" s="83">
        <f t="shared" si="69"/>
        <v>53</v>
      </c>
    </row>
    <row r="3112" spans="1:1" x14ac:dyDescent="0.25">
      <c r="A3112" s="83">
        <f t="shared" si="69"/>
        <v>53</v>
      </c>
    </row>
    <row r="3113" spans="1:1" x14ac:dyDescent="0.25">
      <c r="A3113" s="83">
        <f t="shared" si="69"/>
        <v>53</v>
      </c>
    </row>
    <row r="3114" spans="1:1" x14ac:dyDescent="0.25">
      <c r="A3114" s="83">
        <f t="shared" si="69"/>
        <v>53</v>
      </c>
    </row>
    <row r="3115" spans="1:1" x14ac:dyDescent="0.25">
      <c r="A3115" s="83">
        <f t="shared" si="69"/>
        <v>53</v>
      </c>
    </row>
    <row r="3116" spans="1:1" x14ac:dyDescent="0.25">
      <c r="A3116" s="83">
        <f t="shared" si="69"/>
        <v>53</v>
      </c>
    </row>
    <row r="3117" spans="1:1" x14ac:dyDescent="0.25">
      <c r="A3117" s="83">
        <f t="shared" si="69"/>
        <v>53</v>
      </c>
    </row>
    <row r="3118" spans="1:1" x14ac:dyDescent="0.25">
      <c r="A3118" s="83">
        <f t="shared" si="69"/>
        <v>53</v>
      </c>
    </row>
    <row r="3119" spans="1:1" x14ac:dyDescent="0.25">
      <c r="A3119" s="83">
        <f t="shared" si="69"/>
        <v>53</v>
      </c>
    </row>
    <row r="3120" spans="1:1" x14ac:dyDescent="0.25">
      <c r="A3120" s="83">
        <f t="shared" si="69"/>
        <v>53</v>
      </c>
    </row>
    <row r="3121" spans="1:1" x14ac:dyDescent="0.25">
      <c r="A3121" s="83">
        <f t="shared" si="69"/>
        <v>53</v>
      </c>
    </row>
    <row r="3122" spans="1:1" x14ac:dyDescent="0.25">
      <c r="A3122" s="83">
        <f t="shared" si="69"/>
        <v>53</v>
      </c>
    </row>
    <row r="3123" spans="1:1" x14ac:dyDescent="0.25">
      <c r="A3123" s="83">
        <f t="shared" si="69"/>
        <v>53</v>
      </c>
    </row>
    <row r="3124" spans="1:1" x14ac:dyDescent="0.25">
      <c r="A3124" s="83">
        <f t="shared" si="69"/>
        <v>53</v>
      </c>
    </row>
    <row r="3125" spans="1:1" x14ac:dyDescent="0.25">
      <c r="A3125" s="83">
        <f t="shared" si="69"/>
        <v>53</v>
      </c>
    </row>
    <row r="3126" spans="1:1" x14ac:dyDescent="0.25">
      <c r="A3126" s="83">
        <f t="shared" ref="A3126:A3189" si="70">WEEKNUM(B3126,21)</f>
        <v>53</v>
      </c>
    </row>
    <row r="3127" spans="1:1" x14ac:dyDescent="0.25">
      <c r="A3127" s="83">
        <f t="shared" si="70"/>
        <v>53</v>
      </c>
    </row>
    <row r="3128" spans="1:1" x14ac:dyDescent="0.25">
      <c r="A3128" s="83">
        <f t="shared" si="70"/>
        <v>53</v>
      </c>
    </row>
    <row r="3129" spans="1:1" x14ac:dyDescent="0.25">
      <c r="A3129" s="83">
        <f t="shared" si="70"/>
        <v>53</v>
      </c>
    </row>
    <row r="3130" spans="1:1" x14ac:dyDescent="0.25">
      <c r="A3130" s="83">
        <f t="shared" si="70"/>
        <v>53</v>
      </c>
    </row>
    <row r="3131" spans="1:1" x14ac:dyDescent="0.25">
      <c r="A3131" s="83">
        <f t="shared" si="70"/>
        <v>53</v>
      </c>
    </row>
    <row r="3132" spans="1:1" x14ac:dyDescent="0.25">
      <c r="A3132" s="83">
        <f t="shared" si="70"/>
        <v>53</v>
      </c>
    </row>
    <row r="3133" spans="1:1" x14ac:dyDescent="0.25">
      <c r="A3133" s="83">
        <f t="shared" si="70"/>
        <v>53</v>
      </c>
    </row>
    <row r="3134" spans="1:1" x14ac:dyDescent="0.25">
      <c r="A3134" s="83">
        <f t="shared" si="70"/>
        <v>53</v>
      </c>
    </row>
    <row r="3135" spans="1:1" x14ac:dyDescent="0.25">
      <c r="A3135" s="83">
        <f t="shared" si="70"/>
        <v>53</v>
      </c>
    </row>
    <row r="3136" spans="1:1" x14ac:dyDescent="0.25">
      <c r="A3136" s="83">
        <f t="shared" si="70"/>
        <v>53</v>
      </c>
    </row>
    <row r="3137" spans="1:1" x14ac:dyDescent="0.25">
      <c r="A3137" s="83">
        <f t="shared" si="70"/>
        <v>53</v>
      </c>
    </row>
    <row r="3138" spans="1:1" x14ac:dyDescent="0.25">
      <c r="A3138" s="83">
        <f t="shared" si="70"/>
        <v>53</v>
      </c>
    </row>
    <row r="3139" spans="1:1" x14ac:dyDescent="0.25">
      <c r="A3139" s="83">
        <f t="shared" si="70"/>
        <v>53</v>
      </c>
    </row>
    <row r="3140" spans="1:1" x14ac:dyDescent="0.25">
      <c r="A3140" s="83">
        <f t="shared" si="70"/>
        <v>53</v>
      </c>
    </row>
    <row r="3141" spans="1:1" x14ac:dyDescent="0.25">
      <c r="A3141" s="83">
        <f t="shared" si="70"/>
        <v>53</v>
      </c>
    </row>
    <row r="3142" spans="1:1" x14ac:dyDescent="0.25">
      <c r="A3142" s="83">
        <f t="shared" si="70"/>
        <v>53</v>
      </c>
    </row>
    <row r="3143" spans="1:1" x14ac:dyDescent="0.25">
      <c r="A3143" s="83">
        <f t="shared" si="70"/>
        <v>53</v>
      </c>
    </row>
    <row r="3144" spans="1:1" x14ac:dyDescent="0.25">
      <c r="A3144" s="83">
        <f t="shared" si="70"/>
        <v>53</v>
      </c>
    </row>
    <row r="3145" spans="1:1" x14ac:dyDescent="0.25">
      <c r="A3145" s="83">
        <f t="shared" si="70"/>
        <v>53</v>
      </c>
    </row>
    <row r="3146" spans="1:1" x14ac:dyDescent="0.25">
      <c r="A3146" s="83">
        <f t="shared" si="70"/>
        <v>53</v>
      </c>
    </row>
    <row r="3147" spans="1:1" x14ac:dyDescent="0.25">
      <c r="A3147" s="83">
        <f t="shared" si="70"/>
        <v>53</v>
      </c>
    </row>
    <row r="3148" spans="1:1" x14ac:dyDescent="0.25">
      <c r="A3148" s="83">
        <f t="shared" si="70"/>
        <v>53</v>
      </c>
    </row>
    <row r="3149" spans="1:1" x14ac:dyDescent="0.25">
      <c r="A3149" s="83">
        <f t="shared" si="70"/>
        <v>53</v>
      </c>
    </row>
    <row r="3150" spans="1:1" x14ac:dyDescent="0.25">
      <c r="A3150" s="83">
        <f t="shared" si="70"/>
        <v>53</v>
      </c>
    </row>
    <row r="3151" spans="1:1" x14ac:dyDescent="0.25">
      <c r="A3151" s="83">
        <f t="shared" si="70"/>
        <v>53</v>
      </c>
    </row>
    <row r="3152" spans="1:1" x14ac:dyDescent="0.25">
      <c r="A3152" s="83">
        <f t="shared" si="70"/>
        <v>53</v>
      </c>
    </row>
    <row r="3153" spans="1:1" x14ac:dyDescent="0.25">
      <c r="A3153" s="83">
        <f t="shared" si="70"/>
        <v>53</v>
      </c>
    </row>
    <row r="3154" spans="1:1" x14ac:dyDescent="0.25">
      <c r="A3154" s="83">
        <f t="shared" si="70"/>
        <v>53</v>
      </c>
    </row>
    <row r="3155" spans="1:1" x14ac:dyDescent="0.25">
      <c r="A3155" s="83">
        <f t="shared" si="70"/>
        <v>53</v>
      </c>
    </row>
    <row r="3156" spans="1:1" x14ac:dyDescent="0.25">
      <c r="A3156" s="83">
        <f t="shared" si="70"/>
        <v>53</v>
      </c>
    </row>
    <row r="3157" spans="1:1" x14ac:dyDescent="0.25">
      <c r="A3157" s="83">
        <f t="shared" si="70"/>
        <v>53</v>
      </c>
    </row>
    <row r="3158" spans="1:1" x14ac:dyDescent="0.25">
      <c r="A3158" s="83">
        <f t="shared" si="70"/>
        <v>53</v>
      </c>
    </row>
    <row r="3159" spans="1:1" x14ac:dyDescent="0.25">
      <c r="A3159" s="83">
        <f t="shared" si="70"/>
        <v>53</v>
      </c>
    </row>
    <row r="3160" spans="1:1" x14ac:dyDescent="0.25">
      <c r="A3160" s="83">
        <f t="shared" si="70"/>
        <v>53</v>
      </c>
    </row>
    <row r="3161" spans="1:1" x14ac:dyDescent="0.25">
      <c r="A3161" s="83">
        <f t="shared" si="70"/>
        <v>53</v>
      </c>
    </row>
    <row r="3162" spans="1:1" x14ac:dyDescent="0.25">
      <c r="A3162" s="83">
        <f t="shared" si="70"/>
        <v>53</v>
      </c>
    </row>
    <row r="3163" spans="1:1" x14ac:dyDescent="0.25">
      <c r="A3163" s="83">
        <f t="shared" si="70"/>
        <v>53</v>
      </c>
    </row>
    <row r="3164" spans="1:1" x14ac:dyDescent="0.25">
      <c r="A3164" s="83">
        <f t="shared" si="70"/>
        <v>53</v>
      </c>
    </row>
    <row r="3165" spans="1:1" x14ac:dyDescent="0.25">
      <c r="A3165" s="83">
        <f t="shared" si="70"/>
        <v>53</v>
      </c>
    </row>
    <row r="3166" spans="1:1" x14ac:dyDescent="0.25">
      <c r="A3166" s="83">
        <f t="shared" si="70"/>
        <v>53</v>
      </c>
    </row>
    <row r="3167" spans="1:1" x14ac:dyDescent="0.25">
      <c r="A3167" s="83">
        <f t="shared" si="70"/>
        <v>53</v>
      </c>
    </row>
    <row r="3168" spans="1:1" x14ac:dyDescent="0.25">
      <c r="A3168" s="83">
        <f t="shared" si="70"/>
        <v>53</v>
      </c>
    </row>
    <row r="3169" spans="1:1" x14ac:dyDescent="0.25">
      <c r="A3169" s="83">
        <f t="shared" si="70"/>
        <v>53</v>
      </c>
    </row>
    <row r="3170" spans="1:1" x14ac:dyDescent="0.25">
      <c r="A3170" s="83">
        <f t="shared" si="70"/>
        <v>53</v>
      </c>
    </row>
    <row r="3171" spans="1:1" x14ac:dyDescent="0.25">
      <c r="A3171" s="83">
        <f t="shared" si="70"/>
        <v>53</v>
      </c>
    </row>
    <row r="3172" spans="1:1" x14ac:dyDescent="0.25">
      <c r="A3172" s="83">
        <f t="shared" si="70"/>
        <v>53</v>
      </c>
    </row>
    <row r="3173" spans="1:1" x14ac:dyDescent="0.25">
      <c r="A3173" s="83">
        <f t="shared" si="70"/>
        <v>53</v>
      </c>
    </row>
    <row r="3174" spans="1:1" x14ac:dyDescent="0.25">
      <c r="A3174" s="83">
        <f t="shared" si="70"/>
        <v>53</v>
      </c>
    </row>
    <row r="3175" spans="1:1" x14ac:dyDescent="0.25">
      <c r="A3175" s="83">
        <f t="shared" si="70"/>
        <v>53</v>
      </c>
    </row>
    <row r="3176" spans="1:1" x14ac:dyDescent="0.25">
      <c r="A3176" s="83">
        <f t="shared" si="70"/>
        <v>53</v>
      </c>
    </row>
    <row r="3177" spans="1:1" x14ac:dyDescent="0.25">
      <c r="A3177" s="83">
        <f t="shared" si="70"/>
        <v>53</v>
      </c>
    </row>
    <row r="3178" spans="1:1" x14ac:dyDescent="0.25">
      <c r="A3178" s="83">
        <f t="shared" si="70"/>
        <v>53</v>
      </c>
    </row>
    <row r="3179" spans="1:1" x14ac:dyDescent="0.25">
      <c r="A3179" s="83">
        <f t="shared" si="70"/>
        <v>53</v>
      </c>
    </row>
    <row r="3180" spans="1:1" x14ac:dyDescent="0.25">
      <c r="A3180" s="83">
        <f t="shared" si="70"/>
        <v>53</v>
      </c>
    </row>
    <row r="3181" spans="1:1" x14ac:dyDescent="0.25">
      <c r="A3181" s="83">
        <f t="shared" si="70"/>
        <v>53</v>
      </c>
    </row>
    <row r="3182" spans="1:1" x14ac:dyDescent="0.25">
      <c r="A3182" s="83">
        <f t="shared" si="70"/>
        <v>53</v>
      </c>
    </row>
    <row r="3183" spans="1:1" x14ac:dyDescent="0.25">
      <c r="A3183" s="83">
        <f t="shared" si="70"/>
        <v>53</v>
      </c>
    </row>
    <row r="3184" spans="1:1" x14ac:dyDescent="0.25">
      <c r="A3184" s="83">
        <f t="shared" si="70"/>
        <v>53</v>
      </c>
    </row>
    <row r="3185" spans="1:1" x14ac:dyDescent="0.25">
      <c r="A3185" s="83">
        <f t="shared" si="70"/>
        <v>53</v>
      </c>
    </row>
    <row r="3186" spans="1:1" x14ac:dyDescent="0.25">
      <c r="A3186" s="83">
        <f t="shared" si="70"/>
        <v>53</v>
      </c>
    </row>
    <row r="3187" spans="1:1" x14ac:dyDescent="0.25">
      <c r="A3187" s="83">
        <f t="shared" si="70"/>
        <v>53</v>
      </c>
    </row>
    <row r="3188" spans="1:1" x14ac:dyDescent="0.25">
      <c r="A3188" s="83">
        <f t="shared" si="70"/>
        <v>53</v>
      </c>
    </row>
    <row r="3189" spans="1:1" x14ac:dyDescent="0.25">
      <c r="A3189" s="83">
        <f t="shared" si="70"/>
        <v>53</v>
      </c>
    </row>
    <row r="3190" spans="1:1" x14ac:dyDescent="0.25">
      <c r="A3190" s="83">
        <f t="shared" ref="A3190:A3253" si="71">WEEKNUM(B3190,21)</f>
        <v>53</v>
      </c>
    </row>
    <row r="3191" spans="1:1" x14ac:dyDescent="0.25">
      <c r="A3191" s="83">
        <f t="shared" si="71"/>
        <v>53</v>
      </c>
    </row>
    <row r="3192" spans="1:1" x14ac:dyDescent="0.25">
      <c r="A3192" s="83">
        <f t="shared" si="71"/>
        <v>53</v>
      </c>
    </row>
    <row r="3193" spans="1:1" x14ac:dyDescent="0.25">
      <c r="A3193" s="83">
        <f t="shared" si="71"/>
        <v>53</v>
      </c>
    </row>
    <row r="3194" spans="1:1" x14ac:dyDescent="0.25">
      <c r="A3194" s="83">
        <f t="shared" si="71"/>
        <v>53</v>
      </c>
    </row>
    <row r="3195" spans="1:1" x14ac:dyDescent="0.25">
      <c r="A3195" s="83">
        <f t="shared" si="71"/>
        <v>53</v>
      </c>
    </row>
    <row r="3196" spans="1:1" x14ac:dyDescent="0.25">
      <c r="A3196" s="83">
        <f t="shared" si="71"/>
        <v>53</v>
      </c>
    </row>
    <row r="3197" spans="1:1" x14ac:dyDescent="0.25">
      <c r="A3197" s="83">
        <f t="shared" si="71"/>
        <v>53</v>
      </c>
    </row>
    <row r="3198" spans="1:1" x14ac:dyDescent="0.25">
      <c r="A3198" s="83">
        <f t="shared" si="71"/>
        <v>53</v>
      </c>
    </row>
    <row r="3199" spans="1:1" x14ac:dyDescent="0.25">
      <c r="A3199" s="83">
        <f t="shared" si="71"/>
        <v>53</v>
      </c>
    </row>
    <row r="3200" spans="1:1" x14ac:dyDescent="0.25">
      <c r="A3200" s="83">
        <f t="shared" si="71"/>
        <v>53</v>
      </c>
    </row>
    <row r="3201" spans="1:1" x14ac:dyDescent="0.25">
      <c r="A3201" s="83">
        <f t="shared" si="71"/>
        <v>53</v>
      </c>
    </row>
    <row r="3202" spans="1:1" x14ac:dyDescent="0.25">
      <c r="A3202" s="83">
        <f t="shared" si="71"/>
        <v>53</v>
      </c>
    </row>
    <row r="3203" spans="1:1" x14ac:dyDescent="0.25">
      <c r="A3203" s="83">
        <f t="shared" si="71"/>
        <v>53</v>
      </c>
    </row>
    <row r="3204" spans="1:1" x14ac:dyDescent="0.25">
      <c r="A3204" s="83">
        <f t="shared" si="71"/>
        <v>53</v>
      </c>
    </row>
    <row r="3205" spans="1:1" x14ac:dyDescent="0.25">
      <c r="A3205" s="83">
        <f t="shared" si="71"/>
        <v>53</v>
      </c>
    </row>
    <row r="3206" spans="1:1" x14ac:dyDescent="0.25">
      <c r="A3206" s="83">
        <f t="shared" si="71"/>
        <v>53</v>
      </c>
    </row>
    <row r="3207" spans="1:1" x14ac:dyDescent="0.25">
      <c r="A3207" s="83">
        <f t="shared" si="71"/>
        <v>53</v>
      </c>
    </row>
    <row r="3208" spans="1:1" x14ac:dyDescent="0.25">
      <c r="A3208" s="83">
        <f t="shared" si="71"/>
        <v>53</v>
      </c>
    </row>
    <row r="3209" spans="1:1" x14ac:dyDescent="0.25">
      <c r="A3209" s="83">
        <f t="shared" si="71"/>
        <v>53</v>
      </c>
    </row>
    <row r="3210" spans="1:1" x14ac:dyDescent="0.25">
      <c r="A3210" s="83">
        <f t="shared" si="71"/>
        <v>53</v>
      </c>
    </row>
    <row r="3211" spans="1:1" x14ac:dyDescent="0.25">
      <c r="A3211" s="83">
        <f t="shared" si="71"/>
        <v>53</v>
      </c>
    </row>
    <row r="3212" spans="1:1" x14ac:dyDescent="0.25">
      <c r="A3212" s="83">
        <f t="shared" si="71"/>
        <v>53</v>
      </c>
    </row>
    <row r="3213" spans="1:1" x14ac:dyDescent="0.25">
      <c r="A3213" s="83">
        <f t="shared" si="71"/>
        <v>53</v>
      </c>
    </row>
    <row r="3214" spans="1:1" x14ac:dyDescent="0.25">
      <c r="A3214" s="83">
        <f t="shared" si="71"/>
        <v>53</v>
      </c>
    </row>
    <row r="3215" spans="1:1" x14ac:dyDescent="0.25">
      <c r="A3215" s="83">
        <f t="shared" si="71"/>
        <v>53</v>
      </c>
    </row>
    <row r="3216" spans="1:1" x14ac:dyDescent="0.25">
      <c r="A3216" s="83">
        <f t="shared" si="71"/>
        <v>53</v>
      </c>
    </row>
    <row r="3217" spans="1:1" x14ac:dyDescent="0.25">
      <c r="A3217" s="83">
        <f t="shared" si="71"/>
        <v>53</v>
      </c>
    </row>
    <row r="3218" spans="1:1" x14ac:dyDescent="0.25">
      <c r="A3218" s="83">
        <f t="shared" si="71"/>
        <v>53</v>
      </c>
    </row>
    <row r="3219" spans="1:1" x14ac:dyDescent="0.25">
      <c r="A3219" s="83">
        <f t="shared" si="71"/>
        <v>53</v>
      </c>
    </row>
    <row r="3220" spans="1:1" x14ac:dyDescent="0.25">
      <c r="A3220" s="83">
        <f t="shared" si="71"/>
        <v>53</v>
      </c>
    </row>
    <row r="3221" spans="1:1" x14ac:dyDescent="0.25">
      <c r="A3221" s="83">
        <f t="shared" si="71"/>
        <v>53</v>
      </c>
    </row>
    <row r="3222" spans="1:1" x14ac:dyDescent="0.25">
      <c r="A3222" s="83">
        <f t="shared" si="71"/>
        <v>53</v>
      </c>
    </row>
    <row r="3223" spans="1:1" x14ac:dyDescent="0.25">
      <c r="A3223" s="83">
        <f t="shared" si="71"/>
        <v>53</v>
      </c>
    </row>
    <row r="3224" spans="1:1" x14ac:dyDescent="0.25">
      <c r="A3224" s="83">
        <f t="shared" si="71"/>
        <v>53</v>
      </c>
    </row>
    <row r="3225" spans="1:1" x14ac:dyDescent="0.25">
      <c r="A3225" s="83">
        <f t="shared" si="71"/>
        <v>53</v>
      </c>
    </row>
    <row r="3226" spans="1:1" x14ac:dyDescent="0.25">
      <c r="A3226" s="83">
        <f t="shared" si="71"/>
        <v>53</v>
      </c>
    </row>
    <row r="3227" spans="1:1" x14ac:dyDescent="0.25">
      <c r="A3227" s="83">
        <f t="shared" si="71"/>
        <v>53</v>
      </c>
    </row>
    <row r="3228" spans="1:1" x14ac:dyDescent="0.25">
      <c r="A3228" s="83">
        <f t="shared" si="71"/>
        <v>53</v>
      </c>
    </row>
    <row r="3229" spans="1:1" x14ac:dyDescent="0.25">
      <c r="A3229" s="83">
        <f t="shared" si="71"/>
        <v>53</v>
      </c>
    </row>
    <row r="3230" spans="1:1" x14ac:dyDescent="0.25">
      <c r="A3230" s="83">
        <f t="shared" si="71"/>
        <v>53</v>
      </c>
    </row>
    <row r="3231" spans="1:1" x14ac:dyDescent="0.25">
      <c r="A3231" s="83">
        <f t="shared" si="71"/>
        <v>53</v>
      </c>
    </row>
    <row r="3232" spans="1:1" x14ac:dyDescent="0.25">
      <c r="A3232" s="83">
        <f t="shared" si="71"/>
        <v>53</v>
      </c>
    </row>
    <row r="3233" spans="1:1" x14ac:dyDescent="0.25">
      <c r="A3233" s="83">
        <f t="shared" si="71"/>
        <v>53</v>
      </c>
    </row>
    <row r="3234" spans="1:1" x14ac:dyDescent="0.25">
      <c r="A3234" s="83">
        <f t="shared" si="71"/>
        <v>53</v>
      </c>
    </row>
    <row r="3235" spans="1:1" x14ac:dyDescent="0.25">
      <c r="A3235" s="83">
        <f t="shared" si="71"/>
        <v>53</v>
      </c>
    </row>
    <row r="3236" spans="1:1" x14ac:dyDescent="0.25">
      <c r="A3236" s="83">
        <f t="shared" si="71"/>
        <v>53</v>
      </c>
    </row>
    <row r="3237" spans="1:1" x14ac:dyDescent="0.25">
      <c r="A3237" s="83">
        <f t="shared" si="71"/>
        <v>53</v>
      </c>
    </row>
    <row r="3238" spans="1:1" x14ac:dyDescent="0.25">
      <c r="A3238" s="83">
        <f t="shared" si="71"/>
        <v>53</v>
      </c>
    </row>
    <row r="3239" spans="1:1" x14ac:dyDescent="0.25">
      <c r="A3239" s="83">
        <f t="shared" si="71"/>
        <v>53</v>
      </c>
    </row>
    <row r="3240" spans="1:1" x14ac:dyDescent="0.25">
      <c r="A3240" s="83">
        <f t="shared" si="71"/>
        <v>53</v>
      </c>
    </row>
    <row r="3241" spans="1:1" x14ac:dyDescent="0.25">
      <c r="A3241" s="83">
        <f t="shared" si="71"/>
        <v>53</v>
      </c>
    </row>
    <row r="3242" spans="1:1" x14ac:dyDescent="0.25">
      <c r="A3242" s="83">
        <f t="shared" si="71"/>
        <v>53</v>
      </c>
    </row>
    <row r="3243" spans="1:1" x14ac:dyDescent="0.25">
      <c r="A3243" s="83">
        <f t="shared" si="71"/>
        <v>53</v>
      </c>
    </row>
    <row r="3244" spans="1:1" x14ac:dyDescent="0.25">
      <c r="A3244" s="83">
        <f t="shared" si="71"/>
        <v>53</v>
      </c>
    </row>
    <row r="3245" spans="1:1" x14ac:dyDescent="0.25">
      <c r="A3245" s="83">
        <f t="shared" si="71"/>
        <v>53</v>
      </c>
    </row>
    <row r="3246" spans="1:1" x14ac:dyDescent="0.25">
      <c r="A3246" s="83">
        <f t="shared" si="71"/>
        <v>53</v>
      </c>
    </row>
    <row r="3247" spans="1:1" x14ac:dyDescent="0.25">
      <c r="A3247" s="83">
        <f t="shared" si="71"/>
        <v>53</v>
      </c>
    </row>
    <row r="3248" spans="1:1" x14ac:dyDescent="0.25">
      <c r="A3248" s="83">
        <f t="shared" si="71"/>
        <v>53</v>
      </c>
    </row>
    <row r="3249" spans="1:1" x14ac:dyDescent="0.25">
      <c r="A3249" s="83">
        <f t="shared" si="71"/>
        <v>53</v>
      </c>
    </row>
    <row r="3250" spans="1:1" x14ac:dyDescent="0.25">
      <c r="A3250" s="83">
        <f t="shared" si="71"/>
        <v>53</v>
      </c>
    </row>
    <row r="3251" spans="1:1" x14ac:dyDescent="0.25">
      <c r="A3251" s="83">
        <f t="shared" si="71"/>
        <v>53</v>
      </c>
    </row>
    <row r="3252" spans="1:1" x14ac:dyDescent="0.25">
      <c r="A3252" s="83">
        <f t="shared" si="71"/>
        <v>53</v>
      </c>
    </row>
    <row r="3253" spans="1:1" x14ac:dyDescent="0.25">
      <c r="A3253" s="83">
        <f t="shared" si="71"/>
        <v>53</v>
      </c>
    </row>
    <row r="3254" spans="1:1" x14ac:dyDescent="0.25">
      <c r="A3254" s="83">
        <f t="shared" ref="A3254:A3317" si="72">WEEKNUM(B3254,21)</f>
        <v>53</v>
      </c>
    </row>
    <row r="3255" spans="1:1" x14ac:dyDescent="0.25">
      <c r="A3255" s="83">
        <f t="shared" si="72"/>
        <v>53</v>
      </c>
    </row>
    <row r="3256" spans="1:1" x14ac:dyDescent="0.25">
      <c r="A3256" s="83">
        <f t="shared" si="72"/>
        <v>53</v>
      </c>
    </row>
    <row r="3257" spans="1:1" x14ac:dyDescent="0.25">
      <c r="A3257" s="83">
        <f t="shared" si="72"/>
        <v>53</v>
      </c>
    </row>
    <row r="3258" spans="1:1" x14ac:dyDescent="0.25">
      <c r="A3258" s="83">
        <f t="shared" si="72"/>
        <v>53</v>
      </c>
    </row>
    <row r="3259" spans="1:1" x14ac:dyDescent="0.25">
      <c r="A3259" s="83">
        <f t="shared" si="72"/>
        <v>53</v>
      </c>
    </row>
    <row r="3260" spans="1:1" x14ac:dyDescent="0.25">
      <c r="A3260" s="83">
        <f t="shared" si="72"/>
        <v>53</v>
      </c>
    </row>
    <row r="3261" spans="1:1" x14ac:dyDescent="0.25">
      <c r="A3261" s="83">
        <f t="shared" si="72"/>
        <v>53</v>
      </c>
    </row>
    <row r="3262" spans="1:1" x14ac:dyDescent="0.25">
      <c r="A3262" s="83">
        <f t="shared" si="72"/>
        <v>53</v>
      </c>
    </row>
    <row r="3263" spans="1:1" x14ac:dyDescent="0.25">
      <c r="A3263" s="83">
        <f t="shared" si="72"/>
        <v>53</v>
      </c>
    </row>
    <row r="3264" spans="1:1" x14ac:dyDescent="0.25">
      <c r="A3264" s="83">
        <f t="shared" si="72"/>
        <v>53</v>
      </c>
    </row>
    <row r="3265" spans="1:1" x14ac:dyDescent="0.25">
      <c r="A3265" s="83">
        <f t="shared" si="72"/>
        <v>53</v>
      </c>
    </row>
    <row r="3266" spans="1:1" x14ac:dyDescent="0.25">
      <c r="A3266" s="83">
        <f t="shared" si="72"/>
        <v>53</v>
      </c>
    </row>
    <row r="3267" spans="1:1" x14ac:dyDescent="0.25">
      <c r="A3267" s="83">
        <f t="shared" si="72"/>
        <v>53</v>
      </c>
    </row>
    <row r="3268" spans="1:1" x14ac:dyDescent="0.25">
      <c r="A3268" s="83">
        <f t="shared" si="72"/>
        <v>53</v>
      </c>
    </row>
    <row r="3269" spans="1:1" x14ac:dyDescent="0.25">
      <c r="A3269" s="83">
        <f t="shared" si="72"/>
        <v>53</v>
      </c>
    </row>
    <row r="3270" spans="1:1" x14ac:dyDescent="0.25">
      <c r="A3270" s="83">
        <f t="shared" si="72"/>
        <v>53</v>
      </c>
    </row>
    <row r="3271" spans="1:1" x14ac:dyDescent="0.25">
      <c r="A3271" s="83">
        <f t="shared" si="72"/>
        <v>53</v>
      </c>
    </row>
    <row r="3272" spans="1:1" x14ac:dyDescent="0.25">
      <c r="A3272" s="83">
        <f t="shared" si="72"/>
        <v>53</v>
      </c>
    </row>
    <row r="3273" spans="1:1" x14ac:dyDescent="0.25">
      <c r="A3273" s="83">
        <f t="shared" si="72"/>
        <v>53</v>
      </c>
    </row>
    <row r="3274" spans="1:1" x14ac:dyDescent="0.25">
      <c r="A3274" s="83">
        <f t="shared" si="72"/>
        <v>53</v>
      </c>
    </row>
    <row r="3275" spans="1:1" x14ac:dyDescent="0.25">
      <c r="A3275" s="83">
        <f t="shared" si="72"/>
        <v>53</v>
      </c>
    </row>
    <row r="3276" spans="1:1" x14ac:dyDescent="0.25">
      <c r="A3276" s="83">
        <f t="shared" si="72"/>
        <v>53</v>
      </c>
    </row>
    <row r="3277" spans="1:1" x14ac:dyDescent="0.25">
      <c r="A3277" s="83">
        <f t="shared" si="72"/>
        <v>53</v>
      </c>
    </row>
    <row r="3278" spans="1:1" x14ac:dyDescent="0.25">
      <c r="A3278" s="83">
        <f t="shared" si="72"/>
        <v>53</v>
      </c>
    </row>
    <row r="3279" spans="1:1" x14ac:dyDescent="0.25">
      <c r="A3279" s="83">
        <f t="shared" si="72"/>
        <v>53</v>
      </c>
    </row>
    <row r="3280" spans="1:1" x14ac:dyDescent="0.25">
      <c r="A3280" s="83">
        <f t="shared" si="72"/>
        <v>53</v>
      </c>
    </row>
    <row r="3281" spans="1:1" x14ac:dyDescent="0.25">
      <c r="A3281" s="83">
        <f t="shared" si="72"/>
        <v>53</v>
      </c>
    </row>
    <row r="3282" spans="1:1" x14ac:dyDescent="0.25">
      <c r="A3282" s="83">
        <f t="shared" si="72"/>
        <v>53</v>
      </c>
    </row>
    <row r="3283" spans="1:1" x14ac:dyDescent="0.25">
      <c r="A3283" s="83">
        <f t="shared" si="72"/>
        <v>53</v>
      </c>
    </row>
    <row r="3284" spans="1:1" x14ac:dyDescent="0.25">
      <c r="A3284" s="83">
        <f t="shared" si="72"/>
        <v>53</v>
      </c>
    </row>
    <row r="3285" spans="1:1" x14ac:dyDescent="0.25">
      <c r="A3285" s="83">
        <f t="shared" si="72"/>
        <v>53</v>
      </c>
    </row>
    <row r="3286" spans="1:1" x14ac:dyDescent="0.25">
      <c r="A3286" s="83">
        <f t="shared" si="72"/>
        <v>53</v>
      </c>
    </row>
    <row r="3287" spans="1:1" x14ac:dyDescent="0.25">
      <c r="A3287" s="83">
        <f t="shared" si="72"/>
        <v>53</v>
      </c>
    </row>
    <row r="3288" spans="1:1" x14ac:dyDescent="0.25">
      <c r="A3288" s="83">
        <f t="shared" si="72"/>
        <v>53</v>
      </c>
    </row>
    <row r="3289" spans="1:1" x14ac:dyDescent="0.25">
      <c r="A3289" s="83">
        <f t="shared" si="72"/>
        <v>53</v>
      </c>
    </row>
    <row r="3290" spans="1:1" x14ac:dyDescent="0.25">
      <c r="A3290" s="83">
        <f t="shared" si="72"/>
        <v>53</v>
      </c>
    </row>
    <row r="3291" spans="1:1" x14ac:dyDescent="0.25">
      <c r="A3291" s="83">
        <f t="shared" si="72"/>
        <v>53</v>
      </c>
    </row>
    <row r="3292" spans="1:1" x14ac:dyDescent="0.25">
      <c r="A3292" s="83">
        <f t="shared" si="72"/>
        <v>53</v>
      </c>
    </row>
    <row r="3293" spans="1:1" x14ac:dyDescent="0.25">
      <c r="A3293" s="83">
        <f t="shared" si="72"/>
        <v>53</v>
      </c>
    </row>
    <row r="3294" spans="1:1" x14ac:dyDescent="0.25">
      <c r="A3294" s="83">
        <f t="shared" si="72"/>
        <v>53</v>
      </c>
    </row>
    <row r="3295" spans="1:1" x14ac:dyDescent="0.25">
      <c r="A3295" s="83">
        <f t="shared" si="72"/>
        <v>53</v>
      </c>
    </row>
    <row r="3296" spans="1:1" x14ac:dyDescent="0.25">
      <c r="A3296" s="83">
        <f t="shared" si="72"/>
        <v>53</v>
      </c>
    </row>
    <row r="3297" spans="1:1" x14ac:dyDescent="0.25">
      <c r="A3297" s="83">
        <f t="shared" si="72"/>
        <v>53</v>
      </c>
    </row>
    <row r="3298" spans="1:1" x14ac:dyDescent="0.25">
      <c r="A3298" s="83">
        <f t="shared" si="72"/>
        <v>53</v>
      </c>
    </row>
    <row r="3299" spans="1:1" x14ac:dyDescent="0.25">
      <c r="A3299" s="83">
        <f t="shared" si="72"/>
        <v>53</v>
      </c>
    </row>
    <row r="3300" spans="1:1" x14ac:dyDescent="0.25">
      <c r="A3300" s="83">
        <f t="shared" si="72"/>
        <v>53</v>
      </c>
    </row>
    <row r="3301" spans="1:1" x14ac:dyDescent="0.25">
      <c r="A3301" s="83">
        <f t="shared" si="72"/>
        <v>53</v>
      </c>
    </row>
    <row r="3302" spans="1:1" x14ac:dyDescent="0.25">
      <c r="A3302" s="83">
        <f t="shared" si="72"/>
        <v>53</v>
      </c>
    </row>
    <row r="3303" spans="1:1" x14ac:dyDescent="0.25">
      <c r="A3303" s="83">
        <f t="shared" si="72"/>
        <v>53</v>
      </c>
    </row>
    <row r="3304" spans="1:1" x14ac:dyDescent="0.25">
      <c r="A3304" s="83">
        <f t="shared" si="72"/>
        <v>53</v>
      </c>
    </row>
    <row r="3305" spans="1:1" x14ac:dyDescent="0.25">
      <c r="A3305" s="83">
        <f t="shared" si="72"/>
        <v>53</v>
      </c>
    </row>
    <row r="3306" spans="1:1" x14ac:dyDescent="0.25">
      <c r="A3306" s="83">
        <f t="shared" si="72"/>
        <v>53</v>
      </c>
    </row>
    <row r="3307" spans="1:1" x14ac:dyDescent="0.25">
      <c r="A3307" s="83">
        <f t="shared" si="72"/>
        <v>53</v>
      </c>
    </row>
    <row r="3308" spans="1:1" x14ac:dyDescent="0.25">
      <c r="A3308" s="83">
        <f t="shared" si="72"/>
        <v>53</v>
      </c>
    </row>
    <row r="3309" spans="1:1" x14ac:dyDescent="0.25">
      <c r="A3309" s="83">
        <f t="shared" si="72"/>
        <v>53</v>
      </c>
    </row>
    <row r="3310" spans="1:1" x14ac:dyDescent="0.25">
      <c r="A3310" s="83">
        <f t="shared" si="72"/>
        <v>53</v>
      </c>
    </row>
    <row r="3311" spans="1:1" x14ac:dyDescent="0.25">
      <c r="A3311" s="83">
        <f t="shared" si="72"/>
        <v>53</v>
      </c>
    </row>
    <row r="3312" spans="1:1" x14ac:dyDescent="0.25">
      <c r="A3312" s="83">
        <f t="shared" si="72"/>
        <v>53</v>
      </c>
    </row>
    <row r="3313" spans="1:1" x14ac:dyDescent="0.25">
      <c r="A3313" s="83">
        <f t="shared" si="72"/>
        <v>53</v>
      </c>
    </row>
    <row r="3314" spans="1:1" x14ac:dyDescent="0.25">
      <c r="A3314" s="83">
        <f t="shared" si="72"/>
        <v>53</v>
      </c>
    </row>
    <row r="3315" spans="1:1" x14ac:dyDescent="0.25">
      <c r="A3315" s="83">
        <f t="shared" si="72"/>
        <v>53</v>
      </c>
    </row>
    <row r="3316" spans="1:1" x14ac:dyDescent="0.25">
      <c r="A3316" s="83">
        <f t="shared" si="72"/>
        <v>53</v>
      </c>
    </row>
    <row r="3317" spans="1:1" x14ac:dyDescent="0.25">
      <c r="A3317" s="83">
        <f t="shared" si="72"/>
        <v>53</v>
      </c>
    </row>
    <row r="3318" spans="1:1" x14ac:dyDescent="0.25">
      <c r="A3318" s="83">
        <f t="shared" ref="A3318:A3381" si="73">WEEKNUM(B3318,21)</f>
        <v>53</v>
      </c>
    </row>
    <row r="3319" spans="1:1" x14ac:dyDescent="0.25">
      <c r="A3319" s="83">
        <f t="shared" si="73"/>
        <v>53</v>
      </c>
    </row>
    <row r="3320" spans="1:1" x14ac:dyDescent="0.25">
      <c r="A3320" s="83">
        <f t="shared" si="73"/>
        <v>53</v>
      </c>
    </row>
    <row r="3321" spans="1:1" x14ac:dyDescent="0.25">
      <c r="A3321" s="83">
        <f t="shared" si="73"/>
        <v>53</v>
      </c>
    </row>
    <row r="3322" spans="1:1" x14ac:dyDescent="0.25">
      <c r="A3322" s="83">
        <f t="shared" si="73"/>
        <v>53</v>
      </c>
    </row>
    <row r="3323" spans="1:1" x14ac:dyDescent="0.25">
      <c r="A3323" s="83">
        <f t="shared" si="73"/>
        <v>53</v>
      </c>
    </row>
    <row r="3324" spans="1:1" x14ac:dyDescent="0.25">
      <c r="A3324" s="83">
        <f t="shared" si="73"/>
        <v>53</v>
      </c>
    </row>
    <row r="3325" spans="1:1" x14ac:dyDescent="0.25">
      <c r="A3325" s="83">
        <f t="shared" si="73"/>
        <v>53</v>
      </c>
    </row>
    <row r="3326" spans="1:1" x14ac:dyDescent="0.25">
      <c r="A3326" s="83">
        <f t="shared" si="73"/>
        <v>53</v>
      </c>
    </row>
    <row r="3327" spans="1:1" x14ac:dyDescent="0.25">
      <c r="A3327" s="83">
        <f t="shared" si="73"/>
        <v>53</v>
      </c>
    </row>
    <row r="3328" spans="1:1" x14ac:dyDescent="0.25">
      <c r="A3328" s="83">
        <f t="shared" si="73"/>
        <v>53</v>
      </c>
    </row>
    <row r="3329" spans="1:1" x14ac:dyDescent="0.25">
      <c r="A3329" s="83">
        <f t="shared" si="73"/>
        <v>53</v>
      </c>
    </row>
    <row r="3330" spans="1:1" x14ac:dyDescent="0.25">
      <c r="A3330" s="83">
        <f t="shared" si="73"/>
        <v>53</v>
      </c>
    </row>
    <row r="3331" spans="1:1" x14ac:dyDescent="0.25">
      <c r="A3331" s="83">
        <f t="shared" si="73"/>
        <v>53</v>
      </c>
    </row>
    <row r="3332" spans="1:1" x14ac:dyDescent="0.25">
      <c r="A3332" s="83">
        <f t="shared" si="73"/>
        <v>53</v>
      </c>
    </row>
    <row r="3333" spans="1:1" x14ac:dyDescent="0.25">
      <c r="A3333" s="83">
        <f t="shared" si="73"/>
        <v>53</v>
      </c>
    </row>
    <row r="3334" spans="1:1" x14ac:dyDescent="0.25">
      <c r="A3334" s="83">
        <f t="shared" si="73"/>
        <v>53</v>
      </c>
    </row>
    <row r="3335" spans="1:1" x14ac:dyDescent="0.25">
      <c r="A3335" s="83">
        <f t="shared" si="73"/>
        <v>53</v>
      </c>
    </row>
    <row r="3336" spans="1:1" x14ac:dyDescent="0.25">
      <c r="A3336" s="83">
        <f t="shared" si="73"/>
        <v>53</v>
      </c>
    </row>
    <row r="3337" spans="1:1" x14ac:dyDescent="0.25">
      <c r="A3337" s="83">
        <f t="shared" si="73"/>
        <v>53</v>
      </c>
    </row>
    <row r="3338" spans="1:1" x14ac:dyDescent="0.25">
      <c r="A3338" s="83">
        <f t="shared" si="73"/>
        <v>53</v>
      </c>
    </row>
    <row r="3339" spans="1:1" x14ac:dyDescent="0.25">
      <c r="A3339" s="83">
        <f t="shared" si="73"/>
        <v>53</v>
      </c>
    </row>
    <row r="3340" spans="1:1" x14ac:dyDescent="0.25">
      <c r="A3340" s="83">
        <f t="shared" si="73"/>
        <v>53</v>
      </c>
    </row>
    <row r="3341" spans="1:1" x14ac:dyDescent="0.25">
      <c r="A3341" s="83">
        <f t="shared" si="73"/>
        <v>53</v>
      </c>
    </row>
    <row r="3342" spans="1:1" x14ac:dyDescent="0.25">
      <c r="A3342" s="83">
        <f t="shared" si="73"/>
        <v>53</v>
      </c>
    </row>
    <row r="3343" spans="1:1" x14ac:dyDescent="0.25">
      <c r="A3343" s="83">
        <f t="shared" si="73"/>
        <v>53</v>
      </c>
    </row>
    <row r="3344" spans="1:1" x14ac:dyDescent="0.25">
      <c r="A3344" s="83">
        <f t="shared" si="73"/>
        <v>53</v>
      </c>
    </row>
    <row r="3345" spans="1:1" x14ac:dyDescent="0.25">
      <c r="A3345" s="83">
        <f t="shared" si="73"/>
        <v>53</v>
      </c>
    </row>
    <row r="3346" spans="1:1" x14ac:dyDescent="0.25">
      <c r="A3346" s="83">
        <f t="shared" si="73"/>
        <v>53</v>
      </c>
    </row>
    <row r="3347" spans="1:1" x14ac:dyDescent="0.25">
      <c r="A3347" s="83">
        <f t="shared" si="73"/>
        <v>53</v>
      </c>
    </row>
    <row r="3348" spans="1:1" x14ac:dyDescent="0.25">
      <c r="A3348" s="83">
        <f t="shared" si="73"/>
        <v>53</v>
      </c>
    </row>
    <row r="3349" spans="1:1" x14ac:dyDescent="0.25">
      <c r="A3349" s="83">
        <f t="shared" si="73"/>
        <v>53</v>
      </c>
    </row>
    <row r="3350" spans="1:1" x14ac:dyDescent="0.25">
      <c r="A3350" s="83">
        <f t="shared" si="73"/>
        <v>53</v>
      </c>
    </row>
    <row r="3351" spans="1:1" x14ac:dyDescent="0.25">
      <c r="A3351" s="83">
        <f t="shared" si="73"/>
        <v>53</v>
      </c>
    </row>
    <row r="3352" spans="1:1" x14ac:dyDescent="0.25">
      <c r="A3352" s="83">
        <f t="shared" si="73"/>
        <v>53</v>
      </c>
    </row>
    <row r="3353" spans="1:1" x14ac:dyDescent="0.25">
      <c r="A3353" s="83">
        <f t="shared" si="73"/>
        <v>53</v>
      </c>
    </row>
    <row r="3354" spans="1:1" x14ac:dyDescent="0.25">
      <c r="A3354" s="83">
        <f t="shared" si="73"/>
        <v>53</v>
      </c>
    </row>
    <row r="3355" spans="1:1" x14ac:dyDescent="0.25">
      <c r="A3355" s="83">
        <f t="shared" si="73"/>
        <v>53</v>
      </c>
    </row>
    <row r="3356" spans="1:1" x14ac:dyDescent="0.25">
      <c r="A3356" s="83">
        <f t="shared" si="73"/>
        <v>53</v>
      </c>
    </row>
    <row r="3357" spans="1:1" x14ac:dyDescent="0.25">
      <c r="A3357" s="83">
        <f t="shared" si="73"/>
        <v>53</v>
      </c>
    </row>
    <row r="3358" spans="1:1" x14ac:dyDescent="0.25">
      <c r="A3358" s="83">
        <f t="shared" si="73"/>
        <v>53</v>
      </c>
    </row>
    <row r="3359" spans="1:1" x14ac:dyDescent="0.25">
      <c r="A3359" s="83">
        <f t="shared" si="73"/>
        <v>53</v>
      </c>
    </row>
    <row r="3360" spans="1:1" x14ac:dyDescent="0.25">
      <c r="A3360" s="83">
        <f t="shared" si="73"/>
        <v>53</v>
      </c>
    </row>
    <row r="3361" spans="1:1" x14ac:dyDescent="0.25">
      <c r="A3361" s="83">
        <f t="shared" si="73"/>
        <v>53</v>
      </c>
    </row>
    <row r="3362" spans="1:1" x14ac:dyDescent="0.25">
      <c r="A3362" s="83">
        <f t="shared" si="73"/>
        <v>53</v>
      </c>
    </row>
    <row r="3363" spans="1:1" x14ac:dyDescent="0.25">
      <c r="A3363" s="83">
        <f t="shared" si="73"/>
        <v>53</v>
      </c>
    </row>
    <row r="3364" spans="1:1" x14ac:dyDescent="0.25">
      <c r="A3364" s="83">
        <f t="shared" si="73"/>
        <v>53</v>
      </c>
    </row>
    <row r="3365" spans="1:1" x14ac:dyDescent="0.25">
      <c r="A3365" s="83">
        <f t="shared" si="73"/>
        <v>53</v>
      </c>
    </row>
    <row r="3366" spans="1:1" x14ac:dyDescent="0.25">
      <c r="A3366" s="83">
        <f t="shared" si="73"/>
        <v>53</v>
      </c>
    </row>
    <row r="3367" spans="1:1" x14ac:dyDescent="0.25">
      <c r="A3367" s="83">
        <f t="shared" si="73"/>
        <v>53</v>
      </c>
    </row>
    <row r="3368" spans="1:1" x14ac:dyDescent="0.25">
      <c r="A3368" s="83">
        <f t="shared" si="73"/>
        <v>53</v>
      </c>
    </row>
    <row r="3369" spans="1:1" x14ac:dyDescent="0.25">
      <c r="A3369" s="83">
        <f t="shared" si="73"/>
        <v>53</v>
      </c>
    </row>
    <row r="3370" spans="1:1" x14ac:dyDescent="0.25">
      <c r="A3370" s="83">
        <f t="shared" si="73"/>
        <v>53</v>
      </c>
    </row>
    <row r="3371" spans="1:1" x14ac:dyDescent="0.25">
      <c r="A3371" s="83">
        <f t="shared" si="73"/>
        <v>53</v>
      </c>
    </row>
    <row r="3372" spans="1:1" x14ac:dyDescent="0.25">
      <c r="A3372" s="83">
        <f t="shared" si="73"/>
        <v>53</v>
      </c>
    </row>
    <row r="3373" spans="1:1" x14ac:dyDescent="0.25">
      <c r="A3373" s="83">
        <f t="shared" si="73"/>
        <v>53</v>
      </c>
    </row>
    <row r="3374" spans="1:1" x14ac:dyDescent="0.25">
      <c r="A3374" s="83">
        <f t="shared" si="73"/>
        <v>53</v>
      </c>
    </row>
    <row r="3375" spans="1:1" x14ac:dyDescent="0.25">
      <c r="A3375" s="83">
        <f t="shared" si="73"/>
        <v>53</v>
      </c>
    </row>
    <row r="3376" spans="1:1" x14ac:dyDescent="0.25">
      <c r="A3376" s="83">
        <f t="shared" si="73"/>
        <v>53</v>
      </c>
    </row>
    <row r="3377" spans="1:1" x14ac:dyDescent="0.25">
      <c r="A3377" s="83">
        <f t="shared" si="73"/>
        <v>53</v>
      </c>
    </row>
    <row r="3378" spans="1:1" x14ac:dyDescent="0.25">
      <c r="A3378" s="83">
        <f t="shared" si="73"/>
        <v>53</v>
      </c>
    </row>
    <row r="3379" spans="1:1" x14ac:dyDescent="0.25">
      <c r="A3379" s="83">
        <f t="shared" si="73"/>
        <v>53</v>
      </c>
    </row>
    <row r="3380" spans="1:1" x14ac:dyDescent="0.25">
      <c r="A3380" s="83">
        <f t="shared" si="73"/>
        <v>53</v>
      </c>
    </row>
    <row r="3381" spans="1:1" x14ac:dyDescent="0.25">
      <c r="A3381" s="83">
        <f t="shared" si="73"/>
        <v>53</v>
      </c>
    </row>
    <row r="3382" spans="1:1" x14ac:dyDescent="0.25">
      <c r="A3382" s="83">
        <f t="shared" ref="A3382:A3445" si="74">WEEKNUM(B3382,21)</f>
        <v>53</v>
      </c>
    </row>
    <row r="3383" spans="1:1" x14ac:dyDescent="0.25">
      <c r="A3383" s="83">
        <f t="shared" si="74"/>
        <v>53</v>
      </c>
    </row>
    <row r="3384" spans="1:1" x14ac:dyDescent="0.25">
      <c r="A3384" s="83">
        <f t="shared" si="74"/>
        <v>53</v>
      </c>
    </row>
    <row r="3385" spans="1:1" x14ac:dyDescent="0.25">
      <c r="A3385" s="83">
        <f t="shared" si="74"/>
        <v>53</v>
      </c>
    </row>
    <row r="3386" spans="1:1" x14ac:dyDescent="0.25">
      <c r="A3386" s="83">
        <f t="shared" si="74"/>
        <v>53</v>
      </c>
    </row>
    <row r="3387" spans="1:1" x14ac:dyDescent="0.25">
      <c r="A3387" s="83">
        <f t="shared" si="74"/>
        <v>53</v>
      </c>
    </row>
    <row r="3388" spans="1:1" x14ac:dyDescent="0.25">
      <c r="A3388" s="83">
        <f t="shared" si="74"/>
        <v>53</v>
      </c>
    </row>
    <row r="3389" spans="1:1" x14ac:dyDescent="0.25">
      <c r="A3389" s="83">
        <f t="shared" si="74"/>
        <v>53</v>
      </c>
    </row>
    <row r="3390" spans="1:1" x14ac:dyDescent="0.25">
      <c r="A3390" s="83">
        <f t="shared" si="74"/>
        <v>53</v>
      </c>
    </row>
    <row r="3391" spans="1:1" x14ac:dyDescent="0.25">
      <c r="A3391" s="83">
        <f t="shared" si="74"/>
        <v>53</v>
      </c>
    </row>
    <row r="3392" spans="1:1" x14ac:dyDescent="0.25">
      <c r="A3392" s="83">
        <f t="shared" si="74"/>
        <v>53</v>
      </c>
    </row>
    <row r="3393" spans="1:1" x14ac:dyDescent="0.25">
      <c r="A3393" s="83">
        <f t="shared" si="74"/>
        <v>53</v>
      </c>
    </row>
    <row r="3394" spans="1:1" x14ac:dyDescent="0.25">
      <c r="A3394" s="83">
        <f t="shared" si="74"/>
        <v>53</v>
      </c>
    </row>
    <row r="3395" spans="1:1" x14ac:dyDescent="0.25">
      <c r="A3395" s="83">
        <f t="shared" si="74"/>
        <v>53</v>
      </c>
    </row>
    <row r="3396" spans="1:1" x14ac:dyDescent="0.25">
      <c r="A3396" s="83">
        <f t="shared" si="74"/>
        <v>53</v>
      </c>
    </row>
    <row r="3397" spans="1:1" x14ac:dyDescent="0.25">
      <c r="A3397" s="83">
        <f t="shared" si="74"/>
        <v>53</v>
      </c>
    </row>
    <row r="3398" spans="1:1" x14ac:dyDescent="0.25">
      <c r="A3398" s="83">
        <f t="shared" si="74"/>
        <v>53</v>
      </c>
    </row>
    <row r="3399" spans="1:1" x14ac:dyDescent="0.25">
      <c r="A3399" s="83">
        <f t="shared" si="74"/>
        <v>53</v>
      </c>
    </row>
    <row r="3400" spans="1:1" x14ac:dyDescent="0.25">
      <c r="A3400" s="83">
        <f t="shared" si="74"/>
        <v>53</v>
      </c>
    </row>
    <row r="3401" spans="1:1" x14ac:dyDescent="0.25">
      <c r="A3401" s="83">
        <f t="shared" si="74"/>
        <v>53</v>
      </c>
    </row>
    <row r="3402" spans="1:1" x14ac:dyDescent="0.25">
      <c r="A3402" s="83">
        <f t="shared" si="74"/>
        <v>53</v>
      </c>
    </row>
    <row r="3403" spans="1:1" x14ac:dyDescent="0.25">
      <c r="A3403" s="83">
        <f t="shared" si="74"/>
        <v>53</v>
      </c>
    </row>
    <row r="3404" spans="1:1" x14ac:dyDescent="0.25">
      <c r="A3404" s="83">
        <f t="shared" si="74"/>
        <v>53</v>
      </c>
    </row>
    <row r="3405" spans="1:1" x14ac:dyDescent="0.25">
      <c r="A3405" s="83">
        <f t="shared" si="74"/>
        <v>53</v>
      </c>
    </row>
    <row r="3406" spans="1:1" x14ac:dyDescent="0.25">
      <c r="A3406" s="83">
        <f t="shared" si="74"/>
        <v>53</v>
      </c>
    </row>
    <row r="3407" spans="1:1" x14ac:dyDescent="0.25">
      <c r="A3407" s="83">
        <f t="shared" si="74"/>
        <v>53</v>
      </c>
    </row>
    <row r="3408" spans="1:1" x14ac:dyDescent="0.25">
      <c r="A3408" s="83">
        <f t="shared" si="74"/>
        <v>53</v>
      </c>
    </row>
    <row r="3409" spans="1:1" x14ac:dyDescent="0.25">
      <c r="A3409" s="83">
        <f t="shared" si="74"/>
        <v>53</v>
      </c>
    </row>
    <row r="3410" spans="1:1" x14ac:dyDescent="0.25">
      <c r="A3410" s="83">
        <f t="shared" si="74"/>
        <v>53</v>
      </c>
    </row>
    <row r="3411" spans="1:1" x14ac:dyDescent="0.25">
      <c r="A3411" s="83">
        <f t="shared" si="74"/>
        <v>53</v>
      </c>
    </row>
    <row r="3412" spans="1:1" x14ac:dyDescent="0.25">
      <c r="A3412" s="83">
        <f t="shared" si="74"/>
        <v>53</v>
      </c>
    </row>
    <row r="3413" spans="1:1" x14ac:dyDescent="0.25">
      <c r="A3413" s="83">
        <f t="shared" si="74"/>
        <v>53</v>
      </c>
    </row>
    <row r="3414" spans="1:1" x14ac:dyDescent="0.25">
      <c r="A3414" s="83">
        <f t="shared" si="74"/>
        <v>53</v>
      </c>
    </row>
    <row r="3415" spans="1:1" x14ac:dyDescent="0.25">
      <c r="A3415" s="83">
        <f t="shared" si="74"/>
        <v>53</v>
      </c>
    </row>
    <row r="3416" spans="1:1" x14ac:dyDescent="0.25">
      <c r="A3416" s="83">
        <f t="shared" si="74"/>
        <v>53</v>
      </c>
    </row>
    <row r="3417" spans="1:1" x14ac:dyDescent="0.25">
      <c r="A3417" s="83">
        <f t="shared" si="74"/>
        <v>53</v>
      </c>
    </row>
    <row r="3418" spans="1:1" x14ac:dyDescent="0.25">
      <c r="A3418" s="83">
        <f t="shared" si="74"/>
        <v>53</v>
      </c>
    </row>
    <row r="3419" spans="1:1" x14ac:dyDescent="0.25">
      <c r="A3419" s="83">
        <f t="shared" si="74"/>
        <v>53</v>
      </c>
    </row>
    <row r="3420" spans="1:1" x14ac:dyDescent="0.25">
      <c r="A3420" s="83">
        <f t="shared" si="74"/>
        <v>53</v>
      </c>
    </row>
    <row r="3421" spans="1:1" x14ac:dyDescent="0.25">
      <c r="A3421" s="83">
        <f t="shared" si="74"/>
        <v>53</v>
      </c>
    </row>
    <row r="3422" spans="1:1" x14ac:dyDescent="0.25">
      <c r="A3422" s="83">
        <f t="shared" si="74"/>
        <v>53</v>
      </c>
    </row>
    <row r="3423" spans="1:1" x14ac:dyDescent="0.25">
      <c r="A3423" s="83">
        <f t="shared" si="74"/>
        <v>53</v>
      </c>
    </row>
    <row r="3424" spans="1:1" x14ac:dyDescent="0.25">
      <c r="A3424" s="83">
        <f t="shared" si="74"/>
        <v>53</v>
      </c>
    </row>
    <row r="3425" spans="1:1" x14ac:dyDescent="0.25">
      <c r="A3425" s="83">
        <f t="shared" si="74"/>
        <v>53</v>
      </c>
    </row>
    <row r="3426" spans="1:1" x14ac:dyDescent="0.25">
      <c r="A3426" s="83">
        <f t="shared" si="74"/>
        <v>53</v>
      </c>
    </row>
    <row r="3427" spans="1:1" x14ac:dyDescent="0.25">
      <c r="A3427" s="83">
        <f t="shared" si="74"/>
        <v>53</v>
      </c>
    </row>
    <row r="3428" spans="1:1" x14ac:dyDescent="0.25">
      <c r="A3428" s="83">
        <f t="shared" si="74"/>
        <v>53</v>
      </c>
    </row>
    <row r="3429" spans="1:1" x14ac:dyDescent="0.25">
      <c r="A3429" s="83">
        <f t="shared" si="74"/>
        <v>53</v>
      </c>
    </row>
    <row r="3430" spans="1:1" x14ac:dyDescent="0.25">
      <c r="A3430" s="83">
        <f t="shared" si="74"/>
        <v>53</v>
      </c>
    </row>
    <row r="3431" spans="1:1" x14ac:dyDescent="0.25">
      <c r="A3431" s="83">
        <f t="shared" si="74"/>
        <v>53</v>
      </c>
    </row>
    <row r="3432" spans="1:1" x14ac:dyDescent="0.25">
      <c r="A3432" s="83">
        <f t="shared" si="74"/>
        <v>53</v>
      </c>
    </row>
    <row r="3433" spans="1:1" x14ac:dyDescent="0.25">
      <c r="A3433" s="83">
        <f t="shared" si="74"/>
        <v>53</v>
      </c>
    </row>
    <row r="3434" spans="1:1" x14ac:dyDescent="0.25">
      <c r="A3434" s="83">
        <f t="shared" si="74"/>
        <v>53</v>
      </c>
    </row>
    <row r="3435" spans="1:1" x14ac:dyDescent="0.25">
      <c r="A3435" s="83">
        <f t="shared" si="74"/>
        <v>53</v>
      </c>
    </row>
    <row r="3436" spans="1:1" x14ac:dyDescent="0.25">
      <c r="A3436" s="83">
        <f t="shared" si="74"/>
        <v>53</v>
      </c>
    </row>
    <row r="3437" spans="1:1" x14ac:dyDescent="0.25">
      <c r="A3437" s="83">
        <f t="shared" si="74"/>
        <v>53</v>
      </c>
    </row>
    <row r="3438" spans="1:1" x14ac:dyDescent="0.25">
      <c r="A3438" s="83">
        <f t="shared" si="74"/>
        <v>53</v>
      </c>
    </row>
    <row r="3439" spans="1:1" x14ac:dyDescent="0.25">
      <c r="A3439" s="83">
        <f t="shared" si="74"/>
        <v>53</v>
      </c>
    </row>
    <row r="3440" spans="1:1" x14ac:dyDescent="0.25">
      <c r="A3440" s="83">
        <f t="shared" si="74"/>
        <v>53</v>
      </c>
    </row>
    <row r="3441" spans="1:1" x14ac:dyDescent="0.25">
      <c r="A3441" s="83">
        <f t="shared" si="74"/>
        <v>53</v>
      </c>
    </row>
    <row r="3442" spans="1:1" x14ac:dyDescent="0.25">
      <c r="A3442" s="83">
        <f t="shared" si="74"/>
        <v>53</v>
      </c>
    </row>
    <row r="3443" spans="1:1" x14ac:dyDescent="0.25">
      <c r="A3443" s="83">
        <f t="shared" si="74"/>
        <v>53</v>
      </c>
    </row>
    <row r="3444" spans="1:1" x14ac:dyDescent="0.25">
      <c r="A3444" s="83">
        <f t="shared" si="74"/>
        <v>53</v>
      </c>
    </row>
    <row r="3445" spans="1:1" x14ac:dyDescent="0.25">
      <c r="A3445" s="83">
        <f t="shared" si="74"/>
        <v>53</v>
      </c>
    </row>
    <row r="3446" spans="1:1" x14ac:dyDescent="0.25">
      <c r="A3446" s="83">
        <f t="shared" ref="A3446:A3509" si="75">WEEKNUM(B3446,21)</f>
        <v>53</v>
      </c>
    </row>
    <row r="3447" spans="1:1" x14ac:dyDescent="0.25">
      <c r="A3447" s="83">
        <f t="shared" si="75"/>
        <v>53</v>
      </c>
    </row>
    <row r="3448" spans="1:1" x14ac:dyDescent="0.25">
      <c r="A3448" s="83">
        <f t="shared" si="75"/>
        <v>53</v>
      </c>
    </row>
    <row r="3449" spans="1:1" x14ac:dyDescent="0.25">
      <c r="A3449" s="83">
        <f t="shared" si="75"/>
        <v>53</v>
      </c>
    </row>
    <row r="3450" spans="1:1" x14ac:dyDescent="0.25">
      <c r="A3450" s="83">
        <f t="shared" si="75"/>
        <v>53</v>
      </c>
    </row>
    <row r="3451" spans="1:1" x14ac:dyDescent="0.25">
      <c r="A3451" s="83">
        <f t="shared" si="75"/>
        <v>53</v>
      </c>
    </row>
    <row r="3452" spans="1:1" x14ac:dyDescent="0.25">
      <c r="A3452" s="83">
        <f t="shared" si="75"/>
        <v>53</v>
      </c>
    </row>
    <row r="3453" spans="1:1" x14ac:dyDescent="0.25">
      <c r="A3453" s="83">
        <f t="shared" si="75"/>
        <v>53</v>
      </c>
    </row>
    <row r="3454" spans="1:1" x14ac:dyDescent="0.25">
      <c r="A3454" s="83">
        <f t="shared" si="75"/>
        <v>53</v>
      </c>
    </row>
    <row r="3455" spans="1:1" x14ac:dyDescent="0.25">
      <c r="A3455" s="83">
        <f t="shared" si="75"/>
        <v>53</v>
      </c>
    </row>
    <row r="3456" spans="1:1" x14ac:dyDescent="0.25">
      <c r="A3456" s="83">
        <f t="shared" si="75"/>
        <v>53</v>
      </c>
    </row>
    <row r="3457" spans="1:1" x14ac:dyDescent="0.25">
      <c r="A3457" s="83">
        <f t="shared" si="75"/>
        <v>53</v>
      </c>
    </row>
    <row r="3458" spans="1:1" x14ac:dyDescent="0.25">
      <c r="A3458" s="83">
        <f t="shared" si="75"/>
        <v>53</v>
      </c>
    </row>
    <row r="3459" spans="1:1" x14ac:dyDescent="0.25">
      <c r="A3459" s="83">
        <f t="shared" si="75"/>
        <v>53</v>
      </c>
    </row>
    <row r="3460" spans="1:1" x14ac:dyDescent="0.25">
      <c r="A3460" s="83">
        <f t="shared" si="75"/>
        <v>53</v>
      </c>
    </row>
    <row r="3461" spans="1:1" x14ac:dyDescent="0.25">
      <c r="A3461" s="83">
        <f t="shared" si="75"/>
        <v>53</v>
      </c>
    </row>
    <row r="3462" spans="1:1" x14ac:dyDescent="0.25">
      <c r="A3462" s="83">
        <f t="shared" si="75"/>
        <v>53</v>
      </c>
    </row>
    <row r="3463" spans="1:1" x14ac:dyDescent="0.25">
      <c r="A3463" s="83">
        <f t="shared" si="75"/>
        <v>53</v>
      </c>
    </row>
    <row r="3464" spans="1:1" x14ac:dyDescent="0.25">
      <c r="A3464" s="83">
        <f t="shared" si="75"/>
        <v>53</v>
      </c>
    </row>
    <row r="3465" spans="1:1" x14ac:dyDescent="0.25">
      <c r="A3465" s="83">
        <f t="shared" si="75"/>
        <v>53</v>
      </c>
    </row>
    <row r="3466" spans="1:1" x14ac:dyDescent="0.25">
      <c r="A3466" s="83">
        <f t="shared" si="75"/>
        <v>53</v>
      </c>
    </row>
    <row r="3467" spans="1:1" x14ac:dyDescent="0.25">
      <c r="A3467" s="83">
        <f t="shared" si="75"/>
        <v>53</v>
      </c>
    </row>
    <row r="3468" spans="1:1" x14ac:dyDescent="0.25">
      <c r="A3468" s="83">
        <f t="shared" si="75"/>
        <v>53</v>
      </c>
    </row>
    <row r="3469" spans="1:1" x14ac:dyDescent="0.25">
      <c r="A3469" s="83">
        <f t="shared" si="75"/>
        <v>53</v>
      </c>
    </row>
    <row r="3470" spans="1:1" x14ac:dyDescent="0.25">
      <c r="A3470" s="83">
        <f t="shared" si="75"/>
        <v>53</v>
      </c>
    </row>
    <row r="3471" spans="1:1" x14ac:dyDescent="0.25">
      <c r="A3471" s="83">
        <f t="shared" si="75"/>
        <v>53</v>
      </c>
    </row>
    <row r="3472" spans="1:1" x14ac:dyDescent="0.25">
      <c r="A3472" s="83">
        <f t="shared" si="75"/>
        <v>53</v>
      </c>
    </row>
    <row r="3473" spans="1:1" x14ac:dyDescent="0.25">
      <c r="A3473" s="83">
        <f t="shared" si="75"/>
        <v>53</v>
      </c>
    </row>
    <row r="3474" spans="1:1" x14ac:dyDescent="0.25">
      <c r="A3474" s="83">
        <f t="shared" si="75"/>
        <v>53</v>
      </c>
    </row>
    <row r="3475" spans="1:1" x14ac:dyDescent="0.25">
      <c r="A3475" s="83">
        <f t="shared" si="75"/>
        <v>53</v>
      </c>
    </row>
    <row r="3476" spans="1:1" x14ac:dyDescent="0.25">
      <c r="A3476" s="83">
        <f t="shared" si="75"/>
        <v>53</v>
      </c>
    </row>
    <row r="3477" spans="1:1" x14ac:dyDescent="0.25">
      <c r="A3477" s="83">
        <f t="shared" si="75"/>
        <v>53</v>
      </c>
    </row>
    <row r="3478" spans="1:1" x14ac:dyDescent="0.25">
      <c r="A3478" s="83">
        <f t="shared" si="75"/>
        <v>53</v>
      </c>
    </row>
    <row r="3479" spans="1:1" x14ac:dyDescent="0.25">
      <c r="A3479" s="83">
        <f t="shared" si="75"/>
        <v>53</v>
      </c>
    </row>
    <row r="3480" spans="1:1" x14ac:dyDescent="0.25">
      <c r="A3480" s="83">
        <f t="shared" si="75"/>
        <v>53</v>
      </c>
    </row>
    <row r="3481" spans="1:1" x14ac:dyDescent="0.25">
      <c r="A3481" s="83">
        <f t="shared" si="75"/>
        <v>53</v>
      </c>
    </row>
    <row r="3482" spans="1:1" x14ac:dyDescent="0.25">
      <c r="A3482" s="83">
        <f t="shared" si="75"/>
        <v>53</v>
      </c>
    </row>
    <row r="3483" spans="1:1" x14ac:dyDescent="0.25">
      <c r="A3483" s="83">
        <f t="shared" si="75"/>
        <v>53</v>
      </c>
    </row>
    <row r="3484" spans="1:1" x14ac:dyDescent="0.25">
      <c r="A3484" s="83">
        <f t="shared" si="75"/>
        <v>53</v>
      </c>
    </row>
    <row r="3485" spans="1:1" x14ac:dyDescent="0.25">
      <c r="A3485" s="83">
        <f t="shared" si="75"/>
        <v>53</v>
      </c>
    </row>
    <row r="3486" spans="1:1" x14ac:dyDescent="0.25">
      <c r="A3486" s="83">
        <f t="shared" si="75"/>
        <v>53</v>
      </c>
    </row>
    <row r="3487" spans="1:1" x14ac:dyDescent="0.25">
      <c r="A3487" s="83">
        <f t="shared" si="75"/>
        <v>53</v>
      </c>
    </row>
    <row r="3488" spans="1:1" x14ac:dyDescent="0.25">
      <c r="A3488" s="83">
        <f t="shared" si="75"/>
        <v>53</v>
      </c>
    </row>
    <row r="3489" spans="1:1" x14ac:dyDescent="0.25">
      <c r="A3489" s="83">
        <f t="shared" si="75"/>
        <v>53</v>
      </c>
    </row>
    <row r="3490" spans="1:1" x14ac:dyDescent="0.25">
      <c r="A3490" s="83">
        <f t="shared" si="75"/>
        <v>53</v>
      </c>
    </row>
    <row r="3491" spans="1:1" x14ac:dyDescent="0.25">
      <c r="A3491" s="83">
        <f t="shared" si="75"/>
        <v>53</v>
      </c>
    </row>
    <row r="3492" spans="1:1" x14ac:dyDescent="0.25">
      <c r="A3492" s="83">
        <f t="shared" si="75"/>
        <v>53</v>
      </c>
    </row>
    <row r="3493" spans="1:1" x14ac:dyDescent="0.25">
      <c r="A3493" s="83">
        <f t="shared" si="75"/>
        <v>53</v>
      </c>
    </row>
    <row r="3494" spans="1:1" x14ac:dyDescent="0.25">
      <c r="A3494" s="83">
        <f t="shared" si="75"/>
        <v>53</v>
      </c>
    </row>
    <row r="3495" spans="1:1" x14ac:dyDescent="0.25">
      <c r="A3495" s="83">
        <f t="shared" si="75"/>
        <v>53</v>
      </c>
    </row>
    <row r="3496" spans="1:1" x14ac:dyDescent="0.25">
      <c r="A3496" s="83">
        <f t="shared" si="75"/>
        <v>53</v>
      </c>
    </row>
    <row r="3497" spans="1:1" x14ac:dyDescent="0.25">
      <c r="A3497" s="83">
        <f t="shared" si="75"/>
        <v>53</v>
      </c>
    </row>
    <row r="3498" spans="1:1" x14ac:dyDescent="0.25">
      <c r="A3498" s="83">
        <f t="shared" si="75"/>
        <v>53</v>
      </c>
    </row>
    <row r="3499" spans="1:1" x14ac:dyDescent="0.25">
      <c r="A3499" s="83">
        <f t="shared" si="75"/>
        <v>53</v>
      </c>
    </row>
    <row r="3500" spans="1:1" x14ac:dyDescent="0.25">
      <c r="A3500" s="83">
        <f t="shared" si="75"/>
        <v>53</v>
      </c>
    </row>
    <row r="3501" spans="1:1" x14ac:dyDescent="0.25">
      <c r="A3501" s="83">
        <f t="shared" si="75"/>
        <v>53</v>
      </c>
    </row>
    <row r="3502" spans="1:1" x14ac:dyDescent="0.25">
      <c r="A3502" s="83">
        <f t="shared" si="75"/>
        <v>53</v>
      </c>
    </row>
    <row r="3503" spans="1:1" x14ac:dyDescent="0.25">
      <c r="A3503" s="83">
        <f t="shared" si="75"/>
        <v>53</v>
      </c>
    </row>
    <row r="3504" spans="1:1" x14ac:dyDescent="0.25">
      <c r="A3504" s="83">
        <f t="shared" si="75"/>
        <v>53</v>
      </c>
    </row>
    <row r="3505" spans="1:1" x14ac:dyDescent="0.25">
      <c r="A3505" s="83">
        <f t="shared" si="75"/>
        <v>53</v>
      </c>
    </row>
    <row r="3506" spans="1:1" x14ac:dyDescent="0.25">
      <c r="A3506" s="83">
        <f t="shared" si="75"/>
        <v>53</v>
      </c>
    </row>
    <row r="3507" spans="1:1" x14ac:dyDescent="0.25">
      <c r="A3507" s="83">
        <f t="shared" si="75"/>
        <v>53</v>
      </c>
    </row>
    <row r="3508" spans="1:1" x14ac:dyDescent="0.25">
      <c r="A3508" s="83">
        <f t="shared" si="75"/>
        <v>53</v>
      </c>
    </row>
    <row r="3509" spans="1:1" x14ac:dyDescent="0.25">
      <c r="A3509" s="83">
        <f t="shared" si="75"/>
        <v>53</v>
      </c>
    </row>
    <row r="3510" spans="1:1" x14ac:dyDescent="0.25">
      <c r="A3510" s="83">
        <f t="shared" ref="A3510:A3573" si="76">WEEKNUM(B3510,21)</f>
        <v>53</v>
      </c>
    </row>
    <row r="3511" spans="1:1" x14ac:dyDescent="0.25">
      <c r="A3511" s="83">
        <f t="shared" si="76"/>
        <v>53</v>
      </c>
    </row>
    <row r="3512" spans="1:1" x14ac:dyDescent="0.25">
      <c r="A3512" s="83">
        <f t="shared" si="76"/>
        <v>53</v>
      </c>
    </row>
    <row r="3513" spans="1:1" x14ac:dyDescent="0.25">
      <c r="A3513" s="83">
        <f t="shared" si="76"/>
        <v>53</v>
      </c>
    </row>
    <row r="3514" spans="1:1" x14ac:dyDescent="0.25">
      <c r="A3514" s="83">
        <f t="shared" si="76"/>
        <v>53</v>
      </c>
    </row>
    <row r="3515" spans="1:1" x14ac:dyDescent="0.25">
      <c r="A3515" s="83">
        <f t="shared" si="76"/>
        <v>53</v>
      </c>
    </row>
    <row r="3516" spans="1:1" x14ac:dyDescent="0.25">
      <c r="A3516" s="83">
        <f t="shared" si="76"/>
        <v>53</v>
      </c>
    </row>
    <row r="3517" spans="1:1" x14ac:dyDescent="0.25">
      <c r="A3517" s="83">
        <f t="shared" si="76"/>
        <v>53</v>
      </c>
    </row>
    <row r="3518" spans="1:1" x14ac:dyDescent="0.25">
      <c r="A3518" s="83">
        <f t="shared" si="76"/>
        <v>53</v>
      </c>
    </row>
    <row r="3519" spans="1:1" x14ac:dyDescent="0.25">
      <c r="A3519" s="83">
        <f t="shared" si="76"/>
        <v>53</v>
      </c>
    </row>
    <row r="3520" spans="1:1" x14ac:dyDescent="0.25">
      <c r="A3520" s="83">
        <f t="shared" si="76"/>
        <v>53</v>
      </c>
    </row>
    <row r="3521" spans="1:1" x14ac:dyDescent="0.25">
      <c r="A3521" s="83">
        <f t="shared" si="76"/>
        <v>53</v>
      </c>
    </row>
    <row r="3522" spans="1:1" x14ac:dyDescent="0.25">
      <c r="A3522" s="83">
        <f t="shared" si="76"/>
        <v>53</v>
      </c>
    </row>
    <row r="3523" spans="1:1" x14ac:dyDescent="0.25">
      <c r="A3523" s="83">
        <f t="shared" si="76"/>
        <v>53</v>
      </c>
    </row>
    <row r="3524" spans="1:1" x14ac:dyDescent="0.25">
      <c r="A3524" s="83">
        <f t="shared" si="76"/>
        <v>53</v>
      </c>
    </row>
    <row r="3525" spans="1:1" x14ac:dyDescent="0.25">
      <c r="A3525" s="83">
        <f t="shared" si="76"/>
        <v>53</v>
      </c>
    </row>
    <row r="3526" spans="1:1" x14ac:dyDescent="0.25">
      <c r="A3526" s="83">
        <f t="shared" si="76"/>
        <v>53</v>
      </c>
    </row>
    <row r="3527" spans="1:1" x14ac:dyDescent="0.25">
      <c r="A3527" s="83">
        <f t="shared" si="76"/>
        <v>53</v>
      </c>
    </row>
    <row r="3528" spans="1:1" x14ac:dyDescent="0.25">
      <c r="A3528" s="83">
        <f t="shared" si="76"/>
        <v>53</v>
      </c>
    </row>
    <row r="3529" spans="1:1" x14ac:dyDescent="0.25">
      <c r="A3529" s="83">
        <f t="shared" si="76"/>
        <v>53</v>
      </c>
    </row>
    <row r="3530" spans="1:1" x14ac:dyDescent="0.25">
      <c r="A3530" s="83">
        <f t="shared" si="76"/>
        <v>53</v>
      </c>
    </row>
    <row r="3531" spans="1:1" x14ac:dyDescent="0.25">
      <c r="A3531" s="83">
        <f t="shared" si="76"/>
        <v>53</v>
      </c>
    </row>
    <row r="3532" spans="1:1" x14ac:dyDescent="0.25">
      <c r="A3532" s="83">
        <f t="shared" si="76"/>
        <v>53</v>
      </c>
    </row>
    <row r="3533" spans="1:1" x14ac:dyDescent="0.25">
      <c r="A3533" s="83">
        <f t="shared" si="76"/>
        <v>53</v>
      </c>
    </row>
    <row r="3534" spans="1:1" x14ac:dyDescent="0.25">
      <c r="A3534" s="83">
        <f t="shared" si="76"/>
        <v>53</v>
      </c>
    </row>
    <row r="3535" spans="1:1" x14ac:dyDescent="0.25">
      <c r="A3535" s="83">
        <f t="shared" si="76"/>
        <v>53</v>
      </c>
    </row>
    <row r="3536" spans="1:1" x14ac:dyDescent="0.25">
      <c r="A3536" s="83">
        <f t="shared" si="76"/>
        <v>53</v>
      </c>
    </row>
    <row r="3537" spans="1:1" x14ac:dyDescent="0.25">
      <c r="A3537" s="83">
        <f t="shared" si="76"/>
        <v>53</v>
      </c>
    </row>
    <row r="3538" spans="1:1" x14ac:dyDescent="0.25">
      <c r="A3538" s="83">
        <f t="shared" si="76"/>
        <v>53</v>
      </c>
    </row>
    <row r="3539" spans="1:1" x14ac:dyDescent="0.25">
      <c r="A3539" s="83">
        <f t="shared" si="76"/>
        <v>53</v>
      </c>
    </row>
    <row r="3540" spans="1:1" x14ac:dyDescent="0.25">
      <c r="A3540" s="83">
        <f t="shared" si="76"/>
        <v>53</v>
      </c>
    </row>
    <row r="3541" spans="1:1" x14ac:dyDescent="0.25">
      <c r="A3541" s="83">
        <f t="shared" si="76"/>
        <v>53</v>
      </c>
    </row>
    <row r="3542" spans="1:1" x14ac:dyDescent="0.25">
      <c r="A3542" s="83">
        <f t="shared" si="76"/>
        <v>53</v>
      </c>
    </row>
    <row r="3543" spans="1:1" x14ac:dyDescent="0.25">
      <c r="A3543" s="83">
        <f t="shared" si="76"/>
        <v>53</v>
      </c>
    </row>
    <row r="3544" spans="1:1" x14ac:dyDescent="0.25">
      <c r="A3544" s="83">
        <f t="shared" si="76"/>
        <v>53</v>
      </c>
    </row>
    <row r="3545" spans="1:1" x14ac:dyDescent="0.25">
      <c r="A3545" s="83">
        <f t="shared" si="76"/>
        <v>53</v>
      </c>
    </row>
    <row r="3546" spans="1:1" x14ac:dyDescent="0.25">
      <c r="A3546" s="83">
        <f t="shared" si="76"/>
        <v>53</v>
      </c>
    </row>
    <row r="3547" spans="1:1" x14ac:dyDescent="0.25">
      <c r="A3547" s="83">
        <f t="shared" si="76"/>
        <v>53</v>
      </c>
    </row>
    <row r="3548" spans="1:1" x14ac:dyDescent="0.25">
      <c r="A3548" s="83">
        <f t="shared" si="76"/>
        <v>53</v>
      </c>
    </row>
    <row r="3549" spans="1:1" x14ac:dyDescent="0.25">
      <c r="A3549" s="83">
        <f t="shared" si="76"/>
        <v>53</v>
      </c>
    </row>
    <row r="3550" spans="1:1" x14ac:dyDescent="0.25">
      <c r="A3550" s="83">
        <f t="shared" si="76"/>
        <v>53</v>
      </c>
    </row>
    <row r="3551" spans="1:1" x14ac:dyDescent="0.25">
      <c r="A3551" s="83">
        <f t="shared" si="76"/>
        <v>53</v>
      </c>
    </row>
    <row r="3552" spans="1:1" x14ac:dyDescent="0.25">
      <c r="A3552" s="83">
        <f t="shared" si="76"/>
        <v>53</v>
      </c>
    </row>
    <row r="3553" spans="1:1" x14ac:dyDescent="0.25">
      <c r="A3553" s="83">
        <f t="shared" si="76"/>
        <v>53</v>
      </c>
    </row>
    <row r="3554" spans="1:1" x14ac:dyDescent="0.25">
      <c r="A3554" s="83">
        <f t="shared" si="76"/>
        <v>53</v>
      </c>
    </row>
    <row r="3555" spans="1:1" x14ac:dyDescent="0.25">
      <c r="A3555" s="83">
        <f t="shared" si="76"/>
        <v>53</v>
      </c>
    </row>
    <row r="3556" spans="1:1" x14ac:dyDescent="0.25">
      <c r="A3556" s="83">
        <f t="shared" si="76"/>
        <v>53</v>
      </c>
    </row>
    <row r="3557" spans="1:1" x14ac:dyDescent="0.25">
      <c r="A3557" s="83">
        <f t="shared" si="76"/>
        <v>53</v>
      </c>
    </row>
    <row r="3558" spans="1:1" x14ac:dyDescent="0.25">
      <c r="A3558" s="83">
        <f t="shared" si="76"/>
        <v>53</v>
      </c>
    </row>
    <row r="3559" spans="1:1" x14ac:dyDescent="0.25">
      <c r="A3559" s="83">
        <f t="shared" si="76"/>
        <v>53</v>
      </c>
    </row>
    <row r="3560" spans="1:1" x14ac:dyDescent="0.25">
      <c r="A3560" s="83">
        <f t="shared" si="76"/>
        <v>53</v>
      </c>
    </row>
    <row r="3561" spans="1:1" x14ac:dyDescent="0.25">
      <c r="A3561" s="83">
        <f t="shared" si="76"/>
        <v>53</v>
      </c>
    </row>
    <row r="3562" spans="1:1" x14ac:dyDescent="0.25">
      <c r="A3562" s="83">
        <f t="shared" si="76"/>
        <v>53</v>
      </c>
    </row>
    <row r="3563" spans="1:1" x14ac:dyDescent="0.25">
      <c r="A3563" s="83">
        <f t="shared" si="76"/>
        <v>53</v>
      </c>
    </row>
    <row r="3564" spans="1:1" x14ac:dyDescent="0.25">
      <c r="A3564" s="83">
        <f t="shared" si="76"/>
        <v>53</v>
      </c>
    </row>
    <row r="3565" spans="1:1" x14ac:dyDescent="0.25">
      <c r="A3565" s="83">
        <f t="shared" si="76"/>
        <v>53</v>
      </c>
    </row>
    <row r="3566" spans="1:1" x14ac:dyDescent="0.25">
      <c r="A3566" s="83">
        <f t="shared" si="76"/>
        <v>53</v>
      </c>
    </row>
    <row r="3567" spans="1:1" x14ac:dyDescent="0.25">
      <c r="A3567" s="83">
        <f t="shared" si="76"/>
        <v>53</v>
      </c>
    </row>
    <row r="3568" spans="1:1" x14ac:dyDescent="0.25">
      <c r="A3568" s="83">
        <f t="shared" si="76"/>
        <v>53</v>
      </c>
    </row>
    <row r="3569" spans="1:1" x14ac:dyDescent="0.25">
      <c r="A3569" s="83">
        <f t="shared" si="76"/>
        <v>53</v>
      </c>
    </row>
    <row r="3570" spans="1:1" x14ac:dyDescent="0.25">
      <c r="A3570" s="83">
        <f t="shared" si="76"/>
        <v>53</v>
      </c>
    </row>
    <row r="3571" spans="1:1" x14ac:dyDescent="0.25">
      <c r="A3571" s="83">
        <f t="shared" si="76"/>
        <v>53</v>
      </c>
    </row>
    <row r="3572" spans="1:1" x14ac:dyDescent="0.25">
      <c r="A3572" s="83">
        <f t="shared" si="76"/>
        <v>53</v>
      </c>
    </row>
    <row r="3573" spans="1:1" x14ac:dyDescent="0.25">
      <c r="A3573" s="83">
        <f t="shared" si="76"/>
        <v>53</v>
      </c>
    </row>
    <row r="3574" spans="1:1" x14ac:dyDescent="0.25">
      <c r="A3574" s="83">
        <f t="shared" ref="A3574:A3637" si="77">WEEKNUM(B3574,21)</f>
        <v>53</v>
      </c>
    </row>
    <row r="3575" spans="1:1" x14ac:dyDescent="0.25">
      <c r="A3575" s="83">
        <f t="shared" si="77"/>
        <v>53</v>
      </c>
    </row>
    <row r="3576" spans="1:1" x14ac:dyDescent="0.25">
      <c r="A3576" s="83">
        <f t="shared" si="77"/>
        <v>53</v>
      </c>
    </row>
    <row r="3577" spans="1:1" x14ac:dyDescent="0.25">
      <c r="A3577" s="83">
        <f t="shared" si="77"/>
        <v>53</v>
      </c>
    </row>
    <row r="3578" spans="1:1" x14ac:dyDescent="0.25">
      <c r="A3578" s="83">
        <f t="shared" si="77"/>
        <v>53</v>
      </c>
    </row>
    <row r="3579" spans="1:1" x14ac:dyDescent="0.25">
      <c r="A3579" s="83">
        <f t="shared" si="77"/>
        <v>53</v>
      </c>
    </row>
    <row r="3580" spans="1:1" x14ac:dyDescent="0.25">
      <c r="A3580" s="83">
        <f t="shared" si="77"/>
        <v>53</v>
      </c>
    </row>
    <row r="3581" spans="1:1" x14ac:dyDescent="0.25">
      <c r="A3581" s="83">
        <f t="shared" si="77"/>
        <v>53</v>
      </c>
    </row>
    <row r="3582" spans="1:1" x14ac:dyDescent="0.25">
      <c r="A3582" s="83">
        <f t="shared" si="77"/>
        <v>53</v>
      </c>
    </row>
    <row r="3583" spans="1:1" x14ac:dyDescent="0.25">
      <c r="A3583" s="83">
        <f t="shared" si="77"/>
        <v>53</v>
      </c>
    </row>
    <row r="3584" spans="1:1" x14ac:dyDescent="0.25">
      <c r="A3584" s="83">
        <f t="shared" si="77"/>
        <v>53</v>
      </c>
    </row>
    <row r="3585" spans="1:1" x14ac:dyDescent="0.25">
      <c r="A3585" s="83">
        <f t="shared" si="77"/>
        <v>53</v>
      </c>
    </row>
    <row r="3586" spans="1:1" x14ac:dyDescent="0.25">
      <c r="A3586" s="83">
        <f t="shared" si="77"/>
        <v>53</v>
      </c>
    </row>
    <row r="3587" spans="1:1" x14ac:dyDescent="0.25">
      <c r="A3587" s="83">
        <f t="shared" si="77"/>
        <v>53</v>
      </c>
    </row>
    <row r="3588" spans="1:1" x14ac:dyDescent="0.25">
      <c r="A3588" s="83">
        <f t="shared" si="77"/>
        <v>53</v>
      </c>
    </row>
    <row r="3589" spans="1:1" x14ac:dyDescent="0.25">
      <c r="A3589" s="83">
        <f t="shared" si="77"/>
        <v>53</v>
      </c>
    </row>
    <row r="3590" spans="1:1" x14ac:dyDescent="0.25">
      <c r="A3590" s="83">
        <f t="shared" si="77"/>
        <v>53</v>
      </c>
    </row>
    <row r="3591" spans="1:1" x14ac:dyDescent="0.25">
      <c r="A3591" s="83">
        <f t="shared" si="77"/>
        <v>53</v>
      </c>
    </row>
    <row r="3592" spans="1:1" x14ac:dyDescent="0.25">
      <c r="A3592" s="83">
        <f t="shared" si="77"/>
        <v>53</v>
      </c>
    </row>
    <row r="3593" spans="1:1" x14ac:dyDescent="0.25">
      <c r="A3593" s="83">
        <f t="shared" si="77"/>
        <v>53</v>
      </c>
    </row>
    <row r="3594" spans="1:1" x14ac:dyDescent="0.25">
      <c r="A3594" s="83">
        <f t="shared" si="77"/>
        <v>53</v>
      </c>
    </row>
    <row r="3595" spans="1:1" x14ac:dyDescent="0.25">
      <c r="A3595" s="83">
        <f t="shared" si="77"/>
        <v>53</v>
      </c>
    </row>
    <row r="3596" spans="1:1" x14ac:dyDescent="0.25">
      <c r="A3596" s="83">
        <f t="shared" si="77"/>
        <v>53</v>
      </c>
    </row>
    <row r="3597" spans="1:1" x14ac:dyDescent="0.25">
      <c r="A3597" s="83">
        <f t="shared" si="77"/>
        <v>53</v>
      </c>
    </row>
    <row r="3598" spans="1:1" x14ac:dyDescent="0.25">
      <c r="A3598" s="83">
        <f t="shared" si="77"/>
        <v>53</v>
      </c>
    </row>
    <row r="3599" spans="1:1" x14ac:dyDescent="0.25">
      <c r="A3599" s="83">
        <f t="shared" si="77"/>
        <v>53</v>
      </c>
    </row>
    <row r="3600" spans="1:1" x14ac:dyDescent="0.25">
      <c r="A3600" s="83">
        <f t="shared" si="77"/>
        <v>53</v>
      </c>
    </row>
    <row r="3601" spans="1:1" x14ac:dyDescent="0.25">
      <c r="A3601" s="83">
        <f t="shared" si="77"/>
        <v>53</v>
      </c>
    </row>
    <row r="3602" spans="1:1" x14ac:dyDescent="0.25">
      <c r="A3602" s="83">
        <f t="shared" si="77"/>
        <v>53</v>
      </c>
    </row>
    <row r="3603" spans="1:1" x14ac:dyDescent="0.25">
      <c r="A3603" s="83">
        <f t="shared" si="77"/>
        <v>53</v>
      </c>
    </row>
    <row r="3604" spans="1:1" x14ac:dyDescent="0.25">
      <c r="A3604" s="83">
        <f t="shared" si="77"/>
        <v>53</v>
      </c>
    </row>
    <row r="3605" spans="1:1" x14ac:dyDescent="0.25">
      <c r="A3605" s="83">
        <f t="shared" si="77"/>
        <v>53</v>
      </c>
    </row>
    <row r="3606" spans="1:1" x14ac:dyDescent="0.25">
      <c r="A3606" s="83">
        <f t="shared" si="77"/>
        <v>53</v>
      </c>
    </row>
    <row r="3607" spans="1:1" x14ac:dyDescent="0.25">
      <c r="A3607" s="83">
        <f t="shared" si="77"/>
        <v>53</v>
      </c>
    </row>
    <row r="3608" spans="1:1" x14ac:dyDescent="0.25">
      <c r="A3608" s="83">
        <f t="shared" si="77"/>
        <v>53</v>
      </c>
    </row>
    <row r="3609" spans="1:1" x14ac:dyDescent="0.25">
      <c r="A3609" s="83">
        <f t="shared" si="77"/>
        <v>53</v>
      </c>
    </row>
    <row r="3610" spans="1:1" x14ac:dyDescent="0.25">
      <c r="A3610" s="83">
        <f t="shared" si="77"/>
        <v>53</v>
      </c>
    </row>
    <row r="3611" spans="1:1" x14ac:dyDescent="0.25">
      <c r="A3611" s="83">
        <f t="shared" si="77"/>
        <v>53</v>
      </c>
    </row>
    <row r="3612" spans="1:1" x14ac:dyDescent="0.25">
      <c r="A3612" s="83">
        <f t="shared" si="77"/>
        <v>53</v>
      </c>
    </row>
    <row r="3613" spans="1:1" x14ac:dyDescent="0.25">
      <c r="A3613" s="83">
        <f t="shared" si="77"/>
        <v>53</v>
      </c>
    </row>
    <row r="3614" spans="1:1" x14ac:dyDescent="0.25">
      <c r="A3614" s="83">
        <f t="shared" si="77"/>
        <v>53</v>
      </c>
    </row>
    <row r="3615" spans="1:1" x14ac:dyDescent="0.25">
      <c r="A3615" s="83">
        <f t="shared" si="77"/>
        <v>53</v>
      </c>
    </row>
    <row r="3616" spans="1:1" x14ac:dyDescent="0.25">
      <c r="A3616" s="83">
        <f t="shared" si="77"/>
        <v>53</v>
      </c>
    </row>
    <row r="3617" spans="1:1" x14ac:dyDescent="0.25">
      <c r="A3617" s="83">
        <f t="shared" si="77"/>
        <v>53</v>
      </c>
    </row>
    <row r="3618" spans="1:1" x14ac:dyDescent="0.25">
      <c r="A3618" s="83">
        <f t="shared" si="77"/>
        <v>53</v>
      </c>
    </row>
    <row r="3619" spans="1:1" x14ac:dyDescent="0.25">
      <c r="A3619" s="83">
        <f t="shared" si="77"/>
        <v>53</v>
      </c>
    </row>
    <row r="3620" spans="1:1" x14ac:dyDescent="0.25">
      <c r="A3620" s="83">
        <f t="shared" si="77"/>
        <v>53</v>
      </c>
    </row>
    <row r="3621" spans="1:1" x14ac:dyDescent="0.25">
      <c r="A3621" s="83">
        <f t="shared" si="77"/>
        <v>53</v>
      </c>
    </row>
    <row r="3622" spans="1:1" x14ac:dyDescent="0.25">
      <c r="A3622" s="83">
        <f t="shared" si="77"/>
        <v>53</v>
      </c>
    </row>
    <row r="3623" spans="1:1" x14ac:dyDescent="0.25">
      <c r="A3623" s="83">
        <f t="shared" si="77"/>
        <v>53</v>
      </c>
    </row>
    <row r="3624" spans="1:1" x14ac:dyDescent="0.25">
      <c r="A3624" s="83">
        <f t="shared" si="77"/>
        <v>53</v>
      </c>
    </row>
    <row r="3625" spans="1:1" x14ac:dyDescent="0.25">
      <c r="A3625" s="83">
        <f t="shared" si="77"/>
        <v>53</v>
      </c>
    </row>
    <row r="3626" spans="1:1" x14ac:dyDescent="0.25">
      <c r="A3626" s="83">
        <f t="shared" si="77"/>
        <v>53</v>
      </c>
    </row>
    <row r="3627" spans="1:1" x14ac:dyDescent="0.25">
      <c r="A3627" s="83">
        <f t="shared" si="77"/>
        <v>53</v>
      </c>
    </row>
    <row r="3628" spans="1:1" x14ac:dyDescent="0.25">
      <c r="A3628" s="83">
        <f t="shared" si="77"/>
        <v>53</v>
      </c>
    </row>
    <row r="3629" spans="1:1" x14ac:dyDescent="0.25">
      <c r="A3629" s="83">
        <f t="shared" si="77"/>
        <v>53</v>
      </c>
    </row>
    <row r="3630" spans="1:1" x14ac:dyDescent="0.25">
      <c r="A3630" s="83">
        <f t="shared" si="77"/>
        <v>53</v>
      </c>
    </row>
    <row r="3631" spans="1:1" x14ac:dyDescent="0.25">
      <c r="A3631" s="83">
        <f t="shared" si="77"/>
        <v>53</v>
      </c>
    </row>
    <row r="3632" spans="1:1" x14ac:dyDescent="0.25">
      <c r="A3632" s="83">
        <f t="shared" si="77"/>
        <v>53</v>
      </c>
    </row>
    <row r="3633" spans="1:1" x14ac:dyDescent="0.25">
      <c r="A3633" s="83">
        <f t="shared" si="77"/>
        <v>53</v>
      </c>
    </row>
    <row r="3634" spans="1:1" x14ac:dyDescent="0.25">
      <c r="A3634" s="83">
        <f t="shared" si="77"/>
        <v>53</v>
      </c>
    </row>
    <row r="3635" spans="1:1" x14ac:dyDescent="0.25">
      <c r="A3635" s="83">
        <f t="shared" si="77"/>
        <v>53</v>
      </c>
    </row>
    <row r="3636" spans="1:1" x14ac:dyDescent="0.25">
      <c r="A3636" s="83">
        <f t="shared" si="77"/>
        <v>53</v>
      </c>
    </row>
    <row r="3637" spans="1:1" x14ac:dyDescent="0.25">
      <c r="A3637" s="83">
        <f t="shared" si="77"/>
        <v>53</v>
      </c>
    </row>
    <row r="3638" spans="1:1" x14ac:dyDescent="0.25">
      <c r="A3638" s="83">
        <f t="shared" ref="A3638:A3701" si="78">WEEKNUM(B3638,21)</f>
        <v>53</v>
      </c>
    </row>
    <row r="3639" spans="1:1" x14ac:dyDescent="0.25">
      <c r="A3639" s="83">
        <f t="shared" si="78"/>
        <v>53</v>
      </c>
    </row>
    <row r="3640" spans="1:1" x14ac:dyDescent="0.25">
      <c r="A3640" s="83">
        <f t="shared" si="78"/>
        <v>53</v>
      </c>
    </row>
    <row r="3641" spans="1:1" x14ac:dyDescent="0.25">
      <c r="A3641" s="83">
        <f t="shared" si="78"/>
        <v>53</v>
      </c>
    </row>
    <row r="3642" spans="1:1" x14ac:dyDescent="0.25">
      <c r="A3642" s="83">
        <f t="shared" si="78"/>
        <v>53</v>
      </c>
    </row>
    <row r="3643" spans="1:1" x14ac:dyDescent="0.25">
      <c r="A3643" s="83">
        <f t="shared" si="78"/>
        <v>53</v>
      </c>
    </row>
    <row r="3644" spans="1:1" x14ac:dyDescent="0.25">
      <c r="A3644" s="83">
        <f t="shared" si="78"/>
        <v>53</v>
      </c>
    </row>
    <row r="3645" spans="1:1" x14ac:dyDescent="0.25">
      <c r="A3645" s="83">
        <f t="shared" si="78"/>
        <v>53</v>
      </c>
    </row>
    <row r="3646" spans="1:1" x14ac:dyDescent="0.25">
      <c r="A3646" s="83">
        <f t="shared" si="78"/>
        <v>53</v>
      </c>
    </row>
    <row r="3647" spans="1:1" x14ac:dyDescent="0.25">
      <c r="A3647" s="83">
        <f t="shared" si="78"/>
        <v>53</v>
      </c>
    </row>
    <row r="3648" spans="1:1" x14ac:dyDescent="0.25">
      <c r="A3648" s="83">
        <f t="shared" si="78"/>
        <v>53</v>
      </c>
    </row>
    <row r="3649" spans="1:1" x14ac:dyDescent="0.25">
      <c r="A3649" s="83">
        <f t="shared" si="78"/>
        <v>53</v>
      </c>
    </row>
    <row r="3650" spans="1:1" x14ac:dyDescent="0.25">
      <c r="A3650" s="83">
        <f t="shared" si="78"/>
        <v>53</v>
      </c>
    </row>
    <row r="3651" spans="1:1" x14ac:dyDescent="0.25">
      <c r="A3651" s="83">
        <f t="shared" si="78"/>
        <v>53</v>
      </c>
    </row>
    <row r="3652" spans="1:1" x14ac:dyDescent="0.25">
      <c r="A3652" s="83">
        <f t="shared" si="78"/>
        <v>53</v>
      </c>
    </row>
    <row r="3653" spans="1:1" x14ac:dyDescent="0.25">
      <c r="A3653" s="83">
        <f t="shared" si="78"/>
        <v>53</v>
      </c>
    </row>
    <row r="3654" spans="1:1" x14ac:dyDescent="0.25">
      <c r="A3654" s="83">
        <f t="shared" si="78"/>
        <v>53</v>
      </c>
    </row>
    <row r="3655" spans="1:1" x14ac:dyDescent="0.25">
      <c r="A3655" s="83">
        <f t="shared" si="78"/>
        <v>53</v>
      </c>
    </row>
    <row r="3656" spans="1:1" x14ac:dyDescent="0.25">
      <c r="A3656" s="83">
        <f t="shared" si="78"/>
        <v>53</v>
      </c>
    </row>
    <row r="3657" spans="1:1" x14ac:dyDescent="0.25">
      <c r="A3657" s="83">
        <f t="shared" si="78"/>
        <v>53</v>
      </c>
    </row>
    <row r="3658" spans="1:1" x14ac:dyDescent="0.25">
      <c r="A3658" s="83">
        <f t="shared" si="78"/>
        <v>53</v>
      </c>
    </row>
    <row r="3659" spans="1:1" x14ac:dyDescent="0.25">
      <c r="A3659" s="83">
        <f t="shared" si="78"/>
        <v>53</v>
      </c>
    </row>
    <row r="3660" spans="1:1" x14ac:dyDescent="0.25">
      <c r="A3660" s="83">
        <f t="shared" si="78"/>
        <v>53</v>
      </c>
    </row>
    <row r="3661" spans="1:1" x14ac:dyDescent="0.25">
      <c r="A3661" s="83">
        <f t="shared" si="78"/>
        <v>53</v>
      </c>
    </row>
    <row r="3662" spans="1:1" x14ac:dyDescent="0.25">
      <c r="A3662" s="83">
        <f t="shared" si="78"/>
        <v>53</v>
      </c>
    </row>
    <row r="3663" spans="1:1" x14ac:dyDescent="0.25">
      <c r="A3663" s="83">
        <f t="shared" si="78"/>
        <v>53</v>
      </c>
    </row>
    <row r="3664" spans="1:1" x14ac:dyDescent="0.25">
      <c r="A3664" s="83">
        <f t="shared" si="78"/>
        <v>53</v>
      </c>
    </row>
    <row r="3665" spans="1:1" x14ac:dyDescent="0.25">
      <c r="A3665" s="83">
        <f t="shared" si="78"/>
        <v>53</v>
      </c>
    </row>
    <row r="3666" spans="1:1" x14ac:dyDescent="0.25">
      <c r="A3666" s="83">
        <f t="shared" si="78"/>
        <v>53</v>
      </c>
    </row>
    <row r="3667" spans="1:1" x14ac:dyDescent="0.25">
      <c r="A3667" s="83">
        <f t="shared" si="78"/>
        <v>53</v>
      </c>
    </row>
    <row r="3668" spans="1:1" x14ac:dyDescent="0.25">
      <c r="A3668" s="83">
        <f t="shared" si="78"/>
        <v>53</v>
      </c>
    </row>
    <row r="3669" spans="1:1" x14ac:dyDescent="0.25">
      <c r="A3669" s="83">
        <f t="shared" si="78"/>
        <v>53</v>
      </c>
    </row>
    <row r="3670" spans="1:1" x14ac:dyDescent="0.25">
      <c r="A3670" s="83">
        <f t="shared" si="78"/>
        <v>53</v>
      </c>
    </row>
    <row r="3671" spans="1:1" x14ac:dyDescent="0.25">
      <c r="A3671" s="83">
        <f t="shared" si="78"/>
        <v>53</v>
      </c>
    </row>
    <row r="3672" spans="1:1" x14ac:dyDescent="0.25">
      <c r="A3672" s="83">
        <f t="shared" si="78"/>
        <v>53</v>
      </c>
    </row>
    <row r="3673" spans="1:1" x14ac:dyDescent="0.25">
      <c r="A3673" s="83">
        <f t="shared" si="78"/>
        <v>53</v>
      </c>
    </row>
    <row r="3674" spans="1:1" x14ac:dyDescent="0.25">
      <c r="A3674" s="83">
        <f t="shared" si="78"/>
        <v>53</v>
      </c>
    </row>
    <row r="3675" spans="1:1" x14ac:dyDescent="0.25">
      <c r="A3675" s="83">
        <f t="shared" si="78"/>
        <v>53</v>
      </c>
    </row>
    <row r="3676" spans="1:1" x14ac:dyDescent="0.25">
      <c r="A3676" s="83">
        <f t="shared" si="78"/>
        <v>53</v>
      </c>
    </row>
    <row r="3677" spans="1:1" x14ac:dyDescent="0.25">
      <c r="A3677" s="83">
        <f t="shared" si="78"/>
        <v>53</v>
      </c>
    </row>
    <row r="3678" spans="1:1" x14ac:dyDescent="0.25">
      <c r="A3678" s="83">
        <f t="shared" si="78"/>
        <v>53</v>
      </c>
    </row>
    <row r="3679" spans="1:1" x14ac:dyDescent="0.25">
      <c r="A3679" s="83">
        <f t="shared" si="78"/>
        <v>53</v>
      </c>
    </row>
    <row r="3680" spans="1:1" x14ac:dyDescent="0.25">
      <c r="A3680" s="83">
        <f t="shared" si="78"/>
        <v>53</v>
      </c>
    </row>
    <row r="3681" spans="1:1" x14ac:dyDescent="0.25">
      <c r="A3681" s="83">
        <f t="shared" si="78"/>
        <v>53</v>
      </c>
    </row>
    <row r="3682" spans="1:1" x14ac:dyDescent="0.25">
      <c r="A3682" s="83">
        <f t="shared" si="78"/>
        <v>53</v>
      </c>
    </row>
    <row r="3683" spans="1:1" x14ac:dyDescent="0.25">
      <c r="A3683" s="83">
        <f t="shared" si="78"/>
        <v>53</v>
      </c>
    </row>
    <row r="3684" spans="1:1" x14ac:dyDescent="0.25">
      <c r="A3684" s="83">
        <f t="shared" si="78"/>
        <v>53</v>
      </c>
    </row>
    <row r="3685" spans="1:1" x14ac:dyDescent="0.25">
      <c r="A3685" s="83">
        <f t="shared" si="78"/>
        <v>53</v>
      </c>
    </row>
    <row r="3686" spans="1:1" x14ac:dyDescent="0.25">
      <c r="A3686" s="83">
        <f t="shared" si="78"/>
        <v>53</v>
      </c>
    </row>
    <row r="3687" spans="1:1" x14ac:dyDescent="0.25">
      <c r="A3687" s="83">
        <f t="shared" si="78"/>
        <v>53</v>
      </c>
    </row>
    <row r="3688" spans="1:1" x14ac:dyDescent="0.25">
      <c r="A3688" s="83">
        <f t="shared" si="78"/>
        <v>53</v>
      </c>
    </row>
    <row r="3689" spans="1:1" x14ac:dyDescent="0.25">
      <c r="A3689" s="83">
        <f t="shared" si="78"/>
        <v>53</v>
      </c>
    </row>
    <row r="3690" spans="1:1" x14ac:dyDescent="0.25">
      <c r="A3690" s="83">
        <f t="shared" si="78"/>
        <v>53</v>
      </c>
    </row>
    <row r="3691" spans="1:1" x14ac:dyDescent="0.25">
      <c r="A3691" s="83">
        <f t="shared" si="78"/>
        <v>53</v>
      </c>
    </row>
    <row r="3692" spans="1:1" x14ac:dyDescent="0.25">
      <c r="A3692" s="83">
        <f t="shared" si="78"/>
        <v>53</v>
      </c>
    </row>
    <row r="3693" spans="1:1" x14ac:dyDescent="0.25">
      <c r="A3693" s="83">
        <f t="shared" si="78"/>
        <v>53</v>
      </c>
    </row>
    <row r="3694" spans="1:1" x14ac:dyDescent="0.25">
      <c r="A3694" s="83">
        <f t="shared" si="78"/>
        <v>53</v>
      </c>
    </row>
    <row r="3695" spans="1:1" x14ac:dyDescent="0.25">
      <c r="A3695" s="83">
        <f t="shared" si="78"/>
        <v>53</v>
      </c>
    </row>
    <row r="3696" spans="1:1" x14ac:dyDescent="0.25">
      <c r="A3696" s="83">
        <f t="shared" si="78"/>
        <v>53</v>
      </c>
    </row>
    <row r="3697" spans="1:1" x14ac:dyDescent="0.25">
      <c r="A3697" s="83">
        <f t="shared" si="78"/>
        <v>53</v>
      </c>
    </row>
    <row r="3698" spans="1:1" x14ac:dyDescent="0.25">
      <c r="A3698" s="83">
        <f t="shared" si="78"/>
        <v>53</v>
      </c>
    </row>
    <row r="3699" spans="1:1" x14ac:dyDescent="0.25">
      <c r="A3699" s="83">
        <f t="shared" si="78"/>
        <v>53</v>
      </c>
    </row>
    <row r="3700" spans="1:1" x14ac:dyDescent="0.25">
      <c r="A3700" s="83">
        <f t="shared" si="78"/>
        <v>53</v>
      </c>
    </row>
    <row r="3701" spans="1:1" x14ac:dyDescent="0.25">
      <c r="A3701" s="83">
        <f t="shared" si="78"/>
        <v>53</v>
      </c>
    </row>
    <row r="3702" spans="1:1" x14ac:dyDescent="0.25">
      <c r="A3702" s="83">
        <f t="shared" ref="A3702:A3765" si="79">WEEKNUM(B3702,21)</f>
        <v>53</v>
      </c>
    </row>
    <row r="3703" spans="1:1" x14ac:dyDescent="0.25">
      <c r="A3703" s="83">
        <f t="shared" si="79"/>
        <v>53</v>
      </c>
    </row>
    <row r="3704" spans="1:1" x14ac:dyDescent="0.25">
      <c r="A3704" s="83">
        <f t="shared" si="79"/>
        <v>53</v>
      </c>
    </row>
    <row r="3705" spans="1:1" x14ac:dyDescent="0.25">
      <c r="A3705" s="83">
        <f t="shared" si="79"/>
        <v>53</v>
      </c>
    </row>
    <row r="3706" spans="1:1" x14ac:dyDescent="0.25">
      <c r="A3706" s="83">
        <f t="shared" si="79"/>
        <v>53</v>
      </c>
    </row>
    <row r="3707" spans="1:1" x14ac:dyDescent="0.25">
      <c r="A3707" s="83">
        <f t="shared" si="79"/>
        <v>53</v>
      </c>
    </row>
    <row r="3708" spans="1:1" x14ac:dyDescent="0.25">
      <c r="A3708" s="83">
        <f t="shared" si="79"/>
        <v>53</v>
      </c>
    </row>
    <row r="3709" spans="1:1" x14ac:dyDescent="0.25">
      <c r="A3709" s="83">
        <f t="shared" si="79"/>
        <v>53</v>
      </c>
    </row>
    <row r="3710" spans="1:1" x14ac:dyDescent="0.25">
      <c r="A3710" s="83">
        <f t="shared" si="79"/>
        <v>53</v>
      </c>
    </row>
    <row r="3711" spans="1:1" x14ac:dyDescent="0.25">
      <c r="A3711" s="83">
        <f t="shared" si="79"/>
        <v>53</v>
      </c>
    </row>
    <row r="3712" spans="1:1" x14ac:dyDescent="0.25">
      <c r="A3712" s="83">
        <f t="shared" si="79"/>
        <v>53</v>
      </c>
    </row>
    <row r="3713" spans="1:1" x14ac:dyDescent="0.25">
      <c r="A3713" s="83">
        <f t="shared" si="79"/>
        <v>53</v>
      </c>
    </row>
    <row r="3714" spans="1:1" x14ac:dyDescent="0.25">
      <c r="A3714" s="83">
        <f t="shared" si="79"/>
        <v>53</v>
      </c>
    </row>
    <row r="3715" spans="1:1" x14ac:dyDescent="0.25">
      <c r="A3715" s="83">
        <f t="shared" si="79"/>
        <v>53</v>
      </c>
    </row>
    <row r="3716" spans="1:1" x14ac:dyDescent="0.25">
      <c r="A3716" s="83">
        <f t="shared" si="79"/>
        <v>53</v>
      </c>
    </row>
    <row r="3717" spans="1:1" x14ac:dyDescent="0.25">
      <c r="A3717" s="83">
        <f t="shared" si="79"/>
        <v>53</v>
      </c>
    </row>
    <row r="3718" spans="1:1" x14ac:dyDescent="0.25">
      <c r="A3718" s="83">
        <f t="shared" si="79"/>
        <v>53</v>
      </c>
    </row>
    <row r="3719" spans="1:1" x14ac:dyDescent="0.25">
      <c r="A3719" s="83">
        <f t="shared" si="79"/>
        <v>53</v>
      </c>
    </row>
    <row r="3720" spans="1:1" x14ac:dyDescent="0.25">
      <c r="A3720" s="83">
        <f t="shared" si="79"/>
        <v>53</v>
      </c>
    </row>
    <row r="3721" spans="1:1" x14ac:dyDescent="0.25">
      <c r="A3721" s="83">
        <f t="shared" si="79"/>
        <v>53</v>
      </c>
    </row>
    <row r="3722" spans="1:1" x14ac:dyDescent="0.25">
      <c r="A3722" s="83">
        <f t="shared" si="79"/>
        <v>53</v>
      </c>
    </row>
    <row r="3723" spans="1:1" x14ac:dyDescent="0.25">
      <c r="A3723" s="83">
        <f t="shared" si="79"/>
        <v>53</v>
      </c>
    </row>
    <row r="3724" spans="1:1" x14ac:dyDescent="0.25">
      <c r="A3724" s="83">
        <f t="shared" si="79"/>
        <v>53</v>
      </c>
    </row>
    <row r="3725" spans="1:1" x14ac:dyDescent="0.25">
      <c r="A3725" s="83">
        <f t="shared" si="79"/>
        <v>53</v>
      </c>
    </row>
    <row r="3726" spans="1:1" x14ac:dyDescent="0.25">
      <c r="A3726" s="83">
        <f t="shared" si="79"/>
        <v>53</v>
      </c>
    </row>
    <row r="3727" spans="1:1" x14ac:dyDescent="0.25">
      <c r="A3727" s="83">
        <f t="shared" si="79"/>
        <v>53</v>
      </c>
    </row>
    <row r="3728" spans="1:1" x14ac:dyDescent="0.25">
      <c r="A3728" s="83">
        <f t="shared" si="79"/>
        <v>53</v>
      </c>
    </row>
    <row r="3729" spans="1:1" x14ac:dyDescent="0.25">
      <c r="A3729" s="83">
        <f t="shared" si="79"/>
        <v>53</v>
      </c>
    </row>
    <row r="3730" spans="1:1" x14ac:dyDescent="0.25">
      <c r="A3730" s="83">
        <f t="shared" si="79"/>
        <v>53</v>
      </c>
    </row>
    <row r="3731" spans="1:1" x14ac:dyDescent="0.25">
      <c r="A3731" s="83">
        <f t="shared" si="79"/>
        <v>53</v>
      </c>
    </row>
    <row r="3732" spans="1:1" x14ac:dyDescent="0.25">
      <c r="A3732" s="83">
        <f t="shared" si="79"/>
        <v>53</v>
      </c>
    </row>
    <row r="3733" spans="1:1" x14ac:dyDescent="0.25">
      <c r="A3733" s="83">
        <f t="shared" si="79"/>
        <v>53</v>
      </c>
    </row>
    <row r="3734" spans="1:1" x14ac:dyDescent="0.25">
      <c r="A3734" s="83">
        <f t="shared" si="79"/>
        <v>53</v>
      </c>
    </row>
    <row r="3735" spans="1:1" x14ac:dyDescent="0.25">
      <c r="A3735" s="83">
        <f t="shared" si="79"/>
        <v>53</v>
      </c>
    </row>
    <row r="3736" spans="1:1" x14ac:dyDescent="0.25">
      <c r="A3736" s="83">
        <f t="shared" si="79"/>
        <v>53</v>
      </c>
    </row>
    <row r="3737" spans="1:1" x14ac:dyDescent="0.25">
      <c r="A3737" s="83">
        <f t="shared" si="79"/>
        <v>53</v>
      </c>
    </row>
    <row r="3738" spans="1:1" x14ac:dyDescent="0.25">
      <c r="A3738" s="83">
        <f t="shared" si="79"/>
        <v>53</v>
      </c>
    </row>
    <row r="3739" spans="1:1" x14ac:dyDescent="0.25">
      <c r="A3739" s="83">
        <f t="shared" si="79"/>
        <v>53</v>
      </c>
    </row>
    <row r="3740" spans="1:1" x14ac:dyDescent="0.25">
      <c r="A3740" s="83">
        <f t="shared" si="79"/>
        <v>53</v>
      </c>
    </row>
    <row r="3741" spans="1:1" x14ac:dyDescent="0.25">
      <c r="A3741" s="83">
        <f t="shared" si="79"/>
        <v>53</v>
      </c>
    </row>
    <row r="3742" spans="1:1" x14ac:dyDescent="0.25">
      <c r="A3742" s="83">
        <f t="shared" si="79"/>
        <v>53</v>
      </c>
    </row>
    <row r="3743" spans="1:1" x14ac:dyDescent="0.25">
      <c r="A3743" s="83">
        <f t="shared" si="79"/>
        <v>53</v>
      </c>
    </row>
    <row r="3744" spans="1:1" x14ac:dyDescent="0.25">
      <c r="A3744" s="83">
        <f t="shared" si="79"/>
        <v>53</v>
      </c>
    </row>
    <row r="3745" spans="1:1" x14ac:dyDescent="0.25">
      <c r="A3745" s="83">
        <f t="shared" si="79"/>
        <v>53</v>
      </c>
    </row>
    <row r="3746" spans="1:1" x14ac:dyDescent="0.25">
      <c r="A3746" s="83">
        <f t="shared" si="79"/>
        <v>53</v>
      </c>
    </row>
    <row r="3747" spans="1:1" x14ac:dyDescent="0.25">
      <c r="A3747" s="83">
        <f t="shared" si="79"/>
        <v>53</v>
      </c>
    </row>
    <row r="3748" spans="1:1" x14ac:dyDescent="0.25">
      <c r="A3748" s="83">
        <f t="shared" si="79"/>
        <v>53</v>
      </c>
    </row>
    <row r="3749" spans="1:1" x14ac:dyDescent="0.25">
      <c r="A3749" s="83">
        <f t="shared" si="79"/>
        <v>53</v>
      </c>
    </row>
    <row r="3750" spans="1:1" x14ac:dyDescent="0.25">
      <c r="A3750" s="83">
        <f t="shared" si="79"/>
        <v>53</v>
      </c>
    </row>
    <row r="3751" spans="1:1" x14ac:dyDescent="0.25">
      <c r="A3751" s="83">
        <f t="shared" si="79"/>
        <v>53</v>
      </c>
    </row>
    <row r="3752" spans="1:1" x14ac:dyDescent="0.25">
      <c r="A3752" s="83">
        <f t="shared" si="79"/>
        <v>53</v>
      </c>
    </row>
    <row r="3753" spans="1:1" x14ac:dyDescent="0.25">
      <c r="A3753" s="83">
        <f t="shared" si="79"/>
        <v>53</v>
      </c>
    </row>
    <row r="3754" spans="1:1" x14ac:dyDescent="0.25">
      <c r="A3754" s="83">
        <f t="shared" si="79"/>
        <v>53</v>
      </c>
    </row>
    <row r="3755" spans="1:1" x14ac:dyDescent="0.25">
      <c r="A3755" s="83">
        <f t="shared" si="79"/>
        <v>53</v>
      </c>
    </row>
    <row r="3756" spans="1:1" x14ac:dyDescent="0.25">
      <c r="A3756" s="83">
        <f t="shared" si="79"/>
        <v>53</v>
      </c>
    </row>
    <row r="3757" spans="1:1" x14ac:dyDescent="0.25">
      <c r="A3757" s="83">
        <f t="shared" si="79"/>
        <v>53</v>
      </c>
    </row>
    <row r="3758" spans="1:1" x14ac:dyDescent="0.25">
      <c r="A3758" s="83">
        <f t="shared" si="79"/>
        <v>53</v>
      </c>
    </row>
    <row r="3759" spans="1:1" x14ac:dyDescent="0.25">
      <c r="A3759" s="83">
        <f t="shared" si="79"/>
        <v>53</v>
      </c>
    </row>
    <row r="3760" spans="1:1" x14ac:dyDescent="0.25">
      <c r="A3760" s="83">
        <f t="shared" si="79"/>
        <v>53</v>
      </c>
    </row>
    <row r="3761" spans="1:1" x14ac:dyDescent="0.25">
      <c r="A3761" s="83">
        <f t="shared" si="79"/>
        <v>53</v>
      </c>
    </row>
    <row r="3762" spans="1:1" x14ac:dyDescent="0.25">
      <c r="A3762" s="83">
        <f t="shared" si="79"/>
        <v>53</v>
      </c>
    </row>
    <row r="3763" spans="1:1" x14ac:dyDescent="0.25">
      <c r="A3763" s="83">
        <f t="shared" si="79"/>
        <v>53</v>
      </c>
    </row>
    <row r="3764" spans="1:1" x14ac:dyDescent="0.25">
      <c r="A3764" s="83">
        <f t="shared" si="79"/>
        <v>53</v>
      </c>
    </row>
    <row r="3765" spans="1:1" x14ac:dyDescent="0.25">
      <c r="A3765" s="83">
        <f t="shared" si="79"/>
        <v>53</v>
      </c>
    </row>
    <row r="3766" spans="1:1" x14ac:dyDescent="0.25">
      <c r="A3766" s="83">
        <f t="shared" ref="A3766:A3829" si="80">WEEKNUM(B3766,21)</f>
        <v>53</v>
      </c>
    </row>
    <row r="3767" spans="1:1" x14ac:dyDescent="0.25">
      <c r="A3767" s="83">
        <f t="shared" si="80"/>
        <v>53</v>
      </c>
    </row>
    <row r="3768" spans="1:1" x14ac:dyDescent="0.25">
      <c r="A3768" s="83">
        <f t="shared" si="80"/>
        <v>53</v>
      </c>
    </row>
    <row r="3769" spans="1:1" x14ac:dyDescent="0.25">
      <c r="A3769" s="83">
        <f t="shared" si="80"/>
        <v>53</v>
      </c>
    </row>
    <row r="3770" spans="1:1" x14ac:dyDescent="0.25">
      <c r="A3770" s="83">
        <f t="shared" si="80"/>
        <v>53</v>
      </c>
    </row>
    <row r="3771" spans="1:1" x14ac:dyDescent="0.25">
      <c r="A3771" s="83">
        <f t="shared" si="80"/>
        <v>53</v>
      </c>
    </row>
    <row r="3772" spans="1:1" x14ac:dyDescent="0.25">
      <c r="A3772" s="83">
        <f t="shared" si="80"/>
        <v>53</v>
      </c>
    </row>
    <row r="3773" spans="1:1" x14ac:dyDescent="0.25">
      <c r="A3773" s="83">
        <f t="shared" si="80"/>
        <v>53</v>
      </c>
    </row>
    <row r="3774" spans="1:1" x14ac:dyDescent="0.25">
      <c r="A3774" s="83">
        <f t="shared" si="80"/>
        <v>53</v>
      </c>
    </row>
    <row r="3775" spans="1:1" x14ac:dyDescent="0.25">
      <c r="A3775" s="83">
        <f t="shared" si="80"/>
        <v>53</v>
      </c>
    </row>
    <row r="3776" spans="1:1" x14ac:dyDescent="0.25">
      <c r="A3776" s="83">
        <f t="shared" si="80"/>
        <v>53</v>
      </c>
    </row>
    <row r="3777" spans="1:1" x14ac:dyDescent="0.25">
      <c r="A3777" s="83">
        <f t="shared" si="80"/>
        <v>53</v>
      </c>
    </row>
    <row r="3778" spans="1:1" x14ac:dyDescent="0.25">
      <c r="A3778" s="83">
        <f t="shared" si="80"/>
        <v>53</v>
      </c>
    </row>
    <row r="3779" spans="1:1" x14ac:dyDescent="0.25">
      <c r="A3779" s="83">
        <f t="shared" si="80"/>
        <v>53</v>
      </c>
    </row>
    <row r="3780" spans="1:1" x14ac:dyDescent="0.25">
      <c r="A3780" s="83">
        <f t="shared" si="80"/>
        <v>53</v>
      </c>
    </row>
    <row r="3781" spans="1:1" x14ac:dyDescent="0.25">
      <c r="A3781" s="83">
        <f t="shared" si="80"/>
        <v>53</v>
      </c>
    </row>
    <row r="3782" spans="1:1" x14ac:dyDescent="0.25">
      <c r="A3782" s="83">
        <f t="shared" si="80"/>
        <v>53</v>
      </c>
    </row>
    <row r="3783" spans="1:1" x14ac:dyDescent="0.25">
      <c r="A3783" s="83">
        <f t="shared" si="80"/>
        <v>53</v>
      </c>
    </row>
    <row r="3784" spans="1:1" x14ac:dyDescent="0.25">
      <c r="A3784" s="83">
        <f t="shared" si="80"/>
        <v>53</v>
      </c>
    </row>
    <row r="3785" spans="1:1" x14ac:dyDescent="0.25">
      <c r="A3785" s="83">
        <f t="shared" si="80"/>
        <v>53</v>
      </c>
    </row>
    <row r="3786" spans="1:1" x14ac:dyDescent="0.25">
      <c r="A3786" s="83">
        <f t="shared" si="80"/>
        <v>53</v>
      </c>
    </row>
    <row r="3787" spans="1:1" x14ac:dyDescent="0.25">
      <c r="A3787" s="83">
        <f t="shared" si="80"/>
        <v>53</v>
      </c>
    </row>
    <row r="3788" spans="1:1" x14ac:dyDescent="0.25">
      <c r="A3788" s="83">
        <f t="shared" si="80"/>
        <v>53</v>
      </c>
    </row>
    <row r="3789" spans="1:1" x14ac:dyDescent="0.25">
      <c r="A3789" s="83">
        <f t="shared" si="80"/>
        <v>53</v>
      </c>
    </row>
    <row r="3790" spans="1:1" x14ac:dyDescent="0.25">
      <c r="A3790" s="83">
        <f t="shared" si="80"/>
        <v>53</v>
      </c>
    </row>
    <row r="3791" spans="1:1" x14ac:dyDescent="0.25">
      <c r="A3791" s="83">
        <f t="shared" si="80"/>
        <v>53</v>
      </c>
    </row>
    <row r="3792" spans="1:1" x14ac:dyDescent="0.25">
      <c r="A3792" s="83">
        <f t="shared" si="80"/>
        <v>53</v>
      </c>
    </row>
    <row r="3793" spans="1:1" x14ac:dyDescent="0.25">
      <c r="A3793" s="83">
        <f t="shared" si="80"/>
        <v>53</v>
      </c>
    </row>
    <row r="3794" spans="1:1" x14ac:dyDescent="0.25">
      <c r="A3794" s="83">
        <f t="shared" si="80"/>
        <v>53</v>
      </c>
    </row>
    <row r="3795" spans="1:1" x14ac:dyDescent="0.25">
      <c r="A3795" s="83">
        <f t="shared" si="80"/>
        <v>53</v>
      </c>
    </row>
    <row r="3796" spans="1:1" x14ac:dyDescent="0.25">
      <c r="A3796" s="83">
        <f t="shared" si="80"/>
        <v>53</v>
      </c>
    </row>
    <row r="3797" spans="1:1" x14ac:dyDescent="0.25">
      <c r="A3797" s="83">
        <f t="shared" si="80"/>
        <v>53</v>
      </c>
    </row>
    <row r="3798" spans="1:1" x14ac:dyDescent="0.25">
      <c r="A3798" s="83">
        <f t="shared" si="80"/>
        <v>53</v>
      </c>
    </row>
    <row r="3799" spans="1:1" x14ac:dyDescent="0.25">
      <c r="A3799" s="83">
        <f t="shared" si="80"/>
        <v>53</v>
      </c>
    </row>
    <row r="3800" spans="1:1" x14ac:dyDescent="0.25">
      <c r="A3800" s="83">
        <f t="shared" si="80"/>
        <v>53</v>
      </c>
    </row>
    <row r="3801" spans="1:1" x14ac:dyDescent="0.25">
      <c r="A3801" s="83">
        <f t="shared" si="80"/>
        <v>53</v>
      </c>
    </row>
    <row r="3802" spans="1:1" x14ac:dyDescent="0.25">
      <c r="A3802" s="83">
        <f t="shared" si="80"/>
        <v>53</v>
      </c>
    </row>
    <row r="3803" spans="1:1" x14ac:dyDescent="0.25">
      <c r="A3803" s="83">
        <f t="shared" si="80"/>
        <v>53</v>
      </c>
    </row>
    <row r="3804" spans="1:1" x14ac:dyDescent="0.25">
      <c r="A3804" s="83">
        <f t="shared" si="80"/>
        <v>53</v>
      </c>
    </row>
    <row r="3805" spans="1:1" x14ac:dyDescent="0.25">
      <c r="A3805" s="83">
        <f t="shared" si="80"/>
        <v>53</v>
      </c>
    </row>
    <row r="3806" spans="1:1" x14ac:dyDescent="0.25">
      <c r="A3806" s="83">
        <f t="shared" si="80"/>
        <v>53</v>
      </c>
    </row>
    <row r="3807" spans="1:1" x14ac:dyDescent="0.25">
      <c r="A3807" s="83">
        <f t="shared" si="80"/>
        <v>53</v>
      </c>
    </row>
    <row r="3808" spans="1:1" x14ac:dyDescent="0.25">
      <c r="A3808" s="83">
        <f t="shared" si="80"/>
        <v>53</v>
      </c>
    </row>
    <row r="3809" spans="1:1" x14ac:dyDescent="0.25">
      <c r="A3809" s="83">
        <f t="shared" si="80"/>
        <v>53</v>
      </c>
    </row>
    <row r="3810" spans="1:1" x14ac:dyDescent="0.25">
      <c r="A3810" s="83">
        <f t="shared" si="80"/>
        <v>53</v>
      </c>
    </row>
    <row r="3811" spans="1:1" x14ac:dyDescent="0.25">
      <c r="A3811" s="83">
        <f t="shared" si="80"/>
        <v>53</v>
      </c>
    </row>
    <row r="3812" spans="1:1" x14ac:dyDescent="0.25">
      <c r="A3812" s="83">
        <f t="shared" si="80"/>
        <v>53</v>
      </c>
    </row>
    <row r="3813" spans="1:1" x14ac:dyDescent="0.25">
      <c r="A3813" s="83">
        <f t="shared" si="80"/>
        <v>53</v>
      </c>
    </row>
    <row r="3814" spans="1:1" x14ac:dyDescent="0.25">
      <c r="A3814" s="83">
        <f t="shared" si="80"/>
        <v>53</v>
      </c>
    </row>
    <row r="3815" spans="1:1" x14ac:dyDescent="0.25">
      <c r="A3815" s="83">
        <f t="shared" si="80"/>
        <v>53</v>
      </c>
    </row>
    <row r="3816" spans="1:1" x14ac:dyDescent="0.25">
      <c r="A3816" s="83">
        <f t="shared" si="80"/>
        <v>53</v>
      </c>
    </row>
    <row r="3817" spans="1:1" x14ac:dyDescent="0.25">
      <c r="A3817" s="83">
        <f t="shared" si="80"/>
        <v>53</v>
      </c>
    </row>
    <row r="3818" spans="1:1" x14ac:dyDescent="0.25">
      <c r="A3818" s="83">
        <f t="shared" si="80"/>
        <v>53</v>
      </c>
    </row>
    <row r="3819" spans="1:1" x14ac:dyDescent="0.25">
      <c r="A3819" s="83">
        <f t="shared" si="80"/>
        <v>53</v>
      </c>
    </row>
    <row r="3820" spans="1:1" x14ac:dyDescent="0.25">
      <c r="A3820" s="83">
        <f t="shared" si="80"/>
        <v>53</v>
      </c>
    </row>
    <row r="3821" spans="1:1" x14ac:dyDescent="0.25">
      <c r="A3821" s="83">
        <f t="shared" si="80"/>
        <v>53</v>
      </c>
    </row>
    <row r="3822" spans="1:1" x14ac:dyDescent="0.25">
      <c r="A3822" s="83">
        <f t="shared" si="80"/>
        <v>53</v>
      </c>
    </row>
    <row r="3823" spans="1:1" x14ac:dyDescent="0.25">
      <c r="A3823" s="83">
        <f t="shared" si="80"/>
        <v>53</v>
      </c>
    </row>
    <row r="3824" spans="1:1" x14ac:dyDescent="0.25">
      <c r="A3824" s="83">
        <f t="shared" si="80"/>
        <v>53</v>
      </c>
    </row>
    <row r="3825" spans="1:1" x14ac:dyDescent="0.25">
      <c r="A3825" s="83">
        <f t="shared" si="80"/>
        <v>53</v>
      </c>
    </row>
    <row r="3826" spans="1:1" x14ac:dyDescent="0.25">
      <c r="A3826" s="83">
        <f t="shared" si="80"/>
        <v>53</v>
      </c>
    </row>
    <row r="3827" spans="1:1" x14ac:dyDescent="0.25">
      <c r="A3827" s="83">
        <f t="shared" si="80"/>
        <v>53</v>
      </c>
    </row>
    <row r="3828" spans="1:1" x14ac:dyDescent="0.25">
      <c r="A3828" s="83">
        <f t="shared" si="80"/>
        <v>53</v>
      </c>
    </row>
    <row r="3829" spans="1:1" x14ac:dyDescent="0.25">
      <c r="A3829" s="83">
        <f t="shared" si="80"/>
        <v>53</v>
      </c>
    </row>
    <row r="3830" spans="1:1" x14ac:dyDescent="0.25">
      <c r="A3830" s="83">
        <f t="shared" ref="A3830:A3893" si="81">WEEKNUM(B3830,21)</f>
        <v>53</v>
      </c>
    </row>
    <row r="3831" spans="1:1" x14ac:dyDescent="0.25">
      <c r="A3831" s="83">
        <f t="shared" si="81"/>
        <v>53</v>
      </c>
    </row>
    <row r="3832" spans="1:1" x14ac:dyDescent="0.25">
      <c r="A3832" s="83">
        <f t="shared" si="81"/>
        <v>53</v>
      </c>
    </row>
    <row r="3833" spans="1:1" x14ac:dyDescent="0.25">
      <c r="A3833" s="83">
        <f t="shared" si="81"/>
        <v>53</v>
      </c>
    </row>
    <row r="3834" spans="1:1" x14ac:dyDescent="0.25">
      <c r="A3834" s="83">
        <f t="shared" si="81"/>
        <v>53</v>
      </c>
    </row>
    <row r="3835" spans="1:1" x14ac:dyDescent="0.25">
      <c r="A3835" s="83">
        <f t="shared" si="81"/>
        <v>53</v>
      </c>
    </row>
    <row r="3836" spans="1:1" x14ac:dyDescent="0.25">
      <c r="A3836" s="83">
        <f t="shared" si="81"/>
        <v>53</v>
      </c>
    </row>
    <row r="3837" spans="1:1" x14ac:dyDescent="0.25">
      <c r="A3837" s="83">
        <f t="shared" si="81"/>
        <v>53</v>
      </c>
    </row>
    <row r="3838" spans="1:1" x14ac:dyDescent="0.25">
      <c r="A3838" s="83">
        <f t="shared" si="81"/>
        <v>53</v>
      </c>
    </row>
    <row r="3839" spans="1:1" x14ac:dyDescent="0.25">
      <c r="A3839" s="83">
        <f t="shared" si="81"/>
        <v>53</v>
      </c>
    </row>
    <row r="3840" spans="1:1" x14ac:dyDescent="0.25">
      <c r="A3840" s="83">
        <f t="shared" si="81"/>
        <v>53</v>
      </c>
    </row>
    <row r="3841" spans="1:1" x14ac:dyDescent="0.25">
      <c r="A3841" s="83">
        <f t="shared" si="81"/>
        <v>53</v>
      </c>
    </row>
    <row r="3842" spans="1:1" x14ac:dyDescent="0.25">
      <c r="A3842" s="83">
        <f t="shared" si="81"/>
        <v>53</v>
      </c>
    </row>
    <row r="3843" spans="1:1" x14ac:dyDescent="0.25">
      <c r="A3843" s="83">
        <f t="shared" si="81"/>
        <v>53</v>
      </c>
    </row>
    <row r="3844" spans="1:1" x14ac:dyDescent="0.25">
      <c r="A3844" s="83">
        <f t="shared" si="81"/>
        <v>53</v>
      </c>
    </row>
    <row r="3845" spans="1:1" x14ac:dyDescent="0.25">
      <c r="A3845" s="83">
        <f t="shared" si="81"/>
        <v>53</v>
      </c>
    </row>
    <row r="3846" spans="1:1" x14ac:dyDescent="0.25">
      <c r="A3846" s="83">
        <f t="shared" si="81"/>
        <v>53</v>
      </c>
    </row>
    <row r="3847" spans="1:1" x14ac:dyDescent="0.25">
      <c r="A3847" s="83">
        <f t="shared" si="81"/>
        <v>53</v>
      </c>
    </row>
    <row r="3848" spans="1:1" x14ac:dyDescent="0.25">
      <c r="A3848" s="83">
        <f t="shared" si="81"/>
        <v>53</v>
      </c>
    </row>
    <row r="3849" spans="1:1" x14ac:dyDescent="0.25">
      <c r="A3849" s="83">
        <f t="shared" si="81"/>
        <v>53</v>
      </c>
    </row>
    <row r="3850" spans="1:1" x14ac:dyDescent="0.25">
      <c r="A3850" s="83">
        <f t="shared" si="81"/>
        <v>53</v>
      </c>
    </row>
    <row r="3851" spans="1:1" x14ac:dyDescent="0.25">
      <c r="A3851" s="83">
        <f t="shared" si="81"/>
        <v>53</v>
      </c>
    </row>
    <row r="3852" spans="1:1" x14ac:dyDescent="0.25">
      <c r="A3852" s="83">
        <f t="shared" si="81"/>
        <v>53</v>
      </c>
    </row>
    <row r="3853" spans="1:1" x14ac:dyDescent="0.25">
      <c r="A3853" s="83">
        <f t="shared" si="81"/>
        <v>53</v>
      </c>
    </row>
    <row r="3854" spans="1:1" x14ac:dyDescent="0.25">
      <c r="A3854" s="83">
        <f t="shared" si="81"/>
        <v>53</v>
      </c>
    </row>
    <row r="3855" spans="1:1" x14ac:dyDescent="0.25">
      <c r="A3855" s="83">
        <f t="shared" si="81"/>
        <v>53</v>
      </c>
    </row>
    <row r="3856" spans="1:1" x14ac:dyDescent="0.25">
      <c r="A3856" s="83">
        <f t="shared" si="81"/>
        <v>53</v>
      </c>
    </row>
    <row r="3857" spans="1:1" x14ac:dyDescent="0.25">
      <c r="A3857" s="83">
        <f t="shared" si="81"/>
        <v>53</v>
      </c>
    </row>
    <row r="3858" spans="1:1" x14ac:dyDescent="0.25">
      <c r="A3858" s="83">
        <f t="shared" si="81"/>
        <v>53</v>
      </c>
    </row>
    <row r="3859" spans="1:1" x14ac:dyDescent="0.25">
      <c r="A3859" s="83">
        <f t="shared" si="81"/>
        <v>53</v>
      </c>
    </row>
    <row r="3860" spans="1:1" x14ac:dyDescent="0.25">
      <c r="A3860" s="83">
        <f t="shared" si="81"/>
        <v>53</v>
      </c>
    </row>
    <row r="3861" spans="1:1" x14ac:dyDescent="0.25">
      <c r="A3861" s="83">
        <f t="shared" si="81"/>
        <v>53</v>
      </c>
    </row>
    <row r="3862" spans="1:1" x14ac:dyDescent="0.25">
      <c r="A3862" s="83">
        <f t="shared" si="81"/>
        <v>53</v>
      </c>
    </row>
    <row r="3863" spans="1:1" x14ac:dyDescent="0.25">
      <c r="A3863" s="83">
        <f t="shared" si="81"/>
        <v>53</v>
      </c>
    </row>
    <row r="3864" spans="1:1" x14ac:dyDescent="0.25">
      <c r="A3864" s="83">
        <f t="shared" si="81"/>
        <v>53</v>
      </c>
    </row>
    <row r="3865" spans="1:1" x14ac:dyDescent="0.25">
      <c r="A3865" s="83">
        <f t="shared" si="81"/>
        <v>53</v>
      </c>
    </row>
    <row r="3866" spans="1:1" x14ac:dyDescent="0.25">
      <c r="A3866" s="83">
        <f t="shared" si="81"/>
        <v>53</v>
      </c>
    </row>
    <row r="3867" spans="1:1" x14ac:dyDescent="0.25">
      <c r="A3867" s="83">
        <f t="shared" si="81"/>
        <v>53</v>
      </c>
    </row>
    <row r="3868" spans="1:1" x14ac:dyDescent="0.25">
      <c r="A3868" s="83">
        <f t="shared" si="81"/>
        <v>53</v>
      </c>
    </row>
    <row r="3869" spans="1:1" x14ac:dyDescent="0.25">
      <c r="A3869" s="83">
        <f t="shared" si="81"/>
        <v>53</v>
      </c>
    </row>
    <row r="3870" spans="1:1" x14ac:dyDescent="0.25">
      <c r="A3870" s="83">
        <f t="shared" si="81"/>
        <v>53</v>
      </c>
    </row>
    <row r="3871" spans="1:1" x14ac:dyDescent="0.25">
      <c r="A3871" s="83">
        <f t="shared" si="81"/>
        <v>53</v>
      </c>
    </row>
    <row r="3872" spans="1:1" x14ac:dyDescent="0.25">
      <c r="A3872" s="83">
        <f t="shared" si="81"/>
        <v>53</v>
      </c>
    </row>
    <row r="3873" spans="1:1" x14ac:dyDescent="0.25">
      <c r="A3873" s="83">
        <f t="shared" si="81"/>
        <v>53</v>
      </c>
    </row>
    <row r="3874" spans="1:1" x14ac:dyDescent="0.25">
      <c r="A3874" s="83">
        <f t="shared" si="81"/>
        <v>53</v>
      </c>
    </row>
    <row r="3875" spans="1:1" x14ac:dyDescent="0.25">
      <c r="A3875" s="83">
        <f t="shared" si="81"/>
        <v>53</v>
      </c>
    </row>
    <row r="3876" spans="1:1" x14ac:dyDescent="0.25">
      <c r="A3876" s="83">
        <f t="shared" si="81"/>
        <v>53</v>
      </c>
    </row>
    <row r="3877" spans="1:1" x14ac:dyDescent="0.25">
      <c r="A3877" s="83">
        <f t="shared" si="81"/>
        <v>53</v>
      </c>
    </row>
    <row r="3878" spans="1:1" x14ac:dyDescent="0.25">
      <c r="A3878" s="83">
        <f t="shared" si="81"/>
        <v>53</v>
      </c>
    </row>
    <row r="3879" spans="1:1" x14ac:dyDescent="0.25">
      <c r="A3879" s="83">
        <f t="shared" si="81"/>
        <v>53</v>
      </c>
    </row>
    <row r="3880" spans="1:1" x14ac:dyDescent="0.25">
      <c r="A3880" s="83">
        <f t="shared" si="81"/>
        <v>53</v>
      </c>
    </row>
    <row r="3881" spans="1:1" x14ac:dyDescent="0.25">
      <c r="A3881" s="83">
        <f t="shared" si="81"/>
        <v>53</v>
      </c>
    </row>
    <row r="3882" spans="1:1" x14ac:dyDescent="0.25">
      <c r="A3882" s="83">
        <f t="shared" si="81"/>
        <v>53</v>
      </c>
    </row>
    <row r="3883" spans="1:1" x14ac:dyDescent="0.25">
      <c r="A3883" s="83">
        <f t="shared" si="81"/>
        <v>53</v>
      </c>
    </row>
    <row r="3884" spans="1:1" x14ac:dyDescent="0.25">
      <c r="A3884" s="83">
        <f t="shared" si="81"/>
        <v>53</v>
      </c>
    </row>
    <row r="3885" spans="1:1" x14ac:dyDescent="0.25">
      <c r="A3885" s="83">
        <f t="shared" si="81"/>
        <v>53</v>
      </c>
    </row>
    <row r="3886" spans="1:1" x14ac:dyDescent="0.25">
      <c r="A3886" s="83">
        <f t="shared" si="81"/>
        <v>53</v>
      </c>
    </row>
    <row r="3887" spans="1:1" x14ac:dyDescent="0.25">
      <c r="A3887" s="83">
        <f t="shared" si="81"/>
        <v>53</v>
      </c>
    </row>
    <row r="3888" spans="1:1" x14ac:dyDescent="0.25">
      <c r="A3888" s="83">
        <f t="shared" si="81"/>
        <v>53</v>
      </c>
    </row>
    <row r="3889" spans="1:1" x14ac:dyDescent="0.25">
      <c r="A3889" s="83">
        <f t="shared" si="81"/>
        <v>53</v>
      </c>
    </row>
    <row r="3890" spans="1:1" x14ac:dyDescent="0.25">
      <c r="A3890" s="83">
        <f t="shared" si="81"/>
        <v>53</v>
      </c>
    </row>
    <row r="3891" spans="1:1" x14ac:dyDescent="0.25">
      <c r="A3891" s="83">
        <f t="shared" si="81"/>
        <v>53</v>
      </c>
    </row>
    <row r="3892" spans="1:1" x14ac:dyDescent="0.25">
      <c r="A3892" s="83">
        <f t="shared" si="81"/>
        <v>53</v>
      </c>
    </row>
    <row r="3893" spans="1:1" x14ac:dyDescent="0.25">
      <c r="A3893" s="83">
        <f t="shared" si="81"/>
        <v>53</v>
      </c>
    </row>
    <row r="3894" spans="1:1" x14ac:dyDescent="0.25">
      <c r="A3894" s="83">
        <f t="shared" ref="A3894:A3957" si="82">WEEKNUM(B3894,21)</f>
        <v>53</v>
      </c>
    </row>
    <row r="3895" spans="1:1" x14ac:dyDescent="0.25">
      <c r="A3895" s="83">
        <f t="shared" si="82"/>
        <v>53</v>
      </c>
    </row>
    <row r="3896" spans="1:1" x14ac:dyDescent="0.25">
      <c r="A3896" s="83">
        <f t="shared" si="82"/>
        <v>53</v>
      </c>
    </row>
    <row r="3897" spans="1:1" x14ac:dyDescent="0.25">
      <c r="A3897" s="83">
        <f t="shared" si="82"/>
        <v>53</v>
      </c>
    </row>
    <row r="3898" spans="1:1" x14ac:dyDescent="0.25">
      <c r="A3898" s="83">
        <f t="shared" si="82"/>
        <v>53</v>
      </c>
    </row>
    <row r="3899" spans="1:1" x14ac:dyDescent="0.25">
      <c r="A3899" s="83">
        <f t="shared" si="82"/>
        <v>53</v>
      </c>
    </row>
    <row r="3900" spans="1:1" x14ac:dyDescent="0.25">
      <c r="A3900" s="83">
        <f t="shared" si="82"/>
        <v>53</v>
      </c>
    </row>
    <row r="3901" spans="1:1" x14ac:dyDescent="0.25">
      <c r="A3901" s="83">
        <f t="shared" si="82"/>
        <v>53</v>
      </c>
    </row>
    <row r="3902" spans="1:1" x14ac:dyDescent="0.25">
      <c r="A3902" s="83">
        <f t="shared" si="82"/>
        <v>53</v>
      </c>
    </row>
    <row r="3903" spans="1:1" x14ac:dyDescent="0.25">
      <c r="A3903" s="83">
        <f t="shared" si="82"/>
        <v>53</v>
      </c>
    </row>
    <row r="3904" spans="1:1" x14ac:dyDescent="0.25">
      <c r="A3904" s="83">
        <f t="shared" si="82"/>
        <v>53</v>
      </c>
    </row>
    <row r="3905" spans="1:1" x14ac:dyDescent="0.25">
      <c r="A3905" s="83">
        <f t="shared" si="82"/>
        <v>53</v>
      </c>
    </row>
    <row r="3906" spans="1:1" x14ac:dyDescent="0.25">
      <c r="A3906" s="83">
        <f t="shared" si="82"/>
        <v>53</v>
      </c>
    </row>
    <row r="3907" spans="1:1" x14ac:dyDescent="0.25">
      <c r="A3907" s="83">
        <f t="shared" si="82"/>
        <v>53</v>
      </c>
    </row>
    <row r="3908" spans="1:1" x14ac:dyDescent="0.25">
      <c r="A3908" s="83">
        <f t="shared" si="82"/>
        <v>53</v>
      </c>
    </row>
    <row r="3909" spans="1:1" x14ac:dyDescent="0.25">
      <c r="A3909" s="83">
        <f t="shared" si="82"/>
        <v>53</v>
      </c>
    </row>
    <row r="3910" spans="1:1" x14ac:dyDescent="0.25">
      <c r="A3910" s="83">
        <f t="shared" si="82"/>
        <v>53</v>
      </c>
    </row>
    <row r="3911" spans="1:1" x14ac:dyDescent="0.25">
      <c r="A3911" s="83">
        <f t="shared" si="82"/>
        <v>53</v>
      </c>
    </row>
    <row r="3912" spans="1:1" x14ac:dyDescent="0.25">
      <c r="A3912" s="83">
        <f t="shared" si="82"/>
        <v>53</v>
      </c>
    </row>
    <row r="3913" spans="1:1" x14ac:dyDescent="0.25">
      <c r="A3913" s="83">
        <f t="shared" si="82"/>
        <v>53</v>
      </c>
    </row>
    <row r="3914" spans="1:1" x14ac:dyDescent="0.25">
      <c r="A3914" s="83">
        <f t="shared" si="82"/>
        <v>53</v>
      </c>
    </row>
    <row r="3915" spans="1:1" x14ac:dyDescent="0.25">
      <c r="A3915" s="83">
        <f t="shared" si="82"/>
        <v>53</v>
      </c>
    </row>
    <row r="3916" spans="1:1" x14ac:dyDescent="0.25">
      <c r="A3916" s="83">
        <f t="shared" si="82"/>
        <v>53</v>
      </c>
    </row>
    <row r="3917" spans="1:1" x14ac:dyDescent="0.25">
      <c r="A3917" s="83">
        <f t="shared" si="82"/>
        <v>53</v>
      </c>
    </row>
    <row r="3918" spans="1:1" x14ac:dyDescent="0.25">
      <c r="A3918" s="83">
        <f t="shared" si="82"/>
        <v>53</v>
      </c>
    </row>
    <row r="3919" spans="1:1" x14ac:dyDescent="0.25">
      <c r="A3919" s="83">
        <f t="shared" si="82"/>
        <v>53</v>
      </c>
    </row>
    <row r="3920" spans="1:1" x14ac:dyDescent="0.25">
      <c r="A3920" s="83">
        <f t="shared" si="82"/>
        <v>53</v>
      </c>
    </row>
    <row r="3921" spans="1:1" x14ac:dyDescent="0.25">
      <c r="A3921" s="83">
        <f t="shared" si="82"/>
        <v>53</v>
      </c>
    </row>
    <row r="3922" spans="1:1" x14ac:dyDescent="0.25">
      <c r="A3922" s="83">
        <f t="shared" si="82"/>
        <v>53</v>
      </c>
    </row>
    <row r="3923" spans="1:1" x14ac:dyDescent="0.25">
      <c r="A3923" s="83">
        <f t="shared" si="82"/>
        <v>53</v>
      </c>
    </row>
    <row r="3924" spans="1:1" x14ac:dyDescent="0.25">
      <c r="A3924" s="83">
        <f t="shared" si="82"/>
        <v>53</v>
      </c>
    </row>
    <row r="3925" spans="1:1" x14ac:dyDescent="0.25">
      <c r="A3925" s="83">
        <f t="shared" si="82"/>
        <v>53</v>
      </c>
    </row>
    <row r="3926" spans="1:1" x14ac:dyDescent="0.25">
      <c r="A3926" s="83">
        <f t="shared" si="82"/>
        <v>53</v>
      </c>
    </row>
    <row r="3927" spans="1:1" x14ac:dyDescent="0.25">
      <c r="A3927" s="83">
        <f t="shared" si="82"/>
        <v>53</v>
      </c>
    </row>
    <row r="3928" spans="1:1" x14ac:dyDescent="0.25">
      <c r="A3928" s="83">
        <f t="shared" si="82"/>
        <v>53</v>
      </c>
    </row>
    <row r="3929" spans="1:1" x14ac:dyDescent="0.25">
      <c r="A3929" s="83">
        <f t="shared" si="82"/>
        <v>53</v>
      </c>
    </row>
    <row r="3930" spans="1:1" x14ac:dyDescent="0.25">
      <c r="A3930" s="83">
        <f t="shared" si="82"/>
        <v>53</v>
      </c>
    </row>
    <row r="3931" spans="1:1" x14ac:dyDescent="0.25">
      <c r="A3931" s="83">
        <f t="shared" si="82"/>
        <v>53</v>
      </c>
    </row>
    <row r="3932" spans="1:1" x14ac:dyDescent="0.25">
      <c r="A3932" s="83">
        <f t="shared" si="82"/>
        <v>53</v>
      </c>
    </row>
    <row r="3933" spans="1:1" x14ac:dyDescent="0.25">
      <c r="A3933" s="83">
        <f t="shared" si="82"/>
        <v>53</v>
      </c>
    </row>
    <row r="3934" spans="1:1" x14ac:dyDescent="0.25">
      <c r="A3934" s="83">
        <f t="shared" si="82"/>
        <v>53</v>
      </c>
    </row>
    <row r="3935" spans="1:1" x14ac:dyDescent="0.25">
      <c r="A3935" s="83">
        <f t="shared" si="82"/>
        <v>53</v>
      </c>
    </row>
    <row r="3936" spans="1:1" x14ac:dyDescent="0.25">
      <c r="A3936" s="83">
        <f t="shared" si="82"/>
        <v>53</v>
      </c>
    </row>
    <row r="3937" spans="1:1" x14ac:dyDescent="0.25">
      <c r="A3937" s="83">
        <f t="shared" si="82"/>
        <v>53</v>
      </c>
    </row>
    <row r="3938" spans="1:1" x14ac:dyDescent="0.25">
      <c r="A3938" s="83">
        <f t="shared" si="82"/>
        <v>53</v>
      </c>
    </row>
    <row r="3939" spans="1:1" x14ac:dyDescent="0.25">
      <c r="A3939" s="83">
        <f t="shared" si="82"/>
        <v>53</v>
      </c>
    </row>
    <row r="3940" spans="1:1" x14ac:dyDescent="0.25">
      <c r="A3940" s="83">
        <f t="shared" si="82"/>
        <v>53</v>
      </c>
    </row>
    <row r="3941" spans="1:1" x14ac:dyDescent="0.25">
      <c r="A3941" s="83">
        <f t="shared" si="82"/>
        <v>53</v>
      </c>
    </row>
    <row r="3942" spans="1:1" x14ac:dyDescent="0.25">
      <c r="A3942" s="83">
        <f t="shared" si="82"/>
        <v>53</v>
      </c>
    </row>
    <row r="3943" spans="1:1" x14ac:dyDescent="0.25">
      <c r="A3943" s="83">
        <f t="shared" si="82"/>
        <v>53</v>
      </c>
    </row>
    <row r="3944" spans="1:1" x14ac:dyDescent="0.25">
      <c r="A3944" s="83">
        <f t="shared" si="82"/>
        <v>53</v>
      </c>
    </row>
    <row r="3945" spans="1:1" x14ac:dyDescent="0.25">
      <c r="A3945" s="83">
        <f t="shared" si="82"/>
        <v>53</v>
      </c>
    </row>
    <row r="3946" spans="1:1" x14ac:dyDescent="0.25">
      <c r="A3946" s="83">
        <f t="shared" si="82"/>
        <v>53</v>
      </c>
    </row>
    <row r="3947" spans="1:1" x14ac:dyDescent="0.25">
      <c r="A3947" s="83">
        <f t="shared" si="82"/>
        <v>53</v>
      </c>
    </row>
    <row r="3948" spans="1:1" x14ac:dyDescent="0.25">
      <c r="A3948" s="83">
        <f t="shared" si="82"/>
        <v>53</v>
      </c>
    </row>
    <row r="3949" spans="1:1" x14ac:dyDescent="0.25">
      <c r="A3949" s="83">
        <f t="shared" si="82"/>
        <v>53</v>
      </c>
    </row>
    <row r="3950" spans="1:1" x14ac:dyDescent="0.25">
      <c r="A3950" s="83">
        <f t="shared" si="82"/>
        <v>53</v>
      </c>
    </row>
    <row r="3951" spans="1:1" x14ac:dyDescent="0.25">
      <c r="A3951" s="83">
        <f t="shared" si="82"/>
        <v>53</v>
      </c>
    </row>
    <row r="3952" spans="1:1" x14ac:dyDescent="0.25">
      <c r="A3952" s="83">
        <f t="shared" si="82"/>
        <v>53</v>
      </c>
    </row>
    <row r="3953" spans="1:1" x14ac:dyDescent="0.25">
      <c r="A3953" s="83">
        <f t="shared" si="82"/>
        <v>53</v>
      </c>
    </row>
    <row r="3954" spans="1:1" x14ac:dyDescent="0.25">
      <c r="A3954" s="83">
        <f t="shared" si="82"/>
        <v>53</v>
      </c>
    </row>
    <row r="3955" spans="1:1" x14ac:dyDescent="0.25">
      <c r="A3955" s="83">
        <f t="shared" si="82"/>
        <v>53</v>
      </c>
    </row>
    <row r="3956" spans="1:1" x14ac:dyDescent="0.25">
      <c r="A3956" s="83">
        <f t="shared" si="82"/>
        <v>53</v>
      </c>
    </row>
    <row r="3957" spans="1:1" x14ac:dyDescent="0.25">
      <c r="A3957" s="83">
        <f t="shared" si="82"/>
        <v>53</v>
      </c>
    </row>
    <row r="3958" spans="1:1" x14ac:dyDescent="0.25">
      <c r="A3958" s="83">
        <f t="shared" ref="A3958:A4021" si="83">WEEKNUM(B3958,21)</f>
        <v>53</v>
      </c>
    </row>
    <row r="3959" spans="1:1" x14ac:dyDescent="0.25">
      <c r="A3959" s="83">
        <f t="shared" si="83"/>
        <v>53</v>
      </c>
    </row>
    <row r="3960" spans="1:1" x14ac:dyDescent="0.25">
      <c r="A3960" s="83">
        <f t="shared" si="83"/>
        <v>53</v>
      </c>
    </row>
    <row r="3961" spans="1:1" x14ac:dyDescent="0.25">
      <c r="A3961" s="83">
        <f t="shared" si="83"/>
        <v>53</v>
      </c>
    </row>
    <row r="3962" spans="1:1" x14ac:dyDescent="0.25">
      <c r="A3962" s="83">
        <f t="shared" si="83"/>
        <v>53</v>
      </c>
    </row>
    <row r="3963" spans="1:1" x14ac:dyDescent="0.25">
      <c r="A3963" s="83">
        <f t="shared" si="83"/>
        <v>53</v>
      </c>
    </row>
    <row r="3964" spans="1:1" x14ac:dyDescent="0.25">
      <c r="A3964" s="83">
        <f t="shared" si="83"/>
        <v>53</v>
      </c>
    </row>
    <row r="3965" spans="1:1" x14ac:dyDescent="0.25">
      <c r="A3965" s="83">
        <f t="shared" si="83"/>
        <v>53</v>
      </c>
    </row>
    <row r="3966" spans="1:1" x14ac:dyDescent="0.25">
      <c r="A3966" s="83">
        <f t="shared" si="83"/>
        <v>53</v>
      </c>
    </row>
    <row r="3967" spans="1:1" x14ac:dyDescent="0.25">
      <c r="A3967" s="83">
        <f t="shared" si="83"/>
        <v>53</v>
      </c>
    </row>
    <row r="3968" spans="1:1" x14ac:dyDescent="0.25">
      <c r="A3968" s="83">
        <f t="shared" si="83"/>
        <v>53</v>
      </c>
    </row>
    <row r="3969" spans="1:1" x14ac:dyDescent="0.25">
      <c r="A3969" s="83">
        <f t="shared" si="83"/>
        <v>53</v>
      </c>
    </row>
    <row r="3970" spans="1:1" x14ac:dyDescent="0.25">
      <c r="A3970" s="83">
        <f t="shared" si="83"/>
        <v>53</v>
      </c>
    </row>
    <row r="3971" spans="1:1" x14ac:dyDescent="0.25">
      <c r="A3971" s="83">
        <f t="shared" si="83"/>
        <v>53</v>
      </c>
    </row>
    <row r="3972" spans="1:1" x14ac:dyDescent="0.25">
      <c r="A3972" s="83">
        <f t="shared" si="83"/>
        <v>53</v>
      </c>
    </row>
    <row r="3973" spans="1:1" x14ac:dyDescent="0.25">
      <c r="A3973" s="83">
        <f t="shared" si="83"/>
        <v>53</v>
      </c>
    </row>
    <row r="3974" spans="1:1" x14ac:dyDescent="0.25">
      <c r="A3974" s="83">
        <f t="shared" si="83"/>
        <v>53</v>
      </c>
    </row>
    <row r="3975" spans="1:1" x14ac:dyDescent="0.25">
      <c r="A3975" s="83">
        <f t="shared" si="83"/>
        <v>53</v>
      </c>
    </row>
    <row r="3976" spans="1:1" x14ac:dyDescent="0.25">
      <c r="A3976" s="83">
        <f t="shared" si="83"/>
        <v>53</v>
      </c>
    </row>
    <row r="3977" spans="1:1" x14ac:dyDescent="0.25">
      <c r="A3977" s="83">
        <f t="shared" si="83"/>
        <v>53</v>
      </c>
    </row>
    <row r="3978" spans="1:1" x14ac:dyDescent="0.25">
      <c r="A3978" s="83">
        <f t="shared" si="83"/>
        <v>53</v>
      </c>
    </row>
    <row r="3979" spans="1:1" x14ac:dyDescent="0.25">
      <c r="A3979" s="83">
        <f t="shared" si="83"/>
        <v>53</v>
      </c>
    </row>
    <row r="3980" spans="1:1" x14ac:dyDescent="0.25">
      <c r="A3980" s="83">
        <f t="shared" si="83"/>
        <v>53</v>
      </c>
    </row>
    <row r="3981" spans="1:1" x14ac:dyDescent="0.25">
      <c r="A3981" s="83">
        <f t="shared" si="83"/>
        <v>53</v>
      </c>
    </row>
    <row r="3982" spans="1:1" x14ac:dyDescent="0.25">
      <c r="A3982" s="83">
        <f t="shared" si="83"/>
        <v>53</v>
      </c>
    </row>
    <row r="3983" spans="1:1" x14ac:dyDescent="0.25">
      <c r="A3983" s="83">
        <f t="shared" si="83"/>
        <v>53</v>
      </c>
    </row>
    <row r="3984" spans="1:1" x14ac:dyDescent="0.25">
      <c r="A3984" s="83">
        <f t="shared" si="83"/>
        <v>53</v>
      </c>
    </row>
    <row r="3985" spans="1:1" x14ac:dyDescent="0.25">
      <c r="A3985" s="83">
        <f t="shared" si="83"/>
        <v>53</v>
      </c>
    </row>
    <row r="3986" spans="1:1" x14ac:dyDescent="0.25">
      <c r="A3986" s="83">
        <f t="shared" si="83"/>
        <v>53</v>
      </c>
    </row>
    <row r="3987" spans="1:1" x14ac:dyDescent="0.25">
      <c r="A3987" s="83">
        <f t="shared" si="83"/>
        <v>53</v>
      </c>
    </row>
    <row r="3988" spans="1:1" x14ac:dyDescent="0.25">
      <c r="A3988" s="83">
        <f t="shared" si="83"/>
        <v>53</v>
      </c>
    </row>
    <row r="3989" spans="1:1" x14ac:dyDescent="0.25">
      <c r="A3989" s="83">
        <f t="shared" si="83"/>
        <v>53</v>
      </c>
    </row>
    <row r="3990" spans="1:1" x14ac:dyDescent="0.25">
      <c r="A3990" s="83">
        <f t="shared" si="83"/>
        <v>53</v>
      </c>
    </row>
    <row r="3991" spans="1:1" x14ac:dyDescent="0.25">
      <c r="A3991" s="83">
        <f t="shared" si="83"/>
        <v>53</v>
      </c>
    </row>
    <row r="3992" spans="1:1" x14ac:dyDescent="0.25">
      <c r="A3992" s="83">
        <f t="shared" si="83"/>
        <v>53</v>
      </c>
    </row>
    <row r="3993" spans="1:1" x14ac:dyDescent="0.25">
      <c r="A3993" s="83">
        <f t="shared" si="83"/>
        <v>53</v>
      </c>
    </row>
    <row r="3994" spans="1:1" x14ac:dyDescent="0.25">
      <c r="A3994" s="83">
        <f t="shared" si="83"/>
        <v>53</v>
      </c>
    </row>
    <row r="3995" spans="1:1" x14ac:dyDescent="0.25">
      <c r="A3995" s="83">
        <f t="shared" si="83"/>
        <v>53</v>
      </c>
    </row>
    <row r="3996" spans="1:1" x14ac:dyDescent="0.25">
      <c r="A3996" s="83">
        <f t="shared" si="83"/>
        <v>53</v>
      </c>
    </row>
    <row r="3997" spans="1:1" x14ac:dyDescent="0.25">
      <c r="A3997" s="83">
        <f t="shared" si="83"/>
        <v>53</v>
      </c>
    </row>
    <row r="3998" spans="1:1" x14ac:dyDescent="0.25">
      <c r="A3998" s="83">
        <f t="shared" si="83"/>
        <v>53</v>
      </c>
    </row>
    <row r="3999" spans="1:1" x14ac:dyDescent="0.25">
      <c r="A3999" s="83">
        <f t="shared" si="83"/>
        <v>53</v>
      </c>
    </row>
    <row r="4000" spans="1:1" x14ac:dyDescent="0.25">
      <c r="A4000" s="83">
        <f t="shared" si="83"/>
        <v>53</v>
      </c>
    </row>
    <row r="4001" spans="1:1" x14ac:dyDescent="0.25">
      <c r="A4001" s="83">
        <f t="shared" si="83"/>
        <v>53</v>
      </c>
    </row>
    <row r="4002" spans="1:1" x14ac:dyDescent="0.25">
      <c r="A4002" s="83">
        <f t="shared" si="83"/>
        <v>53</v>
      </c>
    </row>
    <row r="4003" spans="1:1" x14ac:dyDescent="0.25">
      <c r="A4003" s="83">
        <f t="shared" si="83"/>
        <v>53</v>
      </c>
    </row>
    <row r="4004" spans="1:1" x14ac:dyDescent="0.25">
      <c r="A4004" s="83">
        <f t="shared" si="83"/>
        <v>53</v>
      </c>
    </row>
    <row r="4005" spans="1:1" x14ac:dyDescent="0.25">
      <c r="A4005" s="83">
        <f t="shared" si="83"/>
        <v>53</v>
      </c>
    </row>
    <row r="4006" spans="1:1" x14ac:dyDescent="0.25">
      <c r="A4006" s="83">
        <f t="shared" si="83"/>
        <v>53</v>
      </c>
    </row>
    <row r="4007" spans="1:1" x14ac:dyDescent="0.25">
      <c r="A4007" s="83">
        <f t="shared" si="83"/>
        <v>53</v>
      </c>
    </row>
    <row r="4008" spans="1:1" x14ac:dyDescent="0.25">
      <c r="A4008" s="83">
        <f t="shared" si="83"/>
        <v>53</v>
      </c>
    </row>
    <row r="4009" spans="1:1" x14ac:dyDescent="0.25">
      <c r="A4009" s="83">
        <f t="shared" si="83"/>
        <v>53</v>
      </c>
    </row>
    <row r="4010" spans="1:1" x14ac:dyDescent="0.25">
      <c r="A4010" s="83">
        <f t="shared" si="83"/>
        <v>53</v>
      </c>
    </row>
    <row r="4011" spans="1:1" x14ac:dyDescent="0.25">
      <c r="A4011" s="83">
        <f t="shared" si="83"/>
        <v>53</v>
      </c>
    </row>
    <row r="4012" spans="1:1" x14ac:dyDescent="0.25">
      <c r="A4012" s="83">
        <f t="shared" si="83"/>
        <v>53</v>
      </c>
    </row>
    <row r="4013" spans="1:1" x14ac:dyDescent="0.25">
      <c r="A4013" s="83">
        <f t="shared" si="83"/>
        <v>53</v>
      </c>
    </row>
    <row r="4014" spans="1:1" x14ac:dyDescent="0.25">
      <c r="A4014" s="83">
        <f t="shared" si="83"/>
        <v>53</v>
      </c>
    </row>
    <row r="4015" spans="1:1" x14ac:dyDescent="0.25">
      <c r="A4015" s="83">
        <f t="shared" si="83"/>
        <v>53</v>
      </c>
    </row>
    <row r="4016" spans="1:1" x14ac:dyDescent="0.25">
      <c r="A4016" s="83">
        <f t="shared" si="83"/>
        <v>53</v>
      </c>
    </row>
    <row r="4017" spans="1:1" x14ac:dyDescent="0.25">
      <c r="A4017" s="83">
        <f t="shared" si="83"/>
        <v>53</v>
      </c>
    </row>
    <row r="4018" spans="1:1" x14ac:dyDescent="0.25">
      <c r="A4018" s="83">
        <f t="shared" si="83"/>
        <v>53</v>
      </c>
    </row>
    <row r="4019" spans="1:1" x14ac:dyDescent="0.25">
      <c r="A4019" s="83">
        <f t="shared" si="83"/>
        <v>53</v>
      </c>
    </row>
    <row r="4020" spans="1:1" x14ac:dyDescent="0.25">
      <c r="A4020" s="83">
        <f t="shared" si="83"/>
        <v>53</v>
      </c>
    </row>
    <row r="4021" spans="1:1" x14ac:dyDescent="0.25">
      <c r="A4021" s="83">
        <f t="shared" si="83"/>
        <v>53</v>
      </c>
    </row>
    <row r="4022" spans="1:1" x14ac:dyDescent="0.25">
      <c r="A4022" s="83">
        <f t="shared" ref="A4022:A4085" si="84">WEEKNUM(B4022,21)</f>
        <v>53</v>
      </c>
    </row>
    <row r="4023" spans="1:1" x14ac:dyDescent="0.25">
      <c r="A4023" s="83">
        <f t="shared" si="84"/>
        <v>53</v>
      </c>
    </row>
    <row r="4024" spans="1:1" x14ac:dyDescent="0.25">
      <c r="A4024" s="83">
        <f t="shared" si="84"/>
        <v>53</v>
      </c>
    </row>
    <row r="4025" spans="1:1" x14ac:dyDescent="0.25">
      <c r="A4025" s="83">
        <f t="shared" si="84"/>
        <v>53</v>
      </c>
    </row>
    <row r="4026" spans="1:1" x14ac:dyDescent="0.25">
      <c r="A4026" s="83">
        <f t="shared" si="84"/>
        <v>53</v>
      </c>
    </row>
    <row r="4027" spans="1:1" x14ac:dyDescent="0.25">
      <c r="A4027" s="83">
        <f t="shared" si="84"/>
        <v>53</v>
      </c>
    </row>
    <row r="4028" spans="1:1" x14ac:dyDescent="0.25">
      <c r="A4028" s="83">
        <f t="shared" si="84"/>
        <v>53</v>
      </c>
    </row>
    <row r="4029" spans="1:1" x14ac:dyDescent="0.25">
      <c r="A4029" s="83">
        <f t="shared" si="84"/>
        <v>53</v>
      </c>
    </row>
    <row r="4030" spans="1:1" x14ac:dyDescent="0.25">
      <c r="A4030" s="83">
        <f t="shared" si="84"/>
        <v>53</v>
      </c>
    </row>
    <row r="4031" spans="1:1" x14ac:dyDescent="0.25">
      <c r="A4031" s="83">
        <f t="shared" si="84"/>
        <v>53</v>
      </c>
    </row>
    <row r="4032" spans="1:1" x14ac:dyDescent="0.25">
      <c r="A4032" s="83">
        <f t="shared" si="84"/>
        <v>53</v>
      </c>
    </row>
    <row r="4033" spans="1:1" x14ac:dyDescent="0.25">
      <c r="A4033" s="83">
        <f t="shared" si="84"/>
        <v>53</v>
      </c>
    </row>
    <row r="4034" spans="1:1" x14ac:dyDescent="0.25">
      <c r="A4034" s="83">
        <f t="shared" si="84"/>
        <v>53</v>
      </c>
    </row>
    <row r="4035" spans="1:1" x14ac:dyDescent="0.25">
      <c r="A4035" s="83">
        <f t="shared" si="84"/>
        <v>53</v>
      </c>
    </row>
    <row r="4036" spans="1:1" x14ac:dyDescent="0.25">
      <c r="A4036" s="83">
        <f t="shared" si="84"/>
        <v>53</v>
      </c>
    </row>
    <row r="4037" spans="1:1" x14ac:dyDescent="0.25">
      <c r="A4037" s="83">
        <f t="shared" si="84"/>
        <v>53</v>
      </c>
    </row>
    <row r="4038" spans="1:1" x14ac:dyDescent="0.25">
      <c r="A4038" s="83">
        <f t="shared" si="84"/>
        <v>53</v>
      </c>
    </row>
    <row r="4039" spans="1:1" x14ac:dyDescent="0.25">
      <c r="A4039" s="83">
        <f t="shared" si="84"/>
        <v>53</v>
      </c>
    </row>
    <row r="4040" spans="1:1" x14ac:dyDescent="0.25">
      <c r="A4040" s="83">
        <f t="shared" si="84"/>
        <v>53</v>
      </c>
    </row>
    <row r="4041" spans="1:1" x14ac:dyDescent="0.25">
      <c r="A4041" s="83">
        <f t="shared" si="84"/>
        <v>53</v>
      </c>
    </row>
    <row r="4042" spans="1:1" x14ac:dyDescent="0.25">
      <c r="A4042" s="83">
        <f t="shared" si="84"/>
        <v>53</v>
      </c>
    </row>
    <row r="4043" spans="1:1" x14ac:dyDescent="0.25">
      <c r="A4043" s="83">
        <f t="shared" si="84"/>
        <v>53</v>
      </c>
    </row>
    <row r="4044" spans="1:1" x14ac:dyDescent="0.25">
      <c r="A4044" s="83">
        <f t="shared" si="84"/>
        <v>53</v>
      </c>
    </row>
    <row r="4045" spans="1:1" x14ac:dyDescent="0.25">
      <c r="A4045" s="83">
        <f t="shared" si="84"/>
        <v>53</v>
      </c>
    </row>
    <row r="4046" spans="1:1" x14ac:dyDescent="0.25">
      <c r="A4046" s="83">
        <f t="shared" si="84"/>
        <v>53</v>
      </c>
    </row>
    <row r="4047" spans="1:1" x14ac:dyDescent="0.25">
      <c r="A4047" s="83">
        <f t="shared" si="84"/>
        <v>53</v>
      </c>
    </row>
    <row r="4048" spans="1:1" x14ac:dyDescent="0.25">
      <c r="A4048" s="83">
        <f t="shared" si="84"/>
        <v>53</v>
      </c>
    </row>
    <row r="4049" spans="1:1" x14ac:dyDescent="0.25">
      <c r="A4049" s="83">
        <f t="shared" si="84"/>
        <v>53</v>
      </c>
    </row>
    <row r="4050" spans="1:1" x14ac:dyDescent="0.25">
      <c r="A4050" s="83">
        <f t="shared" si="84"/>
        <v>53</v>
      </c>
    </row>
    <row r="4051" spans="1:1" x14ac:dyDescent="0.25">
      <c r="A4051" s="83">
        <f t="shared" si="84"/>
        <v>53</v>
      </c>
    </row>
    <row r="4052" spans="1:1" x14ac:dyDescent="0.25">
      <c r="A4052" s="83">
        <f t="shared" si="84"/>
        <v>53</v>
      </c>
    </row>
    <row r="4053" spans="1:1" x14ac:dyDescent="0.25">
      <c r="A4053" s="83">
        <f t="shared" si="84"/>
        <v>53</v>
      </c>
    </row>
    <row r="4054" spans="1:1" x14ac:dyDescent="0.25">
      <c r="A4054" s="83">
        <f t="shared" si="84"/>
        <v>53</v>
      </c>
    </row>
    <row r="4055" spans="1:1" x14ac:dyDescent="0.25">
      <c r="A4055" s="83">
        <f t="shared" si="84"/>
        <v>53</v>
      </c>
    </row>
    <row r="4056" spans="1:1" x14ac:dyDescent="0.25">
      <c r="A4056" s="83">
        <f t="shared" si="84"/>
        <v>53</v>
      </c>
    </row>
    <row r="4057" spans="1:1" x14ac:dyDescent="0.25">
      <c r="A4057" s="83">
        <f t="shared" si="84"/>
        <v>53</v>
      </c>
    </row>
    <row r="4058" spans="1:1" x14ac:dyDescent="0.25">
      <c r="A4058" s="83">
        <f t="shared" si="84"/>
        <v>53</v>
      </c>
    </row>
    <row r="4059" spans="1:1" x14ac:dyDescent="0.25">
      <c r="A4059" s="83">
        <f t="shared" si="84"/>
        <v>53</v>
      </c>
    </row>
    <row r="4060" spans="1:1" x14ac:dyDescent="0.25">
      <c r="A4060" s="83">
        <f t="shared" si="84"/>
        <v>53</v>
      </c>
    </row>
    <row r="4061" spans="1:1" x14ac:dyDescent="0.25">
      <c r="A4061" s="83">
        <f t="shared" si="84"/>
        <v>53</v>
      </c>
    </row>
    <row r="4062" spans="1:1" x14ac:dyDescent="0.25">
      <c r="A4062" s="83">
        <f t="shared" si="84"/>
        <v>53</v>
      </c>
    </row>
    <row r="4063" spans="1:1" x14ac:dyDescent="0.25">
      <c r="A4063" s="83">
        <f t="shared" si="84"/>
        <v>53</v>
      </c>
    </row>
    <row r="4064" spans="1:1" x14ac:dyDescent="0.25">
      <c r="A4064" s="83">
        <f t="shared" si="84"/>
        <v>53</v>
      </c>
    </row>
    <row r="4065" spans="1:1" x14ac:dyDescent="0.25">
      <c r="A4065" s="83">
        <f t="shared" si="84"/>
        <v>53</v>
      </c>
    </row>
    <row r="4066" spans="1:1" x14ac:dyDescent="0.25">
      <c r="A4066" s="83">
        <f t="shared" si="84"/>
        <v>53</v>
      </c>
    </row>
    <row r="4067" spans="1:1" x14ac:dyDescent="0.25">
      <c r="A4067" s="83">
        <f t="shared" si="84"/>
        <v>53</v>
      </c>
    </row>
    <row r="4068" spans="1:1" x14ac:dyDescent="0.25">
      <c r="A4068" s="83">
        <f t="shared" si="84"/>
        <v>53</v>
      </c>
    </row>
    <row r="4069" spans="1:1" x14ac:dyDescent="0.25">
      <c r="A4069" s="83">
        <f t="shared" si="84"/>
        <v>53</v>
      </c>
    </row>
    <row r="4070" spans="1:1" x14ac:dyDescent="0.25">
      <c r="A4070" s="83">
        <f t="shared" si="84"/>
        <v>53</v>
      </c>
    </row>
    <row r="4071" spans="1:1" x14ac:dyDescent="0.25">
      <c r="A4071" s="83">
        <f t="shared" si="84"/>
        <v>53</v>
      </c>
    </row>
    <row r="4072" spans="1:1" x14ac:dyDescent="0.25">
      <c r="A4072" s="83">
        <f t="shared" si="84"/>
        <v>53</v>
      </c>
    </row>
    <row r="4073" spans="1:1" x14ac:dyDescent="0.25">
      <c r="A4073" s="83">
        <f t="shared" si="84"/>
        <v>53</v>
      </c>
    </row>
    <row r="4074" spans="1:1" x14ac:dyDescent="0.25">
      <c r="A4074" s="83">
        <f t="shared" si="84"/>
        <v>53</v>
      </c>
    </row>
    <row r="4075" spans="1:1" x14ac:dyDescent="0.25">
      <c r="A4075" s="83">
        <f t="shared" si="84"/>
        <v>53</v>
      </c>
    </row>
    <row r="4076" spans="1:1" x14ac:dyDescent="0.25">
      <c r="A4076" s="83">
        <f t="shared" si="84"/>
        <v>53</v>
      </c>
    </row>
    <row r="4077" spans="1:1" x14ac:dyDescent="0.25">
      <c r="A4077" s="83">
        <f t="shared" si="84"/>
        <v>53</v>
      </c>
    </row>
    <row r="4078" spans="1:1" x14ac:dyDescent="0.25">
      <c r="A4078" s="83">
        <f t="shared" si="84"/>
        <v>53</v>
      </c>
    </row>
    <row r="4079" spans="1:1" x14ac:dyDescent="0.25">
      <c r="A4079" s="83">
        <f t="shared" si="84"/>
        <v>53</v>
      </c>
    </row>
    <row r="4080" spans="1:1" x14ac:dyDescent="0.25">
      <c r="A4080" s="83">
        <f t="shared" si="84"/>
        <v>53</v>
      </c>
    </row>
    <row r="4081" spans="1:1" x14ac:dyDescent="0.25">
      <c r="A4081" s="83">
        <f t="shared" si="84"/>
        <v>53</v>
      </c>
    </row>
    <row r="4082" spans="1:1" x14ac:dyDescent="0.25">
      <c r="A4082" s="83">
        <f t="shared" si="84"/>
        <v>53</v>
      </c>
    </row>
    <row r="4083" spans="1:1" x14ac:dyDescent="0.25">
      <c r="A4083" s="83">
        <f t="shared" si="84"/>
        <v>53</v>
      </c>
    </row>
    <row r="4084" spans="1:1" x14ac:dyDescent="0.25">
      <c r="A4084" s="83">
        <f t="shared" si="84"/>
        <v>53</v>
      </c>
    </row>
    <row r="4085" spans="1:1" x14ac:dyDescent="0.25">
      <c r="A4085" s="83">
        <f t="shared" si="84"/>
        <v>53</v>
      </c>
    </row>
    <row r="4086" spans="1:1" x14ac:dyDescent="0.25">
      <c r="A4086" s="83">
        <f t="shared" ref="A4086:A4149" si="85">WEEKNUM(B4086,21)</f>
        <v>53</v>
      </c>
    </row>
    <row r="4087" spans="1:1" x14ac:dyDescent="0.25">
      <c r="A4087" s="83">
        <f t="shared" si="85"/>
        <v>53</v>
      </c>
    </row>
    <row r="4088" spans="1:1" x14ac:dyDescent="0.25">
      <c r="A4088" s="83">
        <f t="shared" si="85"/>
        <v>53</v>
      </c>
    </row>
    <row r="4089" spans="1:1" x14ac:dyDescent="0.25">
      <c r="A4089" s="83">
        <f t="shared" si="85"/>
        <v>53</v>
      </c>
    </row>
    <row r="4090" spans="1:1" x14ac:dyDescent="0.25">
      <c r="A4090" s="83">
        <f t="shared" si="85"/>
        <v>53</v>
      </c>
    </row>
    <row r="4091" spans="1:1" x14ac:dyDescent="0.25">
      <c r="A4091" s="83">
        <f t="shared" si="85"/>
        <v>53</v>
      </c>
    </row>
    <row r="4092" spans="1:1" x14ac:dyDescent="0.25">
      <c r="A4092" s="83">
        <f t="shared" si="85"/>
        <v>53</v>
      </c>
    </row>
    <row r="4093" spans="1:1" x14ac:dyDescent="0.25">
      <c r="A4093" s="83">
        <f t="shared" si="85"/>
        <v>53</v>
      </c>
    </row>
    <row r="4094" spans="1:1" x14ac:dyDescent="0.25">
      <c r="A4094" s="83">
        <f t="shared" si="85"/>
        <v>53</v>
      </c>
    </row>
    <row r="4095" spans="1:1" x14ac:dyDescent="0.25">
      <c r="A4095" s="83">
        <f t="shared" si="85"/>
        <v>53</v>
      </c>
    </row>
    <row r="4096" spans="1:1" x14ac:dyDescent="0.25">
      <c r="A4096" s="83">
        <f t="shared" si="85"/>
        <v>53</v>
      </c>
    </row>
    <row r="4097" spans="1:1" x14ac:dyDescent="0.25">
      <c r="A4097" s="83">
        <f t="shared" si="85"/>
        <v>53</v>
      </c>
    </row>
    <row r="4098" spans="1:1" x14ac:dyDescent="0.25">
      <c r="A4098" s="83">
        <f t="shared" si="85"/>
        <v>53</v>
      </c>
    </row>
    <row r="4099" spans="1:1" x14ac:dyDescent="0.25">
      <c r="A4099" s="83">
        <f t="shared" si="85"/>
        <v>53</v>
      </c>
    </row>
    <row r="4100" spans="1:1" x14ac:dyDescent="0.25">
      <c r="A4100" s="83">
        <f t="shared" si="85"/>
        <v>53</v>
      </c>
    </row>
    <row r="4101" spans="1:1" x14ac:dyDescent="0.25">
      <c r="A4101" s="83">
        <f t="shared" si="85"/>
        <v>53</v>
      </c>
    </row>
    <row r="4102" spans="1:1" x14ac:dyDescent="0.25">
      <c r="A4102" s="83">
        <f t="shared" si="85"/>
        <v>53</v>
      </c>
    </row>
    <row r="4103" spans="1:1" x14ac:dyDescent="0.25">
      <c r="A4103" s="83">
        <f t="shared" si="85"/>
        <v>53</v>
      </c>
    </row>
    <row r="4104" spans="1:1" x14ac:dyDescent="0.25">
      <c r="A4104" s="83">
        <f t="shared" si="85"/>
        <v>53</v>
      </c>
    </row>
    <row r="4105" spans="1:1" x14ac:dyDescent="0.25">
      <c r="A4105" s="83">
        <f t="shared" si="85"/>
        <v>53</v>
      </c>
    </row>
    <row r="4106" spans="1:1" x14ac:dyDescent="0.25">
      <c r="A4106" s="83">
        <f t="shared" si="85"/>
        <v>53</v>
      </c>
    </row>
    <row r="4107" spans="1:1" x14ac:dyDescent="0.25">
      <c r="A4107" s="83">
        <f t="shared" si="85"/>
        <v>53</v>
      </c>
    </row>
    <row r="4108" spans="1:1" x14ac:dyDescent="0.25">
      <c r="A4108" s="83">
        <f t="shared" si="85"/>
        <v>53</v>
      </c>
    </row>
    <row r="4109" spans="1:1" x14ac:dyDescent="0.25">
      <c r="A4109" s="83">
        <f t="shared" si="85"/>
        <v>53</v>
      </c>
    </row>
    <row r="4110" spans="1:1" x14ac:dyDescent="0.25">
      <c r="A4110" s="83">
        <f t="shared" si="85"/>
        <v>53</v>
      </c>
    </row>
    <row r="4111" spans="1:1" x14ac:dyDescent="0.25">
      <c r="A4111" s="83">
        <f t="shared" si="85"/>
        <v>53</v>
      </c>
    </row>
    <row r="4112" spans="1:1" x14ac:dyDescent="0.25">
      <c r="A4112" s="83">
        <f t="shared" si="85"/>
        <v>53</v>
      </c>
    </row>
    <row r="4113" spans="1:1" x14ac:dyDescent="0.25">
      <c r="A4113" s="83">
        <f t="shared" si="85"/>
        <v>53</v>
      </c>
    </row>
    <row r="4114" spans="1:1" x14ac:dyDescent="0.25">
      <c r="A4114" s="83">
        <f t="shared" si="85"/>
        <v>53</v>
      </c>
    </row>
    <row r="4115" spans="1:1" x14ac:dyDescent="0.25">
      <c r="A4115" s="83">
        <f t="shared" si="85"/>
        <v>53</v>
      </c>
    </row>
    <row r="4116" spans="1:1" x14ac:dyDescent="0.25">
      <c r="A4116" s="83">
        <f t="shared" si="85"/>
        <v>53</v>
      </c>
    </row>
    <row r="4117" spans="1:1" x14ac:dyDescent="0.25">
      <c r="A4117" s="83">
        <f t="shared" si="85"/>
        <v>53</v>
      </c>
    </row>
    <row r="4118" spans="1:1" x14ac:dyDescent="0.25">
      <c r="A4118" s="83">
        <f t="shared" si="85"/>
        <v>53</v>
      </c>
    </row>
    <row r="4119" spans="1:1" x14ac:dyDescent="0.25">
      <c r="A4119" s="83">
        <f t="shared" si="85"/>
        <v>53</v>
      </c>
    </row>
    <row r="4120" spans="1:1" x14ac:dyDescent="0.25">
      <c r="A4120" s="83">
        <f t="shared" si="85"/>
        <v>53</v>
      </c>
    </row>
    <row r="4121" spans="1:1" x14ac:dyDescent="0.25">
      <c r="A4121" s="83">
        <f t="shared" si="85"/>
        <v>53</v>
      </c>
    </row>
    <row r="4122" spans="1:1" x14ac:dyDescent="0.25">
      <c r="A4122" s="83">
        <f t="shared" si="85"/>
        <v>53</v>
      </c>
    </row>
    <row r="4123" spans="1:1" x14ac:dyDescent="0.25">
      <c r="A4123" s="83">
        <f t="shared" si="85"/>
        <v>53</v>
      </c>
    </row>
    <row r="4124" spans="1:1" x14ac:dyDescent="0.25">
      <c r="A4124" s="83">
        <f t="shared" si="85"/>
        <v>53</v>
      </c>
    </row>
    <row r="4125" spans="1:1" x14ac:dyDescent="0.25">
      <c r="A4125" s="83">
        <f t="shared" si="85"/>
        <v>53</v>
      </c>
    </row>
    <row r="4126" spans="1:1" x14ac:dyDescent="0.25">
      <c r="A4126" s="83">
        <f t="shared" si="85"/>
        <v>53</v>
      </c>
    </row>
    <row r="4127" spans="1:1" x14ac:dyDescent="0.25">
      <c r="A4127" s="83">
        <f t="shared" si="85"/>
        <v>53</v>
      </c>
    </row>
    <row r="4128" spans="1:1" x14ac:dyDescent="0.25">
      <c r="A4128" s="83">
        <f t="shared" si="85"/>
        <v>53</v>
      </c>
    </row>
    <row r="4129" spans="1:1" x14ac:dyDescent="0.25">
      <c r="A4129" s="83">
        <f t="shared" si="85"/>
        <v>53</v>
      </c>
    </row>
    <row r="4130" spans="1:1" x14ac:dyDescent="0.25">
      <c r="A4130" s="83">
        <f t="shared" si="85"/>
        <v>53</v>
      </c>
    </row>
    <row r="4131" spans="1:1" x14ac:dyDescent="0.25">
      <c r="A4131" s="83">
        <f t="shared" si="85"/>
        <v>53</v>
      </c>
    </row>
    <row r="4132" spans="1:1" x14ac:dyDescent="0.25">
      <c r="A4132" s="83">
        <f t="shared" si="85"/>
        <v>53</v>
      </c>
    </row>
    <row r="4133" spans="1:1" x14ac:dyDescent="0.25">
      <c r="A4133" s="83">
        <f t="shared" si="85"/>
        <v>53</v>
      </c>
    </row>
    <row r="4134" spans="1:1" x14ac:dyDescent="0.25">
      <c r="A4134" s="83">
        <f t="shared" si="85"/>
        <v>53</v>
      </c>
    </row>
    <row r="4135" spans="1:1" x14ac:dyDescent="0.25">
      <c r="A4135" s="83">
        <f t="shared" si="85"/>
        <v>53</v>
      </c>
    </row>
    <row r="4136" spans="1:1" x14ac:dyDescent="0.25">
      <c r="A4136" s="83">
        <f t="shared" si="85"/>
        <v>53</v>
      </c>
    </row>
    <row r="4137" spans="1:1" x14ac:dyDescent="0.25">
      <c r="A4137" s="83">
        <f t="shared" si="85"/>
        <v>53</v>
      </c>
    </row>
    <row r="4138" spans="1:1" x14ac:dyDescent="0.25">
      <c r="A4138" s="83">
        <f t="shared" si="85"/>
        <v>53</v>
      </c>
    </row>
    <row r="4139" spans="1:1" x14ac:dyDescent="0.25">
      <c r="A4139" s="83">
        <f t="shared" si="85"/>
        <v>53</v>
      </c>
    </row>
    <row r="4140" spans="1:1" x14ac:dyDescent="0.25">
      <c r="A4140" s="83">
        <f t="shared" si="85"/>
        <v>53</v>
      </c>
    </row>
    <row r="4141" spans="1:1" x14ac:dyDescent="0.25">
      <c r="A4141" s="83">
        <f t="shared" si="85"/>
        <v>53</v>
      </c>
    </row>
    <row r="4142" spans="1:1" x14ac:dyDescent="0.25">
      <c r="A4142" s="83">
        <f t="shared" si="85"/>
        <v>53</v>
      </c>
    </row>
    <row r="4143" spans="1:1" x14ac:dyDescent="0.25">
      <c r="A4143" s="83">
        <f t="shared" si="85"/>
        <v>53</v>
      </c>
    </row>
    <row r="4144" spans="1:1" x14ac:dyDescent="0.25">
      <c r="A4144" s="83">
        <f t="shared" si="85"/>
        <v>53</v>
      </c>
    </row>
    <row r="4145" spans="1:1" x14ac:dyDescent="0.25">
      <c r="A4145" s="83">
        <f t="shared" si="85"/>
        <v>53</v>
      </c>
    </row>
    <row r="4146" spans="1:1" x14ac:dyDescent="0.25">
      <c r="A4146" s="83">
        <f t="shared" si="85"/>
        <v>53</v>
      </c>
    </row>
    <row r="4147" spans="1:1" x14ac:dyDescent="0.25">
      <c r="A4147" s="83">
        <f t="shared" si="85"/>
        <v>53</v>
      </c>
    </row>
    <row r="4148" spans="1:1" x14ac:dyDescent="0.25">
      <c r="A4148" s="83">
        <f t="shared" si="85"/>
        <v>53</v>
      </c>
    </row>
    <row r="4149" spans="1:1" x14ac:dyDescent="0.25">
      <c r="A4149" s="83">
        <f t="shared" si="85"/>
        <v>53</v>
      </c>
    </row>
    <row r="4150" spans="1:1" x14ac:dyDescent="0.25">
      <c r="A4150" s="83">
        <f t="shared" ref="A4150:A4199" si="86">WEEKNUM(B4150,21)</f>
        <v>53</v>
      </c>
    </row>
    <row r="4151" spans="1:1" x14ac:dyDescent="0.25">
      <c r="A4151" s="83">
        <f t="shared" si="86"/>
        <v>53</v>
      </c>
    </row>
    <row r="4152" spans="1:1" x14ac:dyDescent="0.25">
      <c r="A4152" s="83">
        <f t="shared" si="86"/>
        <v>53</v>
      </c>
    </row>
    <row r="4153" spans="1:1" x14ac:dyDescent="0.25">
      <c r="A4153" s="83">
        <f t="shared" si="86"/>
        <v>53</v>
      </c>
    </row>
    <row r="4154" spans="1:1" x14ac:dyDescent="0.25">
      <c r="A4154" s="83">
        <f t="shared" si="86"/>
        <v>53</v>
      </c>
    </row>
    <row r="4155" spans="1:1" x14ac:dyDescent="0.25">
      <c r="A4155" s="83">
        <f t="shared" si="86"/>
        <v>53</v>
      </c>
    </row>
    <row r="4156" spans="1:1" x14ac:dyDescent="0.25">
      <c r="A4156" s="83">
        <f t="shared" si="86"/>
        <v>53</v>
      </c>
    </row>
    <row r="4157" spans="1:1" x14ac:dyDescent="0.25">
      <c r="A4157" s="83">
        <f t="shared" si="86"/>
        <v>53</v>
      </c>
    </row>
    <row r="4158" spans="1:1" x14ac:dyDescent="0.25">
      <c r="A4158" s="83">
        <f t="shared" si="86"/>
        <v>53</v>
      </c>
    </row>
    <row r="4159" spans="1:1" x14ac:dyDescent="0.25">
      <c r="A4159" s="83">
        <f t="shared" si="86"/>
        <v>53</v>
      </c>
    </row>
    <row r="4160" spans="1:1" x14ac:dyDescent="0.25">
      <c r="A4160" s="83">
        <f t="shared" si="86"/>
        <v>53</v>
      </c>
    </row>
    <row r="4161" spans="1:1" x14ac:dyDescent="0.25">
      <c r="A4161" s="83">
        <f t="shared" si="86"/>
        <v>53</v>
      </c>
    </row>
    <row r="4162" spans="1:1" x14ac:dyDescent="0.25">
      <c r="A4162" s="83">
        <f t="shared" si="86"/>
        <v>53</v>
      </c>
    </row>
    <row r="4163" spans="1:1" x14ac:dyDescent="0.25">
      <c r="A4163" s="83">
        <f t="shared" si="86"/>
        <v>53</v>
      </c>
    </row>
    <row r="4164" spans="1:1" x14ac:dyDescent="0.25">
      <c r="A4164" s="83">
        <f t="shared" si="86"/>
        <v>53</v>
      </c>
    </row>
    <row r="4165" spans="1:1" x14ac:dyDescent="0.25">
      <c r="A4165" s="83">
        <f t="shared" si="86"/>
        <v>53</v>
      </c>
    </row>
    <row r="4166" spans="1:1" x14ac:dyDescent="0.25">
      <c r="A4166" s="83">
        <f t="shared" si="86"/>
        <v>53</v>
      </c>
    </row>
    <row r="4167" spans="1:1" x14ac:dyDescent="0.25">
      <c r="A4167" s="83">
        <f t="shared" si="86"/>
        <v>53</v>
      </c>
    </row>
    <row r="4168" spans="1:1" x14ac:dyDescent="0.25">
      <c r="A4168" s="83">
        <f t="shared" si="86"/>
        <v>53</v>
      </c>
    </row>
    <row r="4169" spans="1:1" x14ac:dyDescent="0.25">
      <c r="A4169" s="83">
        <f t="shared" si="86"/>
        <v>53</v>
      </c>
    </row>
    <row r="4170" spans="1:1" x14ac:dyDescent="0.25">
      <c r="A4170" s="83">
        <f t="shared" si="86"/>
        <v>53</v>
      </c>
    </row>
    <row r="4171" spans="1:1" x14ac:dyDescent="0.25">
      <c r="A4171" s="83">
        <f t="shared" si="86"/>
        <v>53</v>
      </c>
    </row>
    <row r="4172" spans="1:1" x14ac:dyDescent="0.25">
      <c r="A4172" s="83">
        <f t="shared" si="86"/>
        <v>53</v>
      </c>
    </row>
    <row r="4173" spans="1:1" x14ac:dyDescent="0.25">
      <c r="A4173" s="83">
        <f t="shared" si="86"/>
        <v>53</v>
      </c>
    </row>
    <row r="4174" spans="1:1" x14ac:dyDescent="0.25">
      <c r="A4174" s="83">
        <f t="shared" si="86"/>
        <v>53</v>
      </c>
    </row>
    <row r="4175" spans="1:1" x14ac:dyDescent="0.25">
      <c r="A4175" s="83">
        <f t="shared" si="86"/>
        <v>53</v>
      </c>
    </row>
    <row r="4176" spans="1:1" x14ac:dyDescent="0.25">
      <c r="A4176" s="83">
        <f t="shared" si="86"/>
        <v>53</v>
      </c>
    </row>
    <row r="4177" spans="1:1" x14ac:dyDescent="0.25">
      <c r="A4177" s="83">
        <f t="shared" si="86"/>
        <v>53</v>
      </c>
    </row>
    <row r="4178" spans="1:1" x14ac:dyDescent="0.25">
      <c r="A4178" s="83">
        <f t="shared" si="86"/>
        <v>53</v>
      </c>
    </row>
    <row r="4179" spans="1:1" x14ac:dyDescent="0.25">
      <c r="A4179" s="83">
        <f t="shared" si="86"/>
        <v>53</v>
      </c>
    </row>
    <row r="4180" spans="1:1" x14ac:dyDescent="0.25">
      <c r="A4180" s="83">
        <f t="shared" si="86"/>
        <v>53</v>
      </c>
    </row>
    <row r="4181" spans="1:1" x14ac:dyDescent="0.25">
      <c r="A4181" s="83">
        <f t="shared" si="86"/>
        <v>53</v>
      </c>
    </row>
    <row r="4182" spans="1:1" x14ac:dyDescent="0.25">
      <c r="A4182" s="83">
        <f t="shared" si="86"/>
        <v>53</v>
      </c>
    </row>
    <row r="4183" spans="1:1" x14ac:dyDescent="0.25">
      <c r="A4183" s="83">
        <f t="shared" si="86"/>
        <v>53</v>
      </c>
    </row>
    <row r="4184" spans="1:1" x14ac:dyDescent="0.25">
      <c r="A4184" s="83">
        <f t="shared" si="86"/>
        <v>53</v>
      </c>
    </row>
    <row r="4185" spans="1:1" x14ac:dyDescent="0.25">
      <c r="A4185" s="83">
        <f t="shared" si="86"/>
        <v>53</v>
      </c>
    </row>
    <row r="4186" spans="1:1" x14ac:dyDescent="0.25">
      <c r="A4186" s="83">
        <f t="shared" si="86"/>
        <v>53</v>
      </c>
    </row>
    <row r="4187" spans="1:1" x14ac:dyDescent="0.25">
      <c r="A4187" s="83">
        <f t="shared" si="86"/>
        <v>53</v>
      </c>
    </row>
    <row r="4188" spans="1:1" x14ac:dyDescent="0.25">
      <c r="A4188" s="83">
        <f t="shared" si="86"/>
        <v>53</v>
      </c>
    </row>
    <row r="4189" spans="1:1" x14ac:dyDescent="0.25">
      <c r="A4189" s="83">
        <f t="shared" si="86"/>
        <v>53</v>
      </c>
    </row>
    <row r="4190" spans="1:1" x14ac:dyDescent="0.25">
      <c r="A4190" s="83">
        <f t="shared" si="86"/>
        <v>53</v>
      </c>
    </row>
    <row r="4191" spans="1:1" x14ac:dyDescent="0.25">
      <c r="A4191" s="83">
        <f t="shared" si="86"/>
        <v>53</v>
      </c>
    </row>
    <row r="4192" spans="1:1" x14ac:dyDescent="0.25">
      <c r="A4192" s="83">
        <f t="shared" si="86"/>
        <v>53</v>
      </c>
    </row>
    <row r="4193" spans="1:1" x14ac:dyDescent="0.25">
      <c r="A4193" s="83">
        <f t="shared" si="86"/>
        <v>53</v>
      </c>
    </row>
    <row r="4194" spans="1:1" x14ac:dyDescent="0.25">
      <c r="A4194" s="83">
        <f t="shared" si="86"/>
        <v>53</v>
      </c>
    </row>
    <row r="4195" spans="1:1" x14ac:dyDescent="0.25">
      <c r="A4195" s="83">
        <f t="shared" si="86"/>
        <v>53</v>
      </c>
    </row>
    <row r="4196" spans="1:1" x14ac:dyDescent="0.25">
      <c r="A4196" s="83">
        <f t="shared" si="86"/>
        <v>53</v>
      </c>
    </row>
    <row r="4197" spans="1:1" x14ac:dyDescent="0.25">
      <c r="A4197" s="83">
        <f t="shared" si="86"/>
        <v>53</v>
      </c>
    </row>
    <row r="4198" spans="1:1" x14ac:dyDescent="0.25">
      <c r="A4198" s="83">
        <f t="shared" si="86"/>
        <v>53</v>
      </c>
    </row>
    <row r="4199" spans="1:1" x14ac:dyDescent="0.25">
      <c r="A4199" s="83">
        <f t="shared" si="86"/>
        <v>53</v>
      </c>
    </row>
    <row r="1044657" spans="3:3" x14ac:dyDescent="0.25">
      <c r="C1044657" s="111"/>
    </row>
  </sheetData>
  <autoFilter ref="A3:R4199" xr:uid="{47F8506D-01F3-4F18-ACCE-129278C53AFA}"/>
  <customSheetViews>
    <customSheetView guid="{4259091D-D0F3-4F37-BEA1-28A56DCE2CAB}" scale="90" showAutoFilter="1">
      <pane ySplit="3" topLeftCell="A2002" activePane="bottomLeft" state="frozen"/>
      <selection pane="bottomLeft" activeCell="F2019" sqref="F2019"/>
      <pageMargins left="0" right="0" top="0" bottom="0" header="0" footer="0"/>
      <printOptions gridLines="1"/>
      <pageSetup paperSize="9" orientation="landscape" r:id="rId1"/>
      <autoFilter ref="A2:R3193" xr:uid="{92AA640D-AEAE-41DE-978B-749EC630BB61}"/>
    </customSheetView>
    <customSheetView guid="{8A2A5520-166E-4A1F-8192-130B81C2F742}" scale="90" showAutoFilter="1">
      <pane ySplit="3" topLeftCell="A1999" activePane="bottomLeft" state="frozen"/>
      <selection pane="bottomLeft" activeCell="J2007" sqref="J2007"/>
      <pageMargins left="0" right="0" top="0" bottom="0" header="0" footer="0"/>
      <printOptions gridLines="1"/>
      <pageSetup paperSize="9" orientation="landscape" r:id="rId2"/>
      <autoFilter ref="A2:R3193" xr:uid="{405D4238-1010-46E7-9A11-3DB78AA4D17D}"/>
    </customSheetView>
    <customSheetView guid="{5553B17F-5E38-459F-9E7B-3B8FB8EDA0E9}" scale="85" showAutoFilter="1">
      <pane ySplit="3" topLeftCell="A1984" activePane="bottomLeft" state="frozen"/>
      <selection pane="bottomLeft" activeCell="M2004" sqref="M2004"/>
      <pageMargins left="0" right="0" top="0" bottom="0" header="0" footer="0"/>
      <printOptions gridLines="1"/>
      <pageSetup paperSize="9" orientation="landscape" r:id="rId3"/>
      <autoFilter ref="A2:R3193" xr:uid="{EC5BC775-D0C1-4E02-9635-8855F1DC8FAF}"/>
    </customSheetView>
    <customSheetView guid="{8678D424-961C-4F18-8B8A-3E6706CDCB42}" scale="80" showAutoFilter="1">
      <pane ySplit="3" topLeftCell="A1975" activePane="bottomLeft" state="frozen"/>
      <selection pane="bottomLeft" activeCell="H1998" sqref="H1998"/>
      <pageMargins left="0" right="0" top="0" bottom="0" header="0" footer="0"/>
      <printOptions gridLines="1"/>
      <pageSetup paperSize="9" orientation="landscape" r:id="rId4"/>
      <autoFilter ref="A2:R3192" xr:uid="{DDB8243D-5DD3-4DEB-9ED1-66E884CF25F2}"/>
    </customSheetView>
    <customSheetView guid="{3AB35397-189E-4694-8731-466CEBD9E15E}" scale="90" showAutoFilter="1">
      <pane ySplit="3" topLeftCell="A1939" activePane="bottomLeft" state="frozen"/>
      <selection pane="bottomLeft" activeCell="E1917" sqref="E1917"/>
      <pageMargins left="0" right="0" top="0" bottom="0" header="0" footer="0"/>
      <printOptions gridLines="1"/>
      <pageSetup paperSize="9" orientation="landscape" r:id="rId5"/>
      <autoFilter ref="A2:R3189" xr:uid="{CFC19FA4-8C87-47FC-A391-04060AEE6656}"/>
    </customSheetView>
    <customSheetView guid="{46754859-9E9B-4D72-AEF3-49F03F505BFF}" scale="90" showAutoFilter="1" topLeftCell="H1">
      <pane ySplit="3" topLeftCell="A1864" activePane="bottomLeft" state="frozen"/>
      <selection pane="bottomLeft" activeCell="I1867" sqref="I1867"/>
      <pageMargins left="0" right="0" top="0" bottom="0" header="0" footer="0"/>
      <printOptions gridLines="1"/>
      <pageSetup paperSize="9" orientation="landscape" r:id="rId6"/>
      <autoFilter ref="A2:R3185" xr:uid="{B5D9B95A-4C31-4250-8FB5-40A412C28E53}"/>
    </customSheetView>
    <customSheetView guid="{7BFB684F-1C8B-41A8-B2FF-C44E52241A9E}" scale="85" showAutoFilter="1">
      <pane ySplit="3" topLeftCell="A1831" activePane="bottomLeft" state="frozen"/>
      <selection pane="bottomLeft" activeCell="G1707" sqref="G1707"/>
      <pageMargins left="0" right="0" top="0" bottom="0" header="0" footer="0"/>
      <printOptions gridLines="1"/>
      <pageSetup paperSize="9" orientation="landscape" r:id="rId7"/>
      <autoFilter ref="A2:R3187" xr:uid="{D96F6531-77FF-419C-A48E-AC17A7ADE76A}"/>
    </customSheetView>
    <customSheetView guid="{F5769495-685A-4661-B576-D2525E43610D}" scale="90" showAutoFilter="1" topLeftCell="F1">
      <pane ySplit="3" topLeftCell="A1475" activePane="bottomLeft" state="frozen"/>
      <selection pane="bottomLeft" activeCell="S1498" sqref="S1498"/>
      <pageMargins left="0" right="0" top="0" bottom="0" header="0" footer="0"/>
      <printOptions gridLines="1"/>
      <pageSetup paperSize="9" orientation="landscape" r:id="rId8"/>
      <autoFilter ref="A2:R3190" xr:uid="{950E03E6-E6F9-412D-AEDB-6BAB0B908BD7}"/>
    </customSheetView>
    <customSheetView guid="{A894FC21-9B62-4923-9AEA-28336F4A24F0}" scale="85" showAutoFilter="1" topLeftCell="B1">
      <pane ySplit="3" topLeftCell="A961" activePane="bottomLeft" state="frozen"/>
      <selection pane="bottomLeft" activeCell="M981" sqref="M981"/>
      <pageMargins left="0" right="0" top="0" bottom="0" header="0" footer="0"/>
      <printOptions gridLines="1"/>
      <pageSetup paperSize="9" orientation="landscape" r:id="rId9"/>
      <autoFilter ref="A2:R3190" xr:uid="{DD1FFADA-B77B-4FCC-B01D-49571C9EFC3B}"/>
    </customSheetView>
    <customSheetView guid="{CC0660E8-37C1-40F5-AEDF-5B63360C20C7}" scale="85" showAutoFilter="1">
      <pane ySplit="3" topLeftCell="A1276" activePane="bottomLeft" state="frozen"/>
      <selection pane="bottomLeft" activeCell="H1240" sqref="H1240"/>
      <pageMargins left="0" right="0" top="0" bottom="0" header="0" footer="0"/>
      <printOptions gridLines="1"/>
      <pageSetup paperSize="9" orientation="landscape" r:id="rId10"/>
      <autoFilter ref="A2:R3190" xr:uid="{FED441AE-A14A-4976-9F48-3EC4D61B4B97}"/>
    </customSheetView>
    <customSheetView guid="{3117843E-4833-4777-B7C9-9650C2E61F22}" scale="85" showAutoFilter="1">
      <pane ySplit="3" topLeftCell="A1034" activePane="bottomLeft" state="frozen"/>
      <selection pane="bottomLeft" activeCell="I1107" sqref="I1107"/>
      <pageMargins left="0" right="0" top="0" bottom="0" header="0" footer="0"/>
      <printOptions gridLines="1"/>
      <pageSetup paperSize="9" orientation="landscape" r:id="rId11"/>
      <autoFilter ref="A2:R3192" xr:uid="{D1B69286-BB75-4AC0-8986-6D537CB9CDE1}"/>
    </customSheetView>
    <customSheetView guid="{AB2C7187-5A96-446F-B354-D7063F47A089}" scale="85" showAutoFilter="1">
      <pane ySplit="3" topLeftCell="A333" activePane="bottomLeft" state="frozen"/>
      <selection pane="bottomLeft" activeCell="J359" sqref="J359"/>
      <pageMargins left="0" right="0" top="0" bottom="0" header="0" footer="0"/>
      <printOptions gridLines="1"/>
      <pageSetup paperSize="9" orientation="landscape" r:id="rId12"/>
      <autoFilter ref="A2:R3193" xr:uid="{C20A88F4-14D1-4F7E-8325-017AF2BFEA2A}"/>
    </customSheetView>
    <customSheetView guid="{E8C93915-5024-4742-8DB6-B346123BB3C8}" scale="85" showAutoFilter="1">
      <pane ySplit="3" topLeftCell="A393" activePane="bottomLeft" state="frozen"/>
      <selection pane="bottomLeft" activeCell="J414" sqref="J414"/>
      <pageMargins left="0" right="0" top="0" bottom="0" header="0" footer="0"/>
      <printOptions gridLines="1"/>
      <pageSetup paperSize="9" orientation="landscape" r:id="rId13"/>
      <autoFilter ref="A2:R3193" xr:uid="{17E8C697-6B1F-466D-85AC-AC4C4025D809}"/>
    </customSheetView>
    <customSheetView guid="{859A76EE-6449-413C-B30A-0094CDDE977F}" scale="85" showAutoFilter="1">
      <pane ySplit="3" topLeftCell="A373" activePane="bottomLeft" state="frozen"/>
      <selection pane="bottomLeft" activeCell="G377" sqref="G377"/>
      <pageMargins left="0" right="0" top="0" bottom="0" header="0" footer="0"/>
      <printOptions gridLines="1"/>
      <pageSetup paperSize="9" orientation="landscape" r:id="rId14"/>
      <autoFilter ref="A2:R3193" xr:uid="{BC6994DD-3705-4BA7-A0CD-418F976A46B8}"/>
    </customSheetView>
    <customSheetView guid="{39714219-A5D3-4014-9125-5359C513171F}" scale="80" showAutoFilter="1">
      <pane ySplit="3" topLeftCell="A307" activePane="bottomLeft" state="frozen"/>
      <selection pane="bottomLeft" activeCell="G316" sqref="G316"/>
      <pageMargins left="0" right="0" top="0" bottom="0" header="0" footer="0"/>
      <printOptions gridLines="1"/>
      <pageSetup paperSize="9" orientation="landscape" r:id="rId15"/>
      <autoFilter ref="A2:R3193" xr:uid="{89979E93-261E-47BC-BD51-07CD5C4618B8}"/>
    </customSheetView>
    <customSheetView guid="{99C1F600-3221-4159-9738-C8FA339A6F16}" scale="80" showAutoFilter="1">
      <pane ySplit="3" topLeftCell="A4" activePane="bottomLeft" state="frozen"/>
      <selection pane="bottomLeft" activeCell="I35" sqref="I35"/>
      <pageMargins left="0" right="0" top="0" bottom="0" header="0" footer="0"/>
      <printOptions gridLines="1"/>
      <pageSetup paperSize="9" orientation="landscape" r:id="rId16"/>
      <autoFilter ref="A2:R3193" xr:uid="{B042422B-8E88-4AEC-90DE-A994EC2689CB}"/>
    </customSheetView>
    <customSheetView guid="{1EEB3DE9-1D73-4812-83A7-DCA1466BE783}" scale="85" showAutoFilter="1">
      <pane ySplit="3" topLeftCell="A135" activePane="bottomLeft" state="frozen"/>
      <selection pane="bottomLeft" activeCell="O152" sqref="O152"/>
      <pageMargins left="0" right="0" top="0" bottom="0" header="0" footer="0"/>
      <printOptions gridLines="1"/>
      <pageSetup paperSize="9" orientation="landscape" r:id="rId17"/>
      <autoFilter ref="A2:R3193" xr:uid="{DA1A969F-FEF9-4556-A161-60910A635B8C}"/>
    </customSheetView>
    <customSheetView guid="{561021F1-64B8-4FE2-B640-82B8FA990848}" scale="85" showAutoFilter="1">
      <pane ySplit="3" topLeftCell="A4" activePane="bottomLeft" state="frozen"/>
      <selection pane="bottomLeft" activeCell="I3" sqref="I3"/>
      <pageMargins left="0" right="0" top="0" bottom="0" header="0" footer="0"/>
      <printOptions gridLines="1"/>
      <pageSetup paperSize="9" orientation="landscape" r:id="rId18"/>
      <autoFilter ref="A2:R3193" xr:uid="{2E783355-05E7-494F-AB0E-556F48A5BE2E}"/>
    </customSheetView>
    <customSheetView guid="{A569235B-BC9F-42BA-B62B-8158EA8F3130}" scale="80" showAutoFilter="1" hiddenColumns="1">
      <pane ySplit="3" topLeftCell="A1587" activePane="bottomLeft" state="frozen"/>
      <selection pane="bottomLeft" activeCell="U1611" sqref="U1611"/>
      <pageMargins left="0" right="0" top="0" bottom="0" header="0" footer="0"/>
      <printOptions gridLines="1"/>
      <pageSetup paperSize="9" orientation="landscape" r:id="rId19"/>
      <autoFilter ref="A2:AB4215" xr:uid="{B8206ACD-A9B6-4931-A7A9-3B86FD87E645}"/>
    </customSheetView>
    <customSheetView guid="{B0DC83C8-18ED-4304-A12D-8222A145327D}" scale="80" showAutoFilter="1" hiddenColumns="1">
      <pane ySplit="3" topLeftCell="A4" activePane="bottomLeft" state="frozen"/>
      <selection pane="bottomLeft" activeCell="A325" sqref="A325:XFD325"/>
      <pageMargins left="0" right="0" top="0" bottom="0" header="0" footer="0"/>
      <printOptions gridLines="1"/>
      <pageSetup paperSize="9" orientation="landscape" r:id="rId20"/>
      <autoFilter ref="A2:AB4214" xr:uid="{C536367A-46E0-4471-91B2-3C0E2CE07DCE}"/>
    </customSheetView>
    <customSheetView guid="{CACFF423-21D1-49C7-8D16-F47AC796CCA1}" scale="80" showAutoFilter="1" hiddenColumns="1">
      <pane ySplit="3" topLeftCell="A456" activePane="bottomLeft" state="frozen"/>
      <selection pane="bottomLeft" activeCell="T473" sqref="T473"/>
      <pageMargins left="0" right="0" top="0" bottom="0" header="0" footer="0"/>
      <printOptions gridLines="1"/>
      <pageSetup paperSize="9" orientation="landscape" r:id="rId21"/>
      <autoFilter ref="A2:AB4214" xr:uid="{BD6EFCE0-78CD-4794-AB73-3BBAD559C5D9}"/>
    </customSheetView>
    <customSheetView guid="{C176B95D-5070-4E7D-A381-43EB087113B9}" scale="80" showAutoFilter="1" hiddenColumns="1">
      <pane ySplit="3" topLeftCell="A456" activePane="bottomLeft" state="frozen"/>
      <selection pane="bottomLeft" activeCell="D482" sqref="D482"/>
      <pageMargins left="0" right="0" top="0" bottom="0" header="0" footer="0"/>
      <printOptions gridLines="1"/>
      <pageSetup paperSize="9" orientation="landscape" r:id="rId22"/>
      <autoFilter ref="A2:AB4213" xr:uid="{F439A2BE-1747-4193-B559-013D20090C8C}"/>
    </customSheetView>
    <customSheetView guid="{09D34335-39BD-433C-AD93-C6863F2FBFD9}" scale="80" showAutoFilter="1" hiddenColumns="1">
      <pane ySplit="3" topLeftCell="A318" activePane="bottomLeft" state="frozen"/>
      <selection pane="bottomLeft" activeCell="B347" sqref="B347"/>
      <pageMargins left="0" right="0" top="0" bottom="0" header="0" footer="0"/>
      <printOptions gridLines="1"/>
      <pageSetup paperSize="9" orientation="landscape" r:id="rId23"/>
      <autoFilter ref="A2:AB4213" xr:uid="{358AC29C-8ADF-4601-954B-00B6E14848FF}"/>
    </customSheetView>
    <customSheetView guid="{EBF74CA6-BC4A-492C-8B8E-DB025ABEE7DC}" scale="80" showAutoFilter="1" hiddenColumns="1">
      <selection activeCell="A325" sqref="A325:XFD325"/>
      <pageMargins left="0" right="0" top="0" bottom="0" header="0" footer="0"/>
      <printOptions gridLines="1"/>
      <pageSetup paperSize="9" orientation="landscape" r:id="rId24"/>
      <autoFilter ref="A2:AB4212" xr:uid="{802CBFDB-2776-4383-82B2-3AD236D7D4BA}"/>
    </customSheetView>
    <customSheetView guid="{440CD2AA-AA39-4131-97EA-B5C6818F6B4F}" scale="80" showAutoFilter="1" hiddenColumns="1">
      <pane ySplit="3" topLeftCell="A1500" activePane="bottomLeft" state="frozen"/>
      <selection pane="bottomLeft" activeCell="J1528" sqref="J1528"/>
      <pageMargins left="0" right="0" top="0" bottom="0" header="0" footer="0"/>
      <printOptions gridLines="1"/>
      <pageSetup paperSize="9" orientation="landscape" r:id="rId25"/>
      <autoFilter ref="A2:AB4210" xr:uid="{547750C6-EAEE-43BF-A312-5355F621D1F5}"/>
    </customSheetView>
    <customSheetView guid="{4C0D3DF9-1755-441A-A09D-DCAF9D3ECEB3}" scale="80" showAutoFilter="1" hiddenColumns="1">
      <pane ySplit="3" topLeftCell="A1494" activePane="bottomLeft" state="frozen"/>
      <selection pane="bottomLeft" activeCell="W1513" sqref="W1513:W1517"/>
      <pageMargins left="0" right="0" top="0" bottom="0" header="0" footer="0"/>
      <printOptions gridLines="1"/>
      <pageSetup paperSize="9" orientation="landscape" r:id="rId26"/>
      <autoFilter ref="A2:AB4210" xr:uid="{FF82538E-DAFF-4B1C-BCFD-E25884BDDB8C}"/>
    </customSheetView>
    <customSheetView guid="{04F0F035-2413-4E25-863C-B99C06B944CE}" scale="80" showAutoFilter="1" hiddenColumns="1">
      <pane ySplit="3" topLeftCell="A1374" activePane="bottomLeft" state="frozen"/>
      <selection pane="bottomLeft" activeCell="B1400" sqref="B1400"/>
      <pageMargins left="0" right="0" top="0" bottom="0" header="0" footer="0"/>
      <printOptions gridLines="1"/>
      <pageSetup paperSize="9" orientation="landscape" r:id="rId27"/>
      <autoFilter ref="A2:AB4201" xr:uid="{1EC0EE5C-748C-429A-BE49-B4D408073245}"/>
    </customSheetView>
    <customSheetView guid="{604F3432-CA08-4655-B951-781160798B8F}" scale="80" showAutoFilter="1" hiddenColumns="1" topLeftCell="Q1">
      <pane ySplit="3" topLeftCell="A249" activePane="bottomLeft" state="frozen"/>
      <selection pane="bottomLeft" activeCell="AE384" sqref="AE179:AE384"/>
      <pageMargins left="0" right="0" top="0" bottom="0" header="0" footer="0"/>
      <printOptions gridLines="1"/>
      <pageSetup paperSize="9" orientation="landscape" r:id="rId28"/>
      <autoFilter ref="A2:AB4172" xr:uid="{A32873FD-C5B7-47BA-B702-AA4101F77D3E}"/>
    </customSheetView>
    <customSheetView guid="{159AA83F-8DF2-4277-A669-902C9AC20AC1}" scale="80" showAutoFilter="1" hiddenColumns="1">
      <pane ySplit="3" topLeftCell="A112" activePane="bottomLeft" state="frozen"/>
      <selection pane="bottomLeft" activeCell="AB2" sqref="AB2"/>
      <pageMargins left="0" right="0" top="0" bottom="0" header="0" footer="0"/>
      <printOptions gridLines="1"/>
      <pageSetup paperSize="9" orientation="landscape" r:id="rId29"/>
      <autoFilter ref="A2:AC4368" xr:uid="{609BDF61-3FD0-4ADE-BB09-A6C8FF5AAA0C}"/>
    </customSheetView>
    <customSheetView guid="{4DC50F96-4A68-4660-B46C-8F9ED72D7141}" scale="80" showAutoFilter="1" hiddenColumns="1">
      <pane ySplit="3" topLeftCell="A592" activePane="bottomLeft" state="frozen"/>
      <selection pane="bottomLeft" activeCell="S626" sqref="S626"/>
      <pageMargins left="0" right="0" top="0" bottom="0" header="0" footer="0"/>
      <printOptions gridLines="1"/>
      <pageSetup paperSize="9" orientation="landscape" r:id="rId30"/>
      <autoFilter ref="A2:AB4172" xr:uid="{DCB01D3B-EB60-4D77-ACB0-495C83431A43}"/>
    </customSheetView>
    <customSheetView guid="{6136412F-82DF-441B-B7C9-FF92D8397EBB}" scale="80" showAutoFilter="1" hiddenColumns="1">
      <pane ySplit="3" topLeftCell="A456" activePane="bottomLeft" state="frozen"/>
      <selection pane="bottomLeft" activeCell="T473" sqref="T473"/>
      <pageMargins left="0" right="0" top="0" bottom="0" header="0" footer="0"/>
      <printOptions gridLines="1"/>
      <pageSetup paperSize="9" orientation="landscape" r:id="rId31"/>
      <autoFilter ref="A2:AB4181" xr:uid="{424C881F-1536-4CDD-9434-FFED11236AC6}"/>
    </customSheetView>
    <customSheetView guid="{5127DA54-534D-4F06-BCD8-5C1B021AD3E2}" scale="80" showAutoFilter="1" hiddenColumns="1">
      <pane ySplit="3" topLeftCell="A320" activePane="bottomLeft" state="frozen"/>
      <selection pane="bottomLeft" activeCell="O336" sqref="O336"/>
      <pageMargins left="0" right="0" top="0" bottom="0" header="0" footer="0"/>
      <printOptions gridLines="1"/>
      <pageSetup paperSize="9" orientation="landscape" r:id="rId32"/>
      <autoFilter ref="A2:AB4214" xr:uid="{569BDE6A-6DC5-4091-85B9-7825F0EF1798}"/>
    </customSheetView>
    <customSheetView guid="{043624C2-16A5-4D36-A14E-D5C68997D8BB}" scale="80" showAutoFilter="1" hiddenColumns="1" topLeftCell="F1">
      <pane ySplit="3" topLeftCell="A1581" activePane="bottomLeft" state="frozen"/>
      <selection pane="bottomLeft" activeCell="F1603" sqref="F1603"/>
      <pageMargins left="0" right="0" top="0" bottom="0" header="0" footer="0"/>
      <printOptions gridLines="1"/>
      <pageSetup paperSize="9" orientation="landscape" r:id="rId33"/>
      <autoFilter ref="A2:AB4214" xr:uid="{9441FCA6-D046-4F86-8429-2FCA0B7BE4A7}"/>
    </customSheetView>
    <customSheetView guid="{3DB152C2-6535-4A2B-B910-DBEE64881738}" scale="80" showAutoFilter="1" hiddenColumns="1">
      <pane ySplit="3" topLeftCell="A558" activePane="bottomLeft" state="frozen"/>
      <selection pane="bottomLeft" activeCell="R311" sqref="R311"/>
      <pageMargins left="0" right="0" top="0" bottom="0" header="0" footer="0"/>
      <printOptions gridLines="1"/>
      <pageSetup paperSize="9" orientation="landscape" r:id="rId34"/>
      <autoFilter ref="A2:AB4214" xr:uid="{46ABC12E-0EB7-4993-AB81-8619A1CDAF70}"/>
    </customSheetView>
    <customSheetView guid="{262312F2-7F2B-4330-A41E-23BD1F99D6E0}" scale="80" showAutoFilter="1" hiddenColumns="1">
      <pane ySplit="3" topLeftCell="A320" activePane="bottomLeft" state="frozen"/>
      <selection pane="bottomLeft" activeCell="A1306" sqref="A1306:XFD1306"/>
      <pageMargins left="0" right="0" top="0" bottom="0" header="0" footer="0"/>
      <printOptions gridLines="1"/>
      <pageSetup paperSize="9" orientation="landscape" r:id="rId35"/>
      <autoFilter ref="A2:AB4215" xr:uid="{5F798985-BBE9-41F2-9825-43E540A0BD7A}"/>
    </customSheetView>
    <customSheetView guid="{83F528CF-0EB0-448F-A134-FC0A4AE93D61}" scale="85" showAutoFilter="1">
      <pane ySplit="3" topLeftCell="A183" activePane="bottomLeft" state="frozen"/>
      <selection pane="bottomLeft" activeCell="L58" sqref="L58"/>
      <pageMargins left="0" right="0" top="0" bottom="0" header="0" footer="0"/>
      <printOptions gridLines="1"/>
      <pageSetup paperSize="9" orientation="landscape" r:id="rId36"/>
      <autoFilter ref="A2:R3193" xr:uid="{71320577-8462-4180-A3E6-198425EC7BE9}"/>
    </customSheetView>
    <customSheetView guid="{4DEBCDA2-AD48-4242-A2C2-0D34C03BCEDF}" scale="80" showAutoFilter="1">
      <pane ySplit="3" topLeftCell="A4" activePane="bottomLeft" state="frozen"/>
      <selection pane="bottomLeft" activeCell="B4" sqref="B4"/>
      <pageMargins left="0" right="0" top="0" bottom="0" header="0" footer="0"/>
      <printOptions gridLines="1"/>
      <pageSetup paperSize="9" orientation="landscape" r:id="rId37"/>
      <autoFilter ref="A2:R3193" xr:uid="{61E48F31-5930-4ADC-B515-721FDD121C30}"/>
    </customSheetView>
    <customSheetView guid="{11E0DF8F-1F3E-458C-AFF0-F06D7C733F39}" scale="80" showAutoFilter="1">
      <pane ySplit="3" topLeftCell="A40" activePane="bottomLeft" state="frozen"/>
      <selection pane="bottomLeft" activeCell="I60" sqref="I60"/>
      <pageMargins left="0" right="0" top="0" bottom="0" header="0" footer="0"/>
      <printOptions gridLines="1"/>
      <pageSetup paperSize="9" orientation="landscape" r:id="rId38"/>
      <autoFilter ref="A2:R3193" xr:uid="{9D2C9816-E342-4C20-B943-BDCBD5FC6220}"/>
    </customSheetView>
    <customSheetView guid="{1EDAE053-F030-42D5-B05D-E8B32E176EAC}" scale="85" showAutoFilter="1">
      <pane ySplit="3" topLeftCell="A315" activePane="bottomLeft" state="frozen"/>
      <selection pane="bottomLeft" activeCell="H322" sqref="H322"/>
      <pageMargins left="0" right="0" top="0" bottom="0" header="0" footer="0"/>
      <printOptions gridLines="1"/>
      <pageSetup paperSize="9" orientation="landscape" r:id="rId39"/>
      <autoFilter ref="A2:R3193" xr:uid="{AB439A26-702E-484B-AC6D-0FB174251948}"/>
    </customSheetView>
    <customSheetView guid="{797A356B-9844-480F-9B78-76C80E692EAB}" scale="85" showAutoFilter="1">
      <pane ySplit="3" topLeftCell="A1593" activePane="bottomLeft" state="frozen"/>
      <selection pane="bottomLeft" activeCell="H1616" sqref="H1616"/>
      <pageMargins left="0" right="0" top="0" bottom="0" header="0" footer="0"/>
      <printOptions gridLines="1"/>
      <pageSetup paperSize="9" orientation="landscape" r:id="rId40"/>
      <autoFilter ref="A2:R3190" xr:uid="{9344B44F-2E0D-4B66-807C-8C914A42B0F9}"/>
    </customSheetView>
    <customSheetView guid="{1FFB1A3D-D8A0-4A54-B731-DF26CF2F2B94}" scale="85" showAutoFilter="1">
      <pane ySplit="3" topLeftCell="A1920" activePane="bottomLeft" state="frozen"/>
      <selection pane="bottomLeft" activeCell="H1935" sqref="H1935"/>
      <pageMargins left="0" right="0" top="0" bottom="0" header="0" footer="0"/>
      <printOptions gridLines="1"/>
      <pageSetup paperSize="9" orientation="landscape" r:id="rId41"/>
      <autoFilter ref="A2:R3187" xr:uid="{98323F82-EAF2-402E-93BB-741F79ECDE42}"/>
    </customSheetView>
    <customSheetView guid="{F7C4BDC5-938D-4C0C-B0B7-0A2BAC54DD9F}" scale="80" showAutoFilter="1">
      <pane ySplit="510" topLeftCell="A1593" activePane="bottomLeft" state="frozen"/>
      <selection pane="bottomLeft" activeCell="H993" sqref="H993"/>
      <pageMargins left="0" right="0" top="0" bottom="0" header="0" footer="0"/>
      <printOptions gridLines="1"/>
      <pageSetup paperSize="9" orientation="landscape" r:id="rId42"/>
      <autoFilter ref="A2:R3190" xr:uid="{3B255C76-A6A2-4523-8AB7-E04299442B67}"/>
    </customSheetView>
    <customSheetView guid="{A9394557-FCE9-432F-BF03-170DE4B28F03}" scale="85" showAutoFilter="1">
      <pane ySplit="3" topLeftCell="A1935" activePane="bottomLeft" state="frozen"/>
      <selection pane="bottomLeft" activeCell="E2502" sqref="E2502"/>
      <pageMargins left="0" right="0" top="0" bottom="0" header="0" footer="0"/>
      <printOptions gridLines="1"/>
      <pageSetup paperSize="9" orientation="landscape" r:id="rId43"/>
      <autoFilter ref="A2:R3191" xr:uid="{31961D76-EBF8-46FB-8F02-BC3533A4141C}"/>
    </customSheetView>
    <customSheetView guid="{4F7CB51A-553F-442C-9E5D-87682F826BE3}" scale="90" showAutoFilter="1">
      <pane ySplit="3" topLeftCell="A1993" activePane="bottomLeft" state="frozen"/>
      <selection pane="bottomLeft" activeCell="C2024" sqref="C2024"/>
      <pageMargins left="0" right="0" top="0" bottom="0" header="0" footer="0"/>
      <printOptions gridLines="1"/>
      <pageSetup paperSize="9" orientation="landscape" r:id="rId44"/>
      <autoFilter ref="A2:R3193" xr:uid="{A87807D5-73FF-47BF-B86A-220CAFACFAF6}"/>
    </customSheetView>
  </customSheetViews>
  <mergeCells count="3">
    <mergeCell ref="B1:B2"/>
    <mergeCell ref="I1:I2"/>
    <mergeCell ref="C1:C2"/>
  </mergeCells>
  <phoneticPr fontId="20" type="noConversion"/>
  <conditionalFormatting sqref="A4:R168 G170:R171 D170:E171 C169:R169 C170:C216 D172:R216 A169:B216 B216:C227 A217:R218 A219:Q220 R218:R219 C1044657:C1048576 A221:R2765">
    <cfRule type="expression" dxfId="529" priority="1917">
      <formula>$H4="Entladen"</formula>
    </cfRule>
    <cfRule type="expression" dxfId="528" priority="1918">
      <formula>$H4="Gestrichen"</formula>
    </cfRule>
    <cfRule type="expression" dxfId="527" priority="1919">
      <formula>$H4="Gebucht"</formula>
    </cfRule>
    <cfRule type="expression" dxfId="526" priority="1920">
      <formula>$H4="In Arbeit"</formula>
    </cfRule>
    <cfRule type="expression" dxfId="525" priority="1921">
      <formula>$H4="Eingelagert"</formula>
    </cfRule>
  </conditionalFormatting>
  <conditionalFormatting sqref="I144:R144 A144:G144 R220">
    <cfRule type="expression" dxfId="524" priority="14270">
      <formula>$H143="Entladen"</formula>
    </cfRule>
    <cfRule type="expression" dxfId="523" priority="14271">
      <formula>$H143="Gestrichen"</formula>
    </cfRule>
    <cfRule type="expression" dxfId="522" priority="14272">
      <formula>$H143="Gebucht"</formula>
    </cfRule>
    <cfRule type="expression" dxfId="521" priority="14273">
      <formula>$H143="In Arbeit"</formula>
    </cfRule>
    <cfRule type="expression" dxfId="520" priority="14274">
      <formula>$H143="Eingelagert"</formula>
    </cfRule>
  </conditionalFormatting>
  <conditionalFormatting sqref="H144">
    <cfRule type="expression" dxfId="519" priority="16">
      <formula>$H144="Entladen"</formula>
    </cfRule>
    <cfRule type="expression" dxfId="518" priority="17">
      <formula>$H144="Gestrichen"</formula>
    </cfRule>
    <cfRule type="expression" dxfId="517" priority="18">
      <formula>$H144="Gebucht"</formula>
    </cfRule>
    <cfRule type="expression" dxfId="516" priority="19">
      <formula>$H144="In Arbeit"</formula>
    </cfRule>
    <cfRule type="expression" dxfId="515" priority="20">
      <formula>$H144="Eingelagert"</formula>
    </cfRule>
  </conditionalFormatting>
  <conditionalFormatting sqref="F171">
    <cfRule type="expression" dxfId="514" priority="11">
      <formula>$H171="Entladen"</formula>
    </cfRule>
    <cfRule type="expression" dxfId="513" priority="12">
      <formula>$H171="Gestrichen"</formula>
    </cfRule>
    <cfRule type="expression" dxfId="512" priority="13">
      <formula>$H171="Gebucht"</formula>
    </cfRule>
    <cfRule type="expression" dxfId="511" priority="14">
      <formula>$H171="In Arbeit"</formula>
    </cfRule>
    <cfRule type="expression" dxfId="510" priority="15">
      <formula>$H171="Eingelagert"</formula>
    </cfRule>
  </conditionalFormatting>
  <conditionalFormatting sqref="R219">
    <cfRule type="expression" dxfId="509" priority="1">
      <formula>$H219="Entladen"</formula>
    </cfRule>
    <cfRule type="expression" dxfId="508" priority="2">
      <formula>$H219="Gestrichen"</formula>
    </cfRule>
    <cfRule type="expression" dxfId="507" priority="3">
      <formula>$H219="Gebucht"</formula>
    </cfRule>
    <cfRule type="expression" dxfId="506" priority="4">
      <formula>$H219="In Arbeit"</formula>
    </cfRule>
    <cfRule type="expression" dxfId="505" priority="5">
      <formula>$H219="Eingelagert"</formula>
    </cfRule>
  </conditionalFormatting>
  <printOptions gridLines="1"/>
  <pageMargins left="0.7" right="0.7" top="0.78740157499999996" bottom="0.78740157499999996" header="0.3" footer="0.3"/>
  <pageSetup paperSize="9" orientation="landscape" r:id="rId45"/>
  <legacyDrawing r:id="rId46"/>
  <extLst>
    <ext xmlns:x14="http://schemas.microsoft.com/office/spreadsheetml/2009/9/main" uri="{CCE6A557-97BC-4b89-ADB6-D9C93CAAB3DF}">
      <x14:dataValidations xmlns:xm="http://schemas.microsoft.com/office/excel/2006/main" count="5">
        <x14:dataValidation type="list" allowBlank="1" showInputMessage="1" showErrorMessage="1" xr:uid="{27AE14F3-B10E-48E1-B80C-E537C374F033}">
          <x14:formula1>
            <xm:f>DropDown!$C$4:$C$10</xm:f>
          </x14:formula1>
          <xm:sqref>H4:H13</xm:sqref>
        </x14:dataValidation>
        <x14:dataValidation type="list" allowBlank="1" showInputMessage="1" showErrorMessage="1" xr:uid="{F6877F2D-4168-499C-B1DD-A86B3D8A7AB8}">
          <x14:formula1>
            <xm:f>DropDown!$C$5:$C$7</xm:f>
          </x14:formula1>
          <xm:sqref>H2399:H1048576</xm:sqref>
        </x14:dataValidation>
        <x14:dataValidation type="list" allowBlank="1" showInputMessage="1" showErrorMessage="1" promptTitle="ok" xr:uid="{8DA05CCE-2034-473A-BA44-2396A7B8D8DF}">
          <x14:formula1>
            <xm:f>DropDown!$E$5:$E$6</xm:f>
          </x14:formula1>
          <xm:sqref>J1:J113 J1524:J1048576</xm:sqref>
        </x14:dataValidation>
        <x14:dataValidation type="list" allowBlank="1" showInputMessage="1" showErrorMessage="1" promptTitle="ok" xr:uid="{01AF016A-A776-4FD5-B5ED-840576EDACB0}">
          <x14:formula1>
            <xm:f>DropDown!$E$5:$E$7</xm:f>
          </x14:formula1>
          <xm:sqref>J114:J1523</xm:sqref>
        </x14:dataValidation>
        <x14:dataValidation type="list" allowBlank="1" showInputMessage="1" showErrorMessage="1" xr:uid="{71F701AF-EDCE-4867-A952-2F7A7607F196}">
          <x14:formula1>
            <xm:f>DropDown!$C$5:$C$10</xm:f>
          </x14:formula1>
          <xm:sqref>H14:H2398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244DE-8E09-432D-A72F-B37633EEE135}">
  <sheetPr codeName="Tabelle4"/>
  <dimension ref="A3:F18"/>
  <sheetViews>
    <sheetView workbookViewId="0">
      <selection activeCell="A14" sqref="A14"/>
    </sheetView>
  </sheetViews>
  <sheetFormatPr baseColWidth="10" defaultColWidth="11.42578125" defaultRowHeight="15" x14ac:dyDescent="0.25"/>
  <cols>
    <col min="1" max="1" width="15" bestFit="1" customWidth="1"/>
    <col min="2" max="2" width="18.85546875" bestFit="1" customWidth="1"/>
    <col min="5" max="5" width="12.42578125" customWidth="1"/>
  </cols>
  <sheetData>
    <row r="3" spans="1:6" ht="15.75" thickBot="1" x14ac:dyDescent="0.3">
      <c r="A3" t="s">
        <v>107</v>
      </c>
    </row>
    <row r="4" spans="1:6" x14ac:dyDescent="0.25">
      <c r="A4" s="396" t="s">
        <v>4</v>
      </c>
      <c r="B4" s="397"/>
      <c r="C4" s="396" t="s">
        <v>3</v>
      </c>
      <c r="D4" s="398"/>
      <c r="E4" s="275" t="s">
        <v>108</v>
      </c>
      <c r="F4" s="284" t="s">
        <v>501</v>
      </c>
    </row>
    <row r="5" spans="1:6" x14ac:dyDescent="0.25">
      <c r="A5" s="115" t="s">
        <v>109</v>
      </c>
      <c r="B5" s="116" t="s">
        <v>110</v>
      </c>
      <c r="C5" s="115" t="s">
        <v>105</v>
      </c>
      <c r="D5" s="125" t="s">
        <v>110</v>
      </c>
      <c r="E5" s="276">
        <v>80</v>
      </c>
      <c r="F5" s="280">
        <v>80</v>
      </c>
    </row>
    <row r="6" spans="1:6" x14ac:dyDescent="0.25">
      <c r="A6" s="117" t="s">
        <v>55</v>
      </c>
      <c r="B6" s="118" t="s">
        <v>111</v>
      </c>
      <c r="C6" s="123" t="s">
        <v>112</v>
      </c>
      <c r="D6" s="124" t="s">
        <v>113</v>
      </c>
      <c r="E6" s="277" t="s">
        <v>106</v>
      </c>
      <c r="F6" s="281" t="s">
        <v>106</v>
      </c>
    </row>
    <row r="7" spans="1:6" x14ac:dyDescent="0.25">
      <c r="A7" s="119" t="s">
        <v>549</v>
      </c>
      <c r="B7" s="120" t="s">
        <v>114</v>
      </c>
      <c r="C7" s="121" t="s">
        <v>104</v>
      </c>
      <c r="D7" s="126" t="s">
        <v>115</v>
      </c>
      <c r="E7" s="278" t="s">
        <v>565</v>
      </c>
      <c r="F7" s="282"/>
    </row>
    <row r="8" spans="1:6" ht="14.25" customHeight="1" x14ac:dyDescent="0.25">
      <c r="A8" s="121" t="s">
        <v>84</v>
      </c>
      <c r="B8" s="122" t="s">
        <v>115</v>
      </c>
      <c r="C8" s="119" t="s">
        <v>75</v>
      </c>
      <c r="D8" s="127" t="s">
        <v>114</v>
      </c>
      <c r="E8" s="278"/>
      <c r="F8" s="282"/>
    </row>
    <row r="9" spans="1:6" ht="14.25" customHeight="1" x14ac:dyDescent="0.25">
      <c r="A9" s="309" t="s">
        <v>88</v>
      </c>
      <c r="B9" s="310" t="s">
        <v>113</v>
      </c>
      <c r="C9" s="117" t="s">
        <v>103</v>
      </c>
      <c r="D9" s="308" t="s">
        <v>111</v>
      </c>
      <c r="E9" s="307"/>
      <c r="F9" s="282"/>
    </row>
    <row r="10" spans="1:6" ht="14.25" customHeight="1" thickBot="1" x14ac:dyDescent="0.3">
      <c r="A10" s="317" t="s">
        <v>75</v>
      </c>
      <c r="B10" s="318" t="s">
        <v>620</v>
      </c>
      <c r="C10" s="128"/>
      <c r="D10" s="129"/>
      <c r="E10" s="279"/>
      <c r="F10" s="283"/>
    </row>
    <row r="12" spans="1:6" x14ac:dyDescent="0.25">
      <c r="A12" t="s">
        <v>116</v>
      </c>
    </row>
    <row r="13" spans="1:6" x14ac:dyDescent="0.25">
      <c r="A13" t="s">
        <v>117</v>
      </c>
    </row>
    <row r="14" spans="1:6" x14ac:dyDescent="0.25">
      <c r="A14" t="s">
        <v>89</v>
      </c>
    </row>
    <row r="15" spans="1:6" x14ac:dyDescent="0.25">
      <c r="A15" t="s">
        <v>19</v>
      </c>
    </row>
    <row r="17" spans="1:1" x14ac:dyDescent="0.25">
      <c r="A17" t="s">
        <v>66</v>
      </c>
    </row>
    <row r="18" spans="1:1" x14ac:dyDescent="0.25">
      <c r="A18" t="s">
        <v>68</v>
      </c>
    </row>
  </sheetData>
  <customSheetViews>
    <customSheetView guid="{4259091D-D0F3-4F37-BEA1-28A56DCE2CAB}">
      <selection activeCell="A14" sqref="A14"/>
      <pageMargins left="0" right="0" top="0" bottom="0" header="0" footer="0"/>
      <pageSetup paperSize="0" orientation="portrait" horizontalDpi="300" verticalDpi="300" r:id="rId1"/>
    </customSheetView>
    <customSheetView guid="{8A2A5520-166E-4A1F-8192-130B81C2F742}">
      <selection activeCell="A14" sqref="A14"/>
      <pageMargins left="0" right="0" top="0" bottom="0" header="0" footer="0"/>
      <pageSetup paperSize="0" orientation="portrait" horizontalDpi="300" verticalDpi="300" r:id="rId2"/>
    </customSheetView>
    <customSheetView guid="{5553B17F-5E38-459F-9E7B-3B8FB8EDA0E9}" showPageBreaks="1">
      <selection activeCell="A14" sqref="A14"/>
      <pageMargins left="0" right="0" top="0" bottom="0" header="0" footer="0"/>
      <pageSetup paperSize="9" orientation="portrait" horizontalDpi="300" verticalDpi="300" r:id="rId3"/>
    </customSheetView>
    <customSheetView guid="{8678D424-961C-4F18-8B8A-3E6706CDCB42}">
      <selection activeCell="A14" sqref="A14"/>
      <pageMargins left="0" right="0" top="0" bottom="0" header="0" footer="0"/>
      <pageSetup paperSize="0" orientation="portrait" horizontalDpi="300" verticalDpi="300" r:id="rId4"/>
    </customSheetView>
    <customSheetView guid="{3AB35397-189E-4694-8731-466CEBD9E15E}">
      <selection activeCell="A14" sqref="A14"/>
      <pageMargins left="0" right="0" top="0" bottom="0" header="0" footer="0"/>
      <pageSetup paperSize="0" orientation="portrait" horizontalDpi="300" verticalDpi="300" r:id="rId5"/>
    </customSheetView>
    <customSheetView guid="{46754859-9E9B-4D72-AEF3-49F03F505BFF}">
      <selection activeCell="A14" sqref="A14"/>
      <pageMargins left="0" right="0" top="0" bottom="0" header="0" footer="0"/>
      <pageSetup paperSize="0" orientation="portrait" horizontalDpi="300" verticalDpi="300" r:id="rId6"/>
    </customSheetView>
    <customSheetView guid="{7BFB684F-1C8B-41A8-B2FF-C44E52241A9E}">
      <selection activeCell="A14" sqref="A14"/>
      <pageMargins left="0" right="0" top="0" bottom="0" header="0" footer="0"/>
      <pageSetup paperSize="0" orientation="portrait" horizontalDpi="300" verticalDpi="300" r:id="rId7"/>
    </customSheetView>
    <customSheetView guid="{F5769495-685A-4661-B576-D2525E43610D}">
      <selection activeCell="A14" sqref="A14"/>
      <pageMargins left="0" right="0" top="0" bottom="0" header="0" footer="0"/>
      <pageSetup paperSize="0" orientation="portrait" horizontalDpi="300" verticalDpi="300" r:id="rId8"/>
    </customSheetView>
    <customSheetView guid="{A894FC21-9B62-4923-9AEA-28336F4A24F0}">
      <selection activeCell="A14" sqref="A14"/>
      <pageMargins left="0" right="0" top="0" bottom="0" header="0" footer="0"/>
      <pageSetup paperSize="0" orientation="portrait" horizontalDpi="300" verticalDpi="300" r:id="rId9"/>
    </customSheetView>
    <customSheetView guid="{CC0660E8-37C1-40F5-AEDF-5B63360C20C7}">
      <selection activeCell="A14" sqref="A14"/>
      <pageMargins left="0" right="0" top="0" bottom="0" header="0" footer="0"/>
      <pageSetup paperSize="0" orientation="portrait" horizontalDpi="300" verticalDpi="300" r:id="rId10"/>
    </customSheetView>
    <customSheetView guid="{3117843E-4833-4777-B7C9-9650C2E61F22}">
      <selection activeCell="A14" sqref="A14"/>
      <pageMargins left="0" right="0" top="0" bottom="0" header="0" footer="0"/>
      <pageSetup paperSize="0" orientation="portrait" horizontalDpi="300" verticalDpi="300" r:id="rId11"/>
    </customSheetView>
    <customSheetView guid="{AB2C7187-5A96-446F-B354-D7063F47A089}">
      <selection activeCell="A14" sqref="A14"/>
      <pageMargins left="0" right="0" top="0" bottom="0" header="0" footer="0"/>
      <pageSetup paperSize="0" orientation="portrait" horizontalDpi="300" verticalDpi="300" r:id="rId12"/>
    </customSheetView>
    <customSheetView guid="{E8C93915-5024-4742-8DB6-B346123BB3C8}">
      <selection activeCell="A14" sqref="A14"/>
      <pageMargins left="0" right="0" top="0" bottom="0" header="0" footer="0"/>
      <pageSetup paperSize="0" orientation="portrait" horizontalDpi="300" verticalDpi="300" r:id="rId13"/>
    </customSheetView>
    <customSheetView guid="{859A76EE-6449-413C-B30A-0094CDDE977F}">
      <selection activeCell="A14" sqref="A14"/>
      <pageMargins left="0" right="0" top="0" bottom="0" header="0" footer="0"/>
      <pageSetup paperSize="0" orientation="portrait" horizontalDpi="300" verticalDpi="300" r:id="rId14"/>
    </customSheetView>
    <customSheetView guid="{39714219-A5D3-4014-9125-5359C513171F}" showPageBreaks="1">
      <selection activeCell="A14" sqref="A14"/>
      <pageMargins left="0" right="0" top="0" bottom="0" header="0" footer="0"/>
      <pageSetup paperSize="9" orientation="portrait" horizontalDpi="300" verticalDpi="300" r:id="rId15"/>
    </customSheetView>
    <customSheetView guid="{99C1F600-3221-4159-9738-C8FA339A6F16}">
      <selection activeCell="A14" sqref="A14"/>
      <pageMargins left="0" right="0" top="0" bottom="0" header="0" footer="0"/>
      <pageSetup paperSize="0" orientation="portrait" horizontalDpi="300" verticalDpi="300" r:id="rId16"/>
    </customSheetView>
    <customSheetView guid="{1EEB3DE9-1D73-4812-83A7-DCA1466BE783}">
      <selection activeCell="A14" sqref="A14"/>
      <pageMargins left="0" right="0" top="0" bottom="0" header="0" footer="0"/>
      <pageSetup paperSize="0" orientation="portrait" horizontalDpi="300" verticalDpi="300" r:id="rId17"/>
    </customSheetView>
    <customSheetView guid="{561021F1-64B8-4FE2-B640-82B8FA990848}">
      <selection activeCell="A14" sqref="A14"/>
      <pageMargins left="0" right="0" top="0" bottom="0" header="0" footer="0"/>
      <pageSetup paperSize="0" orientation="portrait" horizontalDpi="300" verticalDpi="300" r:id="rId18"/>
    </customSheetView>
    <customSheetView guid="{83F528CF-0EB0-448F-A134-FC0A4AE93D61}">
      <selection activeCell="A14" sqref="A14"/>
      <pageMargins left="0" right="0" top="0" bottom="0" header="0" footer="0"/>
      <pageSetup paperSize="0" orientation="portrait" horizontalDpi="300" verticalDpi="300" r:id="rId19"/>
    </customSheetView>
    <customSheetView guid="{4DEBCDA2-AD48-4242-A2C2-0D34C03BCEDF}">
      <selection activeCell="A3" sqref="A3:B18"/>
      <pageMargins left="0" right="0" top="0" bottom="0" header="0" footer="0"/>
      <pageSetup paperSize="9" orientation="portrait" horizontalDpi="300" verticalDpi="300" r:id="rId20"/>
    </customSheetView>
    <customSheetView guid="{11E0DF8F-1F3E-458C-AFF0-F06D7C733F39}">
      <selection activeCell="J37" sqref="J37"/>
      <pageMargins left="0" right="0" top="0" bottom="0" header="0" footer="0"/>
      <pageSetup paperSize="0" orientation="portrait" horizontalDpi="300" verticalDpi="300" r:id="rId21"/>
    </customSheetView>
    <customSheetView guid="{1EDAE053-F030-42D5-B05D-E8B32E176EAC}" showPageBreaks="1">
      <selection activeCell="A14" sqref="A14"/>
      <pageMargins left="0" right="0" top="0" bottom="0" header="0" footer="0"/>
      <pageSetup paperSize="9" orientation="portrait" horizontalDpi="300" verticalDpi="300" r:id="rId22"/>
    </customSheetView>
    <customSheetView guid="{797A356B-9844-480F-9B78-76C80E692EAB}">
      <selection activeCell="A14" sqref="A14"/>
      <pageMargins left="0" right="0" top="0" bottom="0" header="0" footer="0"/>
      <pageSetup paperSize="0" orientation="portrait" horizontalDpi="300" verticalDpi="300" r:id="rId23"/>
    </customSheetView>
    <customSheetView guid="{1FFB1A3D-D8A0-4A54-B731-DF26CF2F2B94}">
      <selection activeCell="A14" sqref="A14"/>
      <pageMargins left="0" right="0" top="0" bottom="0" header="0" footer="0"/>
      <pageSetup paperSize="0" orientation="portrait" horizontalDpi="300" verticalDpi="300" r:id="rId24"/>
    </customSheetView>
    <customSheetView guid="{F7C4BDC5-938D-4C0C-B0B7-0A2BAC54DD9F}">
      <selection activeCell="H36" sqref="H36"/>
      <pageMargins left="0" right="0" top="0" bottom="0" header="0" footer="0"/>
      <pageSetup paperSize="0" orientation="portrait" horizontalDpi="300" verticalDpi="300" r:id="rId25"/>
    </customSheetView>
    <customSheetView guid="{A9394557-FCE9-432F-BF03-170DE4B28F03}">
      <selection activeCell="A14" sqref="A14"/>
      <pageMargins left="0" right="0" top="0" bottom="0" header="0" footer="0"/>
      <pageSetup paperSize="0" orientation="portrait" horizontalDpi="300" verticalDpi="300" r:id="rId26"/>
    </customSheetView>
    <customSheetView guid="{4F7CB51A-553F-442C-9E5D-87682F826BE3}">
      <selection activeCell="A14" sqref="A14"/>
      <pageMargins left="0" right="0" top="0" bottom="0" header="0" footer="0"/>
      <pageSetup paperSize="0" orientation="portrait" horizontalDpi="300" verticalDpi="300" r:id="rId27"/>
    </customSheetView>
  </customSheetViews>
  <mergeCells count="2">
    <mergeCell ref="A4:B4"/>
    <mergeCell ref="C4:D4"/>
  </mergeCells>
  <pageMargins left="0.7" right="0.7" top="0.78740157499999996" bottom="0.78740157499999996" header="0.3" footer="0.3"/>
  <pageSetup paperSize="9" orientation="portrait" horizontalDpi="300" verticalDpi="300" r:id="rId2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30C76-328F-48B7-9C72-4ED9FF1C6AB6}">
  <sheetPr codeName="Tabelle8">
    <tabColor rgb="FF7030A0"/>
    <pageSetUpPr fitToPage="1"/>
  </sheetPr>
  <dimension ref="A1:APD121"/>
  <sheetViews>
    <sheetView zoomScale="80" zoomScaleNormal="70" workbookViewId="0">
      <pane xSplit="4" ySplit="4" topLeftCell="E11" activePane="bottomRight" state="frozen"/>
      <selection pane="topRight" activeCell="E1" sqref="E1"/>
      <selection pane="bottomLeft" activeCell="A5" sqref="A5"/>
      <selection pane="bottomRight" activeCell="C28" sqref="C28"/>
    </sheetView>
  </sheetViews>
  <sheetFormatPr baseColWidth="10" defaultColWidth="10.28515625" defaultRowHeight="15" x14ac:dyDescent="0.25"/>
  <cols>
    <col min="1" max="1" width="3" style="3" customWidth="1"/>
    <col min="2" max="2" width="35.85546875" style="4" bestFit="1" customWidth="1"/>
    <col min="3" max="3" width="62.85546875" style="13" bestFit="1" customWidth="1"/>
    <col min="4" max="4" width="15.42578125" style="14" bestFit="1" customWidth="1"/>
    <col min="5" max="7" width="10.28515625" style="4" customWidth="1"/>
    <col min="8" max="25" width="10.7109375" style="4" customWidth="1"/>
    <col min="26" max="1096" width="7.42578125" style="4" customWidth="1"/>
    <col min="1097" max="16384" width="10.28515625" style="4"/>
  </cols>
  <sheetData>
    <row r="1" spans="1:1096" ht="15.75" customHeight="1" thickBot="1" x14ac:dyDescent="0.3">
      <c r="A1" s="4"/>
      <c r="B1" s="410" t="s">
        <v>118</v>
      </c>
      <c r="C1" s="410"/>
      <c r="D1" s="411" t="s">
        <v>119</v>
      </c>
      <c r="E1" s="402" t="s">
        <v>120</v>
      </c>
      <c r="F1" s="403"/>
      <c r="G1" s="403"/>
      <c r="H1" s="403"/>
      <c r="I1" s="403"/>
      <c r="J1" s="403"/>
      <c r="K1" s="403"/>
      <c r="L1" s="403"/>
      <c r="M1" s="403"/>
      <c r="N1" s="403"/>
      <c r="O1" s="403"/>
      <c r="P1" s="403"/>
      <c r="Q1" s="403"/>
      <c r="R1" s="403"/>
      <c r="S1" s="403"/>
      <c r="T1" s="403"/>
      <c r="U1" s="403"/>
      <c r="V1" s="403"/>
      <c r="W1" s="403"/>
      <c r="X1" s="68"/>
      <c r="Y1" s="69"/>
      <c r="Z1" s="402" t="s">
        <v>121</v>
      </c>
      <c r="AA1" s="403"/>
      <c r="AB1" s="403"/>
      <c r="AC1" s="403"/>
      <c r="AD1" s="403"/>
      <c r="AE1" s="403"/>
      <c r="AF1" s="403"/>
      <c r="AG1" s="403"/>
      <c r="AH1" s="403"/>
      <c r="AI1" s="403"/>
      <c r="AJ1" s="403"/>
      <c r="AK1" s="403"/>
      <c r="AL1" s="403"/>
      <c r="AM1" s="403"/>
      <c r="AN1" s="403"/>
      <c r="AO1" s="403"/>
      <c r="AP1" s="403"/>
      <c r="AQ1" s="403"/>
      <c r="AR1" s="403"/>
      <c r="AS1" s="68"/>
      <c r="AT1" s="69"/>
      <c r="AU1" s="402" t="s">
        <v>122</v>
      </c>
      <c r="AV1" s="403"/>
      <c r="AW1" s="403"/>
      <c r="AX1" s="403"/>
      <c r="AY1" s="403"/>
      <c r="AZ1" s="403"/>
      <c r="BA1" s="403"/>
      <c r="BB1" s="403"/>
      <c r="BC1" s="403"/>
      <c r="BD1" s="403"/>
      <c r="BE1" s="403"/>
      <c r="BF1" s="403"/>
      <c r="BG1" s="403"/>
      <c r="BH1" s="403"/>
      <c r="BI1" s="403"/>
      <c r="BJ1" s="403"/>
      <c r="BK1" s="403"/>
      <c r="BL1" s="403"/>
      <c r="BM1" s="403"/>
      <c r="BN1" s="68"/>
      <c r="BO1" s="69"/>
      <c r="BP1" s="402" t="s">
        <v>123</v>
      </c>
      <c r="BQ1" s="403"/>
      <c r="BR1" s="403"/>
      <c r="BS1" s="403"/>
      <c r="BT1" s="403"/>
      <c r="BU1" s="403"/>
      <c r="BV1" s="403"/>
      <c r="BW1" s="403"/>
      <c r="BX1" s="403"/>
      <c r="BY1" s="403"/>
      <c r="BZ1" s="403"/>
      <c r="CA1" s="403"/>
      <c r="CB1" s="403"/>
      <c r="CC1" s="403"/>
      <c r="CD1" s="403"/>
      <c r="CE1" s="403"/>
      <c r="CF1" s="403"/>
      <c r="CG1" s="403"/>
      <c r="CH1" s="403"/>
      <c r="CI1" s="68"/>
      <c r="CJ1" s="69"/>
      <c r="CK1" s="402" t="s">
        <v>124</v>
      </c>
      <c r="CL1" s="403"/>
      <c r="CM1" s="403"/>
      <c r="CN1" s="403"/>
      <c r="CO1" s="403"/>
      <c r="CP1" s="403"/>
      <c r="CQ1" s="403"/>
      <c r="CR1" s="403"/>
      <c r="CS1" s="403"/>
      <c r="CT1" s="403"/>
      <c r="CU1" s="403"/>
      <c r="CV1" s="403"/>
      <c r="CW1" s="403"/>
      <c r="CX1" s="403"/>
      <c r="CY1" s="403"/>
      <c r="CZ1" s="403"/>
      <c r="DA1" s="403"/>
      <c r="DB1" s="403"/>
      <c r="DC1" s="403"/>
      <c r="DD1" s="68"/>
      <c r="DE1" s="69"/>
      <c r="DF1" s="402" t="s">
        <v>125</v>
      </c>
      <c r="DG1" s="403"/>
      <c r="DH1" s="403"/>
      <c r="DI1" s="403"/>
      <c r="DJ1" s="403"/>
      <c r="DK1" s="403"/>
      <c r="DL1" s="403"/>
      <c r="DM1" s="403"/>
      <c r="DN1" s="403"/>
      <c r="DO1" s="403"/>
      <c r="DP1" s="403"/>
      <c r="DQ1" s="403"/>
      <c r="DR1" s="403"/>
      <c r="DS1" s="403"/>
      <c r="DT1" s="403"/>
      <c r="DU1" s="403"/>
      <c r="DV1" s="403"/>
      <c r="DW1" s="403"/>
      <c r="DX1" s="403"/>
      <c r="DY1" s="68"/>
      <c r="DZ1" s="69"/>
      <c r="EA1" s="402" t="s">
        <v>126</v>
      </c>
      <c r="EB1" s="403"/>
      <c r="EC1" s="403"/>
      <c r="ED1" s="403"/>
      <c r="EE1" s="403"/>
      <c r="EF1" s="403"/>
      <c r="EG1" s="403"/>
      <c r="EH1" s="403"/>
      <c r="EI1" s="403"/>
      <c r="EJ1" s="403"/>
      <c r="EK1" s="403"/>
      <c r="EL1" s="403"/>
      <c r="EM1" s="403"/>
      <c r="EN1" s="403"/>
      <c r="EO1" s="403"/>
      <c r="EP1" s="403"/>
      <c r="EQ1" s="403"/>
      <c r="ER1" s="403"/>
      <c r="ES1" s="403"/>
      <c r="ET1" s="68"/>
      <c r="EU1" s="69"/>
      <c r="EV1" s="402" t="s">
        <v>127</v>
      </c>
      <c r="EW1" s="403"/>
      <c r="EX1" s="403"/>
      <c r="EY1" s="403"/>
      <c r="EZ1" s="403"/>
      <c r="FA1" s="403"/>
      <c r="FB1" s="403"/>
      <c r="FC1" s="403"/>
      <c r="FD1" s="403"/>
      <c r="FE1" s="403"/>
      <c r="FF1" s="403"/>
      <c r="FG1" s="403"/>
      <c r="FH1" s="403"/>
      <c r="FI1" s="403"/>
      <c r="FJ1" s="403"/>
      <c r="FK1" s="403"/>
      <c r="FL1" s="403"/>
      <c r="FM1" s="403"/>
      <c r="FN1" s="403"/>
      <c r="FO1" s="68"/>
      <c r="FP1" s="69"/>
      <c r="FQ1" s="402" t="s">
        <v>128</v>
      </c>
      <c r="FR1" s="403"/>
      <c r="FS1" s="403"/>
      <c r="FT1" s="403"/>
      <c r="FU1" s="403"/>
      <c r="FV1" s="403"/>
      <c r="FW1" s="403"/>
      <c r="FX1" s="403"/>
      <c r="FY1" s="403"/>
      <c r="FZ1" s="403"/>
      <c r="GA1" s="403"/>
      <c r="GB1" s="403"/>
      <c r="GC1" s="403"/>
      <c r="GD1" s="403"/>
      <c r="GE1" s="403"/>
      <c r="GF1" s="403"/>
      <c r="GG1" s="403"/>
      <c r="GH1" s="403"/>
      <c r="GI1" s="403"/>
      <c r="GJ1" s="68"/>
      <c r="GK1" s="69"/>
      <c r="GL1" s="402" t="s">
        <v>129</v>
      </c>
      <c r="GM1" s="403"/>
      <c r="GN1" s="403"/>
      <c r="GO1" s="403"/>
      <c r="GP1" s="403"/>
      <c r="GQ1" s="403"/>
      <c r="GR1" s="403"/>
      <c r="GS1" s="403"/>
      <c r="GT1" s="403"/>
      <c r="GU1" s="403"/>
      <c r="GV1" s="403"/>
      <c r="GW1" s="403"/>
      <c r="GX1" s="403"/>
      <c r="GY1" s="403"/>
      <c r="GZ1" s="403"/>
      <c r="HA1" s="403"/>
      <c r="HB1" s="403"/>
      <c r="HC1" s="403"/>
      <c r="HD1" s="403"/>
      <c r="HE1" s="68"/>
      <c r="HF1" s="69"/>
      <c r="HG1" s="402" t="s">
        <v>130</v>
      </c>
      <c r="HH1" s="403"/>
      <c r="HI1" s="403"/>
      <c r="HJ1" s="403"/>
      <c r="HK1" s="403"/>
      <c r="HL1" s="403"/>
      <c r="HM1" s="403"/>
      <c r="HN1" s="403"/>
      <c r="HO1" s="403"/>
      <c r="HP1" s="403"/>
      <c r="HQ1" s="403"/>
      <c r="HR1" s="403"/>
      <c r="HS1" s="403"/>
      <c r="HT1" s="403"/>
      <c r="HU1" s="403"/>
      <c r="HV1" s="403"/>
      <c r="HW1" s="403"/>
      <c r="HX1" s="403"/>
      <c r="HY1" s="403"/>
      <c r="HZ1" s="68"/>
      <c r="IA1" s="69"/>
      <c r="IB1" s="402" t="s">
        <v>131</v>
      </c>
      <c r="IC1" s="403"/>
      <c r="ID1" s="403"/>
      <c r="IE1" s="403"/>
      <c r="IF1" s="403"/>
      <c r="IG1" s="403"/>
      <c r="IH1" s="403"/>
      <c r="II1" s="403"/>
      <c r="IJ1" s="403"/>
      <c r="IK1" s="403"/>
      <c r="IL1" s="403"/>
      <c r="IM1" s="403"/>
      <c r="IN1" s="403"/>
      <c r="IO1" s="403"/>
      <c r="IP1" s="403"/>
      <c r="IQ1" s="403"/>
      <c r="IR1" s="403"/>
      <c r="IS1" s="403"/>
      <c r="IT1" s="403"/>
      <c r="IU1" s="68"/>
      <c r="IV1" s="69"/>
      <c r="IW1" s="402" t="s">
        <v>132</v>
      </c>
      <c r="IX1" s="403"/>
      <c r="IY1" s="403"/>
      <c r="IZ1" s="403"/>
      <c r="JA1" s="403"/>
      <c r="JB1" s="403"/>
      <c r="JC1" s="403"/>
      <c r="JD1" s="403"/>
      <c r="JE1" s="403"/>
      <c r="JF1" s="403"/>
      <c r="JG1" s="403"/>
      <c r="JH1" s="403"/>
      <c r="JI1" s="403"/>
      <c r="JJ1" s="403"/>
      <c r="JK1" s="403"/>
      <c r="JL1" s="403"/>
      <c r="JM1" s="403"/>
      <c r="JN1" s="403"/>
      <c r="JO1" s="403"/>
      <c r="JP1" s="68"/>
      <c r="JQ1" s="69"/>
      <c r="JR1" s="402" t="s">
        <v>133</v>
      </c>
      <c r="JS1" s="403"/>
      <c r="JT1" s="403"/>
      <c r="JU1" s="403"/>
      <c r="JV1" s="403"/>
      <c r="JW1" s="403"/>
      <c r="JX1" s="403"/>
      <c r="JY1" s="403"/>
      <c r="JZ1" s="403"/>
      <c r="KA1" s="403"/>
      <c r="KB1" s="403"/>
      <c r="KC1" s="403"/>
      <c r="KD1" s="403"/>
      <c r="KE1" s="403"/>
      <c r="KF1" s="403"/>
      <c r="KG1" s="403"/>
      <c r="KH1" s="403"/>
      <c r="KI1" s="403"/>
      <c r="KJ1" s="403"/>
      <c r="KK1" s="68"/>
      <c r="KL1" s="69"/>
      <c r="KM1" s="402" t="s">
        <v>134</v>
      </c>
      <c r="KN1" s="403"/>
      <c r="KO1" s="403"/>
      <c r="KP1" s="403"/>
      <c r="KQ1" s="403"/>
      <c r="KR1" s="403"/>
      <c r="KS1" s="403"/>
      <c r="KT1" s="403"/>
      <c r="KU1" s="403"/>
      <c r="KV1" s="403"/>
      <c r="KW1" s="403"/>
      <c r="KX1" s="403"/>
      <c r="KY1" s="403"/>
      <c r="KZ1" s="403"/>
      <c r="LA1" s="403"/>
      <c r="LB1" s="403"/>
      <c r="LC1" s="403"/>
      <c r="LD1" s="403"/>
      <c r="LE1" s="403"/>
      <c r="LF1" s="68"/>
      <c r="LG1" s="69"/>
      <c r="LH1" s="402" t="s">
        <v>135</v>
      </c>
      <c r="LI1" s="403"/>
      <c r="LJ1" s="403"/>
      <c r="LK1" s="403"/>
      <c r="LL1" s="403"/>
      <c r="LM1" s="403"/>
      <c r="LN1" s="403"/>
      <c r="LO1" s="403"/>
      <c r="LP1" s="403"/>
      <c r="LQ1" s="403"/>
      <c r="LR1" s="403"/>
      <c r="LS1" s="403"/>
      <c r="LT1" s="403"/>
      <c r="LU1" s="403"/>
      <c r="LV1" s="403"/>
      <c r="LW1" s="403"/>
      <c r="LX1" s="403"/>
      <c r="LY1" s="403"/>
      <c r="LZ1" s="403"/>
      <c r="MA1" s="68"/>
      <c r="MB1" s="69"/>
      <c r="MC1" s="402" t="s">
        <v>136</v>
      </c>
      <c r="MD1" s="403"/>
      <c r="ME1" s="403"/>
      <c r="MF1" s="403"/>
      <c r="MG1" s="403"/>
      <c r="MH1" s="403"/>
      <c r="MI1" s="403"/>
      <c r="MJ1" s="403"/>
      <c r="MK1" s="403"/>
      <c r="ML1" s="403"/>
      <c r="MM1" s="403"/>
      <c r="MN1" s="403"/>
      <c r="MO1" s="403"/>
      <c r="MP1" s="403"/>
      <c r="MQ1" s="403"/>
      <c r="MR1" s="403"/>
      <c r="MS1" s="403"/>
      <c r="MT1" s="403"/>
      <c r="MU1" s="403"/>
      <c r="MV1" s="68"/>
      <c r="MW1" s="69"/>
      <c r="MX1" s="402" t="s">
        <v>137</v>
      </c>
      <c r="MY1" s="403"/>
      <c r="MZ1" s="403"/>
      <c r="NA1" s="403"/>
      <c r="NB1" s="403"/>
      <c r="NC1" s="403"/>
      <c r="ND1" s="403"/>
      <c r="NE1" s="403"/>
      <c r="NF1" s="403"/>
      <c r="NG1" s="403"/>
      <c r="NH1" s="403"/>
      <c r="NI1" s="403"/>
      <c r="NJ1" s="403"/>
      <c r="NK1" s="403"/>
      <c r="NL1" s="403"/>
      <c r="NM1" s="403"/>
      <c r="NN1" s="403"/>
      <c r="NO1" s="403"/>
      <c r="NP1" s="403"/>
      <c r="NQ1" s="68"/>
      <c r="NR1" s="69"/>
      <c r="NS1" s="402" t="s">
        <v>138</v>
      </c>
      <c r="NT1" s="403"/>
      <c r="NU1" s="403"/>
      <c r="NV1" s="403"/>
      <c r="NW1" s="403"/>
      <c r="NX1" s="403"/>
      <c r="NY1" s="403"/>
      <c r="NZ1" s="403"/>
      <c r="OA1" s="403"/>
      <c r="OB1" s="403"/>
      <c r="OC1" s="403"/>
      <c r="OD1" s="403"/>
      <c r="OE1" s="403"/>
      <c r="OF1" s="403"/>
      <c r="OG1" s="403"/>
      <c r="OH1" s="403"/>
      <c r="OI1" s="403"/>
      <c r="OJ1" s="403"/>
      <c r="OK1" s="403"/>
      <c r="OL1" s="68"/>
      <c r="OM1" s="69"/>
      <c r="ON1" s="402" t="s">
        <v>139</v>
      </c>
      <c r="OO1" s="403"/>
      <c r="OP1" s="403"/>
      <c r="OQ1" s="403"/>
      <c r="OR1" s="403"/>
      <c r="OS1" s="403"/>
      <c r="OT1" s="403"/>
      <c r="OU1" s="403"/>
      <c r="OV1" s="403"/>
      <c r="OW1" s="403"/>
      <c r="OX1" s="403"/>
      <c r="OY1" s="403"/>
      <c r="OZ1" s="403"/>
      <c r="PA1" s="403"/>
      <c r="PB1" s="403"/>
      <c r="PC1" s="403"/>
      <c r="PD1" s="403"/>
      <c r="PE1" s="403"/>
      <c r="PF1" s="403"/>
      <c r="PG1" s="68"/>
      <c r="PH1" s="69"/>
      <c r="PI1" s="402" t="s">
        <v>140</v>
      </c>
      <c r="PJ1" s="403"/>
      <c r="PK1" s="403"/>
      <c r="PL1" s="403"/>
      <c r="PM1" s="403"/>
      <c r="PN1" s="403"/>
      <c r="PO1" s="403"/>
      <c r="PP1" s="403"/>
      <c r="PQ1" s="403"/>
      <c r="PR1" s="403"/>
      <c r="PS1" s="403"/>
      <c r="PT1" s="403"/>
      <c r="PU1" s="403"/>
      <c r="PV1" s="403"/>
      <c r="PW1" s="403"/>
      <c r="PX1" s="403"/>
      <c r="PY1" s="403"/>
      <c r="PZ1" s="403"/>
      <c r="QA1" s="403"/>
      <c r="QB1" s="68"/>
      <c r="QC1" s="69"/>
      <c r="QD1" s="402" t="s">
        <v>141</v>
      </c>
      <c r="QE1" s="403"/>
      <c r="QF1" s="403"/>
      <c r="QG1" s="403"/>
      <c r="QH1" s="403"/>
      <c r="QI1" s="403"/>
      <c r="QJ1" s="403"/>
      <c r="QK1" s="403"/>
      <c r="QL1" s="403"/>
      <c r="QM1" s="403"/>
      <c r="QN1" s="403"/>
      <c r="QO1" s="403"/>
      <c r="QP1" s="403"/>
      <c r="QQ1" s="403"/>
      <c r="QR1" s="403"/>
      <c r="QS1" s="403"/>
      <c r="QT1" s="403"/>
      <c r="QU1" s="403"/>
      <c r="QV1" s="403"/>
      <c r="QW1" s="68"/>
      <c r="QX1" s="69"/>
      <c r="QY1" s="402" t="s">
        <v>142</v>
      </c>
      <c r="QZ1" s="403"/>
      <c r="RA1" s="403"/>
      <c r="RB1" s="403"/>
      <c r="RC1" s="403"/>
      <c r="RD1" s="403"/>
      <c r="RE1" s="403"/>
      <c r="RF1" s="403"/>
      <c r="RG1" s="403"/>
      <c r="RH1" s="403"/>
      <c r="RI1" s="403"/>
      <c r="RJ1" s="403"/>
      <c r="RK1" s="403"/>
      <c r="RL1" s="403"/>
      <c r="RM1" s="403"/>
      <c r="RN1" s="403"/>
      <c r="RO1" s="403"/>
      <c r="RP1" s="403"/>
      <c r="RQ1" s="403"/>
      <c r="RR1" s="68"/>
      <c r="RS1" s="69"/>
      <c r="RT1" s="402" t="s">
        <v>143</v>
      </c>
      <c r="RU1" s="403"/>
      <c r="RV1" s="403"/>
      <c r="RW1" s="403"/>
      <c r="RX1" s="403"/>
      <c r="RY1" s="403"/>
      <c r="RZ1" s="403"/>
      <c r="SA1" s="403"/>
      <c r="SB1" s="403"/>
      <c r="SC1" s="403"/>
      <c r="SD1" s="403"/>
      <c r="SE1" s="403"/>
      <c r="SF1" s="403"/>
      <c r="SG1" s="403"/>
      <c r="SH1" s="403"/>
      <c r="SI1" s="403"/>
      <c r="SJ1" s="403"/>
      <c r="SK1" s="403"/>
      <c r="SL1" s="403"/>
      <c r="SM1" s="68"/>
      <c r="SN1" s="69"/>
      <c r="SO1" s="402" t="s">
        <v>144</v>
      </c>
      <c r="SP1" s="403"/>
      <c r="SQ1" s="403"/>
      <c r="SR1" s="403"/>
      <c r="SS1" s="403"/>
      <c r="ST1" s="403"/>
      <c r="SU1" s="403"/>
      <c r="SV1" s="403"/>
      <c r="SW1" s="403"/>
      <c r="SX1" s="403"/>
      <c r="SY1" s="403"/>
      <c r="SZ1" s="403"/>
      <c r="TA1" s="403"/>
      <c r="TB1" s="403"/>
      <c r="TC1" s="403"/>
      <c r="TD1" s="403"/>
      <c r="TE1" s="403"/>
      <c r="TF1" s="403"/>
      <c r="TG1" s="403"/>
      <c r="TH1" s="68"/>
      <c r="TI1" s="69"/>
      <c r="TJ1" s="402" t="s">
        <v>145</v>
      </c>
      <c r="TK1" s="403"/>
      <c r="TL1" s="403"/>
      <c r="TM1" s="403"/>
      <c r="TN1" s="403"/>
      <c r="TO1" s="403"/>
      <c r="TP1" s="403"/>
      <c r="TQ1" s="403"/>
      <c r="TR1" s="403"/>
      <c r="TS1" s="403"/>
      <c r="TT1" s="403"/>
      <c r="TU1" s="403"/>
      <c r="TV1" s="403"/>
      <c r="TW1" s="403"/>
      <c r="TX1" s="403"/>
      <c r="TY1" s="403"/>
      <c r="TZ1" s="403"/>
      <c r="UA1" s="403"/>
      <c r="UB1" s="403"/>
      <c r="UC1" s="68"/>
      <c r="UD1" s="69"/>
      <c r="UE1" s="402" t="s">
        <v>146</v>
      </c>
      <c r="UF1" s="403"/>
      <c r="UG1" s="403"/>
      <c r="UH1" s="403"/>
      <c r="UI1" s="403"/>
      <c r="UJ1" s="403"/>
      <c r="UK1" s="403"/>
      <c r="UL1" s="403"/>
      <c r="UM1" s="403"/>
      <c r="UN1" s="403"/>
      <c r="UO1" s="403"/>
      <c r="UP1" s="403"/>
      <c r="UQ1" s="403"/>
      <c r="UR1" s="403"/>
      <c r="US1" s="403"/>
      <c r="UT1" s="403"/>
      <c r="UU1" s="403"/>
      <c r="UV1" s="403"/>
      <c r="UW1" s="403"/>
      <c r="UX1" s="68"/>
      <c r="UY1" s="69"/>
      <c r="UZ1" s="402" t="s">
        <v>147</v>
      </c>
      <c r="VA1" s="403"/>
      <c r="VB1" s="403"/>
      <c r="VC1" s="403"/>
      <c r="VD1" s="403"/>
      <c r="VE1" s="403"/>
      <c r="VF1" s="403"/>
      <c r="VG1" s="403"/>
      <c r="VH1" s="403"/>
      <c r="VI1" s="403"/>
      <c r="VJ1" s="403"/>
      <c r="VK1" s="403"/>
      <c r="VL1" s="403"/>
      <c r="VM1" s="403"/>
      <c r="VN1" s="403"/>
      <c r="VO1" s="403"/>
      <c r="VP1" s="403"/>
      <c r="VQ1" s="403"/>
      <c r="VR1" s="403"/>
      <c r="VS1" s="68"/>
      <c r="VT1" s="69"/>
      <c r="VU1" s="402" t="s">
        <v>148</v>
      </c>
      <c r="VV1" s="403"/>
      <c r="VW1" s="403"/>
      <c r="VX1" s="403"/>
      <c r="VY1" s="403"/>
      <c r="VZ1" s="403"/>
      <c r="WA1" s="403"/>
      <c r="WB1" s="403"/>
      <c r="WC1" s="403"/>
      <c r="WD1" s="403"/>
      <c r="WE1" s="403"/>
      <c r="WF1" s="403"/>
      <c r="WG1" s="403"/>
      <c r="WH1" s="403"/>
      <c r="WI1" s="403"/>
      <c r="WJ1" s="403"/>
      <c r="WK1" s="403"/>
      <c r="WL1" s="403"/>
      <c r="WM1" s="403"/>
      <c r="WN1" s="68"/>
      <c r="WO1" s="69"/>
      <c r="WP1" s="402" t="s">
        <v>149</v>
      </c>
      <c r="WQ1" s="403"/>
      <c r="WR1" s="403"/>
      <c r="WS1" s="403"/>
      <c r="WT1" s="403"/>
      <c r="WU1" s="403"/>
      <c r="WV1" s="403"/>
      <c r="WW1" s="403"/>
      <c r="WX1" s="403"/>
      <c r="WY1" s="403"/>
      <c r="WZ1" s="403"/>
      <c r="XA1" s="403"/>
      <c r="XB1" s="403"/>
      <c r="XC1" s="403"/>
      <c r="XD1" s="403"/>
      <c r="XE1" s="403"/>
      <c r="XF1" s="403"/>
      <c r="XG1" s="403"/>
      <c r="XH1" s="403"/>
      <c r="XI1" s="68"/>
      <c r="XJ1" s="69"/>
      <c r="XK1" s="402" t="s">
        <v>150</v>
      </c>
      <c r="XL1" s="403"/>
      <c r="XM1" s="403"/>
      <c r="XN1" s="403"/>
      <c r="XO1" s="403"/>
      <c r="XP1" s="403"/>
      <c r="XQ1" s="403"/>
      <c r="XR1" s="403"/>
      <c r="XS1" s="403"/>
      <c r="XT1" s="403"/>
      <c r="XU1" s="403"/>
      <c r="XV1" s="403"/>
      <c r="XW1" s="403"/>
      <c r="XX1" s="403"/>
      <c r="XY1" s="403"/>
      <c r="XZ1" s="403"/>
      <c r="YA1" s="403"/>
      <c r="YB1" s="403"/>
      <c r="YC1" s="403"/>
      <c r="YD1" s="68"/>
      <c r="YE1" s="69"/>
      <c r="YF1" s="402" t="s">
        <v>151</v>
      </c>
      <c r="YG1" s="403"/>
      <c r="YH1" s="403"/>
      <c r="YI1" s="403"/>
      <c r="YJ1" s="403"/>
      <c r="YK1" s="403"/>
      <c r="YL1" s="403"/>
      <c r="YM1" s="403"/>
      <c r="YN1" s="403"/>
      <c r="YO1" s="403"/>
      <c r="YP1" s="403"/>
      <c r="YQ1" s="403"/>
      <c r="YR1" s="403"/>
      <c r="YS1" s="403"/>
      <c r="YT1" s="403"/>
      <c r="YU1" s="403"/>
      <c r="YV1" s="403"/>
      <c r="YW1" s="403"/>
      <c r="YX1" s="403"/>
      <c r="YY1" s="68"/>
      <c r="YZ1" s="69"/>
      <c r="ZA1" s="402" t="s">
        <v>152</v>
      </c>
      <c r="ZB1" s="403"/>
      <c r="ZC1" s="403"/>
      <c r="ZD1" s="403"/>
      <c r="ZE1" s="403"/>
      <c r="ZF1" s="403"/>
      <c r="ZG1" s="403"/>
      <c r="ZH1" s="403"/>
      <c r="ZI1" s="403"/>
      <c r="ZJ1" s="403"/>
      <c r="ZK1" s="403"/>
      <c r="ZL1" s="403"/>
      <c r="ZM1" s="403"/>
      <c r="ZN1" s="403"/>
      <c r="ZO1" s="403"/>
      <c r="ZP1" s="403"/>
      <c r="ZQ1" s="403"/>
      <c r="ZR1" s="403"/>
      <c r="ZS1" s="403"/>
      <c r="ZT1" s="68"/>
      <c r="ZU1" s="69"/>
      <c r="ZV1" s="402" t="s">
        <v>153</v>
      </c>
      <c r="ZW1" s="403"/>
      <c r="ZX1" s="403"/>
      <c r="ZY1" s="403"/>
      <c r="ZZ1" s="403"/>
      <c r="AAA1" s="403"/>
      <c r="AAB1" s="403"/>
      <c r="AAC1" s="403"/>
      <c r="AAD1" s="403"/>
      <c r="AAE1" s="403"/>
      <c r="AAF1" s="403"/>
      <c r="AAG1" s="403"/>
      <c r="AAH1" s="403"/>
      <c r="AAI1" s="403"/>
      <c r="AAJ1" s="403"/>
      <c r="AAK1" s="403"/>
      <c r="AAL1" s="403"/>
      <c r="AAM1" s="403"/>
      <c r="AAN1" s="403"/>
      <c r="AAO1" s="68"/>
      <c r="AAP1" s="69"/>
      <c r="AAQ1" s="402" t="s">
        <v>154</v>
      </c>
      <c r="AAR1" s="403"/>
      <c r="AAS1" s="403"/>
      <c r="AAT1" s="403"/>
      <c r="AAU1" s="403"/>
      <c r="AAV1" s="403"/>
      <c r="AAW1" s="403"/>
      <c r="AAX1" s="403"/>
      <c r="AAY1" s="403"/>
      <c r="AAZ1" s="403"/>
      <c r="ABA1" s="403"/>
      <c r="ABB1" s="403"/>
      <c r="ABC1" s="403"/>
      <c r="ABD1" s="403"/>
      <c r="ABE1" s="403"/>
      <c r="ABF1" s="403"/>
      <c r="ABG1" s="403"/>
      <c r="ABH1" s="403"/>
      <c r="ABI1" s="403"/>
      <c r="ABJ1" s="68"/>
      <c r="ABK1" s="69"/>
      <c r="ABL1" s="402" t="s">
        <v>155</v>
      </c>
      <c r="ABM1" s="403"/>
      <c r="ABN1" s="403"/>
      <c r="ABO1" s="403"/>
      <c r="ABP1" s="403"/>
      <c r="ABQ1" s="403"/>
      <c r="ABR1" s="403"/>
      <c r="ABS1" s="403"/>
      <c r="ABT1" s="403"/>
      <c r="ABU1" s="403"/>
      <c r="ABV1" s="403"/>
      <c r="ABW1" s="403"/>
      <c r="ABX1" s="403"/>
      <c r="ABY1" s="403"/>
      <c r="ABZ1" s="403"/>
      <c r="ACA1" s="403"/>
      <c r="ACB1" s="403"/>
      <c r="ACC1" s="403"/>
      <c r="ACD1" s="403"/>
      <c r="ACE1" s="68"/>
      <c r="ACF1" s="69"/>
      <c r="ACG1" s="402" t="s">
        <v>156</v>
      </c>
      <c r="ACH1" s="403"/>
      <c r="ACI1" s="403"/>
      <c r="ACJ1" s="403"/>
      <c r="ACK1" s="403"/>
      <c r="ACL1" s="403"/>
      <c r="ACM1" s="403"/>
      <c r="ACN1" s="403"/>
      <c r="ACO1" s="403"/>
      <c r="ACP1" s="403"/>
      <c r="ACQ1" s="403"/>
      <c r="ACR1" s="403"/>
      <c r="ACS1" s="403"/>
      <c r="ACT1" s="403"/>
      <c r="ACU1" s="403"/>
      <c r="ACV1" s="403"/>
      <c r="ACW1" s="403"/>
      <c r="ACX1" s="403"/>
      <c r="ACY1" s="403"/>
      <c r="ACZ1" s="68"/>
      <c r="ADA1" s="69"/>
      <c r="ADB1" s="402" t="s">
        <v>157</v>
      </c>
      <c r="ADC1" s="403"/>
      <c r="ADD1" s="403"/>
      <c r="ADE1" s="403"/>
      <c r="ADF1" s="403"/>
      <c r="ADG1" s="403"/>
      <c r="ADH1" s="403"/>
      <c r="ADI1" s="403"/>
      <c r="ADJ1" s="403"/>
      <c r="ADK1" s="403"/>
      <c r="ADL1" s="403"/>
      <c r="ADM1" s="403"/>
      <c r="ADN1" s="403"/>
      <c r="ADO1" s="403"/>
      <c r="ADP1" s="403"/>
      <c r="ADQ1" s="403"/>
      <c r="ADR1" s="403"/>
      <c r="ADS1" s="403"/>
      <c r="ADT1" s="403"/>
      <c r="ADU1" s="68"/>
      <c r="ADV1" s="69"/>
      <c r="ADW1" s="402" t="s">
        <v>158</v>
      </c>
      <c r="ADX1" s="403"/>
      <c r="ADY1" s="403"/>
      <c r="ADZ1" s="403"/>
      <c r="AEA1" s="403"/>
      <c r="AEB1" s="403"/>
      <c r="AEC1" s="403"/>
      <c r="AED1" s="403"/>
      <c r="AEE1" s="403"/>
      <c r="AEF1" s="403"/>
      <c r="AEG1" s="403"/>
      <c r="AEH1" s="403"/>
      <c r="AEI1" s="403"/>
      <c r="AEJ1" s="403"/>
      <c r="AEK1" s="403"/>
      <c r="AEL1" s="403"/>
      <c r="AEM1" s="403"/>
      <c r="AEN1" s="403"/>
      <c r="AEO1" s="403"/>
      <c r="AEP1" s="68"/>
      <c r="AEQ1" s="69"/>
      <c r="AER1" s="402" t="s">
        <v>159</v>
      </c>
      <c r="AES1" s="403"/>
      <c r="AET1" s="403"/>
      <c r="AEU1" s="403"/>
      <c r="AEV1" s="403"/>
      <c r="AEW1" s="403"/>
      <c r="AEX1" s="403"/>
      <c r="AEY1" s="403"/>
      <c r="AEZ1" s="403"/>
      <c r="AFA1" s="403"/>
      <c r="AFB1" s="403"/>
      <c r="AFC1" s="403"/>
      <c r="AFD1" s="403"/>
      <c r="AFE1" s="403"/>
      <c r="AFF1" s="403"/>
      <c r="AFG1" s="403"/>
      <c r="AFH1" s="403"/>
      <c r="AFI1" s="403"/>
      <c r="AFJ1" s="403"/>
      <c r="AFK1" s="68"/>
      <c r="AFL1" s="69"/>
      <c r="AFM1" s="402" t="s">
        <v>160</v>
      </c>
      <c r="AFN1" s="403"/>
      <c r="AFO1" s="403"/>
      <c r="AFP1" s="403"/>
      <c r="AFQ1" s="403"/>
      <c r="AFR1" s="403"/>
      <c r="AFS1" s="403"/>
      <c r="AFT1" s="403"/>
      <c r="AFU1" s="403"/>
      <c r="AFV1" s="403"/>
      <c r="AFW1" s="403"/>
      <c r="AFX1" s="403"/>
      <c r="AFY1" s="403"/>
      <c r="AFZ1" s="403"/>
      <c r="AGA1" s="403"/>
      <c r="AGB1" s="403"/>
      <c r="AGC1" s="403"/>
      <c r="AGD1" s="403"/>
      <c r="AGE1" s="403"/>
      <c r="AGF1" s="68"/>
      <c r="AGG1" s="69"/>
      <c r="AGH1" s="402" t="s">
        <v>161</v>
      </c>
      <c r="AGI1" s="403"/>
      <c r="AGJ1" s="403"/>
      <c r="AGK1" s="403"/>
      <c r="AGL1" s="403"/>
      <c r="AGM1" s="403"/>
      <c r="AGN1" s="403"/>
      <c r="AGO1" s="403"/>
      <c r="AGP1" s="403"/>
      <c r="AGQ1" s="403"/>
      <c r="AGR1" s="403"/>
      <c r="AGS1" s="403"/>
      <c r="AGT1" s="403"/>
      <c r="AGU1" s="403"/>
      <c r="AGV1" s="403"/>
      <c r="AGW1" s="403"/>
      <c r="AGX1" s="403"/>
      <c r="AGY1" s="403"/>
      <c r="AGZ1" s="403"/>
      <c r="AHA1" s="68"/>
      <c r="AHB1" s="69"/>
      <c r="AHC1" s="402" t="s">
        <v>162</v>
      </c>
      <c r="AHD1" s="403"/>
      <c r="AHE1" s="403"/>
      <c r="AHF1" s="403"/>
      <c r="AHG1" s="403"/>
      <c r="AHH1" s="403"/>
      <c r="AHI1" s="403"/>
      <c r="AHJ1" s="403"/>
      <c r="AHK1" s="403"/>
      <c r="AHL1" s="403"/>
      <c r="AHM1" s="403"/>
      <c r="AHN1" s="403"/>
      <c r="AHO1" s="403"/>
      <c r="AHP1" s="403"/>
      <c r="AHQ1" s="403"/>
      <c r="AHR1" s="403"/>
      <c r="AHS1" s="403"/>
      <c r="AHT1" s="403"/>
      <c r="AHU1" s="403"/>
      <c r="AHV1" s="68"/>
      <c r="AHW1" s="69"/>
      <c r="AHX1" s="402" t="s">
        <v>163</v>
      </c>
      <c r="AHY1" s="403"/>
      <c r="AHZ1" s="403"/>
      <c r="AIA1" s="403"/>
      <c r="AIB1" s="403"/>
      <c r="AIC1" s="403"/>
      <c r="AID1" s="403"/>
      <c r="AIE1" s="403"/>
      <c r="AIF1" s="403"/>
      <c r="AIG1" s="403"/>
      <c r="AIH1" s="403"/>
      <c r="AII1" s="403"/>
      <c r="AIJ1" s="403"/>
      <c r="AIK1" s="403"/>
      <c r="AIL1" s="403"/>
      <c r="AIM1" s="403"/>
      <c r="AIN1" s="403"/>
      <c r="AIO1" s="403"/>
      <c r="AIP1" s="403"/>
      <c r="AIQ1" s="68"/>
      <c r="AIR1" s="69"/>
      <c r="AIS1" s="402" t="s">
        <v>164</v>
      </c>
      <c r="AIT1" s="403"/>
      <c r="AIU1" s="403"/>
      <c r="AIV1" s="403"/>
      <c r="AIW1" s="403"/>
      <c r="AIX1" s="403"/>
      <c r="AIY1" s="403"/>
      <c r="AIZ1" s="403"/>
      <c r="AJA1" s="403"/>
      <c r="AJB1" s="403"/>
      <c r="AJC1" s="403"/>
      <c r="AJD1" s="403"/>
      <c r="AJE1" s="403"/>
      <c r="AJF1" s="403"/>
      <c r="AJG1" s="403"/>
      <c r="AJH1" s="403"/>
      <c r="AJI1" s="403"/>
      <c r="AJJ1" s="403"/>
      <c r="AJK1" s="403"/>
      <c r="AJL1" s="68"/>
      <c r="AJM1" s="69"/>
      <c r="AJN1" s="402" t="s">
        <v>165</v>
      </c>
      <c r="AJO1" s="403"/>
      <c r="AJP1" s="403"/>
      <c r="AJQ1" s="403"/>
      <c r="AJR1" s="403"/>
      <c r="AJS1" s="403"/>
      <c r="AJT1" s="403"/>
      <c r="AJU1" s="403"/>
      <c r="AJV1" s="403"/>
      <c r="AJW1" s="403"/>
      <c r="AJX1" s="403"/>
      <c r="AJY1" s="403"/>
      <c r="AJZ1" s="403"/>
      <c r="AKA1" s="403"/>
      <c r="AKB1" s="403"/>
      <c r="AKC1" s="403"/>
      <c r="AKD1" s="403"/>
      <c r="AKE1" s="403"/>
      <c r="AKF1" s="403"/>
      <c r="AKG1" s="68"/>
      <c r="AKH1" s="69"/>
      <c r="AKI1" s="402" t="s">
        <v>166</v>
      </c>
      <c r="AKJ1" s="403"/>
      <c r="AKK1" s="403"/>
      <c r="AKL1" s="403"/>
      <c r="AKM1" s="403"/>
      <c r="AKN1" s="403"/>
      <c r="AKO1" s="403"/>
      <c r="AKP1" s="403"/>
      <c r="AKQ1" s="403"/>
      <c r="AKR1" s="403"/>
      <c r="AKS1" s="403"/>
      <c r="AKT1" s="403"/>
      <c r="AKU1" s="403"/>
      <c r="AKV1" s="403"/>
      <c r="AKW1" s="403"/>
      <c r="AKX1" s="403"/>
      <c r="AKY1" s="403"/>
      <c r="AKZ1" s="403"/>
      <c r="ALA1" s="403"/>
      <c r="ALB1" s="68"/>
      <c r="ALC1" s="69"/>
      <c r="ALD1" s="402" t="s">
        <v>167</v>
      </c>
      <c r="ALE1" s="403"/>
      <c r="ALF1" s="403"/>
      <c r="ALG1" s="403"/>
      <c r="ALH1" s="403"/>
      <c r="ALI1" s="403"/>
      <c r="ALJ1" s="403"/>
      <c r="ALK1" s="403"/>
      <c r="ALL1" s="403"/>
      <c r="ALM1" s="403"/>
      <c r="ALN1" s="403"/>
      <c r="ALO1" s="403"/>
      <c r="ALP1" s="403"/>
      <c r="ALQ1" s="403"/>
      <c r="ALR1" s="403"/>
      <c r="ALS1" s="403"/>
      <c r="ALT1" s="403"/>
      <c r="ALU1" s="403"/>
      <c r="ALV1" s="403"/>
      <c r="ALW1" s="68"/>
      <c r="ALX1" s="69"/>
      <c r="ALY1" s="402" t="s">
        <v>168</v>
      </c>
      <c r="ALZ1" s="403"/>
      <c r="AMA1" s="403"/>
      <c r="AMB1" s="403"/>
      <c r="AMC1" s="403"/>
      <c r="AMD1" s="403"/>
      <c r="AME1" s="403"/>
      <c r="AMF1" s="403"/>
      <c r="AMG1" s="403"/>
      <c r="AMH1" s="403"/>
      <c r="AMI1" s="403"/>
      <c r="AMJ1" s="403"/>
      <c r="AMK1" s="403"/>
      <c r="AML1" s="403"/>
      <c r="AMM1" s="403"/>
      <c r="AMN1" s="403"/>
      <c r="AMO1" s="403"/>
      <c r="AMP1" s="403"/>
      <c r="AMQ1" s="403"/>
      <c r="AMR1" s="68"/>
      <c r="AMS1" s="69"/>
      <c r="AMT1" s="402" t="s">
        <v>169</v>
      </c>
      <c r="AMU1" s="403"/>
      <c r="AMV1" s="403"/>
      <c r="AMW1" s="403"/>
      <c r="AMX1" s="403"/>
      <c r="AMY1" s="403"/>
      <c r="AMZ1" s="403"/>
      <c r="ANA1" s="403"/>
      <c r="ANB1" s="403"/>
      <c r="ANC1" s="403"/>
      <c r="AND1" s="403"/>
      <c r="ANE1" s="403"/>
      <c r="ANF1" s="403"/>
      <c r="ANG1" s="403"/>
      <c r="ANH1" s="403"/>
      <c r="ANI1" s="403"/>
      <c r="ANJ1" s="403"/>
      <c r="ANK1" s="403"/>
      <c r="ANL1" s="403"/>
      <c r="ANM1" s="68"/>
      <c r="ANN1" s="69"/>
      <c r="ANO1" s="402" t="s">
        <v>170</v>
      </c>
      <c r="ANP1" s="403"/>
      <c r="ANQ1" s="403"/>
      <c r="ANR1" s="403"/>
      <c r="ANS1" s="403"/>
      <c r="ANT1" s="403"/>
      <c r="ANU1" s="403"/>
      <c r="ANV1" s="403"/>
      <c r="ANW1" s="403"/>
      <c r="ANX1" s="403"/>
      <c r="ANY1" s="403"/>
      <c r="ANZ1" s="403"/>
      <c r="AOA1" s="403"/>
      <c r="AOB1" s="403"/>
      <c r="AOC1" s="403"/>
      <c r="AOD1" s="403"/>
      <c r="AOE1" s="403"/>
      <c r="AOF1" s="403"/>
      <c r="AOG1" s="403"/>
      <c r="AOH1" s="68"/>
      <c r="AOI1" s="69"/>
      <c r="AOJ1" s="402" t="s">
        <v>171</v>
      </c>
      <c r="AOK1" s="403"/>
      <c r="AOL1" s="403"/>
      <c r="AOM1" s="403"/>
      <c r="AON1" s="403"/>
      <c r="AOO1" s="403"/>
      <c r="AOP1" s="403"/>
      <c r="AOQ1" s="403"/>
      <c r="AOR1" s="403"/>
      <c r="AOS1" s="403"/>
      <c r="AOT1" s="403"/>
      <c r="AOU1" s="403"/>
      <c r="AOV1" s="403"/>
      <c r="AOW1" s="403"/>
      <c r="AOX1" s="403"/>
      <c r="AOY1" s="403"/>
      <c r="AOZ1" s="403"/>
      <c r="APA1" s="403"/>
      <c r="APB1" s="403"/>
      <c r="APC1" s="68"/>
      <c r="APD1" s="69"/>
    </row>
    <row r="2" spans="1:1096" ht="15.75" customHeight="1" thickBot="1" x14ac:dyDescent="0.3">
      <c r="A2" s="59" t="e">
        <f ca="1">HYPERLINK("#"&amp;ADDRESS(3,MATCH(TODAY(),3:3,0)),"zu heute")</f>
        <v>#N/A</v>
      </c>
      <c r="B2" s="410"/>
      <c r="C2" s="410"/>
      <c r="D2" s="412"/>
      <c r="E2" s="70"/>
      <c r="F2" s="70"/>
      <c r="G2" s="70"/>
      <c r="H2" s="70"/>
      <c r="I2" s="70"/>
      <c r="J2" s="70"/>
      <c r="K2" s="70"/>
      <c r="L2" s="70"/>
      <c r="M2" s="70"/>
      <c r="N2" s="70"/>
      <c r="O2" s="70"/>
      <c r="P2" s="70"/>
      <c r="Q2" s="70"/>
      <c r="R2" s="70"/>
      <c r="S2" s="70"/>
      <c r="T2" s="70"/>
      <c r="U2" s="70"/>
      <c r="V2" s="70"/>
      <c r="W2" s="70"/>
      <c r="X2" s="70"/>
      <c r="Y2" s="70"/>
      <c r="Z2" s="70"/>
      <c r="AA2" s="70"/>
      <c r="AB2" s="70"/>
      <c r="AC2" s="70"/>
      <c r="AD2" s="70"/>
      <c r="AE2" s="70"/>
      <c r="AF2" s="70"/>
      <c r="AG2" s="70"/>
      <c r="AH2" s="70"/>
      <c r="AI2" s="70"/>
      <c r="AJ2" s="70"/>
      <c r="AK2" s="70"/>
      <c r="AL2" s="70"/>
      <c r="AM2" s="70"/>
      <c r="AN2" s="70"/>
      <c r="AO2" s="70"/>
      <c r="AP2" s="70"/>
      <c r="AQ2" s="70"/>
      <c r="AR2" s="70"/>
      <c r="AS2" s="70"/>
      <c r="AT2" s="70"/>
      <c r="AU2" s="70"/>
      <c r="AV2" s="70"/>
      <c r="AW2" s="70"/>
      <c r="AX2" s="70"/>
      <c r="AY2" s="70"/>
      <c r="AZ2" s="70"/>
      <c r="BA2" s="70"/>
      <c r="BB2" s="70"/>
      <c r="BC2" s="70"/>
      <c r="BD2" s="70"/>
      <c r="BE2" s="70"/>
      <c r="BF2" s="70"/>
      <c r="BG2" s="70"/>
      <c r="BH2" s="70"/>
      <c r="BI2" s="70"/>
      <c r="BJ2" s="70"/>
      <c r="BK2" s="70"/>
      <c r="BL2" s="70"/>
      <c r="BM2" s="70"/>
      <c r="BN2" s="70"/>
      <c r="BO2" s="70"/>
      <c r="BP2" s="70"/>
      <c r="BQ2" s="70"/>
      <c r="BR2" s="70"/>
      <c r="BS2" s="70"/>
      <c r="BT2" s="70"/>
      <c r="BU2" s="70"/>
      <c r="BV2" s="70"/>
      <c r="BW2" s="70"/>
      <c r="BX2" s="70"/>
      <c r="BY2" s="70"/>
      <c r="BZ2" s="70"/>
      <c r="CA2" s="70"/>
      <c r="CB2" s="70"/>
      <c r="CC2" s="70"/>
      <c r="CD2" s="70"/>
      <c r="CE2" s="70"/>
      <c r="CF2" s="70"/>
      <c r="CG2" s="70"/>
      <c r="CH2" s="70"/>
      <c r="CI2" s="70"/>
      <c r="CJ2" s="70"/>
      <c r="CK2" s="70"/>
      <c r="CL2" s="70"/>
      <c r="CM2" s="70"/>
      <c r="CN2" s="70"/>
      <c r="CO2" s="70"/>
      <c r="CP2" s="70"/>
      <c r="CQ2" s="70"/>
      <c r="CR2" s="70"/>
      <c r="CS2" s="70"/>
      <c r="CT2" s="70"/>
      <c r="CU2" s="70"/>
      <c r="CV2" s="70"/>
      <c r="CW2" s="70"/>
      <c r="CX2" s="70"/>
      <c r="CY2" s="70"/>
      <c r="CZ2" s="70"/>
      <c r="DA2" s="70"/>
      <c r="DB2" s="70"/>
      <c r="DC2" s="70"/>
      <c r="DD2" s="70"/>
      <c r="DE2" s="70"/>
      <c r="DF2" s="70"/>
      <c r="DG2" s="70"/>
      <c r="DH2" s="70"/>
      <c r="DI2" s="70"/>
      <c r="DJ2" s="70"/>
      <c r="DK2" s="70"/>
      <c r="DL2" s="70"/>
      <c r="DM2" s="70"/>
      <c r="DN2" s="70"/>
      <c r="DO2" s="70"/>
      <c r="DP2" s="70"/>
      <c r="DQ2" s="70"/>
      <c r="DR2" s="70"/>
      <c r="DS2" s="70"/>
      <c r="DT2" s="70"/>
      <c r="DU2" s="70"/>
      <c r="DV2" s="70"/>
      <c r="DW2" s="70"/>
      <c r="DX2" s="70"/>
      <c r="DY2" s="70"/>
      <c r="DZ2" s="70"/>
      <c r="EA2" s="70"/>
      <c r="EB2" s="70"/>
      <c r="EC2" s="70"/>
      <c r="ED2" s="70"/>
      <c r="EE2" s="70"/>
      <c r="EF2" s="70"/>
      <c r="EG2" s="70"/>
      <c r="EH2" s="70"/>
      <c r="EI2" s="70"/>
      <c r="EJ2" s="70"/>
      <c r="EK2" s="70"/>
      <c r="EL2" s="70"/>
      <c r="EM2" s="70"/>
      <c r="EN2" s="70"/>
      <c r="EO2" s="70"/>
      <c r="EP2" s="70"/>
      <c r="EQ2" s="70"/>
      <c r="ER2" s="70"/>
      <c r="ES2" s="70"/>
      <c r="ET2" s="70"/>
      <c r="EU2" s="70"/>
      <c r="EV2" s="70"/>
      <c r="EW2" s="70"/>
      <c r="EX2" s="70"/>
      <c r="EY2" s="70"/>
      <c r="EZ2" s="70"/>
      <c r="FA2" s="70"/>
      <c r="FB2" s="70"/>
      <c r="FC2" s="70"/>
      <c r="FD2" s="70"/>
      <c r="FE2" s="70"/>
      <c r="FF2" s="70"/>
      <c r="FG2" s="70"/>
      <c r="FH2" s="70"/>
      <c r="FI2" s="70"/>
      <c r="FJ2" s="70"/>
      <c r="FK2" s="70"/>
      <c r="FL2" s="70"/>
      <c r="FM2" s="70"/>
      <c r="FN2" s="70"/>
      <c r="FO2" s="70"/>
      <c r="FP2" s="70"/>
      <c r="FQ2" s="70"/>
      <c r="FR2" s="70"/>
      <c r="FS2" s="70"/>
      <c r="FT2" s="70"/>
      <c r="FU2" s="70"/>
      <c r="FV2" s="70"/>
      <c r="FW2" s="70"/>
      <c r="FX2" s="70"/>
      <c r="FY2" s="70"/>
      <c r="FZ2" s="70"/>
      <c r="GA2" s="70"/>
      <c r="GB2" s="70"/>
      <c r="GC2" s="70"/>
      <c r="GD2" s="70"/>
      <c r="GE2" s="70"/>
      <c r="GF2" s="70"/>
      <c r="GG2" s="70"/>
      <c r="GH2" s="70"/>
      <c r="GI2" s="70"/>
      <c r="GJ2" s="70"/>
      <c r="GK2" s="70"/>
      <c r="GL2" s="70"/>
      <c r="GM2" s="70"/>
      <c r="GN2" s="70"/>
      <c r="GO2" s="70"/>
      <c r="GP2" s="70"/>
      <c r="GQ2" s="70"/>
      <c r="GR2" s="70"/>
      <c r="GS2" s="70"/>
      <c r="GT2" s="70"/>
      <c r="GU2" s="70"/>
      <c r="GV2" s="70"/>
      <c r="GW2" s="70"/>
      <c r="GX2" s="70"/>
      <c r="GY2" s="70"/>
      <c r="GZ2" s="70"/>
      <c r="HA2" s="70"/>
      <c r="HB2" s="70"/>
      <c r="HC2" s="70"/>
      <c r="HD2" s="70"/>
      <c r="HE2" s="70"/>
      <c r="HF2" s="70"/>
      <c r="HG2" s="70"/>
      <c r="HH2" s="70"/>
      <c r="HI2" s="70"/>
      <c r="HJ2" s="70"/>
      <c r="HK2" s="70"/>
      <c r="HL2" s="70"/>
      <c r="HM2" s="70"/>
      <c r="HN2" s="70"/>
      <c r="HO2" s="70"/>
      <c r="HP2" s="70"/>
      <c r="HQ2" s="70"/>
      <c r="HR2" s="70"/>
      <c r="HS2" s="70"/>
      <c r="HT2" s="70"/>
      <c r="HU2" s="70"/>
      <c r="HV2" s="70"/>
      <c r="HW2" s="70"/>
      <c r="HX2" s="70"/>
      <c r="HY2" s="70"/>
      <c r="HZ2" s="70"/>
      <c r="IA2" s="70"/>
      <c r="IB2" s="70"/>
      <c r="IC2" s="70"/>
      <c r="ID2" s="70"/>
      <c r="IE2" s="70"/>
      <c r="IF2" s="70"/>
      <c r="IG2" s="70"/>
      <c r="IH2" s="70"/>
      <c r="II2" s="70"/>
      <c r="IJ2" s="70"/>
      <c r="IK2" s="70"/>
      <c r="IL2" s="70"/>
      <c r="IM2" s="70"/>
      <c r="IN2" s="70"/>
      <c r="IO2" s="70"/>
      <c r="IP2" s="70"/>
      <c r="IQ2" s="70"/>
      <c r="IR2" s="70"/>
      <c r="IS2" s="70"/>
      <c r="IT2" s="70"/>
      <c r="IU2" s="70"/>
      <c r="IV2" s="70"/>
      <c r="IW2" s="70"/>
      <c r="IX2" s="70"/>
      <c r="IY2" s="70"/>
      <c r="IZ2" s="70"/>
      <c r="JA2" s="70"/>
      <c r="JB2" s="70"/>
      <c r="JC2" s="70"/>
      <c r="JD2" s="70"/>
      <c r="JE2" s="70"/>
      <c r="JF2" s="70"/>
      <c r="JG2" s="70"/>
      <c r="JH2" s="70"/>
      <c r="JI2" s="70"/>
      <c r="JJ2" s="70"/>
      <c r="JK2" s="70"/>
      <c r="JL2" s="70"/>
      <c r="JM2" s="70"/>
      <c r="JN2" s="70"/>
      <c r="JO2" s="70"/>
      <c r="JP2" s="70"/>
      <c r="JQ2" s="70"/>
      <c r="JR2" s="70"/>
      <c r="JS2" s="70"/>
      <c r="JT2" s="70"/>
      <c r="JU2" s="70"/>
      <c r="JV2" s="70"/>
      <c r="JW2" s="70"/>
      <c r="JX2" s="70"/>
      <c r="JY2" s="70"/>
      <c r="JZ2" s="70"/>
      <c r="KA2" s="70"/>
      <c r="KB2" s="70"/>
      <c r="KC2" s="70"/>
      <c r="KD2" s="70"/>
      <c r="KE2" s="70"/>
      <c r="KF2" s="70"/>
      <c r="KG2" s="70"/>
      <c r="KH2" s="70"/>
      <c r="KI2" s="70"/>
      <c r="KJ2" s="70"/>
      <c r="KK2" s="70"/>
      <c r="KL2" s="70"/>
      <c r="KM2" s="70"/>
      <c r="KN2" s="70"/>
      <c r="KO2" s="70"/>
      <c r="KP2" s="70"/>
      <c r="KQ2" s="70"/>
      <c r="KR2" s="70"/>
      <c r="KS2" s="70"/>
      <c r="KT2" s="70"/>
      <c r="KU2" s="70"/>
      <c r="KV2" s="70"/>
      <c r="KW2" s="70"/>
      <c r="KX2" s="70"/>
      <c r="KY2" s="70"/>
      <c r="KZ2" s="70"/>
      <c r="LA2" s="70"/>
      <c r="LB2" s="70"/>
      <c r="LC2" s="70"/>
      <c r="LD2" s="70"/>
      <c r="LE2" s="70"/>
      <c r="LF2" s="70"/>
      <c r="LG2" s="70"/>
      <c r="LH2" s="70"/>
      <c r="LI2" s="70"/>
      <c r="LJ2" s="70"/>
      <c r="LK2" s="70"/>
      <c r="LL2" s="70"/>
      <c r="LM2" s="70"/>
      <c r="LN2" s="70"/>
      <c r="LO2" s="70"/>
      <c r="LP2" s="70"/>
      <c r="LQ2" s="70"/>
      <c r="LR2" s="70"/>
      <c r="LS2" s="70"/>
      <c r="LT2" s="70"/>
      <c r="LU2" s="70"/>
      <c r="LV2" s="70"/>
      <c r="LW2" s="70"/>
      <c r="LX2" s="70"/>
      <c r="LY2" s="70"/>
      <c r="LZ2" s="70"/>
      <c r="MA2" s="70"/>
      <c r="MB2" s="70"/>
      <c r="MC2" s="70"/>
      <c r="MD2" s="70"/>
      <c r="ME2" s="70"/>
      <c r="MF2" s="70"/>
      <c r="MG2" s="70"/>
      <c r="MH2" s="70"/>
      <c r="MI2" s="70"/>
      <c r="MJ2" s="70"/>
      <c r="MK2" s="70"/>
      <c r="ML2" s="70"/>
      <c r="MM2" s="70"/>
      <c r="MN2" s="70"/>
      <c r="MO2" s="70"/>
      <c r="MP2" s="70"/>
      <c r="MQ2" s="70"/>
      <c r="MR2" s="70"/>
      <c r="MS2" s="70"/>
      <c r="MT2" s="70"/>
      <c r="MU2" s="70"/>
      <c r="MV2" s="70"/>
      <c r="MW2" s="70"/>
      <c r="MX2" s="70"/>
      <c r="MY2" s="70"/>
      <c r="MZ2" s="70"/>
      <c r="NA2" s="70"/>
      <c r="NB2" s="70"/>
      <c r="NC2" s="70"/>
      <c r="ND2" s="70"/>
      <c r="NE2" s="70"/>
      <c r="NF2" s="70"/>
      <c r="NG2" s="70"/>
      <c r="NH2" s="70"/>
      <c r="NI2" s="70"/>
      <c r="NJ2" s="70"/>
      <c r="NK2" s="70"/>
      <c r="NL2" s="70"/>
      <c r="NM2" s="70"/>
      <c r="NN2" s="70"/>
      <c r="NO2" s="70"/>
      <c r="NP2" s="70"/>
      <c r="NQ2" s="70"/>
      <c r="NR2" s="70"/>
      <c r="NS2" s="70"/>
      <c r="NT2" s="70"/>
      <c r="NU2" s="70"/>
      <c r="NV2" s="70"/>
      <c r="NW2" s="70"/>
      <c r="NX2" s="70"/>
      <c r="NY2" s="70"/>
      <c r="NZ2" s="70"/>
      <c r="OA2" s="70"/>
      <c r="OB2" s="70"/>
      <c r="OC2" s="70"/>
      <c r="OD2" s="70"/>
      <c r="OE2" s="70"/>
      <c r="OF2" s="70"/>
      <c r="OG2" s="70"/>
      <c r="OH2" s="70"/>
      <c r="OI2" s="70"/>
      <c r="OJ2" s="70"/>
      <c r="OK2" s="70"/>
      <c r="OL2" s="70"/>
      <c r="OM2" s="70"/>
      <c r="ON2" s="70"/>
      <c r="OO2" s="70"/>
      <c r="OP2" s="70"/>
      <c r="OQ2" s="70"/>
      <c r="OR2" s="70"/>
      <c r="OS2" s="70"/>
      <c r="OT2" s="70"/>
      <c r="OU2" s="70"/>
      <c r="OV2" s="70"/>
      <c r="OW2" s="70"/>
      <c r="OX2" s="70"/>
      <c r="OY2" s="70"/>
      <c r="OZ2" s="70"/>
      <c r="PA2" s="70"/>
      <c r="PB2" s="70"/>
      <c r="PC2" s="70"/>
      <c r="PD2" s="70"/>
      <c r="PE2" s="70"/>
      <c r="PF2" s="70"/>
      <c r="PG2" s="70"/>
      <c r="PH2" s="70"/>
      <c r="PI2" s="70"/>
      <c r="PJ2" s="70"/>
      <c r="PK2" s="70"/>
      <c r="PL2" s="70"/>
      <c r="PM2" s="70"/>
      <c r="PN2" s="70"/>
      <c r="PO2" s="70"/>
      <c r="PP2" s="70"/>
      <c r="PQ2" s="70"/>
      <c r="PR2" s="70"/>
      <c r="PS2" s="70"/>
      <c r="PT2" s="70"/>
      <c r="PU2" s="70"/>
      <c r="PV2" s="70"/>
      <c r="PW2" s="70"/>
      <c r="PX2" s="70"/>
      <c r="PY2" s="70"/>
      <c r="PZ2" s="70"/>
      <c r="QA2" s="70"/>
      <c r="QB2" s="70"/>
      <c r="QC2" s="70"/>
      <c r="QD2" s="70"/>
      <c r="QE2" s="70"/>
      <c r="QF2" s="70"/>
      <c r="QG2" s="70"/>
      <c r="QH2" s="70"/>
      <c r="QI2" s="70"/>
      <c r="QJ2" s="70"/>
      <c r="QK2" s="70"/>
      <c r="QL2" s="70"/>
      <c r="QM2" s="70"/>
      <c r="QN2" s="70"/>
      <c r="QO2" s="70"/>
      <c r="QP2" s="70"/>
      <c r="QQ2" s="70"/>
      <c r="QR2" s="70"/>
      <c r="QS2" s="70"/>
      <c r="QT2" s="70"/>
      <c r="QU2" s="70"/>
      <c r="QV2" s="70"/>
      <c r="QW2" s="70"/>
      <c r="QX2" s="70"/>
      <c r="QY2" s="70"/>
      <c r="QZ2" s="70"/>
      <c r="RA2" s="70"/>
      <c r="RB2" s="70"/>
      <c r="RC2" s="70"/>
      <c r="RD2" s="70"/>
      <c r="RE2" s="70"/>
      <c r="RF2" s="70"/>
      <c r="RG2" s="70"/>
      <c r="RH2" s="70"/>
      <c r="RI2" s="70"/>
      <c r="RJ2" s="70"/>
      <c r="RK2" s="70"/>
      <c r="RL2" s="70"/>
      <c r="RM2" s="70"/>
      <c r="RN2" s="70"/>
      <c r="RO2" s="70"/>
      <c r="RP2" s="70"/>
      <c r="RQ2" s="70"/>
      <c r="RR2" s="70"/>
      <c r="RS2" s="70"/>
      <c r="RT2" s="70"/>
      <c r="RU2" s="70"/>
      <c r="RV2" s="70"/>
      <c r="RW2" s="70"/>
      <c r="RX2" s="70"/>
      <c r="RY2" s="70"/>
      <c r="RZ2" s="70"/>
      <c r="SA2" s="70"/>
      <c r="SB2" s="70"/>
      <c r="SC2" s="70"/>
      <c r="SD2" s="70"/>
      <c r="SE2" s="70"/>
      <c r="SF2" s="70"/>
      <c r="SG2" s="70"/>
      <c r="SH2" s="70"/>
      <c r="SI2" s="70"/>
      <c r="SJ2" s="70"/>
      <c r="SK2" s="70"/>
      <c r="SL2" s="70"/>
      <c r="SM2" s="70"/>
      <c r="SN2" s="70"/>
      <c r="SO2" s="70"/>
      <c r="SP2" s="70"/>
      <c r="SQ2" s="70"/>
      <c r="SR2" s="70"/>
      <c r="SS2" s="70"/>
      <c r="ST2" s="70"/>
      <c r="SU2" s="70"/>
      <c r="SV2" s="70"/>
      <c r="SW2" s="70"/>
      <c r="SX2" s="70"/>
      <c r="SY2" s="70"/>
      <c r="SZ2" s="70"/>
      <c r="TA2" s="70"/>
      <c r="TB2" s="70"/>
      <c r="TC2" s="70"/>
      <c r="TD2" s="70"/>
      <c r="TE2" s="70"/>
      <c r="TF2" s="70"/>
      <c r="TG2" s="70"/>
      <c r="TH2" s="70"/>
      <c r="TI2" s="70"/>
      <c r="TJ2" s="70"/>
      <c r="TK2" s="70"/>
      <c r="TL2" s="70"/>
      <c r="TM2" s="70"/>
      <c r="TN2" s="70"/>
      <c r="TO2" s="70"/>
      <c r="TP2" s="70"/>
      <c r="TQ2" s="70"/>
      <c r="TR2" s="70"/>
      <c r="TS2" s="70"/>
      <c r="TT2" s="70"/>
      <c r="TU2" s="70"/>
      <c r="TV2" s="70"/>
      <c r="TW2" s="70"/>
      <c r="TX2" s="70"/>
      <c r="TY2" s="70"/>
      <c r="TZ2" s="70"/>
      <c r="UA2" s="70"/>
      <c r="UB2" s="70"/>
      <c r="UC2" s="70"/>
      <c r="UD2" s="70"/>
      <c r="UE2" s="70"/>
      <c r="UF2" s="70"/>
      <c r="UG2" s="70"/>
      <c r="UH2" s="70"/>
      <c r="UI2" s="70"/>
      <c r="UJ2" s="70"/>
      <c r="UK2" s="70"/>
      <c r="UL2" s="70"/>
      <c r="UM2" s="70"/>
      <c r="UN2" s="70"/>
      <c r="UO2" s="70"/>
      <c r="UP2" s="70"/>
      <c r="UQ2" s="70"/>
      <c r="UR2" s="70"/>
      <c r="US2" s="70"/>
      <c r="UT2" s="70"/>
      <c r="UU2" s="70"/>
      <c r="UV2" s="70"/>
      <c r="UW2" s="70"/>
      <c r="UX2" s="70"/>
      <c r="UY2" s="70"/>
      <c r="UZ2" s="70"/>
      <c r="VA2" s="70"/>
      <c r="VB2" s="70"/>
      <c r="VC2" s="70"/>
      <c r="VD2" s="70"/>
      <c r="VE2" s="70"/>
      <c r="VF2" s="70"/>
      <c r="VG2" s="70"/>
      <c r="VH2" s="70"/>
      <c r="VI2" s="70"/>
      <c r="VJ2" s="70"/>
      <c r="VK2" s="70"/>
      <c r="VL2" s="70"/>
      <c r="VM2" s="70"/>
      <c r="VN2" s="70"/>
      <c r="VO2" s="70"/>
      <c r="VP2" s="70"/>
      <c r="VQ2" s="70"/>
      <c r="VR2" s="70"/>
      <c r="VS2" s="70"/>
      <c r="VT2" s="70"/>
      <c r="VU2" s="70"/>
      <c r="VV2" s="70"/>
      <c r="VW2" s="70"/>
      <c r="VX2" s="70"/>
      <c r="VY2" s="70"/>
      <c r="VZ2" s="70"/>
      <c r="WA2" s="70"/>
      <c r="WB2" s="70"/>
      <c r="WC2" s="70"/>
      <c r="WD2" s="70"/>
      <c r="WE2" s="70"/>
      <c r="WF2" s="70"/>
      <c r="WG2" s="70"/>
      <c r="WH2" s="70"/>
      <c r="WI2" s="70"/>
      <c r="WJ2" s="70"/>
      <c r="WK2" s="70"/>
      <c r="WL2" s="70"/>
      <c r="WM2" s="70"/>
      <c r="WN2" s="70"/>
      <c r="WO2" s="70"/>
      <c r="WP2" s="70"/>
      <c r="WQ2" s="70"/>
      <c r="WR2" s="70"/>
      <c r="WS2" s="70"/>
      <c r="WT2" s="70"/>
      <c r="WU2" s="70"/>
      <c r="WV2" s="70"/>
      <c r="WW2" s="70"/>
      <c r="WX2" s="70"/>
      <c r="WY2" s="70"/>
      <c r="WZ2" s="70"/>
      <c r="XA2" s="70"/>
      <c r="XB2" s="70"/>
      <c r="XC2" s="70"/>
      <c r="XD2" s="70"/>
      <c r="XE2" s="70"/>
      <c r="XF2" s="70"/>
      <c r="XG2" s="70"/>
      <c r="XH2" s="70"/>
      <c r="XI2" s="70"/>
      <c r="XJ2" s="70"/>
      <c r="XK2" s="70"/>
      <c r="XL2" s="70"/>
      <c r="XM2" s="70"/>
      <c r="XN2" s="70"/>
      <c r="XO2" s="70"/>
      <c r="XP2" s="70"/>
      <c r="XQ2" s="70"/>
      <c r="XR2" s="70"/>
      <c r="XS2" s="70"/>
      <c r="XT2" s="70"/>
      <c r="XU2" s="70"/>
      <c r="XV2" s="70"/>
      <c r="XW2" s="70"/>
      <c r="XX2" s="70"/>
      <c r="XY2" s="70"/>
      <c r="XZ2" s="70"/>
      <c r="YA2" s="70"/>
      <c r="YB2" s="70"/>
      <c r="YC2" s="70"/>
      <c r="YD2" s="70"/>
      <c r="YE2" s="70"/>
      <c r="YF2" s="70"/>
      <c r="YG2" s="70"/>
      <c r="YH2" s="70"/>
      <c r="YI2" s="70"/>
      <c r="YJ2" s="70"/>
      <c r="YK2" s="70"/>
      <c r="YL2" s="70"/>
      <c r="YM2" s="70"/>
      <c r="YN2" s="70"/>
      <c r="YO2" s="70"/>
      <c r="YP2" s="70"/>
      <c r="YQ2" s="70"/>
      <c r="YR2" s="70"/>
      <c r="YS2" s="70"/>
      <c r="YT2" s="70"/>
      <c r="YU2" s="70"/>
      <c r="YV2" s="70"/>
      <c r="YW2" s="70"/>
      <c r="YX2" s="70"/>
      <c r="YY2" s="70"/>
      <c r="YZ2" s="70"/>
      <c r="ZA2" s="70"/>
      <c r="ZB2" s="70"/>
      <c r="ZC2" s="70"/>
      <c r="ZD2" s="70"/>
      <c r="ZE2" s="70"/>
      <c r="ZF2" s="70"/>
      <c r="ZG2" s="70"/>
      <c r="ZH2" s="70"/>
      <c r="ZI2" s="70"/>
      <c r="ZJ2" s="70"/>
      <c r="ZK2" s="70"/>
      <c r="ZL2" s="70"/>
      <c r="ZM2" s="70"/>
      <c r="ZN2" s="70"/>
      <c r="ZO2" s="70"/>
      <c r="ZP2" s="70"/>
      <c r="ZQ2" s="70"/>
      <c r="ZR2" s="70"/>
      <c r="ZS2" s="70"/>
      <c r="ZT2" s="70"/>
      <c r="ZU2" s="70"/>
      <c r="ZV2" s="70"/>
      <c r="ZW2" s="70"/>
      <c r="ZX2" s="70"/>
      <c r="ZY2" s="70"/>
      <c r="ZZ2" s="70"/>
      <c r="AAA2" s="70"/>
      <c r="AAB2" s="70"/>
      <c r="AAC2" s="70"/>
      <c r="AAD2" s="70"/>
      <c r="AAE2" s="70"/>
      <c r="AAF2" s="70"/>
      <c r="AAG2" s="70"/>
      <c r="AAH2" s="70"/>
      <c r="AAI2" s="70"/>
      <c r="AAJ2" s="70"/>
      <c r="AAK2" s="70"/>
      <c r="AAL2" s="70"/>
      <c r="AAM2" s="70"/>
      <c r="AAN2" s="70"/>
      <c r="AAO2" s="70"/>
      <c r="AAP2" s="70"/>
      <c r="AAQ2" s="70"/>
      <c r="AAR2" s="70"/>
      <c r="AAS2" s="70"/>
      <c r="AAT2" s="70"/>
      <c r="AAU2" s="70"/>
      <c r="AAV2" s="70"/>
      <c r="AAW2" s="70"/>
      <c r="AAX2" s="70"/>
      <c r="AAY2" s="70"/>
      <c r="AAZ2" s="70"/>
      <c r="ABA2" s="70"/>
      <c r="ABB2" s="70"/>
      <c r="ABC2" s="70"/>
      <c r="ABD2" s="70"/>
      <c r="ABE2" s="70"/>
      <c r="ABF2" s="70"/>
      <c r="ABG2" s="70"/>
      <c r="ABH2" s="70"/>
      <c r="ABI2" s="70"/>
      <c r="ABJ2" s="70"/>
      <c r="ABK2" s="70"/>
      <c r="ABL2" s="70"/>
      <c r="ABM2" s="70"/>
      <c r="ABN2" s="70"/>
      <c r="ABO2" s="70"/>
      <c r="ABP2" s="70"/>
      <c r="ABQ2" s="70"/>
      <c r="ABR2" s="70"/>
      <c r="ABS2" s="70"/>
      <c r="ABT2" s="70"/>
      <c r="ABU2" s="70"/>
      <c r="ABV2" s="70"/>
      <c r="ABW2" s="70"/>
      <c r="ABX2" s="70"/>
      <c r="ABY2" s="70"/>
      <c r="ABZ2" s="70"/>
      <c r="ACA2" s="70"/>
      <c r="ACB2" s="70"/>
      <c r="ACC2" s="70"/>
      <c r="ACD2" s="70"/>
      <c r="ACE2" s="70"/>
      <c r="ACF2" s="70"/>
      <c r="ACG2" s="70"/>
      <c r="ACH2" s="70"/>
      <c r="ACI2" s="70"/>
      <c r="ACJ2" s="70"/>
      <c r="ACK2" s="70"/>
      <c r="ACL2" s="70"/>
      <c r="ACM2" s="70"/>
      <c r="ACN2" s="70"/>
      <c r="ACO2" s="70"/>
      <c r="ACP2" s="70"/>
      <c r="ACQ2" s="70"/>
      <c r="ACR2" s="70"/>
      <c r="ACS2" s="70"/>
      <c r="ACT2" s="70"/>
      <c r="ACU2" s="70"/>
      <c r="ACV2" s="70"/>
      <c r="ACW2" s="70"/>
      <c r="ACX2" s="70"/>
      <c r="ACY2" s="70"/>
      <c r="ACZ2" s="70"/>
      <c r="ADA2" s="70"/>
      <c r="ADB2" s="70"/>
      <c r="ADC2" s="70"/>
      <c r="ADD2" s="70"/>
      <c r="ADE2" s="70"/>
      <c r="ADF2" s="70"/>
      <c r="ADG2" s="70"/>
      <c r="ADH2" s="70"/>
      <c r="ADI2" s="70"/>
      <c r="ADJ2" s="70"/>
      <c r="ADK2" s="70"/>
      <c r="ADL2" s="70"/>
      <c r="ADM2" s="70"/>
      <c r="ADN2" s="70"/>
      <c r="ADO2" s="70"/>
      <c r="ADP2" s="70"/>
      <c r="ADQ2" s="70"/>
      <c r="ADR2" s="70"/>
      <c r="ADS2" s="70"/>
      <c r="ADT2" s="70"/>
      <c r="ADU2" s="70"/>
      <c r="ADV2" s="70"/>
      <c r="ADW2" s="70"/>
      <c r="ADX2" s="70"/>
      <c r="ADY2" s="70"/>
      <c r="ADZ2" s="70"/>
      <c r="AEA2" s="70"/>
      <c r="AEB2" s="70"/>
      <c r="AEC2" s="70"/>
      <c r="AED2" s="70"/>
      <c r="AEE2" s="70"/>
      <c r="AEF2" s="70"/>
      <c r="AEG2" s="70"/>
      <c r="AEH2" s="70"/>
      <c r="AEI2" s="70"/>
      <c r="AEJ2" s="70"/>
      <c r="AEK2" s="70"/>
      <c r="AEL2" s="70"/>
      <c r="AEM2" s="70"/>
      <c r="AEN2" s="70"/>
      <c r="AEO2" s="70"/>
      <c r="AEP2" s="70"/>
      <c r="AEQ2" s="70"/>
      <c r="AER2" s="70"/>
      <c r="AES2" s="70"/>
      <c r="AET2" s="70"/>
      <c r="AEU2" s="70"/>
      <c r="AEV2" s="70"/>
      <c r="AEW2" s="70"/>
      <c r="AEX2" s="70"/>
      <c r="AEY2" s="70"/>
      <c r="AEZ2" s="70"/>
      <c r="AFA2" s="70"/>
      <c r="AFB2" s="70"/>
      <c r="AFC2" s="70"/>
      <c r="AFD2" s="70"/>
      <c r="AFE2" s="70"/>
      <c r="AFF2" s="70"/>
      <c r="AFG2" s="70"/>
      <c r="AFH2" s="70"/>
      <c r="AFI2" s="70"/>
      <c r="AFJ2" s="70"/>
      <c r="AFK2" s="70"/>
      <c r="AFL2" s="70"/>
      <c r="AFM2" s="70"/>
      <c r="AFN2" s="70"/>
      <c r="AFO2" s="70"/>
      <c r="AFP2" s="70"/>
      <c r="AFQ2" s="70"/>
      <c r="AFR2" s="70"/>
      <c r="AFS2" s="70"/>
      <c r="AFT2" s="70"/>
      <c r="AFU2" s="70"/>
      <c r="AFV2" s="70"/>
      <c r="AFW2" s="70"/>
      <c r="AFX2" s="70"/>
      <c r="AFY2" s="70"/>
      <c r="AFZ2" s="70"/>
      <c r="AGA2" s="70"/>
      <c r="AGB2" s="70"/>
      <c r="AGC2" s="70"/>
      <c r="AGD2" s="70"/>
      <c r="AGE2" s="70"/>
      <c r="AGF2" s="70"/>
      <c r="AGG2" s="70"/>
      <c r="AGH2" s="70"/>
      <c r="AGI2" s="70"/>
      <c r="AGJ2" s="70"/>
      <c r="AGK2" s="70"/>
      <c r="AGL2" s="70"/>
      <c r="AGM2" s="70"/>
      <c r="AGN2" s="70"/>
      <c r="AGO2" s="70"/>
      <c r="AGP2" s="70"/>
      <c r="AGQ2" s="70"/>
      <c r="AGR2" s="70"/>
      <c r="AGS2" s="70"/>
      <c r="AGT2" s="70"/>
      <c r="AGU2" s="70"/>
      <c r="AGV2" s="70"/>
      <c r="AGW2" s="70"/>
      <c r="AGX2" s="70"/>
      <c r="AGY2" s="70"/>
      <c r="AGZ2" s="70"/>
      <c r="AHA2" s="70"/>
      <c r="AHB2" s="70"/>
      <c r="AHC2" s="70"/>
      <c r="AHD2" s="70"/>
      <c r="AHE2" s="70"/>
      <c r="AHF2" s="70"/>
      <c r="AHG2" s="70"/>
      <c r="AHH2" s="70"/>
      <c r="AHI2" s="70"/>
      <c r="AHJ2" s="70"/>
      <c r="AHK2" s="70"/>
      <c r="AHL2" s="70"/>
      <c r="AHM2" s="70"/>
      <c r="AHN2" s="70"/>
      <c r="AHO2" s="70"/>
      <c r="AHP2" s="70"/>
      <c r="AHQ2" s="70"/>
      <c r="AHR2" s="70"/>
      <c r="AHS2" s="70"/>
      <c r="AHT2" s="70"/>
      <c r="AHU2" s="70"/>
      <c r="AHV2" s="70"/>
      <c r="AHW2" s="70"/>
      <c r="AHX2" s="70"/>
      <c r="AHY2" s="70"/>
      <c r="AHZ2" s="70"/>
      <c r="AIA2" s="70"/>
      <c r="AIB2" s="70"/>
      <c r="AIC2" s="70"/>
      <c r="AID2" s="70"/>
      <c r="AIE2" s="70"/>
      <c r="AIF2" s="70"/>
      <c r="AIG2" s="70"/>
      <c r="AIH2" s="70"/>
      <c r="AII2" s="70"/>
      <c r="AIJ2" s="70"/>
      <c r="AIK2" s="70"/>
      <c r="AIL2" s="70"/>
      <c r="AIM2" s="70"/>
      <c r="AIN2" s="70"/>
      <c r="AIO2" s="70"/>
      <c r="AIP2" s="70"/>
      <c r="AIQ2" s="70"/>
      <c r="AIR2" s="70"/>
      <c r="AIS2" s="70"/>
      <c r="AIT2" s="70"/>
      <c r="AIU2" s="70"/>
      <c r="AIV2" s="70"/>
      <c r="AIW2" s="70"/>
      <c r="AIX2" s="70"/>
      <c r="AIY2" s="70"/>
      <c r="AIZ2" s="70"/>
      <c r="AJA2" s="70"/>
      <c r="AJB2" s="70"/>
      <c r="AJC2" s="70"/>
      <c r="AJD2" s="70"/>
      <c r="AJE2" s="70"/>
      <c r="AJF2" s="70"/>
      <c r="AJG2" s="70"/>
      <c r="AJH2" s="70"/>
      <c r="AJI2" s="70"/>
      <c r="AJJ2" s="70"/>
      <c r="AJK2" s="70"/>
      <c r="AJL2" s="70"/>
      <c r="AJM2" s="70"/>
      <c r="AJN2" s="70"/>
      <c r="AJO2" s="70"/>
      <c r="AJP2" s="70"/>
      <c r="AJQ2" s="70"/>
      <c r="AJR2" s="70"/>
      <c r="AJS2" s="70"/>
      <c r="AJT2" s="70"/>
      <c r="AJU2" s="70"/>
      <c r="AJV2" s="70"/>
      <c r="AJW2" s="70"/>
      <c r="AJX2" s="70"/>
      <c r="AJY2" s="70"/>
      <c r="AJZ2" s="70"/>
      <c r="AKA2" s="70"/>
      <c r="AKB2" s="70"/>
      <c r="AKC2" s="70"/>
      <c r="AKD2" s="70"/>
      <c r="AKE2" s="70"/>
      <c r="AKF2" s="70"/>
      <c r="AKG2" s="70"/>
      <c r="AKH2" s="70"/>
      <c r="AKI2" s="70"/>
      <c r="AKJ2" s="70"/>
      <c r="AKK2" s="70"/>
      <c r="AKL2" s="70"/>
      <c r="AKM2" s="70"/>
      <c r="AKN2" s="70"/>
      <c r="AKO2" s="70"/>
      <c r="AKP2" s="70"/>
      <c r="AKQ2" s="70"/>
      <c r="AKR2" s="70"/>
      <c r="AKS2" s="70"/>
      <c r="AKT2" s="70"/>
      <c r="AKU2" s="70"/>
      <c r="AKV2" s="70"/>
      <c r="AKW2" s="70"/>
      <c r="AKX2" s="70"/>
      <c r="AKY2" s="70"/>
      <c r="AKZ2" s="70"/>
      <c r="ALA2" s="70"/>
      <c r="ALB2" s="70"/>
      <c r="ALC2" s="70"/>
      <c r="ALD2" s="70"/>
      <c r="ALE2" s="70"/>
      <c r="ALF2" s="70"/>
      <c r="ALG2" s="70"/>
      <c r="ALH2" s="70"/>
      <c r="ALI2" s="70"/>
      <c r="ALJ2" s="70"/>
      <c r="ALK2" s="70"/>
      <c r="ALL2" s="70"/>
      <c r="ALM2" s="70"/>
      <c r="ALN2" s="70"/>
      <c r="ALO2" s="70"/>
      <c r="ALP2" s="70"/>
      <c r="ALQ2" s="70"/>
      <c r="ALR2" s="70"/>
      <c r="ALS2" s="70"/>
      <c r="ALT2" s="70"/>
      <c r="ALU2" s="70"/>
      <c r="ALV2" s="70"/>
      <c r="ALW2" s="70"/>
      <c r="ALX2" s="70"/>
      <c r="ALY2" s="70"/>
      <c r="ALZ2" s="70"/>
      <c r="AMA2" s="70"/>
      <c r="AMB2" s="70"/>
      <c r="AMC2" s="70"/>
      <c r="AMD2" s="70"/>
      <c r="AME2" s="70"/>
      <c r="AMF2" s="70"/>
      <c r="AMG2" s="70"/>
      <c r="AMH2" s="70"/>
      <c r="AMI2" s="70"/>
      <c r="AMJ2" s="70"/>
      <c r="AMK2" s="70"/>
      <c r="AML2" s="70"/>
      <c r="AMM2" s="70"/>
      <c r="AMN2" s="70"/>
      <c r="AMO2" s="70"/>
      <c r="AMP2" s="70"/>
      <c r="AMQ2" s="70"/>
      <c r="AMR2" s="70"/>
      <c r="AMS2" s="70"/>
      <c r="AMT2" s="70"/>
      <c r="AMU2" s="70"/>
      <c r="AMV2" s="70"/>
      <c r="AMW2" s="70"/>
      <c r="AMX2" s="70"/>
      <c r="AMY2" s="70"/>
      <c r="AMZ2" s="70"/>
      <c r="ANA2" s="70"/>
      <c r="ANB2" s="70"/>
      <c r="ANC2" s="70"/>
      <c r="AND2" s="70"/>
      <c r="ANE2" s="70"/>
      <c r="ANF2" s="70"/>
      <c r="ANG2" s="70"/>
      <c r="ANH2" s="70"/>
      <c r="ANI2" s="70"/>
      <c r="ANJ2" s="70"/>
      <c r="ANK2" s="70"/>
      <c r="ANL2" s="70"/>
      <c r="ANM2" s="70"/>
      <c r="ANN2" s="70"/>
      <c r="ANO2" s="70"/>
      <c r="ANP2" s="70"/>
      <c r="ANQ2" s="70"/>
      <c r="ANR2" s="70"/>
      <c r="ANS2" s="70"/>
      <c r="ANT2" s="70"/>
      <c r="ANU2" s="70"/>
      <c r="ANV2" s="70"/>
      <c r="ANW2" s="70"/>
      <c r="ANX2" s="70"/>
      <c r="ANY2" s="70"/>
      <c r="ANZ2" s="70"/>
      <c r="AOA2" s="70"/>
      <c r="AOB2" s="70"/>
      <c r="AOC2" s="70"/>
      <c r="AOD2" s="70"/>
      <c r="AOE2" s="70"/>
      <c r="AOF2" s="70"/>
      <c r="AOG2" s="70"/>
      <c r="AOH2" s="70"/>
      <c r="AOI2" s="70"/>
      <c r="AOJ2" s="70"/>
      <c r="AOK2" s="70"/>
      <c r="AOL2" s="70"/>
      <c r="AOM2" s="70"/>
      <c r="AON2" s="70"/>
      <c r="AOO2" s="70"/>
      <c r="AOP2" s="70"/>
      <c r="AOQ2" s="70"/>
      <c r="AOR2" s="70"/>
      <c r="AOS2" s="70"/>
      <c r="AOT2" s="70"/>
      <c r="AOU2" s="70"/>
      <c r="AOV2" s="70"/>
      <c r="AOW2" s="70"/>
      <c r="AOX2" s="70"/>
      <c r="AOY2" s="70"/>
      <c r="AOZ2" s="70"/>
      <c r="APA2" s="70"/>
      <c r="APB2" s="70"/>
      <c r="APC2" s="70"/>
      <c r="APD2" s="70"/>
    </row>
    <row r="3" spans="1:1096" ht="15.75" customHeight="1" x14ac:dyDescent="0.25">
      <c r="A3" s="4"/>
      <c r="B3" s="410"/>
      <c r="C3" s="410"/>
      <c r="D3" s="412"/>
      <c r="E3" s="399">
        <v>43467</v>
      </c>
      <c r="F3" s="400"/>
      <c r="G3" s="401"/>
      <c r="H3" s="399">
        <v>43103</v>
      </c>
      <c r="I3" s="400"/>
      <c r="J3" s="401"/>
      <c r="K3" s="399">
        <v>43104</v>
      </c>
      <c r="L3" s="400"/>
      <c r="M3" s="401"/>
      <c r="N3" s="399">
        <v>43105</v>
      </c>
      <c r="O3" s="400"/>
      <c r="P3" s="401"/>
      <c r="Q3" s="399">
        <v>43106</v>
      </c>
      <c r="R3" s="400"/>
      <c r="S3" s="401"/>
      <c r="T3" s="399">
        <v>43107</v>
      </c>
      <c r="U3" s="400"/>
      <c r="V3" s="401"/>
      <c r="W3" s="399">
        <v>43108</v>
      </c>
      <c r="X3" s="400"/>
      <c r="Y3" s="401"/>
      <c r="Z3" s="399">
        <v>43109</v>
      </c>
      <c r="AA3" s="400"/>
      <c r="AB3" s="401"/>
      <c r="AC3" s="399">
        <v>43110</v>
      </c>
      <c r="AD3" s="400"/>
      <c r="AE3" s="401"/>
      <c r="AF3" s="399">
        <v>43111</v>
      </c>
      <c r="AG3" s="400"/>
      <c r="AH3" s="401"/>
      <c r="AI3" s="399">
        <v>43112</v>
      </c>
      <c r="AJ3" s="400"/>
      <c r="AK3" s="401"/>
      <c r="AL3" s="399">
        <v>43113</v>
      </c>
      <c r="AM3" s="400"/>
      <c r="AN3" s="401"/>
      <c r="AO3" s="399">
        <v>43114</v>
      </c>
      <c r="AP3" s="400"/>
      <c r="AQ3" s="401"/>
      <c r="AR3" s="399">
        <v>43115</v>
      </c>
      <c r="AS3" s="400"/>
      <c r="AT3" s="401"/>
      <c r="AU3" s="399">
        <v>43116</v>
      </c>
      <c r="AV3" s="400"/>
      <c r="AW3" s="401"/>
      <c r="AX3" s="399">
        <v>43117</v>
      </c>
      <c r="AY3" s="400"/>
      <c r="AZ3" s="401"/>
      <c r="BA3" s="399">
        <v>43118</v>
      </c>
      <c r="BB3" s="400"/>
      <c r="BC3" s="401"/>
      <c r="BD3" s="399">
        <v>43119</v>
      </c>
      <c r="BE3" s="400"/>
      <c r="BF3" s="401"/>
      <c r="BG3" s="399">
        <v>43120</v>
      </c>
      <c r="BH3" s="400"/>
      <c r="BI3" s="401"/>
      <c r="BJ3" s="399">
        <v>43121</v>
      </c>
      <c r="BK3" s="400"/>
      <c r="BL3" s="401"/>
      <c r="BM3" s="399">
        <v>43122</v>
      </c>
      <c r="BN3" s="400"/>
      <c r="BO3" s="401"/>
      <c r="BP3" s="399">
        <v>43123</v>
      </c>
      <c r="BQ3" s="400"/>
      <c r="BR3" s="401"/>
      <c r="BS3" s="399">
        <v>43124</v>
      </c>
      <c r="BT3" s="400"/>
      <c r="BU3" s="401"/>
      <c r="BV3" s="399">
        <v>43125</v>
      </c>
      <c r="BW3" s="400"/>
      <c r="BX3" s="401"/>
      <c r="BY3" s="399">
        <v>43126</v>
      </c>
      <c r="BZ3" s="400"/>
      <c r="CA3" s="401"/>
      <c r="CB3" s="399">
        <v>43127</v>
      </c>
      <c r="CC3" s="400"/>
      <c r="CD3" s="401"/>
      <c r="CE3" s="399">
        <v>43128</v>
      </c>
      <c r="CF3" s="400"/>
      <c r="CG3" s="401"/>
      <c r="CH3" s="399">
        <v>43129</v>
      </c>
      <c r="CI3" s="400"/>
      <c r="CJ3" s="401"/>
      <c r="CK3" s="399">
        <v>43130</v>
      </c>
      <c r="CL3" s="400"/>
      <c r="CM3" s="401"/>
      <c r="CN3" s="399">
        <v>43131</v>
      </c>
      <c r="CO3" s="400"/>
      <c r="CP3" s="401"/>
      <c r="CQ3" s="399">
        <v>43132</v>
      </c>
      <c r="CR3" s="400"/>
      <c r="CS3" s="401"/>
      <c r="CT3" s="399">
        <v>43133</v>
      </c>
      <c r="CU3" s="400"/>
      <c r="CV3" s="401"/>
      <c r="CW3" s="399">
        <v>43134</v>
      </c>
      <c r="CX3" s="400"/>
      <c r="CY3" s="401"/>
      <c r="CZ3" s="399">
        <v>43135</v>
      </c>
      <c r="DA3" s="400"/>
      <c r="DB3" s="401"/>
      <c r="DC3" s="399">
        <v>43136</v>
      </c>
      <c r="DD3" s="400"/>
      <c r="DE3" s="401"/>
      <c r="DF3" s="399">
        <v>43137</v>
      </c>
      <c r="DG3" s="400"/>
      <c r="DH3" s="401"/>
      <c r="DI3" s="399">
        <v>43138</v>
      </c>
      <c r="DJ3" s="400"/>
      <c r="DK3" s="401"/>
      <c r="DL3" s="399">
        <v>43139</v>
      </c>
      <c r="DM3" s="400"/>
      <c r="DN3" s="401"/>
      <c r="DO3" s="399">
        <v>43140</v>
      </c>
      <c r="DP3" s="400"/>
      <c r="DQ3" s="401"/>
      <c r="DR3" s="399">
        <v>43141</v>
      </c>
      <c r="DS3" s="400"/>
      <c r="DT3" s="401"/>
      <c r="DU3" s="399">
        <v>43142</v>
      </c>
      <c r="DV3" s="400"/>
      <c r="DW3" s="401"/>
      <c r="DX3" s="399">
        <v>43143</v>
      </c>
      <c r="DY3" s="400"/>
      <c r="DZ3" s="401"/>
      <c r="EA3" s="399">
        <v>43144</v>
      </c>
      <c r="EB3" s="400"/>
      <c r="EC3" s="401"/>
      <c r="ED3" s="399">
        <v>43145</v>
      </c>
      <c r="EE3" s="400"/>
      <c r="EF3" s="401"/>
      <c r="EG3" s="399">
        <v>43146</v>
      </c>
      <c r="EH3" s="400"/>
      <c r="EI3" s="401"/>
      <c r="EJ3" s="399">
        <v>43147</v>
      </c>
      <c r="EK3" s="400"/>
      <c r="EL3" s="401"/>
      <c r="EM3" s="399">
        <v>43148</v>
      </c>
      <c r="EN3" s="400"/>
      <c r="EO3" s="401"/>
      <c r="EP3" s="399">
        <v>43149</v>
      </c>
      <c r="EQ3" s="400"/>
      <c r="ER3" s="401"/>
      <c r="ES3" s="399">
        <v>43150</v>
      </c>
      <c r="ET3" s="400"/>
      <c r="EU3" s="401"/>
      <c r="EV3" s="399">
        <v>43151</v>
      </c>
      <c r="EW3" s="400"/>
      <c r="EX3" s="401"/>
      <c r="EY3" s="399">
        <v>43152</v>
      </c>
      <c r="EZ3" s="400"/>
      <c r="FA3" s="401"/>
      <c r="FB3" s="399">
        <v>43153</v>
      </c>
      <c r="FC3" s="400"/>
      <c r="FD3" s="401"/>
      <c r="FE3" s="399">
        <v>43154</v>
      </c>
      <c r="FF3" s="400"/>
      <c r="FG3" s="401"/>
      <c r="FH3" s="399">
        <v>43155</v>
      </c>
      <c r="FI3" s="400"/>
      <c r="FJ3" s="401"/>
      <c r="FK3" s="399">
        <v>43156</v>
      </c>
      <c r="FL3" s="400"/>
      <c r="FM3" s="401"/>
      <c r="FN3" s="399">
        <v>43157</v>
      </c>
      <c r="FO3" s="400"/>
      <c r="FP3" s="401"/>
      <c r="FQ3" s="399">
        <v>43158</v>
      </c>
      <c r="FR3" s="400"/>
      <c r="FS3" s="401"/>
      <c r="FT3" s="399">
        <v>43159</v>
      </c>
      <c r="FU3" s="400"/>
      <c r="FV3" s="401"/>
      <c r="FW3" s="399">
        <v>43160</v>
      </c>
      <c r="FX3" s="400"/>
      <c r="FY3" s="401"/>
      <c r="FZ3" s="399">
        <v>43161</v>
      </c>
      <c r="GA3" s="400"/>
      <c r="GB3" s="401"/>
      <c r="GC3" s="399">
        <v>43162</v>
      </c>
      <c r="GD3" s="400"/>
      <c r="GE3" s="401"/>
      <c r="GF3" s="399">
        <v>43163</v>
      </c>
      <c r="GG3" s="400"/>
      <c r="GH3" s="401"/>
      <c r="GI3" s="399">
        <v>43164</v>
      </c>
      <c r="GJ3" s="400"/>
      <c r="GK3" s="401"/>
      <c r="GL3" s="399">
        <v>43165</v>
      </c>
      <c r="GM3" s="400"/>
      <c r="GN3" s="401"/>
      <c r="GO3" s="399">
        <v>43166</v>
      </c>
      <c r="GP3" s="400"/>
      <c r="GQ3" s="401"/>
      <c r="GR3" s="399">
        <v>43167</v>
      </c>
      <c r="GS3" s="400"/>
      <c r="GT3" s="401"/>
      <c r="GU3" s="399">
        <v>43168</v>
      </c>
      <c r="GV3" s="400"/>
      <c r="GW3" s="401"/>
      <c r="GX3" s="399">
        <v>43169</v>
      </c>
      <c r="GY3" s="400"/>
      <c r="GZ3" s="401"/>
      <c r="HA3" s="399">
        <v>43170</v>
      </c>
      <c r="HB3" s="400"/>
      <c r="HC3" s="401"/>
      <c r="HD3" s="399">
        <v>43171</v>
      </c>
      <c r="HE3" s="400"/>
      <c r="HF3" s="401"/>
      <c r="HG3" s="399">
        <v>43172</v>
      </c>
      <c r="HH3" s="400"/>
      <c r="HI3" s="401"/>
      <c r="HJ3" s="399">
        <v>43173</v>
      </c>
      <c r="HK3" s="400"/>
      <c r="HL3" s="401"/>
      <c r="HM3" s="399">
        <v>43174</v>
      </c>
      <c r="HN3" s="400"/>
      <c r="HO3" s="401"/>
      <c r="HP3" s="399">
        <v>43175</v>
      </c>
      <c r="HQ3" s="400"/>
      <c r="HR3" s="401"/>
      <c r="HS3" s="399">
        <v>43176</v>
      </c>
      <c r="HT3" s="400"/>
      <c r="HU3" s="401"/>
      <c r="HV3" s="399">
        <v>43177</v>
      </c>
      <c r="HW3" s="400"/>
      <c r="HX3" s="401"/>
      <c r="HY3" s="399">
        <v>43178</v>
      </c>
      <c r="HZ3" s="400"/>
      <c r="IA3" s="401"/>
      <c r="IB3" s="399">
        <v>43179</v>
      </c>
      <c r="IC3" s="400"/>
      <c r="ID3" s="401"/>
      <c r="IE3" s="399">
        <v>43180</v>
      </c>
      <c r="IF3" s="400"/>
      <c r="IG3" s="401"/>
      <c r="IH3" s="399">
        <v>43181</v>
      </c>
      <c r="II3" s="400"/>
      <c r="IJ3" s="401"/>
      <c r="IK3" s="399">
        <v>43182</v>
      </c>
      <c r="IL3" s="400"/>
      <c r="IM3" s="401"/>
      <c r="IN3" s="399">
        <v>43183</v>
      </c>
      <c r="IO3" s="400"/>
      <c r="IP3" s="401"/>
      <c r="IQ3" s="399">
        <v>43184</v>
      </c>
      <c r="IR3" s="400"/>
      <c r="IS3" s="401"/>
      <c r="IT3" s="399">
        <v>43185</v>
      </c>
      <c r="IU3" s="400"/>
      <c r="IV3" s="401"/>
      <c r="IW3" s="399">
        <v>43186</v>
      </c>
      <c r="IX3" s="400"/>
      <c r="IY3" s="401"/>
      <c r="IZ3" s="399">
        <v>43187</v>
      </c>
      <c r="JA3" s="400"/>
      <c r="JB3" s="401"/>
      <c r="JC3" s="399">
        <v>43188</v>
      </c>
      <c r="JD3" s="400"/>
      <c r="JE3" s="401"/>
      <c r="JF3" s="399">
        <v>43189</v>
      </c>
      <c r="JG3" s="400"/>
      <c r="JH3" s="401"/>
      <c r="JI3" s="399">
        <v>43190</v>
      </c>
      <c r="JJ3" s="400"/>
      <c r="JK3" s="401"/>
      <c r="JL3" s="399">
        <v>43191</v>
      </c>
      <c r="JM3" s="400"/>
      <c r="JN3" s="401"/>
      <c r="JO3" s="399">
        <v>43192</v>
      </c>
      <c r="JP3" s="400"/>
      <c r="JQ3" s="401"/>
      <c r="JR3" s="399">
        <v>43193</v>
      </c>
      <c r="JS3" s="400"/>
      <c r="JT3" s="401"/>
      <c r="JU3" s="399">
        <v>43194</v>
      </c>
      <c r="JV3" s="400"/>
      <c r="JW3" s="401"/>
      <c r="JX3" s="399">
        <v>43195</v>
      </c>
      <c r="JY3" s="400"/>
      <c r="JZ3" s="401"/>
      <c r="KA3" s="399">
        <v>43196</v>
      </c>
      <c r="KB3" s="400"/>
      <c r="KC3" s="401"/>
      <c r="KD3" s="399">
        <v>43197</v>
      </c>
      <c r="KE3" s="400"/>
      <c r="KF3" s="401"/>
      <c r="KG3" s="399">
        <v>43198</v>
      </c>
      <c r="KH3" s="400"/>
      <c r="KI3" s="401"/>
      <c r="KJ3" s="399">
        <v>43199</v>
      </c>
      <c r="KK3" s="400"/>
      <c r="KL3" s="401"/>
      <c r="KM3" s="399">
        <v>43200</v>
      </c>
      <c r="KN3" s="400"/>
      <c r="KO3" s="401"/>
      <c r="KP3" s="399">
        <v>43201</v>
      </c>
      <c r="KQ3" s="400"/>
      <c r="KR3" s="401"/>
      <c r="KS3" s="399">
        <v>43202</v>
      </c>
      <c r="KT3" s="400"/>
      <c r="KU3" s="401"/>
      <c r="KV3" s="399">
        <v>43203</v>
      </c>
      <c r="KW3" s="400"/>
      <c r="KX3" s="401"/>
      <c r="KY3" s="399">
        <v>43204</v>
      </c>
      <c r="KZ3" s="400"/>
      <c r="LA3" s="401"/>
      <c r="LB3" s="399">
        <v>43205</v>
      </c>
      <c r="LC3" s="400"/>
      <c r="LD3" s="401"/>
      <c r="LE3" s="399">
        <v>43206</v>
      </c>
      <c r="LF3" s="400"/>
      <c r="LG3" s="401"/>
      <c r="LH3" s="399">
        <v>43207</v>
      </c>
      <c r="LI3" s="400"/>
      <c r="LJ3" s="401"/>
      <c r="LK3" s="399">
        <v>43208</v>
      </c>
      <c r="LL3" s="400"/>
      <c r="LM3" s="401"/>
      <c r="LN3" s="399">
        <v>43209</v>
      </c>
      <c r="LO3" s="400"/>
      <c r="LP3" s="401"/>
      <c r="LQ3" s="399">
        <v>43210</v>
      </c>
      <c r="LR3" s="400"/>
      <c r="LS3" s="401"/>
      <c r="LT3" s="399">
        <v>43211</v>
      </c>
      <c r="LU3" s="400"/>
      <c r="LV3" s="401"/>
      <c r="LW3" s="399">
        <v>43212</v>
      </c>
      <c r="LX3" s="400"/>
      <c r="LY3" s="401"/>
      <c r="LZ3" s="399">
        <v>43213</v>
      </c>
      <c r="MA3" s="400"/>
      <c r="MB3" s="401"/>
      <c r="MC3" s="399">
        <v>43214</v>
      </c>
      <c r="MD3" s="400"/>
      <c r="ME3" s="401"/>
      <c r="MF3" s="399">
        <v>43215</v>
      </c>
      <c r="MG3" s="400"/>
      <c r="MH3" s="401"/>
      <c r="MI3" s="399">
        <v>43216</v>
      </c>
      <c r="MJ3" s="400"/>
      <c r="MK3" s="401"/>
      <c r="ML3" s="399">
        <v>43217</v>
      </c>
      <c r="MM3" s="400"/>
      <c r="MN3" s="401"/>
      <c r="MO3" s="399">
        <v>43218</v>
      </c>
      <c r="MP3" s="400"/>
      <c r="MQ3" s="401"/>
      <c r="MR3" s="399">
        <v>43219</v>
      </c>
      <c r="MS3" s="400"/>
      <c r="MT3" s="401"/>
      <c r="MU3" s="399">
        <v>43220</v>
      </c>
      <c r="MV3" s="400"/>
      <c r="MW3" s="401"/>
      <c r="MX3" s="399">
        <v>43221</v>
      </c>
      <c r="MY3" s="400"/>
      <c r="MZ3" s="401"/>
      <c r="NA3" s="399">
        <v>43222</v>
      </c>
      <c r="NB3" s="400"/>
      <c r="NC3" s="401"/>
      <c r="ND3" s="399">
        <v>43223</v>
      </c>
      <c r="NE3" s="400"/>
      <c r="NF3" s="401"/>
      <c r="NG3" s="399">
        <v>43224</v>
      </c>
      <c r="NH3" s="400"/>
      <c r="NI3" s="401"/>
      <c r="NJ3" s="399">
        <v>43225</v>
      </c>
      <c r="NK3" s="400"/>
      <c r="NL3" s="401"/>
      <c r="NM3" s="399">
        <v>43226</v>
      </c>
      <c r="NN3" s="400"/>
      <c r="NO3" s="401"/>
      <c r="NP3" s="399">
        <v>43227</v>
      </c>
      <c r="NQ3" s="400"/>
      <c r="NR3" s="401"/>
      <c r="NS3" s="399">
        <v>43228</v>
      </c>
      <c r="NT3" s="400"/>
      <c r="NU3" s="401"/>
      <c r="NV3" s="399">
        <v>43229</v>
      </c>
      <c r="NW3" s="400"/>
      <c r="NX3" s="401"/>
      <c r="NY3" s="399">
        <v>43230</v>
      </c>
      <c r="NZ3" s="400"/>
      <c r="OA3" s="401"/>
      <c r="OB3" s="399">
        <v>43231</v>
      </c>
      <c r="OC3" s="400"/>
      <c r="OD3" s="401"/>
      <c r="OE3" s="399">
        <v>43232</v>
      </c>
      <c r="OF3" s="400"/>
      <c r="OG3" s="401"/>
      <c r="OH3" s="399">
        <v>43233</v>
      </c>
      <c r="OI3" s="400"/>
      <c r="OJ3" s="401"/>
      <c r="OK3" s="399">
        <v>43234</v>
      </c>
      <c r="OL3" s="400"/>
      <c r="OM3" s="401"/>
      <c r="ON3" s="399">
        <v>43235</v>
      </c>
      <c r="OO3" s="400"/>
      <c r="OP3" s="401"/>
      <c r="OQ3" s="399">
        <v>43236</v>
      </c>
      <c r="OR3" s="400"/>
      <c r="OS3" s="401"/>
      <c r="OT3" s="399">
        <v>43237</v>
      </c>
      <c r="OU3" s="400"/>
      <c r="OV3" s="401"/>
      <c r="OW3" s="399">
        <v>43238</v>
      </c>
      <c r="OX3" s="400"/>
      <c r="OY3" s="401"/>
      <c r="OZ3" s="399">
        <v>43239</v>
      </c>
      <c r="PA3" s="400"/>
      <c r="PB3" s="401"/>
      <c r="PC3" s="399">
        <v>43240</v>
      </c>
      <c r="PD3" s="400"/>
      <c r="PE3" s="401"/>
      <c r="PF3" s="399">
        <v>43241</v>
      </c>
      <c r="PG3" s="400"/>
      <c r="PH3" s="401"/>
      <c r="PI3" s="399">
        <v>43242</v>
      </c>
      <c r="PJ3" s="400"/>
      <c r="PK3" s="401"/>
      <c r="PL3" s="399">
        <v>43243</v>
      </c>
      <c r="PM3" s="400"/>
      <c r="PN3" s="401"/>
      <c r="PO3" s="399">
        <v>43244</v>
      </c>
      <c r="PP3" s="400"/>
      <c r="PQ3" s="401"/>
      <c r="PR3" s="399">
        <v>43245</v>
      </c>
      <c r="PS3" s="400"/>
      <c r="PT3" s="401"/>
      <c r="PU3" s="399">
        <v>43246</v>
      </c>
      <c r="PV3" s="400"/>
      <c r="PW3" s="401"/>
      <c r="PX3" s="399">
        <v>43247</v>
      </c>
      <c r="PY3" s="400"/>
      <c r="PZ3" s="401"/>
      <c r="QA3" s="399">
        <v>43248</v>
      </c>
      <c r="QB3" s="400"/>
      <c r="QC3" s="401"/>
      <c r="QD3" s="399">
        <v>43249</v>
      </c>
      <c r="QE3" s="400"/>
      <c r="QF3" s="401"/>
      <c r="QG3" s="399">
        <v>43250</v>
      </c>
      <c r="QH3" s="400"/>
      <c r="QI3" s="401"/>
      <c r="QJ3" s="399">
        <v>43251</v>
      </c>
      <c r="QK3" s="400"/>
      <c r="QL3" s="401"/>
      <c r="QM3" s="399">
        <v>43252</v>
      </c>
      <c r="QN3" s="400"/>
      <c r="QO3" s="401"/>
      <c r="QP3" s="399">
        <v>43253</v>
      </c>
      <c r="QQ3" s="400"/>
      <c r="QR3" s="401"/>
      <c r="QS3" s="399">
        <v>43254</v>
      </c>
      <c r="QT3" s="400"/>
      <c r="QU3" s="401"/>
      <c r="QV3" s="399">
        <v>43255</v>
      </c>
      <c r="QW3" s="400"/>
      <c r="QX3" s="401"/>
      <c r="QY3" s="399">
        <v>43256</v>
      </c>
      <c r="QZ3" s="400"/>
      <c r="RA3" s="401"/>
      <c r="RB3" s="399">
        <v>43257</v>
      </c>
      <c r="RC3" s="400"/>
      <c r="RD3" s="401"/>
      <c r="RE3" s="399">
        <v>43258</v>
      </c>
      <c r="RF3" s="400"/>
      <c r="RG3" s="401"/>
      <c r="RH3" s="399">
        <v>43259</v>
      </c>
      <c r="RI3" s="400"/>
      <c r="RJ3" s="401"/>
      <c r="RK3" s="399">
        <v>43260</v>
      </c>
      <c r="RL3" s="400"/>
      <c r="RM3" s="401"/>
      <c r="RN3" s="399">
        <v>43261</v>
      </c>
      <c r="RO3" s="400"/>
      <c r="RP3" s="401"/>
      <c r="RQ3" s="399">
        <v>43262</v>
      </c>
      <c r="RR3" s="400"/>
      <c r="RS3" s="401"/>
      <c r="RT3" s="399">
        <v>43263</v>
      </c>
      <c r="RU3" s="400"/>
      <c r="RV3" s="401"/>
      <c r="RW3" s="399">
        <v>43264</v>
      </c>
      <c r="RX3" s="400"/>
      <c r="RY3" s="401"/>
      <c r="RZ3" s="399">
        <v>43265</v>
      </c>
      <c r="SA3" s="400"/>
      <c r="SB3" s="401"/>
      <c r="SC3" s="399">
        <v>43266</v>
      </c>
      <c r="SD3" s="400"/>
      <c r="SE3" s="401"/>
      <c r="SF3" s="399">
        <v>43267</v>
      </c>
      <c r="SG3" s="400"/>
      <c r="SH3" s="401"/>
      <c r="SI3" s="399">
        <v>43268</v>
      </c>
      <c r="SJ3" s="400"/>
      <c r="SK3" s="401"/>
      <c r="SL3" s="399">
        <v>43269</v>
      </c>
      <c r="SM3" s="400"/>
      <c r="SN3" s="401"/>
      <c r="SO3" s="399">
        <v>43270</v>
      </c>
      <c r="SP3" s="400"/>
      <c r="SQ3" s="401"/>
      <c r="SR3" s="399">
        <v>43271</v>
      </c>
      <c r="SS3" s="400"/>
      <c r="ST3" s="401"/>
      <c r="SU3" s="399">
        <v>43272</v>
      </c>
      <c r="SV3" s="400"/>
      <c r="SW3" s="401"/>
      <c r="SX3" s="399">
        <v>43273</v>
      </c>
      <c r="SY3" s="400"/>
      <c r="SZ3" s="401"/>
      <c r="TA3" s="399">
        <v>43274</v>
      </c>
      <c r="TB3" s="400"/>
      <c r="TC3" s="401"/>
      <c r="TD3" s="399">
        <v>43275</v>
      </c>
      <c r="TE3" s="400"/>
      <c r="TF3" s="401"/>
      <c r="TG3" s="399">
        <v>43276</v>
      </c>
      <c r="TH3" s="400"/>
      <c r="TI3" s="401"/>
      <c r="TJ3" s="399">
        <v>43277</v>
      </c>
      <c r="TK3" s="400"/>
      <c r="TL3" s="401"/>
      <c r="TM3" s="399">
        <v>43278</v>
      </c>
      <c r="TN3" s="400"/>
      <c r="TO3" s="401"/>
      <c r="TP3" s="399">
        <v>43279</v>
      </c>
      <c r="TQ3" s="400"/>
      <c r="TR3" s="401"/>
      <c r="TS3" s="399">
        <v>43280</v>
      </c>
      <c r="TT3" s="400"/>
      <c r="TU3" s="401"/>
      <c r="TV3" s="399">
        <v>43281</v>
      </c>
      <c r="TW3" s="400"/>
      <c r="TX3" s="401"/>
      <c r="TY3" s="399">
        <v>43282</v>
      </c>
      <c r="TZ3" s="400"/>
      <c r="UA3" s="401"/>
      <c r="UB3" s="399">
        <v>43283</v>
      </c>
      <c r="UC3" s="400"/>
      <c r="UD3" s="401"/>
      <c r="UE3" s="399">
        <v>43284</v>
      </c>
      <c r="UF3" s="400"/>
      <c r="UG3" s="401"/>
      <c r="UH3" s="399">
        <v>43285</v>
      </c>
      <c r="UI3" s="400"/>
      <c r="UJ3" s="401"/>
      <c r="UK3" s="399">
        <v>43286</v>
      </c>
      <c r="UL3" s="400"/>
      <c r="UM3" s="401"/>
      <c r="UN3" s="399">
        <v>43287</v>
      </c>
      <c r="UO3" s="400"/>
      <c r="UP3" s="401"/>
      <c r="UQ3" s="399">
        <v>43288</v>
      </c>
      <c r="UR3" s="400"/>
      <c r="US3" s="401"/>
      <c r="UT3" s="399">
        <v>43289</v>
      </c>
      <c r="UU3" s="400"/>
      <c r="UV3" s="401"/>
      <c r="UW3" s="399">
        <v>43290</v>
      </c>
      <c r="UX3" s="400"/>
      <c r="UY3" s="401"/>
      <c r="UZ3" s="399">
        <v>43291</v>
      </c>
      <c r="VA3" s="400"/>
      <c r="VB3" s="401"/>
      <c r="VC3" s="399">
        <v>43292</v>
      </c>
      <c r="VD3" s="400"/>
      <c r="VE3" s="401"/>
      <c r="VF3" s="399">
        <v>43293</v>
      </c>
      <c r="VG3" s="400"/>
      <c r="VH3" s="401"/>
      <c r="VI3" s="399">
        <v>43294</v>
      </c>
      <c r="VJ3" s="400"/>
      <c r="VK3" s="401"/>
      <c r="VL3" s="399">
        <v>43295</v>
      </c>
      <c r="VM3" s="400"/>
      <c r="VN3" s="401"/>
      <c r="VO3" s="399">
        <v>43296</v>
      </c>
      <c r="VP3" s="400"/>
      <c r="VQ3" s="401"/>
      <c r="VR3" s="399">
        <v>43297</v>
      </c>
      <c r="VS3" s="400"/>
      <c r="VT3" s="401"/>
      <c r="VU3" s="399">
        <v>43298</v>
      </c>
      <c r="VV3" s="400"/>
      <c r="VW3" s="401"/>
      <c r="VX3" s="399">
        <v>43299</v>
      </c>
      <c r="VY3" s="400"/>
      <c r="VZ3" s="401"/>
      <c r="WA3" s="399">
        <v>43300</v>
      </c>
      <c r="WB3" s="400"/>
      <c r="WC3" s="401"/>
      <c r="WD3" s="399">
        <v>43301</v>
      </c>
      <c r="WE3" s="400"/>
      <c r="WF3" s="401"/>
      <c r="WG3" s="399">
        <v>43302</v>
      </c>
      <c r="WH3" s="400"/>
      <c r="WI3" s="401"/>
      <c r="WJ3" s="399">
        <v>43303</v>
      </c>
      <c r="WK3" s="400"/>
      <c r="WL3" s="401"/>
      <c r="WM3" s="399">
        <v>43304</v>
      </c>
      <c r="WN3" s="400"/>
      <c r="WO3" s="401"/>
      <c r="WP3" s="399">
        <v>43305</v>
      </c>
      <c r="WQ3" s="400"/>
      <c r="WR3" s="401"/>
      <c r="WS3" s="399">
        <v>43306</v>
      </c>
      <c r="WT3" s="400"/>
      <c r="WU3" s="401"/>
      <c r="WV3" s="399">
        <v>43307</v>
      </c>
      <c r="WW3" s="400"/>
      <c r="WX3" s="401"/>
      <c r="WY3" s="399">
        <v>43308</v>
      </c>
      <c r="WZ3" s="400"/>
      <c r="XA3" s="401"/>
      <c r="XB3" s="399">
        <v>43309</v>
      </c>
      <c r="XC3" s="400"/>
      <c r="XD3" s="401"/>
      <c r="XE3" s="399">
        <v>43310</v>
      </c>
      <c r="XF3" s="400"/>
      <c r="XG3" s="401"/>
      <c r="XH3" s="399">
        <v>43311</v>
      </c>
      <c r="XI3" s="400"/>
      <c r="XJ3" s="401"/>
      <c r="XK3" s="399">
        <v>43312</v>
      </c>
      <c r="XL3" s="400"/>
      <c r="XM3" s="401"/>
      <c r="XN3" s="399">
        <v>43313</v>
      </c>
      <c r="XO3" s="400"/>
      <c r="XP3" s="401"/>
      <c r="XQ3" s="399">
        <v>43314</v>
      </c>
      <c r="XR3" s="400"/>
      <c r="XS3" s="401"/>
      <c r="XT3" s="399">
        <v>43315</v>
      </c>
      <c r="XU3" s="400"/>
      <c r="XV3" s="401"/>
      <c r="XW3" s="399">
        <v>43316</v>
      </c>
      <c r="XX3" s="400"/>
      <c r="XY3" s="401"/>
      <c r="XZ3" s="399">
        <v>43317</v>
      </c>
      <c r="YA3" s="400"/>
      <c r="YB3" s="401"/>
      <c r="YC3" s="399">
        <v>43318</v>
      </c>
      <c r="YD3" s="400"/>
      <c r="YE3" s="401"/>
      <c r="YF3" s="399">
        <v>43319</v>
      </c>
      <c r="YG3" s="400"/>
      <c r="YH3" s="401"/>
      <c r="YI3" s="399">
        <v>43320</v>
      </c>
      <c r="YJ3" s="400"/>
      <c r="YK3" s="401"/>
      <c r="YL3" s="399">
        <v>43321</v>
      </c>
      <c r="YM3" s="400"/>
      <c r="YN3" s="401"/>
      <c r="YO3" s="399">
        <v>43322</v>
      </c>
      <c r="YP3" s="400"/>
      <c r="YQ3" s="401"/>
      <c r="YR3" s="399">
        <v>43323</v>
      </c>
      <c r="YS3" s="400"/>
      <c r="YT3" s="401"/>
      <c r="YU3" s="399">
        <v>43324</v>
      </c>
      <c r="YV3" s="400"/>
      <c r="YW3" s="401"/>
      <c r="YX3" s="399">
        <v>43325</v>
      </c>
      <c r="YY3" s="400"/>
      <c r="YZ3" s="401"/>
      <c r="ZA3" s="399">
        <v>43326</v>
      </c>
      <c r="ZB3" s="400"/>
      <c r="ZC3" s="401"/>
      <c r="ZD3" s="399">
        <v>43327</v>
      </c>
      <c r="ZE3" s="400"/>
      <c r="ZF3" s="401"/>
      <c r="ZG3" s="399">
        <v>43328</v>
      </c>
      <c r="ZH3" s="400"/>
      <c r="ZI3" s="401"/>
      <c r="ZJ3" s="399">
        <v>43329</v>
      </c>
      <c r="ZK3" s="400"/>
      <c r="ZL3" s="401"/>
      <c r="ZM3" s="399">
        <v>43330</v>
      </c>
      <c r="ZN3" s="400"/>
      <c r="ZO3" s="401"/>
      <c r="ZP3" s="399">
        <v>43331</v>
      </c>
      <c r="ZQ3" s="400"/>
      <c r="ZR3" s="401"/>
      <c r="ZS3" s="399">
        <v>43332</v>
      </c>
      <c r="ZT3" s="400"/>
      <c r="ZU3" s="401"/>
      <c r="ZV3" s="399">
        <v>43333</v>
      </c>
      <c r="ZW3" s="400"/>
      <c r="ZX3" s="401"/>
      <c r="ZY3" s="399">
        <v>43334</v>
      </c>
      <c r="ZZ3" s="400"/>
      <c r="AAA3" s="401"/>
      <c r="AAB3" s="399">
        <v>43335</v>
      </c>
      <c r="AAC3" s="400"/>
      <c r="AAD3" s="401"/>
      <c r="AAE3" s="399">
        <v>43336</v>
      </c>
      <c r="AAF3" s="400"/>
      <c r="AAG3" s="401"/>
      <c r="AAH3" s="399">
        <v>43337</v>
      </c>
      <c r="AAI3" s="400"/>
      <c r="AAJ3" s="401"/>
      <c r="AAK3" s="399">
        <v>43338</v>
      </c>
      <c r="AAL3" s="400"/>
      <c r="AAM3" s="401"/>
      <c r="AAN3" s="399">
        <v>43339</v>
      </c>
      <c r="AAO3" s="400"/>
      <c r="AAP3" s="401"/>
      <c r="AAQ3" s="399">
        <v>43340</v>
      </c>
      <c r="AAR3" s="400"/>
      <c r="AAS3" s="401"/>
      <c r="AAT3" s="399">
        <v>43341</v>
      </c>
      <c r="AAU3" s="400"/>
      <c r="AAV3" s="401"/>
      <c r="AAW3" s="399">
        <v>43342</v>
      </c>
      <c r="AAX3" s="400"/>
      <c r="AAY3" s="401"/>
      <c r="AAZ3" s="399">
        <v>43343</v>
      </c>
      <c r="ABA3" s="400"/>
      <c r="ABB3" s="401"/>
      <c r="ABC3" s="399">
        <v>43344</v>
      </c>
      <c r="ABD3" s="400"/>
      <c r="ABE3" s="401"/>
      <c r="ABF3" s="399">
        <v>43345</v>
      </c>
      <c r="ABG3" s="400"/>
      <c r="ABH3" s="401"/>
      <c r="ABI3" s="399">
        <v>43346</v>
      </c>
      <c r="ABJ3" s="400"/>
      <c r="ABK3" s="401"/>
      <c r="ABL3" s="399">
        <v>43347</v>
      </c>
      <c r="ABM3" s="400"/>
      <c r="ABN3" s="401"/>
      <c r="ABO3" s="399">
        <v>43348</v>
      </c>
      <c r="ABP3" s="400"/>
      <c r="ABQ3" s="401"/>
      <c r="ABR3" s="399">
        <v>43349</v>
      </c>
      <c r="ABS3" s="400"/>
      <c r="ABT3" s="401"/>
      <c r="ABU3" s="399">
        <v>43350</v>
      </c>
      <c r="ABV3" s="400"/>
      <c r="ABW3" s="401"/>
      <c r="ABX3" s="399">
        <v>43351</v>
      </c>
      <c r="ABY3" s="400"/>
      <c r="ABZ3" s="401"/>
      <c r="ACA3" s="399">
        <v>43352</v>
      </c>
      <c r="ACB3" s="400"/>
      <c r="ACC3" s="401"/>
      <c r="ACD3" s="399">
        <v>43353</v>
      </c>
      <c r="ACE3" s="400"/>
      <c r="ACF3" s="401"/>
      <c r="ACG3" s="399">
        <v>43354</v>
      </c>
      <c r="ACH3" s="400"/>
      <c r="ACI3" s="401"/>
      <c r="ACJ3" s="399">
        <v>43355</v>
      </c>
      <c r="ACK3" s="400"/>
      <c r="ACL3" s="401"/>
      <c r="ACM3" s="399">
        <v>43356</v>
      </c>
      <c r="ACN3" s="400"/>
      <c r="ACO3" s="401"/>
      <c r="ACP3" s="399">
        <v>43357</v>
      </c>
      <c r="ACQ3" s="400"/>
      <c r="ACR3" s="401"/>
      <c r="ACS3" s="399">
        <v>43358</v>
      </c>
      <c r="ACT3" s="400"/>
      <c r="ACU3" s="401"/>
      <c r="ACV3" s="399">
        <v>43359</v>
      </c>
      <c r="ACW3" s="400"/>
      <c r="ACX3" s="401"/>
      <c r="ACY3" s="399">
        <v>43360</v>
      </c>
      <c r="ACZ3" s="400"/>
      <c r="ADA3" s="401"/>
      <c r="ADB3" s="399">
        <v>43361</v>
      </c>
      <c r="ADC3" s="400"/>
      <c r="ADD3" s="401"/>
      <c r="ADE3" s="399">
        <v>43362</v>
      </c>
      <c r="ADF3" s="400"/>
      <c r="ADG3" s="401"/>
      <c r="ADH3" s="399">
        <v>43363</v>
      </c>
      <c r="ADI3" s="400"/>
      <c r="ADJ3" s="401"/>
      <c r="ADK3" s="399">
        <v>43364</v>
      </c>
      <c r="ADL3" s="400"/>
      <c r="ADM3" s="401"/>
      <c r="ADN3" s="399">
        <v>43365</v>
      </c>
      <c r="ADO3" s="400"/>
      <c r="ADP3" s="401"/>
      <c r="ADQ3" s="399">
        <v>43366</v>
      </c>
      <c r="ADR3" s="400"/>
      <c r="ADS3" s="401"/>
      <c r="ADT3" s="399">
        <v>43367</v>
      </c>
      <c r="ADU3" s="400"/>
      <c r="ADV3" s="401"/>
      <c r="ADW3" s="399">
        <v>43368</v>
      </c>
      <c r="ADX3" s="400"/>
      <c r="ADY3" s="401"/>
      <c r="ADZ3" s="399">
        <v>43369</v>
      </c>
      <c r="AEA3" s="400"/>
      <c r="AEB3" s="401"/>
      <c r="AEC3" s="399">
        <v>43370</v>
      </c>
      <c r="AED3" s="400"/>
      <c r="AEE3" s="401"/>
      <c r="AEF3" s="399">
        <v>43371</v>
      </c>
      <c r="AEG3" s="400"/>
      <c r="AEH3" s="401"/>
      <c r="AEI3" s="399">
        <v>43372</v>
      </c>
      <c r="AEJ3" s="400"/>
      <c r="AEK3" s="401"/>
      <c r="AEL3" s="399">
        <v>43373</v>
      </c>
      <c r="AEM3" s="400"/>
      <c r="AEN3" s="401"/>
      <c r="AEO3" s="399">
        <v>43374</v>
      </c>
      <c r="AEP3" s="400"/>
      <c r="AEQ3" s="401"/>
      <c r="AER3" s="399">
        <v>43375</v>
      </c>
      <c r="AES3" s="400"/>
      <c r="AET3" s="401"/>
      <c r="AEU3" s="399">
        <v>43376</v>
      </c>
      <c r="AEV3" s="400"/>
      <c r="AEW3" s="401"/>
      <c r="AEX3" s="399">
        <v>43377</v>
      </c>
      <c r="AEY3" s="400"/>
      <c r="AEZ3" s="401"/>
      <c r="AFA3" s="399">
        <v>43378</v>
      </c>
      <c r="AFB3" s="400"/>
      <c r="AFC3" s="401"/>
      <c r="AFD3" s="399">
        <v>43379</v>
      </c>
      <c r="AFE3" s="400"/>
      <c r="AFF3" s="401"/>
      <c r="AFG3" s="399">
        <v>43380</v>
      </c>
      <c r="AFH3" s="400"/>
      <c r="AFI3" s="401"/>
      <c r="AFJ3" s="399">
        <v>43381</v>
      </c>
      <c r="AFK3" s="400"/>
      <c r="AFL3" s="401"/>
      <c r="AFM3" s="399">
        <v>43382</v>
      </c>
      <c r="AFN3" s="400"/>
      <c r="AFO3" s="401"/>
      <c r="AFP3" s="399">
        <v>43383</v>
      </c>
      <c r="AFQ3" s="400"/>
      <c r="AFR3" s="401"/>
      <c r="AFS3" s="399">
        <v>43384</v>
      </c>
      <c r="AFT3" s="400"/>
      <c r="AFU3" s="401"/>
      <c r="AFV3" s="399">
        <v>43385</v>
      </c>
      <c r="AFW3" s="400"/>
      <c r="AFX3" s="401"/>
      <c r="AFY3" s="399">
        <v>43386</v>
      </c>
      <c r="AFZ3" s="400"/>
      <c r="AGA3" s="401"/>
      <c r="AGB3" s="399">
        <v>43387</v>
      </c>
      <c r="AGC3" s="400"/>
      <c r="AGD3" s="401"/>
      <c r="AGE3" s="399">
        <v>43388</v>
      </c>
      <c r="AGF3" s="400"/>
      <c r="AGG3" s="401"/>
      <c r="AGH3" s="399">
        <v>43389</v>
      </c>
      <c r="AGI3" s="400"/>
      <c r="AGJ3" s="401"/>
      <c r="AGK3" s="399">
        <v>43390</v>
      </c>
      <c r="AGL3" s="400"/>
      <c r="AGM3" s="401"/>
      <c r="AGN3" s="399">
        <v>43391</v>
      </c>
      <c r="AGO3" s="400"/>
      <c r="AGP3" s="401"/>
      <c r="AGQ3" s="399">
        <v>43392</v>
      </c>
      <c r="AGR3" s="400"/>
      <c r="AGS3" s="401"/>
      <c r="AGT3" s="399">
        <v>43393</v>
      </c>
      <c r="AGU3" s="400"/>
      <c r="AGV3" s="401"/>
      <c r="AGW3" s="399">
        <v>43394</v>
      </c>
      <c r="AGX3" s="400"/>
      <c r="AGY3" s="401"/>
      <c r="AGZ3" s="399">
        <v>43395</v>
      </c>
      <c r="AHA3" s="400"/>
      <c r="AHB3" s="401"/>
      <c r="AHC3" s="399">
        <v>43396</v>
      </c>
      <c r="AHD3" s="400"/>
      <c r="AHE3" s="401"/>
      <c r="AHF3" s="399">
        <v>43397</v>
      </c>
      <c r="AHG3" s="400"/>
      <c r="AHH3" s="401"/>
      <c r="AHI3" s="399">
        <v>43398</v>
      </c>
      <c r="AHJ3" s="400"/>
      <c r="AHK3" s="401"/>
      <c r="AHL3" s="399">
        <v>43399</v>
      </c>
      <c r="AHM3" s="400"/>
      <c r="AHN3" s="401"/>
      <c r="AHO3" s="399">
        <v>43400</v>
      </c>
      <c r="AHP3" s="400"/>
      <c r="AHQ3" s="401"/>
      <c r="AHR3" s="399">
        <v>43401</v>
      </c>
      <c r="AHS3" s="400"/>
      <c r="AHT3" s="401"/>
      <c r="AHU3" s="399">
        <v>43402</v>
      </c>
      <c r="AHV3" s="400"/>
      <c r="AHW3" s="401"/>
      <c r="AHX3" s="399">
        <v>43403</v>
      </c>
      <c r="AHY3" s="400"/>
      <c r="AHZ3" s="401"/>
      <c r="AIA3" s="399">
        <v>43404</v>
      </c>
      <c r="AIB3" s="400"/>
      <c r="AIC3" s="401"/>
      <c r="AID3" s="399">
        <v>43405</v>
      </c>
      <c r="AIE3" s="400"/>
      <c r="AIF3" s="401"/>
      <c r="AIG3" s="399">
        <v>43406</v>
      </c>
      <c r="AIH3" s="400"/>
      <c r="AII3" s="401"/>
      <c r="AIJ3" s="399">
        <v>43407</v>
      </c>
      <c r="AIK3" s="400"/>
      <c r="AIL3" s="401"/>
      <c r="AIM3" s="399">
        <v>43408</v>
      </c>
      <c r="AIN3" s="400"/>
      <c r="AIO3" s="401"/>
      <c r="AIP3" s="399">
        <v>43409</v>
      </c>
      <c r="AIQ3" s="400"/>
      <c r="AIR3" s="401"/>
      <c r="AIS3" s="399">
        <v>43410</v>
      </c>
      <c r="AIT3" s="400"/>
      <c r="AIU3" s="401"/>
      <c r="AIV3" s="399">
        <v>43411</v>
      </c>
      <c r="AIW3" s="400"/>
      <c r="AIX3" s="401"/>
      <c r="AIY3" s="399">
        <v>43412</v>
      </c>
      <c r="AIZ3" s="400"/>
      <c r="AJA3" s="401"/>
      <c r="AJB3" s="399">
        <v>43413</v>
      </c>
      <c r="AJC3" s="400"/>
      <c r="AJD3" s="401"/>
      <c r="AJE3" s="399">
        <v>43414</v>
      </c>
      <c r="AJF3" s="400"/>
      <c r="AJG3" s="401"/>
      <c r="AJH3" s="399">
        <v>43415</v>
      </c>
      <c r="AJI3" s="400"/>
      <c r="AJJ3" s="401"/>
      <c r="AJK3" s="399">
        <v>43416</v>
      </c>
      <c r="AJL3" s="400"/>
      <c r="AJM3" s="401"/>
      <c r="AJN3" s="399">
        <v>43417</v>
      </c>
      <c r="AJO3" s="400"/>
      <c r="AJP3" s="401"/>
      <c r="AJQ3" s="399">
        <v>43418</v>
      </c>
      <c r="AJR3" s="400"/>
      <c r="AJS3" s="401"/>
      <c r="AJT3" s="399">
        <v>43419</v>
      </c>
      <c r="AJU3" s="400"/>
      <c r="AJV3" s="401"/>
      <c r="AJW3" s="399">
        <v>43420</v>
      </c>
      <c r="AJX3" s="400"/>
      <c r="AJY3" s="401"/>
      <c r="AJZ3" s="399">
        <v>43421</v>
      </c>
      <c r="AKA3" s="400"/>
      <c r="AKB3" s="401"/>
      <c r="AKC3" s="399">
        <v>43422</v>
      </c>
      <c r="AKD3" s="400"/>
      <c r="AKE3" s="401"/>
      <c r="AKF3" s="399">
        <v>43423</v>
      </c>
      <c r="AKG3" s="400"/>
      <c r="AKH3" s="401"/>
      <c r="AKI3" s="399">
        <v>43424</v>
      </c>
      <c r="AKJ3" s="400"/>
      <c r="AKK3" s="401"/>
      <c r="AKL3" s="399">
        <v>43425</v>
      </c>
      <c r="AKM3" s="400"/>
      <c r="AKN3" s="401"/>
      <c r="AKO3" s="399">
        <v>43426</v>
      </c>
      <c r="AKP3" s="400"/>
      <c r="AKQ3" s="401"/>
      <c r="AKR3" s="399">
        <v>43427</v>
      </c>
      <c r="AKS3" s="400"/>
      <c r="AKT3" s="401"/>
      <c r="AKU3" s="399">
        <v>43428</v>
      </c>
      <c r="AKV3" s="400"/>
      <c r="AKW3" s="401"/>
      <c r="AKX3" s="399">
        <v>43429</v>
      </c>
      <c r="AKY3" s="400"/>
      <c r="AKZ3" s="401"/>
      <c r="ALA3" s="399">
        <v>43430</v>
      </c>
      <c r="ALB3" s="400"/>
      <c r="ALC3" s="401"/>
      <c r="ALD3" s="399">
        <v>43431</v>
      </c>
      <c r="ALE3" s="400"/>
      <c r="ALF3" s="401"/>
      <c r="ALG3" s="399">
        <v>43432</v>
      </c>
      <c r="ALH3" s="400"/>
      <c r="ALI3" s="401"/>
      <c r="ALJ3" s="399">
        <v>43433</v>
      </c>
      <c r="ALK3" s="400"/>
      <c r="ALL3" s="401"/>
      <c r="ALM3" s="399">
        <v>43434</v>
      </c>
      <c r="ALN3" s="400"/>
      <c r="ALO3" s="401"/>
      <c r="ALP3" s="399">
        <v>43435</v>
      </c>
      <c r="ALQ3" s="400"/>
      <c r="ALR3" s="401"/>
      <c r="ALS3" s="399">
        <v>43436</v>
      </c>
      <c r="ALT3" s="400"/>
      <c r="ALU3" s="401"/>
      <c r="ALV3" s="399">
        <v>43437</v>
      </c>
      <c r="ALW3" s="400"/>
      <c r="ALX3" s="401"/>
      <c r="ALY3" s="399">
        <v>43438</v>
      </c>
      <c r="ALZ3" s="400"/>
      <c r="AMA3" s="401"/>
      <c r="AMB3" s="399">
        <v>43439</v>
      </c>
      <c r="AMC3" s="400"/>
      <c r="AMD3" s="401"/>
      <c r="AME3" s="399">
        <v>43440</v>
      </c>
      <c r="AMF3" s="400"/>
      <c r="AMG3" s="401"/>
      <c r="AMH3" s="399">
        <v>43441</v>
      </c>
      <c r="AMI3" s="400"/>
      <c r="AMJ3" s="401"/>
      <c r="AMK3" s="399">
        <v>43442</v>
      </c>
      <c r="AML3" s="400"/>
      <c r="AMM3" s="401"/>
      <c r="AMN3" s="399">
        <v>43443</v>
      </c>
      <c r="AMO3" s="400"/>
      <c r="AMP3" s="401"/>
      <c r="AMQ3" s="399">
        <v>43444</v>
      </c>
      <c r="AMR3" s="400"/>
      <c r="AMS3" s="401"/>
      <c r="AMT3" s="399">
        <v>43445</v>
      </c>
      <c r="AMU3" s="400"/>
      <c r="AMV3" s="401"/>
      <c r="AMW3" s="399">
        <v>43446</v>
      </c>
      <c r="AMX3" s="400"/>
      <c r="AMY3" s="401"/>
      <c r="AMZ3" s="399">
        <v>43447</v>
      </c>
      <c r="ANA3" s="400"/>
      <c r="ANB3" s="401"/>
      <c r="ANC3" s="399">
        <v>43448</v>
      </c>
      <c r="AND3" s="400"/>
      <c r="ANE3" s="401"/>
      <c r="ANF3" s="399">
        <v>43449</v>
      </c>
      <c r="ANG3" s="400"/>
      <c r="ANH3" s="401"/>
      <c r="ANI3" s="399">
        <v>43450</v>
      </c>
      <c r="ANJ3" s="400"/>
      <c r="ANK3" s="401"/>
      <c r="ANL3" s="399">
        <v>43451</v>
      </c>
      <c r="ANM3" s="400"/>
      <c r="ANN3" s="401"/>
      <c r="ANO3" s="399">
        <v>43452</v>
      </c>
      <c r="ANP3" s="400"/>
      <c r="ANQ3" s="401"/>
      <c r="ANR3" s="399">
        <v>43453</v>
      </c>
      <c r="ANS3" s="400"/>
      <c r="ANT3" s="401"/>
      <c r="ANU3" s="399">
        <v>43454</v>
      </c>
      <c r="ANV3" s="400"/>
      <c r="ANW3" s="401"/>
      <c r="ANX3" s="399">
        <v>43455</v>
      </c>
      <c r="ANY3" s="400"/>
      <c r="ANZ3" s="401"/>
      <c r="AOA3" s="399">
        <v>43456</v>
      </c>
      <c r="AOB3" s="400"/>
      <c r="AOC3" s="401"/>
      <c r="AOD3" s="399">
        <v>43457</v>
      </c>
      <c r="AOE3" s="400"/>
      <c r="AOF3" s="401"/>
      <c r="AOG3" s="399">
        <v>43458</v>
      </c>
      <c r="AOH3" s="400"/>
      <c r="AOI3" s="401"/>
      <c r="AOJ3" s="399">
        <v>43459</v>
      </c>
      <c r="AOK3" s="400"/>
      <c r="AOL3" s="401"/>
      <c r="AOM3" s="399">
        <v>43460</v>
      </c>
      <c r="AON3" s="400"/>
      <c r="AOO3" s="401"/>
      <c r="AOP3" s="399">
        <v>43461</v>
      </c>
      <c r="AOQ3" s="400"/>
      <c r="AOR3" s="401"/>
      <c r="AOS3" s="399">
        <v>43462</v>
      </c>
      <c r="AOT3" s="400"/>
      <c r="AOU3" s="401"/>
      <c r="AOV3" s="399">
        <v>43463</v>
      </c>
      <c r="AOW3" s="400"/>
      <c r="AOX3" s="401"/>
      <c r="AOY3" s="399">
        <v>43464</v>
      </c>
      <c r="AOZ3" s="400"/>
      <c r="APA3" s="401"/>
      <c r="APB3" s="399">
        <v>43465</v>
      </c>
      <c r="APC3" s="400"/>
      <c r="APD3" s="401"/>
    </row>
    <row r="4" spans="1:1096" ht="30.75" customHeight="1" thickBot="1" x14ac:dyDescent="0.3">
      <c r="A4" s="4"/>
      <c r="B4" s="410"/>
      <c r="C4" s="410"/>
      <c r="D4" s="412"/>
      <c r="E4" s="48" t="s">
        <v>172</v>
      </c>
      <c r="F4" s="10" t="s">
        <v>173</v>
      </c>
      <c r="G4" s="10" t="s">
        <v>174</v>
      </c>
      <c r="H4" s="48" t="s">
        <v>172</v>
      </c>
      <c r="I4" s="10" t="s">
        <v>173</v>
      </c>
      <c r="J4" s="10" t="s">
        <v>174</v>
      </c>
      <c r="K4" s="48" t="s">
        <v>172</v>
      </c>
      <c r="L4" s="10" t="s">
        <v>173</v>
      </c>
      <c r="M4" s="10" t="s">
        <v>174</v>
      </c>
      <c r="N4" s="48" t="s">
        <v>172</v>
      </c>
      <c r="O4" s="10" t="s">
        <v>173</v>
      </c>
      <c r="P4" s="10" t="s">
        <v>174</v>
      </c>
      <c r="Q4" s="48" t="s">
        <v>172</v>
      </c>
      <c r="R4" s="10" t="s">
        <v>173</v>
      </c>
      <c r="S4" s="10" t="s">
        <v>174</v>
      </c>
      <c r="T4" s="48" t="s">
        <v>172</v>
      </c>
      <c r="U4" s="10" t="s">
        <v>173</v>
      </c>
      <c r="V4" s="10" t="s">
        <v>174</v>
      </c>
      <c r="W4" s="48" t="s">
        <v>172</v>
      </c>
      <c r="X4" s="10" t="s">
        <v>173</v>
      </c>
      <c r="Y4" s="10" t="s">
        <v>174</v>
      </c>
      <c r="Z4" s="48" t="s">
        <v>172</v>
      </c>
      <c r="AA4" s="10" t="s">
        <v>173</v>
      </c>
      <c r="AB4" s="10" t="s">
        <v>174</v>
      </c>
      <c r="AC4" s="48" t="s">
        <v>172</v>
      </c>
      <c r="AD4" s="10" t="s">
        <v>173</v>
      </c>
      <c r="AE4" s="10" t="s">
        <v>174</v>
      </c>
      <c r="AF4" s="48" t="s">
        <v>172</v>
      </c>
      <c r="AG4" s="10" t="s">
        <v>173</v>
      </c>
      <c r="AH4" s="10" t="s">
        <v>174</v>
      </c>
      <c r="AI4" s="48" t="s">
        <v>172</v>
      </c>
      <c r="AJ4" s="10" t="s">
        <v>173</v>
      </c>
      <c r="AK4" s="10" t="s">
        <v>174</v>
      </c>
      <c r="AL4" s="48" t="s">
        <v>172</v>
      </c>
      <c r="AM4" s="10" t="s">
        <v>173</v>
      </c>
      <c r="AN4" s="10" t="s">
        <v>174</v>
      </c>
      <c r="AO4" s="48" t="s">
        <v>172</v>
      </c>
      <c r="AP4" s="10" t="s">
        <v>173</v>
      </c>
      <c r="AQ4" s="10" t="s">
        <v>174</v>
      </c>
      <c r="AR4" s="48" t="s">
        <v>172</v>
      </c>
      <c r="AS4" s="10" t="s">
        <v>173</v>
      </c>
      <c r="AT4" s="10" t="s">
        <v>174</v>
      </c>
      <c r="AU4" s="48" t="s">
        <v>172</v>
      </c>
      <c r="AV4" s="10" t="s">
        <v>173</v>
      </c>
      <c r="AW4" s="10" t="s">
        <v>174</v>
      </c>
      <c r="AX4" s="48" t="s">
        <v>172</v>
      </c>
      <c r="AY4" s="10" t="s">
        <v>173</v>
      </c>
      <c r="AZ4" s="10" t="s">
        <v>174</v>
      </c>
      <c r="BA4" s="48" t="s">
        <v>172</v>
      </c>
      <c r="BB4" s="10" t="s">
        <v>173</v>
      </c>
      <c r="BC4" s="10" t="s">
        <v>174</v>
      </c>
      <c r="BD4" s="48" t="s">
        <v>172</v>
      </c>
      <c r="BE4" s="10" t="s">
        <v>173</v>
      </c>
      <c r="BF4" s="10" t="s">
        <v>174</v>
      </c>
      <c r="BG4" s="48" t="s">
        <v>172</v>
      </c>
      <c r="BH4" s="10" t="s">
        <v>173</v>
      </c>
      <c r="BI4" s="10" t="s">
        <v>174</v>
      </c>
      <c r="BJ4" s="48" t="s">
        <v>172</v>
      </c>
      <c r="BK4" s="10" t="s">
        <v>173</v>
      </c>
      <c r="BL4" s="10" t="s">
        <v>174</v>
      </c>
      <c r="BM4" s="48" t="s">
        <v>172</v>
      </c>
      <c r="BN4" s="10" t="s">
        <v>173</v>
      </c>
      <c r="BO4" s="10" t="s">
        <v>174</v>
      </c>
      <c r="BP4" s="48" t="s">
        <v>172</v>
      </c>
      <c r="BQ4" s="10" t="s">
        <v>173</v>
      </c>
      <c r="BR4" s="10" t="s">
        <v>174</v>
      </c>
      <c r="BS4" s="48" t="s">
        <v>172</v>
      </c>
      <c r="BT4" s="10" t="s">
        <v>173</v>
      </c>
      <c r="BU4" s="10" t="s">
        <v>174</v>
      </c>
      <c r="BV4" s="48" t="s">
        <v>172</v>
      </c>
      <c r="BW4" s="10" t="s">
        <v>173</v>
      </c>
      <c r="BX4" s="10" t="s">
        <v>174</v>
      </c>
      <c r="BY4" s="48" t="s">
        <v>172</v>
      </c>
      <c r="BZ4" s="10" t="s">
        <v>173</v>
      </c>
      <c r="CA4" s="10" t="s">
        <v>174</v>
      </c>
      <c r="CB4" s="48" t="s">
        <v>172</v>
      </c>
      <c r="CC4" s="10" t="s">
        <v>173</v>
      </c>
      <c r="CD4" s="10" t="s">
        <v>174</v>
      </c>
      <c r="CE4" s="48" t="s">
        <v>172</v>
      </c>
      <c r="CF4" s="10" t="s">
        <v>173</v>
      </c>
      <c r="CG4" s="10" t="s">
        <v>174</v>
      </c>
      <c r="CH4" s="48" t="s">
        <v>172</v>
      </c>
      <c r="CI4" s="10" t="s">
        <v>173</v>
      </c>
      <c r="CJ4" s="10" t="s">
        <v>174</v>
      </c>
      <c r="CK4" s="48" t="s">
        <v>172</v>
      </c>
      <c r="CL4" s="10" t="s">
        <v>173</v>
      </c>
      <c r="CM4" s="10" t="s">
        <v>174</v>
      </c>
      <c r="CN4" s="48" t="s">
        <v>172</v>
      </c>
      <c r="CO4" s="10" t="s">
        <v>173</v>
      </c>
      <c r="CP4" s="10" t="s">
        <v>174</v>
      </c>
      <c r="CQ4" s="48" t="s">
        <v>172</v>
      </c>
      <c r="CR4" s="10" t="s">
        <v>173</v>
      </c>
      <c r="CS4" s="10" t="s">
        <v>174</v>
      </c>
      <c r="CT4" s="48" t="s">
        <v>172</v>
      </c>
      <c r="CU4" s="10" t="s">
        <v>173</v>
      </c>
      <c r="CV4" s="10" t="s">
        <v>174</v>
      </c>
      <c r="CW4" s="48" t="s">
        <v>172</v>
      </c>
      <c r="CX4" s="10" t="s">
        <v>173</v>
      </c>
      <c r="CY4" s="10" t="s">
        <v>174</v>
      </c>
      <c r="CZ4" s="48" t="s">
        <v>172</v>
      </c>
      <c r="DA4" s="10" t="s">
        <v>173</v>
      </c>
      <c r="DB4" s="10" t="s">
        <v>174</v>
      </c>
      <c r="DC4" s="48" t="s">
        <v>172</v>
      </c>
      <c r="DD4" s="10" t="s">
        <v>173</v>
      </c>
      <c r="DE4" s="10" t="s">
        <v>174</v>
      </c>
      <c r="DF4" s="48" t="s">
        <v>172</v>
      </c>
      <c r="DG4" s="10" t="s">
        <v>173</v>
      </c>
      <c r="DH4" s="10" t="s">
        <v>174</v>
      </c>
      <c r="DI4" s="48" t="s">
        <v>172</v>
      </c>
      <c r="DJ4" s="10" t="s">
        <v>173</v>
      </c>
      <c r="DK4" s="10" t="s">
        <v>174</v>
      </c>
      <c r="DL4" s="48" t="s">
        <v>172</v>
      </c>
      <c r="DM4" s="10" t="s">
        <v>173</v>
      </c>
      <c r="DN4" s="10" t="s">
        <v>174</v>
      </c>
      <c r="DO4" s="48" t="s">
        <v>172</v>
      </c>
      <c r="DP4" s="10" t="s">
        <v>173</v>
      </c>
      <c r="DQ4" s="10" t="s">
        <v>174</v>
      </c>
      <c r="DR4" s="48" t="s">
        <v>172</v>
      </c>
      <c r="DS4" s="10" t="s">
        <v>173</v>
      </c>
      <c r="DT4" s="10" t="s">
        <v>174</v>
      </c>
      <c r="DU4" s="48" t="s">
        <v>172</v>
      </c>
      <c r="DV4" s="10" t="s">
        <v>173</v>
      </c>
      <c r="DW4" s="10" t="s">
        <v>174</v>
      </c>
      <c r="DX4" s="48" t="s">
        <v>172</v>
      </c>
      <c r="DY4" s="10" t="s">
        <v>173</v>
      </c>
      <c r="DZ4" s="10" t="s">
        <v>174</v>
      </c>
      <c r="EA4" s="48" t="s">
        <v>172</v>
      </c>
      <c r="EB4" s="10" t="s">
        <v>173</v>
      </c>
      <c r="EC4" s="10" t="s">
        <v>174</v>
      </c>
      <c r="ED4" s="48" t="s">
        <v>172</v>
      </c>
      <c r="EE4" s="10" t="s">
        <v>173</v>
      </c>
      <c r="EF4" s="10" t="s">
        <v>174</v>
      </c>
      <c r="EG4" s="48" t="s">
        <v>172</v>
      </c>
      <c r="EH4" s="10" t="s">
        <v>173</v>
      </c>
      <c r="EI4" s="10" t="s">
        <v>174</v>
      </c>
      <c r="EJ4" s="48" t="s">
        <v>172</v>
      </c>
      <c r="EK4" s="10" t="s">
        <v>173</v>
      </c>
      <c r="EL4" s="10" t="s">
        <v>174</v>
      </c>
      <c r="EM4" s="48" t="s">
        <v>172</v>
      </c>
      <c r="EN4" s="10" t="s">
        <v>173</v>
      </c>
      <c r="EO4" s="10" t="s">
        <v>174</v>
      </c>
      <c r="EP4" s="48" t="s">
        <v>172</v>
      </c>
      <c r="EQ4" s="10" t="s">
        <v>173</v>
      </c>
      <c r="ER4" s="10" t="s">
        <v>174</v>
      </c>
      <c r="ES4" s="48" t="s">
        <v>172</v>
      </c>
      <c r="ET4" s="10" t="s">
        <v>173</v>
      </c>
      <c r="EU4" s="10" t="s">
        <v>174</v>
      </c>
      <c r="EV4" s="48" t="s">
        <v>172</v>
      </c>
      <c r="EW4" s="10" t="s">
        <v>173</v>
      </c>
      <c r="EX4" s="10" t="s">
        <v>174</v>
      </c>
      <c r="EY4" s="48" t="s">
        <v>172</v>
      </c>
      <c r="EZ4" s="10" t="s">
        <v>173</v>
      </c>
      <c r="FA4" s="10" t="s">
        <v>174</v>
      </c>
      <c r="FB4" s="48" t="s">
        <v>172</v>
      </c>
      <c r="FC4" s="10" t="s">
        <v>173</v>
      </c>
      <c r="FD4" s="10" t="s">
        <v>174</v>
      </c>
      <c r="FE4" s="48" t="s">
        <v>172</v>
      </c>
      <c r="FF4" s="10" t="s">
        <v>173</v>
      </c>
      <c r="FG4" s="10" t="s">
        <v>174</v>
      </c>
      <c r="FH4" s="48" t="s">
        <v>172</v>
      </c>
      <c r="FI4" s="10" t="s">
        <v>173</v>
      </c>
      <c r="FJ4" s="10" t="s">
        <v>174</v>
      </c>
      <c r="FK4" s="48" t="s">
        <v>172</v>
      </c>
      <c r="FL4" s="10" t="s">
        <v>173</v>
      </c>
      <c r="FM4" s="10" t="s">
        <v>174</v>
      </c>
      <c r="FN4" s="48" t="s">
        <v>172</v>
      </c>
      <c r="FO4" s="10" t="s">
        <v>173</v>
      </c>
      <c r="FP4" s="10" t="s">
        <v>174</v>
      </c>
      <c r="FQ4" s="48" t="s">
        <v>172</v>
      </c>
      <c r="FR4" s="10" t="s">
        <v>173</v>
      </c>
      <c r="FS4" s="10" t="s">
        <v>174</v>
      </c>
      <c r="FT4" s="48" t="s">
        <v>172</v>
      </c>
      <c r="FU4" s="10" t="s">
        <v>173</v>
      </c>
      <c r="FV4" s="10" t="s">
        <v>174</v>
      </c>
      <c r="FW4" s="48" t="s">
        <v>172</v>
      </c>
      <c r="FX4" s="10" t="s">
        <v>173</v>
      </c>
      <c r="FY4" s="10" t="s">
        <v>174</v>
      </c>
      <c r="FZ4" s="48" t="s">
        <v>172</v>
      </c>
      <c r="GA4" s="10" t="s">
        <v>173</v>
      </c>
      <c r="GB4" s="10" t="s">
        <v>174</v>
      </c>
      <c r="GC4" s="48" t="s">
        <v>172</v>
      </c>
      <c r="GD4" s="10" t="s">
        <v>173</v>
      </c>
      <c r="GE4" s="10" t="s">
        <v>174</v>
      </c>
      <c r="GF4" s="48" t="s">
        <v>172</v>
      </c>
      <c r="GG4" s="10" t="s">
        <v>173</v>
      </c>
      <c r="GH4" s="10" t="s">
        <v>174</v>
      </c>
      <c r="GI4" s="48" t="s">
        <v>172</v>
      </c>
      <c r="GJ4" s="10" t="s">
        <v>173</v>
      </c>
      <c r="GK4" s="10" t="s">
        <v>174</v>
      </c>
      <c r="GL4" s="48" t="s">
        <v>172</v>
      </c>
      <c r="GM4" s="10" t="s">
        <v>173</v>
      </c>
      <c r="GN4" s="10" t="s">
        <v>174</v>
      </c>
      <c r="GO4" s="48" t="s">
        <v>172</v>
      </c>
      <c r="GP4" s="10" t="s">
        <v>173</v>
      </c>
      <c r="GQ4" s="10" t="s">
        <v>174</v>
      </c>
      <c r="GR4" s="48" t="s">
        <v>172</v>
      </c>
      <c r="GS4" s="10" t="s">
        <v>173</v>
      </c>
      <c r="GT4" s="10" t="s">
        <v>174</v>
      </c>
      <c r="GU4" s="48" t="s">
        <v>172</v>
      </c>
      <c r="GV4" s="10" t="s">
        <v>173</v>
      </c>
      <c r="GW4" s="10" t="s">
        <v>174</v>
      </c>
      <c r="GX4" s="48" t="s">
        <v>172</v>
      </c>
      <c r="GY4" s="10" t="s">
        <v>173</v>
      </c>
      <c r="GZ4" s="10" t="s">
        <v>174</v>
      </c>
      <c r="HA4" s="48" t="s">
        <v>172</v>
      </c>
      <c r="HB4" s="10" t="s">
        <v>173</v>
      </c>
      <c r="HC4" s="10" t="s">
        <v>174</v>
      </c>
      <c r="HD4" s="48" t="s">
        <v>172</v>
      </c>
      <c r="HE4" s="10" t="s">
        <v>173</v>
      </c>
      <c r="HF4" s="10" t="s">
        <v>174</v>
      </c>
      <c r="HG4" s="48" t="s">
        <v>172</v>
      </c>
      <c r="HH4" s="10" t="s">
        <v>173</v>
      </c>
      <c r="HI4" s="10" t="s">
        <v>174</v>
      </c>
      <c r="HJ4" s="48" t="s">
        <v>172</v>
      </c>
      <c r="HK4" s="10" t="s">
        <v>173</v>
      </c>
      <c r="HL4" s="10" t="s">
        <v>174</v>
      </c>
      <c r="HM4" s="48" t="s">
        <v>172</v>
      </c>
      <c r="HN4" s="10" t="s">
        <v>173</v>
      </c>
      <c r="HO4" s="10" t="s">
        <v>174</v>
      </c>
      <c r="HP4" s="48" t="s">
        <v>172</v>
      </c>
      <c r="HQ4" s="10" t="s">
        <v>173</v>
      </c>
      <c r="HR4" s="10" t="s">
        <v>174</v>
      </c>
      <c r="HS4" s="48" t="s">
        <v>172</v>
      </c>
      <c r="HT4" s="10" t="s">
        <v>173</v>
      </c>
      <c r="HU4" s="10" t="s">
        <v>174</v>
      </c>
      <c r="HV4" s="48" t="s">
        <v>172</v>
      </c>
      <c r="HW4" s="10" t="s">
        <v>173</v>
      </c>
      <c r="HX4" s="10" t="s">
        <v>174</v>
      </c>
      <c r="HY4" s="48" t="s">
        <v>172</v>
      </c>
      <c r="HZ4" s="10" t="s">
        <v>173</v>
      </c>
      <c r="IA4" s="10" t="s">
        <v>174</v>
      </c>
      <c r="IB4" s="48" t="s">
        <v>172</v>
      </c>
      <c r="IC4" s="10" t="s">
        <v>173</v>
      </c>
      <c r="ID4" s="10" t="s">
        <v>174</v>
      </c>
      <c r="IE4" s="48" t="s">
        <v>172</v>
      </c>
      <c r="IF4" s="10" t="s">
        <v>173</v>
      </c>
      <c r="IG4" s="10" t="s">
        <v>174</v>
      </c>
      <c r="IH4" s="48" t="s">
        <v>172</v>
      </c>
      <c r="II4" s="10" t="s">
        <v>173</v>
      </c>
      <c r="IJ4" s="10" t="s">
        <v>174</v>
      </c>
      <c r="IK4" s="48" t="s">
        <v>172</v>
      </c>
      <c r="IL4" s="10" t="s">
        <v>173</v>
      </c>
      <c r="IM4" s="10" t="s">
        <v>174</v>
      </c>
      <c r="IN4" s="48" t="s">
        <v>172</v>
      </c>
      <c r="IO4" s="10" t="s">
        <v>173</v>
      </c>
      <c r="IP4" s="10" t="s">
        <v>174</v>
      </c>
      <c r="IQ4" s="48" t="s">
        <v>172</v>
      </c>
      <c r="IR4" s="10" t="s">
        <v>173</v>
      </c>
      <c r="IS4" s="10" t="s">
        <v>174</v>
      </c>
      <c r="IT4" s="48" t="s">
        <v>172</v>
      </c>
      <c r="IU4" s="10" t="s">
        <v>173</v>
      </c>
      <c r="IV4" s="10" t="s">
        <v>174</v>
      </c>
      <c r="IW4" s="48" t="s">
        <v>172</v>
      </c>
      <c r="IX4" s="10" t="s">
        <v>173</v>
      </c>
      <c r="IY4" s="10" t="s">
        <v>174</v>
      </c>
      <c r="IZ4" s="48" t="s">
        <v>172</v>
      </c>
      <c r="JA4" s="10" t="s">
        <v>173</v>
      </c>
      <c r="JB4" s="10" t="s">
        <v>174</v>
      </c>
      <c r="JC4" s="48" t="s">
        <v>172</v>
      </c>
      <c r="JD4" s="10" t="s">
        <v>173</v>
      </c>
      <c r="JE4" s="10" t="s">
        <v>174</v>
      </c>
      <c r="JF4" s="48" t="s">
        <v>172</v>
      </c>
      <c r="JG4" s="10" t="s">
        <v>173</v>
      </c>
      <c r="JH4" s="10" t="s">
        <v>174</v>
      </c>
      <c r="JI4" s="48" t="s">
        <v>172</v>
      </c>
      <c r="JJ4" s="10" t="s">
        <v>173</v>
      </c>
      <c r="JK4" s="10" t="s">
        <v>174</v>
      </c>
      <c r="JL4" s="48" t="s">
        <v>172</v>
      </c>
      <c r="JM4" s="10" t="s">
        <v>173</v>
      </c>
      <c r="JN4" s="10" t="s">
        <v>174</v>
      </c>
      <c r="JO4" s="48" t="s">
        <v>172</v>
      </c>
      <c r="JP4" s="10" t="s">
        <v>173</v>
      </c>
      <c r="JQ4" s="10" t="s">
        <v>174</v>
      </c>
      <c r="JR4" s="48" t="s">
        <v>172</v>
      </c>
      <c r="JS4" s="10" t="s">
        <v>173</v>
      </c>
      <c r="JT4" s="10" t="s">
        <v>174</v>
      </c>
      <c r="JU4" s="48" t="s">
        <v>172</v>
      </c>
      <c r="JV4" s="10" t="s">
        <v>173</v>
      </c>
      <c r="JW4" s="10" t="s">
        <v>174</v>
      </c>
      <c r="JX4" s="48" t="s">
        <v>172</v>
      </c>
      <c r="JY4" s="10" t="s">
        <v>173</v>
      </c>
      <c r="JZ4" s="10" t="s">
        <v>174</v>
      </c>
      <c r="KA4" s="48" t="s">
        <v>172</v>
      </c>
      <c r="KB4" s="10" t="s">
        <v>173</v>
      </c>
      <c r="KC4" s="10" t="s">
        <v>174</v>
      </c>
      <c r="KD4" s="48" t="s">
        <v>172</v>
      </c>
      <c r="KE4" s="10" t="s">
        <v>173</v>
      </c>
      <c r="KF4" s="10" t="s">
        <v>174</v>
      </c>
      <c r="KG4" s="48" t="s">
        <v>172</v>
      </c>
      <c r="KH4" s="10" t="s">
        <v>173</v>
      </c>
      <c r="KI4" s="10" t="s">
        <v>174</v>
      </c>
      <c r="KJ4" s="48" t="s">
        <v>172</v>
      </c>
      <c r="KK4" s="10" t="s">
        <v>173</v>
      </c>
      <c r="KL4" s="10" t="s">
        <v>174</v>
      </c>
      <c r="KM4" s="48" t="s">
        <v>172</v>
      </c>
      <c r="KN4" s="10" t="s">
        <v>173</v>
      </c>
      <c r="KO4" s="10" t="s">
        <v>174</v>
      </c>
      <c r="KP4" s="48" t="s">
        <v>172</v>
      </c>
      <c r="KQ4" s="10" t="s">
        <v>173</v>
      </c>
      <c r="KR4" s="10" t="s">
        <v>174</v>
      </c>
      <c r="KS4" s="48" t="s">
        <v>172</v>
      </c>
      <c r="KT4" s="10" t="s">
        <v>173</v>
      </c>
      <c r="KU4" s="10" t="s">
        <v>174</v>
      </c>
      <c r="KV4" s="48" t="s">
        <v>172</v>
      </c>
      <c r="KW4" s="10" t="s">
        <v>173</v>
      </c>
      <c r="KX4" s="10" t="s">
        <v>174</v>
      </c>
      <c r="KY4" s="48" t="s">
        <v>172</v>
      </c>
      <c r="KZ4" s="10" t="s">
        <v>173</v>
      </c>
      <c r="LA4" s="10" t="s">
        <v>174</v>
      </c>
      <c r="LB4" s="48" t="s">
        <v>172</v>
      </c>
      <c r="LC4" s="10" t="s">
        <v>173</v>
      </c>
      <c r="LD4" s="10" t="s">
        <v>174</v>
      </c>
      <c r="LE4" s="48" t="s">
        <v>172</v>
      </c>
      <c r="LF4" s="10" t="s">
        <v>173</v>
      </c>
      <c r="LG4" s="10" t="s">
        <v>174</v>
      </c>
      <c r="LH4" s="48" t="s">
        <v>172</v>
      </c>
      <c r="LI4" s="10" t="s">
        <v>173</v>
      </c>
      <c r="LJ4" s="10" t="s">
        <v>174</v>
      </c>
      <c r="LK4" s="48" t="s">
        <v>172</v>
      </c>
      <c r="LL4" s="10" t="s">
        <v>173</v>
      </c>
      <c r="LM4" s="10" t="s">
        <v>174</v>
      </c>
      <c r="LN4" s="48" t="s">
        <v>172</v>
      </c>
      <c r="LO4" s="10" t="s">
        <v>173</v>
      </c>
      <c r="LP4" s="10" t="s">
        <v>174</v>
      </c>
      <c r="LQ4" s="48" t="s">
        <v>172</v>
      </c>
      <c r="LR4" s="10" t="s">
        <v>173</v>
      </c>
      <c r="LS4" s="10" t="s">
        <v>174</v>
      </c>
      <c r="LT4" s="48" t="s">
        <v>172</v>
      </c>
      <c r="LU4" s="10" t="s">
        <v>173</v>
      </c>
      <c r="LV4" s="10" t="s">
        <v>174</v>
      </c>
      <c r="LW4" s="48" t="s">
        <v>172</v>
      </c>
      <c r="LX4" s="10" t="s">
        <v>173</v>
      </c>
      <c r="LY4" s="10" t="s">
        <v>174</v>
      </c>
      <c r="LZ4" s="48" t="s">
        <v>172</v>
      </c>
      <c r="MA4" s="10" t="s">
        <v>173</v>
      </c>
      <c r="MB4" s="10" t="s">
        <v>174</v>
      </c>
      <c r="MC4" s="48" t="s">
        <v>172</v>
      </c>
      <c r="MD4" s="10" t="s">
        <v>173</v>
      </c>
      <c r="ME4" s="10" t="s">
        <v>174</v>
      </c>
      <c r="MF4" s="48" t="s">
        <v>172</v>
      </c>
      <c r="MG4" s="10" t="s">
        <v>173</v>
      </c>
      <c r="MH4" s="10" t="s">
        <v>174</v>
      </c>
      <c r="MI4" s="48" t="s">
        <v>172</v>
      </c>
      <c r="MJ4" s="10" t="s">
        <v>173</v>
      </c>
      <c r="MK4" s="10" t="s">
        <v>174</v>
      </c>
      <c r="ML4" s="48" t="s">
        <v>172</v>
      </c>
      <c r="MM4" s="10" t="s">
        <v>173</v>
      </c>
      <c r="MN4" s="10" t="s">
        <v>174</v>
      </c>
      <c r="MO4" s="48" t="s">
        <v>172</v>
      </c>
      <c r="MP4" s="10" t="s">
        <v>173</v>
      </c>
      <c r="MQ4" s="10" t="s">
        <v>174</v>
      </c>
      <c r="MR4" s="48" t="s">
        <v>172</v>
      </c>
      <c r="MS4" s="10" t="s">
        <v>173</v>
      </c>
      <c r="MT4" s="10" t="s">
        <v>174</v>
      </c>
      <c r="MU4" s="48" t="s">
        <v>172</v>
      </c>
      <c r="MV4" s="10" t="s">
        <v>173</v>
      </c>
      <c r="MW4" s="10" t="s">
        <v>174</v>
      </c>
      <c r="MX4" s="48" t="s">
        <v>172</v>
      </c>
      <c r="MY4" s="10" t="s">
        <v>173</v>
      </c>
      <c r="MZ4" s="10" t="s">
        <v>174</v>
      </c>
      <c r="NA4" s="48" t="s">
        <v>172</v>
      </c>
      <c r="NB4" s="10" t="s">
        <v>173</v>
      </c>
      <c r="NC4" s="10" t="s">
        <v>174</v>
      </c>
      <c r="ND4" s="48" t="s">
        <v>172</v>
      </c>
      <c r="NE4" s="10" t="s">
        <v>173</v>
      </c>
      <c r="NF4" s="10" t="s">
        <v>174</v>
      </c>
      <c r="NG4" s="48" t="s">
        <v>172</v>
      </c>
      <c r="NH4" s="10" t="s">
        <v>173</v>
      </c>
      <c r="NI4" s="10" t="s">
        <v>174</v>
      </c>
      <c r="NJ4" s="48" t="s">
        <v>172</v>
      </c>
      <c r="NK4" s="10" t="s">
        <v>173</v>
      </c>
      <c r="NL4" s="10" t="s">
        <v>174</v>
      </c>
      <c r="NM4" s="48" t="s">
        <v>172</v>
      </c>
      <c r="NN4" s="10" t="s">
        <v>173</v>
      </c>
      <c r="NO4" s="10" t="s">
        <v>174</v>
      </c>
      <c r="NP4" s="48" t="s">
        <v>172</v>
      </c>
      <c r="NQ4" s="10" t="s">
        <v>173</v>
      </c>
      <c r="NR4" s="10" t="s">
        <v>174</v>
      </c>
      <c r="NS4" s="48" t="s">
        <v>172</v>
      </c>
      <c r="NT4" s="10" t="s">
        <v>173</v>
      </c>
      <c r="NU4" s="10" t="s">
        <v>174</v>
      </c>
      <c r="NV4" s="48" t="s">
        <v>172</v>
      </c>
      <c r="NW4" s="10" t="s">
        <v>173</v>
      </c>
      <c r="NX4" s="10" t="s">
        <v>174</v>
      </c>
      <c r="NY4" s="48" t="s">
        <v>172</v>
      </c>
      <c r="NZ4" s="10" t="s">
        <v>173</v>
      </c>
      <c r="OA4" s="10" t="s">
        <v>174</v>
      </c>
      <c r="OB4" s="48" t="s">
        <v>172</v>
      </c>
      <c r="OC4" s="10" t="s">
        <v>173</v>
      </c>
      <c r="OD4" s="10" t="s">
        <v>174</v>
      </c>
      <c r="OE4" s="48" t="s">
        <v>172</v>
      </c>
      <c r="OF4" s="10" t="s">
        <v>173</v>
      </c>
      <c r="OG4" s="10" t="s">
        <v>174</v>
      </c>
      <c r="OH4" s="48" t="s">
        <v>172</v>
      </c>
      <c r="OI4" s="10" t="s">
        <v>173</v>
      </c>
      <c r="OJ4" s="10" t="s">
        <v>174</v>
      </c>
      <c r="OK4" s="48" t="s">
        <v>172</v>
      </c>
      <c r="OL4" s="10" t="s">
        <v>173</v>
      </c>
      <c r="OM4" s="10" t="s">
        <v>174</v>
      </c>
      <c r="ON4" s="48" t="s">
        <v>172</v>
      </c>
      <c r="OO4" s="10" t="s">
        <v>173</v>
      </c>
      <c r="OP4" s="10" t="s">
        <v>174</v>
      </c>
      <c r="OQ4" s="48" t="s">
        <v>172</v>
      </c>
      <c r="OR4" s="10" t="s">
        <v>173</v>
      </c>
      <c r="OS4" s="10" t="s">
        <v>174</v>
      </c>
      <c r="OT4" s="48" t="s">
        <v>172</v>
      </c>
      <c r="OU4" s="10" t="s">
        <v>173</v>
      </c>
      <c r="OV4" s="10" t="s">
        <v>174</v>
      </c>
      <c r="OW4" s="48" t="s">
        <v>172</v>
      </c>
      <c r="OX4" s="10" t="s">
        <v>173</v>
      </c>
      <c r="OY4" s="10" t="s">
        <v>174</v>
      </c>
      <c r="OZ4" s="48" t="s">
        <v>172</v>
      </c>
      <c r="PA4" s="10" t="s">
        <v>173</v>
      </c>
      <c r="PB4" s="10" t="s">
        <v>174</v>
      </c>
      <c r="PC4" s="48" t="s">
        <v>172</v>
      </c>
      <c r="PD4" s="10" t="s">
        <v>173</v>
      </c>
      <c r="PE4" s="10" t="s">
        <v>174</v>
      </c>
      <c r="PF4" s="48" t="s">
        <v>172</v>
      </c>
      <c r="PG4" s="10" t="s">
        <v>173</v>
      </c>
      <c r="PH4" s="10" t="s">
        <v>174</v>
      </c>
      <c r="PI4" s="48" t="s">
        <v>172</v>
      </c>
      <c r="PJ4" s="10" t="s">
        <v>173</v>
      </c>
      <c r="PK4" s="10" t="s">
        <v>174</v>
      </c>
      <c r="PL4" s="48" t="s">
        <v>172</v>
      </c>
      <c r="PM4" s="10" t="s">
        <v>173</v>
      </c>
      <c r="PN4" s="10" t="s">
        <v>174</v>
      </c>
      <c r="PO4" s="48" t="s">
        <v>172</v>
      </c>
      <c r="PP4" s="10" t="s">
        <v>173</v>
      </c>
      <c r="PQ4" s="10" t="s">
        <v>174</v>
      </c>
      <c r="PR4" s="48" t="s">
        <v>172</v>
      </c>
      <c r="PS4" s="10" t="s">
        <v>173</v>
      </c>
      <c r="PT4" s="10" t="s">
        <v>174</v>
      </c>
      <c r="PU4" s="48" t="s">
        <v>172</v>
      </c>
      <c r="PV4" s="10" t="s">
        <v>173</v>
      </c>
      <c r="PW4" s="10" t="s">
        <v>174</v>
      </c>
      <c r="PX4" s="48" t="s">
        <v>172</v>
      </c>
      <c r="PY4" s="10" t="s">
        <v>173</v>
      </c>
      <c r="PZ4" s="10" t="s">
        <v>174</v>
      </c>
      <c r="QA4" s="48" t="s">
        <v>172</v>
      </c>
      <c r="QB4" s="10" t="s">
        <v>173</v>
      </c>
      <c r="QC4" s="10" t="s">
        <v>174</v>
      </c>
      <c r="QD4" s="48" t="s">
        <v>172</v>
      </c>
      <c r="QE4" s="10" t="s">
        <v>173</v>
      </c>
      <c r="QF4" s="10" t="s">
        <v>174</v>
      </c>
      <c r="QG4" s="48" t="s">
        <v>172</v>
      </c>
      <c r="QH4" s="10" t="s">
        <v>173</v>
      </c>
      <c r="QI4" s="10" t="s">
        <v>174</v>
      </c>
      <c r="QJ4" s="48" t="s">
        <v>172</v>
      </c>
      <c r="QK4" s="10" t="s">
        <v>173</v>
      </c>
      <c r="QL4" s="10" t="s">
        <v>174</v>
      </c>
      <c r="QM4" s="48" t="s">
        <v>172</v>
      </c>
      <c r="QN4" s="10" t="s">
        <v>173</v>
      </c>
      <c r="QO4" s="10" t="s">
        <v>174</v>
      </c>
      <c r="QP4" s="48" t="s">
        <v>172</v>
      </c>
      <c r="QQ4" s="10" t="s">
        <v>173</v>
      </c>
      <c r="QR4" s="10" t="s">
        <v>174</v>
      </c>
      <c r="QS4" s="48" t="s">
        <v>172</v>
      </c>
      <c r="QT4" s="10" t="s">
        <v>173</v>
      </c>
      <c r="QU4" s="10" t="s">
        <v>174</v>
      </c>
      <c r="QV4" s="48" t="s">
        <v>172</v>
      </c>
      <c r="QW4" s="10" t="s">
        <v>173</v>
      </c>
      <c r="QX4" s="10" t="s">
        <v>174</v>
      </c>
      <c r="QY4" s="48" t="s">
        <v>172</v>
      </c>
      <c r="QZ4" s="10" t="s">
        <v>173</v>
      </c>
      <c r="RA4" s="10" t="s">
        <v>174</v>
      </c>
      <c r="RB4" s="48" t="s">
        <v>172</v>
      </c>
      <c r="RC4" s="10" t="s">
        <v>173</v>
      </c>
      <c r="RD4" s="10" t="s">
        <v>174</v>
      </c>
      <c r="RE4" s="48" t="s">
        <v>172</v>
      </c>
      <c r="RF4" s="10" t="s">
        <v>173</v>
      </c>
      <c r="RG4" s="10" t="s">
        <v>174</v>
      </c>
      <c r="RH4" s="48" t="s">
        <v>172</v>
      </c>
      <c r="RI4" s="10" t="s">
        <v>173</v>
      </c>
      <c r="RJ4" s="10" t="s">
        <v>174</v>
      </c>
      <c r="RK4" s="48" t="s">
        <v>172</v>
      </c>
      <c r="RL4" s="10" t="s">
        <v>173</v>
      </c>
      <c r="RM4" s="10" t="s">
        <v>174</v>
      </c>
      <c r="RN4" s="48" t="s">
        <v>172</v>
      </c>
      <c r="RO4" s="10" t="s">
        <v>173</v>
      </c>
      <c r="RP4" s="10" t="s">
        <v>174</v>
      </c>
      <c r="RQ4" s="48" t="s">
        <v>172</v>
      </c>
      <c r="RR4" s="10" t="s">
        <v>173</v>
      </c>
      <c r="RS4" s="10" t="s">
        <v>174</v>
      </c>
      <c r="RT4" s="48" t="s">
        <v>172</v>
      </c>
      <c r="RU4" s="10" t="s">
        <v>173</v>
      </c>
      <c r="RV4" s="10" t="s">
        <v>174</v>
      </c>
      <c r="RW4" s="48" t="s">
        <v>172</v>
      </c>
      <c r="RX4" s="10" t="s">
        <v>173</v>
      </c>
      <c r="RY4" s="10" t="s">
        <v>174</v>
      </c>
      <c r="RZ4" s="48" t="s">
        <v>172</v>
      </c>
      <c r="SA4" s="10" t="s">
        <v>173</v>
      </c>
      <c r="SB4" s="10" t="s">
        <v>174</v>
      </c>
      <c r="SC4" s="48" t="s">
        <v>172</v>
      </c>
      <c r="SD4" s="10" t="s">
        <v>173</v>
      </c>
      <c r="SE4" s="10" t="s">
        <v>174</v>
      </c>
      <c r="SF4" s="48" t="s">
        <v>172</v>
      </c>
      <c r="SG4" s="10" t="s">
        <v>173</v>
      </c>
      <c r="SH4" s="10" t="s">
        <v>174</v>
      </c>
      <c r="SI4" s="48" t="s">
        <v>172</v>
      </c>
      <c r="SJ4" s="10" t="s">
        <v>173</v>
      </c>
      <c r="SK4" s="10" t="s">
        <v>174</v>
      </c>
      <c r="SL4" s="48" t="s">
        <v>172</v>
      </c>
      <c r="SM4" s="10" t="s">
        <v>173</v>
      </c>
      <c r="SN4" s="10" t="s">
        <v>174</v>
      </c>
      <c r="SO4" s="48" t="s">
        <v>172</v>
      </c>
      <c r="SP4" s="10" t="s">
        <v>173</v>
      </c>
      <c r="SQ4" s="10" t="s">
        <v>174</v>
      </c>
      <c r="SR4" s="48" t="s">
        <v>172</v>
      </c>
      <c r="SS4" s="10" t="s">
        <v>173</v>
      </c>
      <c r="ST4" s="10" t="s">
        <v>174</v>
      </c>
      <c r="SU4" s="48" t="s">
        <v>172</v>
      </c>
      <c r="SV4" s="10" t="s">
        <v>173</v>
      </c>
      <c r="SW4" s="10" t="s">
        <v>174</v>
      </c>
      <c r="SX4" s="48" t="s">
        <v>172</v>
      </c>
      <c r="SY4" s="10" t="s">
        <v>173</v>
      </c>
      <c r="SZ4" s="10" t="s">
        <v>174</v>
      </c>
      <c r="TA4" s="48" t="s">
        <v>172</v>
      </c>
      <c r="TB4" s="10" t="s">
        <v>173</v>
      </c>
      <c r="TC4" s="10" t="s">
        <v>174</v>
      </c>
      <c r="TD4" s="48" t="s">
        <v>172</v>
      </c>
      <c r="TE4" s="10" t="s">
        <v>173</v>
      </c>
      <c r="TF4" s="10" t="s">
        <v>174</v>
      </c>
      <c r="TG4" s="48" t="s">
        <v>172</v>
      </c>
      <c r="TH4" s="10" t="s">
        <v>173</v>
      </c>
      <c r="TI4" s="10" t="s">
        <v>174</v>
      </c>
      <c r="TJ4" s="48" t="s">
        <v>172</v>
      </c>
      <c r="TK4" s="10" t="s">
        <v>173</v>
      </c>
      <c r="TL4" s="10" t="s">
        <v>174</v>
      </c>
      <c r="TM4" s="48" t="s">
        <v>172</v>
      </c>
      <c r="TN4" s="10" t="s">
        <v>173</v>
      </c>
      <c r="TO4" s="10" t="s">
        <v>174</v>
      </c>
      <c r="TP4" s="48" t="s">
        <v>172</v>
      </c>
      <c r="TQ4" s="10" t="s">
        <v>173</v>
      </c>
      <c r="TR4" s="10" t="s">
        <v>174</v>
      </c>
      <c r="TS4" s="48" t="s">
        <v>172</v>
      </c>
      <c r="TT4" s="10" t="s">
        <v>173</v>
      </c>
      <c r="TU4" s="10" t="s">
        <v>174</v>
      </c>
      <c r="TV4" s="48" t="s">
        <v>172</v>
      </c>
      <c r="TW4" s="10" t="s">
        <v>173</v>
      </c>
      <c r="TX4" s="10" t="s">
        <v>174</v>
      </c>
      <c r="TY4" s="48" t="s">
        <v>172</v>
      </c>
      <c r="TZ4" s="10" t="s">
        <v>173</v>
      </c>
      <c r="UA4" s="10" t="s">
        <v>174</v>
      </c>
      <c r="UB4" s="48" t="s">
        <v>172</v>
      </c>
      <c r="UC4" s="10" t="s">
        <v>173</v>
      </c>
      <c r="UD4" s="10" t="s">
        <v>174</v>
      </c>
      <c r="UE4" s="48" t="s">
        <v>172</v>
      </c>
      <c r="UF4" s="10" t="s">
        <v>173</v>
      </c>
      <c r="UG4" s="10" t="s">
        <v>174</v>
      </c>
      <c r="UH4" s="48" t="s">
        <v>172</v>
      </c>
      <c r="UI4" s="10" t="s">
        <v>173</v>
      </c>
      <c r="UJ4" s="10" t="s">
        <v>174</v>
      </c>
      <c r="UK4" s="48" t="s">
        <v>172</v>
      </c>
      <c r="UL4" s="10" t="s">
        <v>173</v>
      </c>
      <c r="UM4" s="10" t="s">
        <v>174</v>
      </c>
      <c r="UN4" s="48" t="s">
        <v>172</v>
      </c>
      <c r="UO4" s="10" t="s">
        <v>173</v>
      </c>
      <c r="UP4" s="10" t="s">
        <v>174</v>
      </c>
      <c r="UQ4" s="48" t="s">
        <v>172</v>
      </c>
      <c r="UR4" s="10" t="s">
        <v>173</v>
      </c>
      <c r="US4" s="10" t="s">
        <v>174</v>
      </c>
      <c r="UT4" s="48" t="s">
        <v>172</v>
      </c>
      <c r="UU4" s="10" t="s">
        <v>173</v>
      </c>
      <c r="UV4" s="10" t="s">
        <v>174</v>
      </c>
      <c r="UW4" s="48" t="s">
        <v>172</v>
      </c>
      <c r="UX4" s="10" t="s">
        <v>173</v>
      </c>
      <c r="UY4" s="10" t="s">
        <v>174</v>
      </c>
      <c r="UZ4" s="48" t="s">
        <v>172</v>
      </c>
      <c r="VA4" s="10" t="s">
        <v>173</v>
      </c>
      <c r="VB4" s="10" t="s">
        <v>174</v>
      </c>
      <c r="VC4" s="48" t="s">
        <v>172</v>
      </c>
      <c r="VD4" s="10" t="s">
        <v>173</v>
      </c>
      <c r="VE4" s="10" t="s">
        <v>174</v>
      </c>
      <c r="VF4" s="48" t="s">
        <v>172</v>
      </c>
      <c r="VG4" s="10" t="s">
        <v>173</v>
      </c>
      <c r="VH4" s="10" t="s">
        <v>174</v>
      </c>
      <c r="VI4" s="48" t="s">
        <v>172</v>
      </c>
      <c r="VJ4" s="10" t="s">
        <v>173</v>
      </c>
      <c r="VK4" s="10" t="s">
        <v>174</v>
      </c>
      <c r="VL4" s="48" t="s">
        <v>172</v>
      </c>
      <c r="VM4" s="10" t="s">
        <v>173</v>
      </c>
      <c r="VN4" s="10" t="s">
        <v>174</v>
      </c>
      <c r="VO4" s="48" t="s">
        <v>172</v>
      </c>
      <c r="VP4" s="10" t="s">
        <v>173</v>
      </c>
      <c r="VQ4" s="10" t="s">
        <v>174</v>
      </c>
      <c r="VR4" s="48" t="s">
        <v>172</v>
      </c>
      <c r="VS4" s="10" t="s">
        <v>173</v>
      </c>
      <c r="VT4" s="10" t="s">
        <v>174</v>
      </c>
      <c r="VU4" s="48" t="s">
        <v>172</v>
      </c>
      <c r="VV4" s="10" t="s">
        <v>173</v>
      </c>
      <c r="VW4" s="10" t="s">
        <v>174</v>
      </c>
      <c r="VX4" s="48" t="s">
        <v>172</v>
      </c>
      <c r="VY4" s="10" t="s">
        <v>173</v>
      </c>
      <c r="VZ4" s="10" t="s">
        <v>174</v>
      </c>
      <c r="WA4" s="48" t="s">
        <v>172</v>
      </c>
      <c r="WB4" s="10" t="s">
        <v>173</v>
      </c>
      <c r="WC4" s="10" t="s">
        <v>174</v>
      </c>
      <c r="WD4" s="48" t="s">
        <v>172</v>
      </c>
      <c r="WE4" s="10" t="s">
        <v>173</v>
      </c>
      <c r="WF4" s="10" t="s">
        <v>174</v>
      </c>
      <c r="WG4" s="48" t="s">
        <v>172</v>
      </c>
      <c r="WH4" s="10" t="s">
        <v>173</v>
      </c>
      <c r="WI4" s="10" t="s">
        <v>174</v>
      </c>
      <c r="WJ4" s="48" t="s">
        <v>172</v>
      </c>
      <c r="WK4" s="10" t="s">
        <v>173</v>
      </c>
      <c r="WL4" s="10" t="s">
        <v>174</v>
      </c>
      <c r="WM4" s="48" t="s">
        <v>172</v>
      </c>
      <c r="WN4" s="10" t="s">
        <v>173</v>
      </c>
      <c r="WO4" s="10" t="s">
        <v>174</v>
      </c>
      <c r="WP4" s="48" t="s">
        <v>172</v>
      </c>
      <c r="WQ4" s="10" t="s">
        <v>173</v>
      </c>
      <c r="WR4" s="10" t="s">
        <v>174</v>
      </c>
      <c r="WS4" s="48" t="s">
        <v>172</v>
      </c>
      <c r="WT4" s="10" t="s">
        <v>173</v>
      </c>
      <c r="WU4" s="10" t="s">
        <v>174</v>
      </c>
      <c r="WV4" s="48" t="s">
        <v>172</v>
      </c>
      <c r="WW4" s="10" t="s">
        <v>173</v>
      </c>
      <c r="WX4" s="10" t="s">
        <v>174</v>
      </c>
      <c r="WY4" s="48" t="s">
        <v>172</v>
      </c>
      <c r="WZ4" s="10" t="s">
        <v>173</v>
      </c>
      <c r="XA4" s="10" t="s">
        <v>174</v>
      </c>
      <c r="XB4" s="48" t="s">
        <v>172</v>
      </c>
      <c r="XC4" s="10" t="s">
        <v>173</v>
      </c>
      <c r="XD4" s="10" t="s">
        <v>174</v>
      </c>
      <c r="XE4" s="48" t="s">
        <v>172</v>
      </c>
      <c r="XF4" s="10" t="s">
        <v>173</v>
      </c>
      <c r="XG4" s="10" t="s">
        <v>174</v>
      </c>
      <c r="XH4" s="48" t="s">
        <v>172</v>
      </c>
      <c r="XI4" s="10" t="s">
        <v>173</v>
      </c>
      <c r="XJ4" s="10" t="s">
        <v>174</v>
      </c>
      <c r="XK4" s="48" t="s">
        <v>172</v>
      </c>
      <c r="XL4" s="10" t="s">
        <v>173</v>
      </c>
      <c r="XM4" s="10" t="s">
        <v>174</v>
      </c>
      <c r="XN4" s="48" t="s">
        <v>172</v>
      </c>
      <c r="XO4" s="10" t="s">
        <v>173</v>
      </c>
      <c r="XP4" s="10" t="s">
        <v>174</v>
      </c>
      <c r="XQ4" s="48" t="s">
        <v>172</v>
      </c>
      <c r="XR4" s="10" t="s">
        <v>173</v>
      </c>
      <c r="XS4" s="10" t="s">
        <v>174</v>
      </c>
      <c r="XT4" s="48" t="s">
        <v>172</v>
      </c>
      <c r="XU4" s="10" t="s">
        <v>173</v>
      </c>
      <c r="XV4" s="10" t="s">
        <v>174</v>
      </c>
      <c r="XW4" s="48" t="s">
        <v>172</v>
      </c>
      <c r="XX4" s="10" t="s">
        <v>173</v>
      </c>
      <c r="XY4" s="10" t="s">
        <v>174</v>
      </c>
      <c r="XZ4" s="48" t="s">
        <v>172</v>
      </c>
      <c r="YA4" s="10" t="s">
        <v>173</v>
      </c>
      <c r="YB4" s="10" t="s">
        <v>174</v>
      </c>
      <c r="YC4" s="48" t="s">
        <v>172</v>
      </c>
      <c r="YD4" s="10" t="s">
        <v>173</v>
      </c>
      <c r="YE4" s="10" t="s">
        <v>174</v>
      </c>
      <c r="YF4" s="48" t="s">
        <v>172</v>
      </c>
      <c r="YG4" s="10" t="s">
        <v>173</v>
      </c>
      <c r="YH4" s="10" t="s">
        <v>174</v>
      </c>
      <c r="YI4" s="48" t="s">
        <v>172</v>
      </c>
      <c r="YJ4" s="10" t="s">
        <v>173</v>
      </c>
      <c r="YK4" s="10" t="s">
        <v>174</v>
      </c>
      <c r="YL4" s="48" t="s">
        <v>172</v>
      </c>
      <c r="YM4" s="10" t="s">
        <v>173</v>
      </c>
      <c r="YN4" s="10" t="s">
        <v>174</v>
      </c>
      <c r="YO4" s="48" t="s">
        <v>172</v>
      </c>
      <c r="YP4" s="10" t="s">
        <v>173</v>
      </c>
      <c r="YQ4" s="10" t="s">
        <v>174</v>
      </c>
      <c r="YR4" s="48" t="s">
        <v>172</v>
      </c>
      <c r="YS4" s="10" t="s">
        <v>173</v>
      </c>
      <c r="YT4" s="10" t="s">
        <v>174</v>
      </c>
      <c r="YU4" s="48" t="s">
        <v>172</v>
      </c>
      <c r="YV4" s="10" t="s">
        <v>173</v>
      </c>
      <c r="YW4" s="10" t="s">
        <v>174</v>
      </c>
      <c r="YX4" s="48" t="s">
        <v>172</v>
      </c>
      <c r="YY4" s="10" t="s">
        <v>173</v>
      </c>
      <c r="YZ4" s="10" t="s">
        <v>174</v>
      </c>
      <c r="ZA4" s="48" t="s">
        <v>172</v>
      </c>
      <c r="ZB4" s="10" t="s">
        <v>173</v>
      </c>
      <c r="ZC4" s="10" t="s">
        <v>174</v>
      </c>
      <c r="ZD4" s="48" t="s">
        <v>172</v>
      </c>
      <c r="ZE4" s="10" t="s">
        <v>173</v>
      </c>
      <c r="ZF4" s="10" t="s">
        <v>174</v>
      </c>
      <c r="ZG4" s="48" t="s">
        <v>172</v>
      </c>
      <c r="ZH4" s="10" t="s">
        <v>173</v>
      </c>
      <c r="ZI4" s="10" t="s">
        <v>174</v>
      </c>
      <c r="ZJ4" s="48" t="s">
        <v>172</v>
      </c>
      <c r="ZK4" s="10" t="s">
        <v>173</v>
      </c>
      <c r="ZL4" s="10" t="s">
        <v>174</v>
      </c>
      <c r="ZM4" s="48" t="s">
        <v>172</v>
      </c>
      <c r="ZN4" s="10" t="s">
        <v>173</v>
      </c>
      <c r="ZO4" s="10" t="s">
        <v>174</v>
      </c>
      <c r="ZP4" s="48" t="s">
        <v>172</v>
      </c>
      <c r="ZQ4" s="10" t="s">
        <v>173</v>
      </c>
      <c r="ZR4" s="10" t="s">
        <v>174</v>
      </c>
      <c r="ZS4" s="48" t="s">
        <v>172</v>
      </c>
      <c r="ZT4" s="10" t="s">
        <v>173</v>
      </c>
      <c r="ZU4" s="10" t="s">
        <v>174</v>
      </c>
      <c r="ZV4" s="48" t="s">
        <v>172</v>
      </c>
      <c r="ZW4" s="10" t="s">
        <v>173</v>
      </c>
      <c r="ZX4" s="10" t="s">
        <v>174</v>
      </c>
      <c r="ZY4" s="48" t="s">
        <v>172</v>
      </c>
      <c r="ZZ4" s="10" t="s">
        <v>173</v>
      </c>
      <c r="AAA4" s="10" t="s">
        <v>174</v>
      </c>
      <c r="AAB4" s="48" t="s">
        <v>172</v>
      </c>
      <c r="AAC4" s="10" t="s">
        <v>173</v>
      </c>
      <c r="AAD4" s="10" t="s">
        <v>174</v>
      </c>
      <c r="AAE4" s="48" t="s">
        <v>172</v>
      </c>
      <c r="AAF4" s="10" t="s">
        <v>173</v>
      </c>
      <c r="AAG4" s="10" t="s">
        <v>174</v>
      </c>
      <c r="AAH4" s="48" t="s">
        <v>172</v>
      </c>
      <c r="AAI4" s="10" t="s">
        <v>173</v>
      </c>
      <c r="AAJ4" s="10" t="s">
        <v>174</v>
      </c>
      <c r="AAK4" s="48" t="s">
        <v>172</v>
      </c>
      <c r="AAL4" s="10" t="s">
        <v>173</v>
      </c>
      <c r="AAM4" s="10" t="s">
        <v>174</v>
      </c>
      <c r="AAN4" s="48" t="s">
        <v>172</v>
      </c>
      <c r="AAO4" s="10" t="s">
        <v>173</v>
      </c>
      <c r="AAP4" s="10" t="s">
        <v>174</v>
      </c>
      <c r="AAQ4" s="48" t="s">
        <v>172</v>
      </c>
      <c r="AAR4" s="10" t="s">
        <v>173</v>
      </c>
      <c r="AAS4" s="10" t="s">
        <v>174</v>
      </c>
      <c r="AAT4" s="48" t="s">
        <v>172</v>
      </c>
      <c r="AAU4" s="10" t="s">
        <v>173</v>
      </c>
      <c r="AAV4" s="10" t="s">
        <v>174</v>
      </c>
      <c r="AAW4" s="48" t="s">
        <v>172</v>
      </c>
      <c r="AAX4" s="10" t="s">
        <v>173</v>
      </c>
      <c r="AAY4" s="10" t="s">
        <v>174</v>
      </c>
      <c r="AAZ4" s="48" t="s">
        <v>172</v>
      </c>
      <c r="ABA4" s="10" t="s">
        <v>173</v>
      </c>
      <c r="ABB4" s="10" t="s">
        <v>174</v>
      </c>
      <c r="ABC4" s="48" t="s">
        <v>172</v>
      </c>
      <c r="ABD4" s="10" t="s">
        <v>173</v>
      </c>
      <c r="ABE4" s="10" t="s">
        <v>174</v>
      </c>
      <c r="ABF4" s="48" t="s">
        <v>172</v>
      </c>
      <c r="ABG4" s="10" t="s">
        <v>173</v>
      </c>
      <c r="ABH4" s="10" t="s">
        <v>174</v>
      </c>
      <c r="ABI4" s="48" t="s">
        <v>172</v>
      </c>
      <c r="ABJ4" s="10" t="s">
        <v>173</v>
      </c>
      <c r="ABK4" s="10" t="s">
        <v>174</v>
      </c>
      <c r="ABL4" s="48" t="s">
        <v>172</v>
      </c>
      <c r="ABM4" s="10" t="s">
        <v>173</v>
      </c>
      <c r="ABN4" s="10" t="s">
        <v>174</v>
      </c>
      <c r="ABO4" s="48" t="s">
        <v>172</v>
      </c>
      <c r="ABP4" s="10" t="s">
        <v>173</v>
      </c>
      <c r="ABQ4" s="10" t="s">
        <v>174</v>
      </c>
      <c r="ABR4" s="48" t="s">
        <v>172</v>
      </c>
      <c r="ABS4" s="10" t="s">
        <v>173</v>
      </c>
      <c r="ABT4" s="10" t="s">
        <v>174</v>
      </c>
      <c r="ABU4" s="48" t="s">
        <v>172</v>
      </c>
      <c r="ABV4" s="10" t="s">
        <v>173</v>
      </c>
      <c r="ABW4" s="10" t="s">
        <v>174</v>
      </c>
      <c r="ABX4" s="48" t="s">
        <v>172</v>
      </c>
      <c r="ABY4" s="10" t="s">
        <v>173</v>
      </c>
      <c r="ABZ4" s="10" t="s">
        <v>174</v>
      </c>
      <c r="ACA4" s="48" t="s">
        <v>172</v>
      </c>
      <c r="ACB4" s="10" t="s">
        <v>173</v>
      </c>
      <c r="ACC4" s="10" t="s">
        <v>174</v>
      </c>
      <c r="ACD4" s="48" t="s">
        <v>172</v>
      </c>
      <c r="ACE4" s="10" t="s">
        <v>173</v>
      </c>
      <c r="ACF4" s="10" t="s">
        <v>174</v>
      </c>
      <c r="ACG4" s="48" t="s">
        <v>172</v>
      </c>
      <c r="ACH4" s="10" t="s">
        <v>173</v>
      </c>
      <c r="ACI4" s="10" t="s">
        <v>174</v>
      </c>
      <c r="ACJ4" s="48" t="s">
        <v>172</v>
      </c>
      <c r="ACK4" s="10" t="s">
        <v>173</v>
      </c>
      <c r="ACL4" s="10" t="s">
        <v>174</v>
      </c>
      <c r="ACM4" s="48" t="s">
        <v>172</v>
      </c>
      <c r="ACN4" s="10" t="s">
        <v>173</v>
      </c>
      <c r="ACO4" s="10" t="s">
        <v>174</v>
      </c>
      <c r="ACP4" s="48" t="s">
        <v>172</v>
      </c>
      <c r="ACQ4" s="10" t="s">
        <v>173</v>
      </c>
      <c r="ACR4" s="10" t="s">
        <v>174</v>
      </c>
      <c r="ACS4" s="48" t="s">
        <v>172</v>
      </c>
      <c r="ACT4" s="10" t="s">
        <v>173</v>
      </c>
      <c r="ACU4" s="10" t="s">
        <v>174</v>
      </c>
      <c r="ACV4" s="48" t="s">
        <v>172</v>
      </c>
      <c r="ACW4" s="10" t="s">
        <v>173</v>
      </c>
      <c r="ACX4" s="10" t="s">
        <v>174</v>
      </c>
      <c r="ACY4" s="48" t="s">
        <v>172</v>
      </c>
      <c r="ACZ4" s="10" t="s">
        <v>173</v>
      </c>
      <c r="ADA4" s="10" t="s">
        <v>174</v>
      </c>
      <c r="ADB4" s="48" t="s">
        <v>172</v>
      </c>
      <c r="ADC4" s="10" t="s">
        <v>173</v>
      </c>
      <c r="ADD4" s="10" t="s">
        <v>174</v>
      </c>
      <c r="ADE4" s="48" t="s">
        <v>172</v>
      </c>
      <c r="ADF4" s="10" t="s">
        <v>173</v>
      </c>
      <c r="ADG4" s="10" t="s">
        <v>174</v>
      </c>
      <c r="ADH4" s="48" t="s">
        <v>172</v>
      </c>
      <c r="ADI4" s="10" t="s">
        <v>173</v>
      </c>
      <c r="ADJ4" s="10" t="s">
        <v>174</v>
      </c>
      <c r="ADK4" s="48" t="s">
        <v>172</v>
      </c>
      <c r="ADL4" s="10" t="s">
        <v>173</v>
      </c>
      <c r="ADM4" s="10" t="s">
        <v>174</v>
      </c>
      <c r="ADN4" s="48" t="s">
        <v>172</v>
      </c>
      <c r="ADO4" s="10" t="s">
        <v>173</v>
      </c>
      <c r="ADP4" s="10" t="s">
        <v>174</v>
      </c>
      <c r="ADQ4" s="48" t="s">
        <v>172</v>
      </c>
      <c r="ADR4" s="10" t="s">
        <v>173</v>
      </c>
      <c r="ADS4" s="10" t="s">
        <v>174</v>
      </c>
      <c r="ADT4" s="48" t="s">
        <v>172</v>
      </c>
      <c r="ADU4" s="10" t="s">
        <v>173</v>
      </c>
      <c r="ADV4" s="10" t="s">
        <v>174</v>
      </c>
      <c r="ADW4" s="48" t="s">
        <v>172</v>
      </c>
      <c r="ADX4" s="10" t="s">
        <v>173</v>
      </c>
      <c r="ADY4" s="10" t="s">
        <v>174</v>
      </c>
      <c r="ADZ4" s="48" t="s">
        <v>172</v>
      </c>
      <c r="AEA4" s="10" t="s">
        <v>173</v>
      </c>
      <c r="AEB4" s="10" t="s">
        <v>174</v>
      </c>
      <c r="AEC4" s="48" t="s">
        <v>172</v>
      </c>
      <c r="AED4" s="10" t="s">
        <v>173</v>
      </c>
      <c r="AEE4" s="10" t="s">
        <v>174</v>
      </c>
      <c r="AEF4" s="48" t="s">
        <v>172</v>
      </c>
      <c r="AEG4" s="10" t="s">
        <v>173</v>
      </c>
      <c r="AEH4" s="10" t="s">
        <v>174</v>
      </c>
      <c r="AEI4" s="48" t="s">
        <v>172</v>
      </c>
      <c r="AEJ4" s="10" t="s">
        <v>173</v>
      </c>
      <c r="AEK4" s="10" t="s">
        <v>174</v>
      </c>
      <c r="AEL4" s="48" t="s">
        <v>172</v>
      </c>
      <c r="AEM4" s="10" t="s">
        <v>173</v>
      </c>
      <c r="AEN4" s="10" t="s">
        <v>174</v>
      </c>
      <c r="AEO4" s="48" t="s">
        <v>172</v>
      </c>
      <c r="AEP4" s="10" t="s">
        <v>173</v>
      </c>
      <c r="AEQ4" s="10" t="s">
        <v>174</v>
      </c>
      <c r="AER4" s="48" t="s">
        <v>172</v>
      </c>
      <c r="AES4" s="10" t="s">
        <v>173</v>
      </c>
      <c r="AET4" s="10" t="s">
        <v>174</v>
      </c>
      <c r="AEU4" s="48" t="s">
        <v>172</v>
      </c>
      <c r="AEV4" s="10" t="s">
        <v>173</v>
      </c>
      <c r="AEW4" s="10" t="s">
        <v>174</v>
      </c>
      <c r="AEX4" s="48" t="s">
        <v>172</v>
      </c>
      <c r="AEY4" s="10" t="s">
        <v>173</v>
      </c>
      <c r="AEZ4" s="10" t="s">
        <v>174</v>
      </c>
      <c r="AFA4" s="48" t="s">
        <v>172</v>
      </c>
      <c r="AFB4" s="10" t="s">
        <v>173</v>
      </c>
      <c r="AFC4" s="10" t="s">
        <v>174</v>
      </c>
      <c r="AFD4" s="48" t="s">
        <v>172</v>
      </c>
      <c r="AFE4" s="10" t="s">
        <v>173</v>
      </c>
      <c r="AFF4" s="10" t="s">
        <v>174</v>
      </c>
      <c r="AFG4" s="48" t="s">
        <v>172</v>
      </c>
      <c r="AFH4" s="10" t="s">
        <v>173</v>
      </c>
      <c r="AFI4" s="10" t="s">
        <v>174</v>
      </c>
      <c r="AFJ4" s="48" t="s">
        <v>172</v>
      </c>
      <c r="AFK4" s="10" t="s">
        <v>173</v>
      </c>
      <c r="AFL4" s="10" t="s">
        <v>174</v>
      </c>
      <c r="AFM4" s="48" t="s">
        <v>172</v>
      </c>
      <c r="AFN4" s="10" t="s">
        <v>173</v>
      </c>
      <c r="AFO4" s="10" t="s">
        <v>174</v>
      </c>
      <c r="AFP4" s="48" t="s">
        <v>172</v>
      </c>
      <c r="AFQ4" s="10" t="s">
        <v>173</v>
      </c>
      <c r="AFR4" s="10" t="s">
        <v>174</v>
      </c>
      <c r="AFS4" s="48" t="s">
        <v>172</v>
      </c>
      <c r="AFT4" s="10" t="s">
        <v>173</v>
      </c>
      <c r="AFU4" s="10" t="s">
        <v>174</v>
      </c>
      <c r="AFV4" s="48" t="s">
        <v>172</v>
      </c>
      <c r="AFW4" s="10" t="s">
        <v>173</v>
      </c>
      <c r="AFX4" s="10" t="s">
        <v>174</v>
      </c>
      <c r="AFY4" s="48" t="s">
        <v>172</v>
      </c>
      <c r="AFZ4" s="10" t="s">
        <v>173</v>
      </c>
      <c r="AGA4" s="10" t="s">
        <v>174</v>
      </c>
      <c r="AGB4" s="48" t="s">
        <v>172</v>
      </c>
      <c r="AGC4" s="10" t="s">
        <v>173</v>
      </c>
      <c r="AGD4" s="10" t="s">
        <v>174</v>
      </c>
      <c r="AGE4" s="48" t="s">
        <v>172</v>
      </c>
      <c r="AGF4" s="10" t="s">
        <v>173</v>
      </c>
      <c r="AGG4" s="10" t="s">
        <v>174</v>
      </c>
      <c r="AGH4" s="48" t="s">
        <v>172</v>
      </c>
      <c r="AGI4" s="10" t="s">
        <v>173</v>
      </c>
      <c r="AGJ4" s="10" t="s">
        <v>174</v>
      </c>
      <c r="AGK4" s="48" t="s">
        <v>172</v>
      </c>
      <c r="AGL4" s="10" t="s">
        <v>173</v>
      </c>
      <c r="AGM4" s="10" t="s">
        <v>174</v>
      </c>
      <c r="AGN4" s="48" t="s">
        <v>172</v>
      </c>
      <c r="AGO4" s="10" t="s">
        <v>173</v>
      </c>
      <c r="AGP4" s="10" t="s">
        <v>174</v>
      </c>
      <c r="AGQ4" s="48" t="s">
        <v>172</v>
      </c>
      <c r="AGR4" s="10" t="s">
        <v>173</v>
      </c>
      <c r="AGS4" s="10" t="s">
        <v>174</v>
      </c>
      <c r="AGT4" s="48" t="s">
        <v>172</v>
      </c>
      <c r="AGU4" s="10" t="s">
        <v>173</v>
      </c>
      <c r="AGV4" s="10" t="s">
        <v>174</v>
      </c>
      <c r="AGW4" s="48" t="s">
        <v>172</v>
      </c>
      <c r="AGX4" s="10" t="s">
        <v>173</v>
      </c>
      <c r="AGY4" s="10" t="s">
        <v>174</v>
      </c>
      <c r="AGZ4" s="48" t="s">
        <v>172</v>
      </c>
      <c r="AHA4" s="10" t="s">
        <v>173</v>
      </c>
      <c r="AHB4" s="10" t="s">
        <v>174</v>
      </c>
      <c r="AHC4" s="48" t="s">
        <v>172</v>
      </c>
      <c r="AHD4" s="10" t="s">
        <v>173</v>
      </c>
      <c r="AHE4" s="10" t="s">
        <v>174</v>
      </c>
      <c r="AHF4" s="48" t="s">
        <v>172</v>
      </c>
      <c r="AHG4" s="10" t="s">
        <v>173</v>
      </c>
      <c r="AHH4" s="10" t="s">
        <v>174</v>
      </c>
      <c r="AHI4" s="48" t="s">
        <v>172</v>
      </c>
      <c r="AHJ4" s="10" t="s">
        <v>173</v>
      </c>
      <c r="AHK4" s="10" t="s">
        <v>174</v>
      </c>
      <c r="AHL4" s="48" t="s">
        <v>172</v>
      </c>
      <c r="AHM4" s="10" t="s">
        <v>173</v>
      </c>
      <c r="AHN4" s="10" t="s">
        <v>174</v>
      </c>
      <c r="AHO4" s="48" t="s">
        <v>172</v>
      </c>
      <c r="AHP4" s="10" t="s">
        <v>173</v>
      </c>
      <c r="AHQ4" s="10" t="s">
        <v>174</v>
      </c>
      <c r="AHR4" s="48" t="s">
        <v>172</v>
      </c>
      <c r="AHS4" s="10" t="s">
        <v>173</v>
      </c>
      <c r="AHT4" s="10" t="s">
        <v>174</v>
      </c>
      <c r="AHU4" s="48" t="s">
        <v>172</v>
      </c>
      <c r="AHV4" s="10" t="s">
        <v>173</v>
      </c>
      <c r="AHW4" s="10" t="s">
        <v>174</v>
      </c>
      <c r="AHX4" s="48" t="s">
        <v>172</v>
      </c>
      <c r="AHY4" s="10" t="s">
        <v>173</v>
      </c>
      <c r="AHZ4" s="10" t="s">
        <v>174</v>
      </c>
      <c r="AIA4" s="48" t="s">
        <v>172</v>
      </c>
      <c r="AIB4" s="10" t="s">
        <v>173</v>
      </c>
      <c r="AIC4" s="10" t="s">
        <v>174</v>
      </c>
      <c r="AID4" s="48" t="s">
        <v>172</v>
      </c>
      <c r="AIE4" s="10" t="s">
        <v>173</v>
      </c>
      <c r="AIF4" s="10" t="s">
        <v>174</v>
      </c>
      <c r="AIG4" s="48" t="s">
        <v>172</v>
      </c>
      <c r="AIH4" s="10" t="s">
        <v>173</v>
      </c>
      <c r="AII4" s="10" t="s">
        <v>174</v>
      </c>
      <c r="AIJ4" s="48" t="s">
        <v>172</v>
      </c>
      <c r="AIK4" s="10" t="s">
        <v>173</v>
      </c>
      <c r="AIL4" s="10" t="s">
        <v>174</v>
      </c>
      <c r="AIM4" s="48" t="s">
        <v>172</v>
      </c>
      <c r="AIN4" s="10" t="s">
        <v>173</v>
      </c>
      <c r="AIO4" s="10" t="s">
        <v>174</v>
      </c>
      <c r="AIP4" s="48" t="s">
        <v>172</v>
      </c>
      <c r="AIQ4" s="10" t="s">
        <v>173</v>
      </c>
      <c r="AIR4" s="10" t="s">
        <v>174</v>
      </c>
      <c r="AIS4" s="48" t="s">
        <v>172</v>
      </c>
      <c r="AIT4" s="10" t="s">
        <v>173</v>
      </c>
      <c r="AIU4" s="10" t="s">
        <v>174</v>
      </c>
      <c r="AIV4" s="48" t="s">
        <v>172</v>
      </c>
      <c r="AIW4" s="10" t="s">
        <v>173</v>
      </c>
      <c r="AIX4" s="10" t="s">
        <v>174</v>
      </c>
      <c r="AIY4" s="48" t="s">
        <v>172</v>
      </c>
      <c r="AIZ4" s="10" t="s">
        <v>173</v>
      </c>
      <c r="AJA4" s="10" t="s">
        <v>174</v>
      </c>
      <c r="AJB4" s="48" t="s">
        <v>172</v>
      </c>
      <c r="AJC4" s="10" t="s">
        <v>173</v>
      </c>
      <c r="AJD4" s="10" t="s">
        <v>174</v>
      </c>
      <c r="AJE4" s="48" t="s">
        <v>172</v>
      </c>
      <c r="AJF4" s="10" t="s">
        <v>173</v>
      </c>
      <c r="AJG4" s="10" t="s">
        <v>174</v>
      </c>
      <c r="AJH4" s="48" t="s">
        <v>172</v>
      </c>
      <c r="AJI4" s="10" t="s">
        <v>173</v>
      </c>
      <c r="AJJ4" s="10" t="s">
        <v>174</v>
      </c>
      <c r="AJK4" s="48" t="s">
        <v>172</v>
      </c>
      <c r="AJL4" s="10" t="s">
        <v>173</v>
      </c>
      <c r="AJM4" s="10" t="s">
        <v>174</v>
      </c>
      <c r="AJN4" s="48" t="s">
        <v>172</v>
      </c>
      <c r="AJO4" s="10" t="s">
        <v>173</v>
      </c>
      <c r="AJP4" s="10" t="s">
        <v>174</v>
      </c>
      <c r="AJQ4" s="48" t="s">
        <v>172</v>
      </c>
      <c r="AJR4" s="10" t="s">
        <v>173</v>
      </c>
      <c r="AJS4" s="10" t="s">
        <v>174</v>
      </c>
      <c r="AJT4" s="48" t="s">
        <v>172</v>
      </c>
      <c r="AJU4" s="10" t="s">
        <v>173</v>
      </c>
      <c r="AJV4" s="10" t="s">
        <v>174</v>
      </c>
      <c r="AJW4" s="48" t="s">
        <v>172</v>
      </c>
      <c r="AJX4" s="10" t="s">
        <v>173</v>
      </c>
      <c r="AJY4" s="10" t="s">
        <v>174</v>
      </c>
      <c r="AJZ4" s="48" t="s">
        <v>172</v>
      </c>
      <c r="AKA4" s="10" t="s">
        <v>173</v>
      </c>
      <c r="AKB4" s="10" t="s">
        <v>174</v>
      </c>
      <c r="AKC4" s="48" t="s">
        <v>172</v>
      </c>
      <c r="AKD4" s="10" t="s">
        <v>173</v>
      </c>
      <c r="AKE4" s="10" t="s">
        <v>174</v>
      </c>
      <c r="AKF4" s="48" t="s">
        <v>172</v>
      </c>
      <c r="AKG4" s="10" t="s">
        <v>173</v>
      </c>
      <c r="AKH4" s="10" t="s">
        <v>174</v>
      </c>
      <c r="AKI4" s="48" t="s">
        <v>172</v>
      </c>
      <c r="AKJ4" s="10" t="s">
        <v>173</v>
      </c>
      <c r="AKK4" s="10" t="s">
        <v>174</v>
      </c>
      <c r="AKL4" s="48" t="s">
        <v>172</v>
      </c>
      <c r="AKM4" s="10" t="s">
        <v>173</v>
      </c>
      <c r="AKN4" s="10" t="s">
        <v>174</v>
      </c>
      <c r="AKO4" s="48" t="s">
        <v>172</v>
      </c>
      <c r="AKP4" s="10" t="s">
        <v>173</v>
      </c>
      <c r="AKQ4" s="10" t="s">
        <v>174</v>
      </c>
      <c r="AKR4" s="48" t="s">
        <v>172</v>
      </c>
      <c r="AKS4" s="10" t="s">
        <v>173</v>
      </c>
      <c r="AKT4" s="10" t="s">
        <v>174</v>
      </c>
      <c r="AKU4" s="48" t="s">
        <v>172</v>
      </c>
      <c r="AKV4" s="10" t="s">
        <v>173</v>
      </c>
      <c r="AKW4" s="10" t="s">
        <v>174</v>
      </c>
      <c r="AKX4" s="48" t="s">
        <v>172</v>
      </c>
      <c r="AKY4" s="10" t="s">
        <v>173</v>
      </c>
      <c r="AKZ4" s="10" t="s">
        <v>174</v>
      </c>
      <c r="ALA4" s="48" t="s">
        <v>172</v>
      </c>
      <c r="ALB4" s="10" t="s">
        <v>173</v>
      </c>
      <c r="ALC4" s="10" t="s">
        <v>174</v>
      </c>
      <c r="ALD4" s="48" t="s">
        <v>172</v>
      </c>
      <c r="ALE4" s="10" t="s">
        <v>173</v>
      </c>
      <c r="ALF4" s="10" t="s">
        <v>174</v>
      </c>
      <c r="ALG4" s="48" t="s">
        <v>172</v>
      </c>
      <c r="ALH4" s="10" t="s">
        <v>173</v>
      </c>
      <c r="ALI4" s="10" t="s">
        <v>174</v>
      </c>
      <c r="ALJ4" s="48" t="s">
        <v>172</v>
      </c>
      <c r="ALK4" s="10" t="s">
        <v>173</v>
      </c>
      <c r="ALL4" s="10" t="s">
        <v>174</v>
      </c>
      <c r="ALM4" s="48" t="s">
        <v>172</v>
      </c>
      <c r="ALN4" s="10" t="s">
        <v>173</v>
      </c>
      <c r="ALO4" s="10" t="s">
        <v>174</v>
      </c>
      <c r="ALP4" s="48" t="s">
        <v>172</v>
      </c>
      <c r="ALQ4" s="10" t="s">
        <v>173</v>
      </c>
      <c r="ALR4" s="10" t="s">
        <v>174</v>
      </c>
      <c r="ALS4" s="48" t="s">
        <v>172</v>
      </c>
      <c r="ALT4" s="10" t="s">
        <v>173</v>
      </c>
      <c r="ALU4" s="10" t="s">
        <v>174</v>
      </c>
      <c r="ALV4" s="48" t="s">
        <v>172</v>
      </c>
      <c r="ALW4" s="10" t="s">
        <v>173</v>
      </c>
      <c r="ALX4" s="10" t="s">
        <v>174</v>
      </c>
      <c r="ALY4" s="48" t="s">
        <v>172</v>
      </c>
      <c r="ALZ4" s="10" t="s">
        <v>173</v>
      </c>
      <c r="AMA4" s="10" t="s">
        <v>174</v>
      </c>
      <c r="AMB4" s="48" t="s">
        <v>172</v>
      </c>
      <c r="AMC4" s="10" t="s">
        <v>173</v>
      </c>
      <c r="AMD4" s="10" t="s">
        <v>174</v>
      </c>
      <c r="AME4" s="48" t="s">
        <v>172</v>
      </c>
      <c r="AMF4" s="10" t="s">
        <v>173</v>
      </c>
      <c r="AMG4" s="10" t="s">
        <v>174</v>
      </c>
      <c r="AMH4" s="48" t="s">
        <v>172</v>
      </c>
      <c r="AMI4" s="10" t="s">
        <v>173</v>
      </c>
      <c r="AMJ4" s="10" t="s">
        <v>174</v>
      </c>
      <c r="AMK4" s="48" t="s">
        <v>172</v>
      </c>
      <c r="AML4" s="10" t="s">
        <v>173</v>
      </c>
      <c r="AMM4" s="10" t="s">
        <v>174</v>
      </c>
      <c r="AMN4" s="48" t="s">
        <v>172</v>
      </c>
      <c r="AMO4" s="10" t="s">
        <v>173</v>
      </c>
      <c r="AMP4" s="10" t="s">
        <v>174</v>
      </c>
      <c r="AMQ4" s="48" t="s">
        <v>172</v>
      </c>
      <c r="AMR4" s="10" t="s">
        <v>173</v>
      </c>
      <c r="AMS4" s="10" t="s">
        <v>174</v>
      </c>
      <c r="AMT4" s="48" t="s">
        <v>172</v>
      </c>
      <c r="AMU4" s="10" t="s">
        <v>173</v>
      </c>
      <c r="AMV4" s="10" t="s">
        <v>174</v>
      </c>
      <c r="AMW4" s="48" t="s">
        <v>172</v>
      </c>
      <c r="AMX4" s="10" t="s">
        <v>173</v>
      </c>
      <c r="AMY4" s="10" t="s">
        <v>174</v>
      </c>
      <c r="AMZ4" s="48" t="s">
        <v>172</v>
      </c>
      <c r="ANA4" s="10" t="s">
        <v>173</v>
      </c>
      <c r="ANB4" s="10" t="s">
        <v>174</v>
      </c>
      <c r="ANC4" s="48" t="s">
        <v>172</v>
      </c>
      <c r="AND4" s="10" t="s">
        <v>173</v>
      </c>
      <c r="ANE4" s="10" t="s">
        <v>174</v>
      </c>
      <c r="ANF4" s="48" t="s">
        <v>172</v>
      </c>
      <c r="ANG4" s="10" t="s">
        <v>173</v>
      </c>
      <c r="ANH4" s="10" t="s">
        <v>174</v>
      </c>
      <c r="ANI4" s="48" t="s">
        <v>172</v>
      </c>
      <c r="ANJ4" s="10" t="s">
        <v>173</v>
      </c>
      <c r="ANK4" s="10" t="s">
        <v>174</v>
      </c>
      <c r="ANL4" s="48" t="s">
        <v>172</v>
      </c>
      <c r="ANM4" s="10" t="s">
        <v>173</v>
      </c>
      <c r="ANN4" s="10" t="s">
        <v>174</v>
      </c>
      <c r="ANO4" s="48" t="s">
        <v>172</v>
      </c>
      <c r="ANP4" s="10" t="s">
        <v>173</v>
      </c>
      <c r="ANQ4" s="10" t="s">
        <v>174</v>
      </c>
      <c r="ANR4" s="48" t="s">
        <v>172</v>
      </c>
      <c r="ANS4" s="10" t="s">
        <v>173</v>
      </c>
      <c r="ANT4" s="10" t="s">
        <v>174</v>
      </c>
      <c r="ANU4" s="48" t="s">
        <v>172</v>
      </c>
      <c r="ANV4" s="10" t="s">
        <v>173</v>
      </c>
      <c r="ANW4" s="10" t="s">
        <v>174</v>
      </c>
      <c r="ANX4" s="48" t="s">
        <v>172</v>
      </c>
      <c r="ANY4" s="10" t="s">
        <v>173</v>
      </c>
      <c r="ANZ4" s="10" t="s">
        <v>174</v>
      </c>
      <c r="AOA4" s="48" t="s">
        <v>172</v>
      </c>
      <c r="AOB4" s="10" t="s">
        <v>173</v>
      </c>
      <c r="AOC4" s="10" t="s">
        <v>174</v>
      </c>
      <c r="AOD4" s="48" t="s">
        <v>172</v>
      </c>
      <c r="AOE4" s="10" t="s">
        <v>173</v>
      </c>
      <c r="AOF4" s="10" t="s">
        <v>174</v>
      </c>
      <c r="AOG4" s="48" t="s">
        <v>172</v>
      </c>
      <c r="AOH4" s="10" t="s">
        <v>173</v>
      </c>
      <c r="AOI4" s="10" t="s">
        <v>174</v>
      </c>
      <c r="AOJ4" s="48" t="s">
        <v>172</v>
      </c>
      <c r="AOK4" s="10" t="s">
        <v>173</v>
      </c>
      <c r="AOL4" s="10" t="s">
        <v>174</v>
      </c>
      <c r="AOM4" s="48" t="s">
        <v>172</v>
      </c>
      <c r="AON4" s="10" t="s">
        <v>173</v>
      </c>
      <c r="AOO4" s="10" t="s">
        <v>174</v>
      </c>
      <c r="AOP4" s="48" t="s">
        <v>172</v>
      </c>
      <c r="AOQ4" s="10" t="s">
        <v>173</v>
      </c>
      <c r="AOR4" s="10" t="s">
        <v>174</v>
      </c>
      <c r="AOS4" s="48" t="s">
        <v>172</v>
      </c>
      <c r="AOT4" s="10" t="s">
        <v>173</v>
      </c>
      <c r="AOU4" s="10" t="s">
        <v>174</v>
      </c>
      <c r="AOV4" s="48" t="s">
        <v>172</v>
      </c>
      <c r="AOW4" s="10" t="s">
        <v>173</v>
      </c>
      <c r="AOX4" s="10" t="s">
        <v>174</v>
      </c>
      <c r="AOY4" s="48" t="s">
        <v>172</v>
      </c>
      <c r="AOZ4" s="10" t="s">
        <v>173</v>
      </c>
      <c r="APA4" s="10" t="s">
        <v>174</v>
      </c>
      <c r="APB4" s="48" t="s">
        <v>172</v>
      </c>
      <c r="APC4" s="10" t="s">
        <v>173</v>
      </c>
      <c r="APD4" s="10" t="s">
        <v>174</v>
      </c>
    </row>
    <row r="5" spans="1:1096" ht="23.25" x14ac:dyDescent="0.25">
      <c r="B5" s="405" t="s">
        <v>175</v>
      </c>
      <c r="C5" s="405"/>
      <c r="D5" s="405"/>
      <c r="E5" s="8"/>
      <c r="F5" s="8"/>
      <c r="G5" s="26"/>
      <c r="H5" s="8"/>
      <c r="I5" s="8"/>
      <c r="J5" s="26"/>
      <c r="K5" s="8"/>
      <c r="L5" s="8"/>
      <c r="M5" s="11"/>
      <c r="N5" s="8"/>
      <c r="O5" s="8"/>
      <c r="P5" s="11"/>
      <c r="Q5" s="8"/>
      <c r="R5" s="8"/>
      <c r="S5" s="11"/>
      <c r="T5" s="8"/>
      <c r="U5" s="8"/>
      <c r="V5" s="11"/>
      <c r="W5" s="8"/>
      <c r="X5" s="8"/>
      <c r="Y5" s="11"/>
      <c r="Z5" s="8"/>
      <c r="AA5" s="8"/>
      <c r="AB5" s="26"/>
      <c r="AC5" s="8"/>
      <c r="AD5" s="8"/>
      <c r="AE5" s="26"/>
      <c r="AF5" s="8"/>
      <c r="AG5" s="8"/>
      <c r="AH5" s="11"/>
      <c r="AI5" s="8"/>
      <c r="AJ5" s="8"/>
      <c r="AK5" s="11"/>
      <c r="AL5" s="8"/>
      <c r="AM5" s="8"/>
      <c r="AN5" s="11"/>
      <c r="AO5" s="8"/>
      <c r="AP5" s="8"/>
      <c r="AQ5" s="11"/>
      <c r="AR5" s="8"/>
      <c r="AS5" s="8"/>
      <c r="AT5" s="11"/>
      <c r="AU5" s="8"/>
      <c r="AV5" s="8"/>
      <c r="AW5" s="26"/>
      <c r="AX5" s="8"/>
      <c r="AY5" s="8"/>
      <c r="AZ5" s="26"/>
      <c r="BA5" s="8"/>
      <c r="BB5" s="8"/>
      <c r="BC5" s="11"/>
      <c r="BD5" s="8"/>
      <c r="BE5" s="8"/>
      <c r="BF5" s="11"/>
      <c r="BG5" s="8"/>
      <c r="BH5" s="8"/>
      <c r="BI5" s="11"/>
      <c r="BJ5" s="8"/>
      <c r="BK5" s="8"/>
      <c r="BL5" s="11"/>
      <c r="BM5" s="8"/>
      <c r="BN5" s="8"/>
      <c r="BO5" s="11"/>
      <c r="BP5" s="8"/>
      <c r="BQ5" s="8"/>
      <c r="BR5" s="26"/>
      <c r="BS5" s="8"/>
      <c r="BT5" s="8"/>
      <c r="BU5" s="26"/>
      <c r="BV5" s="8"/>
      <c r="BW5" s="8"/>
      <c r="BX5" s="11"/>
      <c r="BY5" s="8"/>
      <c r="BZ5" s="8"/>
      <c r="CA5" s="11"/>
      <c r="CB5" s="8"/>
      <c r="CC5" s="8"/>
      <c r="CD5" s="11"/>
      <c r="CE5" s="8"/>
      <c r="CF5" s="8"/>
      <c r="CG5" s="11"/>
      <c r="CH5" s="8"/>
      <c r="CI5" s="8"/>
      <c r="CJ5" s="11"/>
      <c r="CK5" s="8"/>
      <c r="CL5" s="8"/>
      <c r="CM5" s="26"/>
      <c r="CN5" s="8"/>
      <c r="CO5" s="8"/>
      <c r="CP5" s="26"/>
      <c r="CQ5" s="8"/>
      <c r="CR5" s="8"/>
      <c r="CS5" s="11"/>
      <c r="CT5" s="8"/>
      <c r="CU5" s="8"/>
      <c r="CV5" s="11"/>
      <c r="CW5" s="8"/>
      <c r="CX5" s="8"/>
      <c r="CY5" s="11"/>
      <c r="CZ5" s="8"/>
      <c r="DA5" s="8"/>
      <c r="DB5" s="11"/>
      <c r="DC5" s="8"/>
      <c r="DD5" s="8"/>
      <c r="DE5" s="11"/>
      <c r="DF5" s="8"/>
      <c r="DG5" s="8"/>
      <c r="DH5" s="26"/>
      <c r="DI5" s="8"/>
      <c r="DJ5" s="8"/>
      <c r="DK5" s="26"/>
      <c r="DL5" s="8"/>
      <c r="DM5" s="8"/>
      <c r="DN5" s="11"/>
      <c r="DO5" s="8"/>
      <c r="DP5" s="8"/>
      <c r="DQ5" s="11"/>
      <c r="DR5" s="8"/>
      <c r="DS5" s="8"/>
      <c r="DT5" s="11"/>
      <c r="DU5" s="8"/>
      <c r="DV5" s="8"/>
      <c r="DW5" s="11"/>
      <c r="DX5" s="8"/>
      <c r="DY5" s="8"/>
      <c r="DZ5" s="11"/>
      <c r="EA5" s="8"/>
      <c r="EB5" s="8"/>
      <c r="EC5" s="26"/>
      <c r="ED5" s="8"/>
      <c r="EE5" s="8"/>
      <c r="EF5" s="26"/>
      <c r="EG5" s="8"/>
      <c r="EH5" s="8"/>
      <c r="EI5" s="11"/>
      <c r="EJ5" s="8"/>
      <c r="EK5" s="8"/>
      <c r="EL5" s="11"/>
      <c r="EM5" s="8"/>
      <c r="EN5" s="8"/>
      <c r="EO5" s="11"/>
      <c r="EP5" s="8"/>
      <c r="EQ5" s="8"/>
      <c r="ER5" s="11"/>
      <c r="ES5" s="8"/>
      <c r="ET5" s="8"/>
      <c r="EU5" s="11"/>
      <c r="EV5" s="8"/>
      <c r="EW5" s="8"/>
      <c r="EX5" s="26"/>
      <c r="EY5" s="8"/>
      <c r="EZ5" s="8"/>
      <c r="FA5" s="26"/>
      <c r="FB5" s="8"/>
      <c r="FC5" s="8"/>
      <c r="FD5" s="11"/>
      <c r="FE5" s="8"/>
      <c r="FF5" s="8"/>
      <c r="FG5" s="11"/>
      <c r="FH5" s="8"/>
      <c r="FI5" s="8"/>
      <c r="FJ5" s="11"/>
      <c r="FK5" s="8"/>
      <c r="FL5" s="8"/>
      <c r="FM5" s="11"/>
      <c r="FN5" s="8"/>
      <c r="FO5" s="8"/>
      <c r="FP5" s="11"/>
      <c r="FQ5" s="8"/>
      <c r="FR5" s="8"/>
      <c r="FS5" s="26"/>
      <c r="FT5" s="8"/>
      <c r="FU5" s="8"/>
      <c r="FV5" s="26"/>
      <c r="FW5" s="8"/>
      <c r="FX5" s="8"/>
      <c r="FY5" s="11"/>
      <c r="FZ5" s="8"/>
      <c r="GA5" s="8"/>
      <c r="GB5" s="11"/>
      <c r="GC5" s="8"/>
      <c r="GD5" s="8"/>
      <c r="GE5" s="11"/>
      <c r="GF5" s="8"/>
      <c r="GG5" s="8"/>
      <c r="GH5" s="11"/>
      <c r="GI5" s="8"/>
      <c r="GJ5" s="8"/>
      <c r="GK5" s="11"/>
      <c r="GL5" s="8"/>
      <c r="GM5" s="8"/>
      <c r="GN5" s="26"/>
      <c r="GO5" s="8"/>
      <c r="GP5" s="8"/>
      <c r="GQ5" s="26"/>
      <c r="GR5" s="8"/>
      <c r="GS5" s="8"/>
      <c r="GT5" s="11"/>
      <c r="GU5" s="8"/>
      <c r="GV5" s="8"/>
      <c r="GW5" s="11"/>
      <c r="GX5" s="8"/>
      <c r="GY5" s="8"/>
      <c r="GZ5" s="11"/>
      <c r="HA5" s="8"/>
      <c r="HB5" s="8"/>
      <c r="HC5" s="11"/>
      <c r="HD5" s="8"/>
      <c r="HE5" s="8"/>
      <c r="HF5" s="11"/>
      <c r="HG5" s="8"/>
      <c r="HH5" s="8"/>
      <c r="HI5" s="26"/>
      <c r="HJ5" s="8"/>
      <c r="HK5" s="8"/>
      <c r="HL5" s="26"/>
      <c r="HM5" s="8"/>
      <c r="HN5" s="8"/>
      <c r="HO5" s="11"/>
      <c r="HP5" s="8"/>
      <c r="HQ5" s="8"/>
      <c r="HR5" s="11"/>
      <c r="HS5" s="8"/>
      <c r="HT5" s="8"/>
      <c r="HU5" s="11"/>
      <c r="HV5" s="8"/>
      <c r="HW5" s="8"/>
      <c r="HX5" s="11"/>
      <c r="HY5" s="8"/>
      <c r="HZ5" s="8"/>
      <c r="IA5" s="11"/>
      <c r="IB5" s="8"/>
      <c r="IC5" s="8"/>
      <c r="ID5" s="26"/>
      <c r="IE5" s="8"/>
      <c r="IF5" s="8"/>
      <c r="IG5" s="26"/>
      <c r="IH5" s="8"/>
      <c r="II5" s="8"/>
      <c r="IJ5" s="11"/>
      <c r="IK5" s="8"/>
      <c r="IL5" s="8"/>
      <c r="IM5" s="11"/>
      <c r="IN5" s="8"/>
      <c r="IO5" s="8"/>
      <c r="IP5" s="11"/>
      <c r="IQ5" s="8"/>
      <c r="IR5" s="8"/>
      <c r="IS5" s="11"/>
      <c r="IT5" s="8"/>
      <c r="IU5" s="8"/>
      <c r="IV5" s="11"/>
      <c r="IW5" s="8"/>
      <c r="IX5" s="8"/>
      <c r="IY5" s="26"/>
      <c r="IZ5" s="8"/>
      <c r="JA5" s="8"/>
      <c r="JB5" s="26"/>
      <c r="JC5" s="8"/>
      <c r="JD5" s="8"/>
      <c r="JE5" s="11"/>
      <c r="JF5" s="8"/>
      <c r="JG5" s="8"/>
      <c r="JH5" s="11"/>
      <c r="JI5" s="8"/>
      <c r="JJ5" s="8"/>
      <c r="JK5" s="11"/>
      <c r="JL5" s="8"/>
      <c r="JM5" s="8"/>
      <c r="JN5" s="11"/>
      <c r="JO5" s="8"/>
      <c r="JP5" s="8"/>
      <c r="JQ5" s="11"/>
      <c r="JR5" s="8"/>
      <c r="JS5" s="8"/>
      <c r="JT5" s="26"/>
      <c r="JU5" s="8"/>
      <c r="JV5" s="8"/>
      <c r="JW5" s="26"/>
      <c r="JX5" s="8"/>
      <c r="JY5" s="8"/>
      <c r="JZ5" s="11"/>
      <c r="KA5" s="8"/>
      <c r="KB5" s="8"/>
      <c r="KC5" s="11"/>
      <c r="KD5" s="8"/>
      <c r="KE5" s="8"/>
      <c r="KF5" s="11"/>
      <c r="KG5" s="8"/>
      <c r="KH5" s="8"/>
      <c r="KI5" s="11"/>
      <c r="KJ5" s="8"/>
      <c r="KK5" s="8"/>
      <c r="KL5" s="11"/>
      <c r="KM5" s="8"/>
      <c r="KN5" s="8"/>
      <c r="KO5" s="26"/>
      <c r="KP5" s="8"/>
      <c r="KQ5" s="8"/>
      <c r="KR5" s="26"/>
      <c r="KS5" s="8"/>
      <c r="KT5" s="8"/>
      <c r="KU5" s="11"/>
      <c r="KV5" s="8"/>
      <c r="KW5" s="8"/>
      <c r="KX5" s="11"/>
      <c r="KY5" s="8"/>
      <c r="KZ5" s="8"/>
      <c r="LA5" s="11"/>
      <c r="LB5" s="8"/>
      <c r="LC5" s="8"/>
      <c r="LD5" s="11"/>
      <c r="LE5" s="8"/>
      <c r="LF5" s="8"/>
      <c r="LG5" s="11"/>
      <c r="LH5" s="8"/>
      <c r="LI5" s="8"/>
      <c r="LJ5" s="26"/>
      <c r="LK5" s="8"/>
      <c r="LL5" s="8"/>
      <c r="LM5" s="26"/>
      <c r="LN5" s="8"/>
      <c r="LO5" s="8"/>
      <c r="LP5" s="11"/>
      <c r="LQ5" s="8"/>
      <c r="LR5" s="8"/>
      <c r="LS5" s="11"/>
      <c r="LT5" s="8"/>
      <c r="LU5" s="8"/>
      <c r="LV5" s="11"/>
      <c r="LW5" s="8"/>
      <c r="LX5" s="8"/>
      <c r="LY5" s="11"/>
      <c r="LZ5" s="8"/>
      <c r="MA5" s="8"/>
      <c r="MB5" s="11"/>
      <c r="MC5" s="8"/>
      <c r="MD5" s="8"/>
      <c r="ME5" s="26"/>
      <c r="MF5" s="8"/>
      <c r="MG5" s="8"/>
      <c r="MH5" s="26"/>
      <c r="MI5" s="8"/>
      <c r="MJ5" s="8"/>
      <c r="MK5" s="11"/>
      <c r="ML5" s="8"/>
      <c r="MM5" s="8"/>
      <c r="MN5" s="11"/>
      <c r="MO5" s="8"/>
      <c r="MP5" s="8"/>
      <c r="MQ5" s="11"/>
      <c r="MR5" s="8"/>
      <c r="MS5" s="8"/>
      <c r="MT5" s="11"/>
      <c r="MU5" s="8"/>
      <c r="MV5" s="8"/>
      <c r="MW5" s="11"/>
      <c r="MX5" s="8"/>
      <c r="MY5" s="8"/>
      <c r="MZ5" s="26"/>
      <c r="NA5" s="8"/>
      <c r="NB5" s="8"/>
      <c r="NC5" s="26"/>
      <c r="ND5" s="8"/>
      <c r="NE5" s="8"/>
      <c r="NF5" s="11"/>
      <c r="NG5" s="8"/>
      <c r="NH5" s="8"/>
      <c r="NI5" s="11"/>
      <c r="NJ5" s="8"/>
      <c r="NK5" s="8"/>
      <c r="NL5" s="11"/>
      <c r="NM5" s="8"/>
      <c r="NN5" s="8"/>
      <c r="NO5" s="11"/>
      <c r="NP5" s="8"/>
      <c r="NQ5" s="8"/>
      <c r="NR5" s="11"/>
      <c r="NS5" s="8"/>
      <c r="NT5" s="8"/>
      <c r="NU5" s="26"/>
      <c r="NV5" s="8"/>
      <c r="NW5" s="8"/>
      <c r="NX5" s="26"/>
      <c r="NY5" s="8"/>
      <c r="NZ5" s="8"/>
      <c r="OA5" s="11"/>
      <c r="OB5" s="8"/>
      <c r="OC5" s="8"/>
      <c r="OD5" s="11"/>
      <c r="OE5" s="8"/>
      <c r="OF5" s="8"/>
      <c r="OG5" s="11"/>
      <c r="OH5" s="8"/>
      <c r="OI5" s="8"/>
      <c r="OJ5" s="11"/>
      <c r="OK5" s="8"/>
      <c r="OL5" s="8"/>
      <c r="OM5" s="11"/>
      <c r="ON5" s="8"/>
      <c r="OO5" s="8"/>
      <c r="OP5" s="26"/>
      <c r="OQ5" s="8"/>
      <c r="OR5" s="8"/>
      <c r="OS5" s="26"/>
      <c r="OT5" s="8"/>
      <c r="OU5" s="8"/>
      <c r="OV5" s="11"/>
      <c r="OW5" s="8"/>
      <c r="OX5" s="8"/>
      <c r="OY5" s="11"/>
      <c r="OZ5" s="8"/>
      <c r="PA5" s="8"/>
      <c r="PB5" s="11"/>
      <c r="PC5" s="8"/>
      <c r="PD5" s="8"/>
      <c r="PE5" s="11"/>
      <c r="PF5" s="8"/>
      <c r="PG5" s="8"/>
      <c r="PH5" s="11"/>
      <c r="PI5" s="8"/>
      <c r="PJ5" s="8"/>
      <c r="PK5" s="26"/>
      <c r="PL5" s="8"/>
      <c r="PM5" s="8"/>
      <c r="PN5" s="26"/>
      <c r="PO5" s="8"/>
      <c r="PP5" s="8"/>
      <c r="PQ5" s="11"/>
      <c r="PR5" s="8"/>
      <c r="PS5" s="8"/>
      <c r="PT5" s="11"/>
      <c r="PU5" s="8"/>
      <c r="PV5" s="8"/>
      <c r="PW5" s="11"/>
      <c r="PX5" s="8"/>
      <c r="PY5" s="8"/>
      <c r="PZ5" s="11"/>
      <c r="QA5" s="8"/>
      <c r="QB5" s="8"/>
      <c r="QC5" s="11"/>
      <c r="QD5" s="8"/>
      <c r="QE5" s="8"/>
      <c r="QF5" s="26"/>
      <c r="QG5" s="8"/>
      <c r="QH5" s="8"/>
      <c r="QI5" s="26"/>
      <c r="QJ5" s="8"/>
      <c r="QK5" s="8"/>
      <c r="QL5" s="11"/>
      <c r="QM5" s="8"/>
      <c r="QN5" s="8"/>
      <c r="QO5" s="11"/>
      <c r="QP5" s="8"/>
      <c r="QQ5" s="8"/>
      <c r="QR5" s="11"/>
      <c r="QS5" s="8"/>
      <c r="QT5" s="8"/>
      <c r="QU5" s="11"/>
      <c r="QV5" s="8"/>
      <c r="QW5" s="8"/>
      <c r="QX5" s="11"/>
      <c r="QY5" s="8"/>
      <c r="QZ5" s="8"/>
      <c r="RA5" s="26"/>
      <c r="RB5" s="8"/>
      <c r="RC5" s="8"/>
      <c r="RD5" s="26"/>
      <c r="RE5" s="8"/>
      <c r="RF5" s="8"/>
      <c r="RG5" s="11"/>
      <c r="RH5" s="8"/>
      <c r="RI5" s="8"/>
      <c r="RJ5" s="11"/>
      <c r="RK5" s="8"/>
      <c r="RL5" s="8"/>
      <c r="RM5" s="11"/>
      <c r="RN5" s="8"/>
      <c r="RO5" s="8"/>
      <c r="RP5" s="11"/>
      <c r="RQ5" s="8"/>
      <c r="RR5" s="8"/>
      <c r="RS5" s="11"/>
      <c r="RT5" s="8"/>
      <c r="RU5" s="8"/>
      <c r="RV5" s="26"/>
      <c r="RW5" s="8"/>
      <c r="RX5" s="8"/>
      <c r="RY5" s="26"/>
      <c r="RZ5" s="8"/>
      <c r="SA5" s="8"/>
      <c r="SB5" s="11"/>
      <c r="SC5" s="8"/>
      <c r="SD5" s="8"/>
      <c r="SE5" s="11"/>
      <c r="SF5" s="8"/>
      <c r="SG5" s="8"/>
      <c r="SH5" s="11"/>
      <c r="SI5" s="8"/>
      <c r="SJ5" s="8"/>
      <c r="SK5" s="11"/>
      <c r="SL5" s="8"/>
      <c r="SM5" s="8"/>
      <c r="SN5" s="11"/>
      <c r="SO5" s="8"/>
      <c r="SP5" s="8"/>
      <c r="SQ5" s="26"/>
      <c r="SR5" s="8"/>
      <c r="SS5" s="8"/>
      <c r="ST5" s="26"/>
      <c r="SU5" s="8"/>
      <c r="SV5" s="8"/>
      <c r="SW5" s="11"/>
      <c r="SX5" s="8"/>
      <c r="SY5" s="8"/>
      <c r="SZ5" s="11"/>
      <c r="TA5" s="8"/>
      <c r="TB5" s="8"/>
      <c r="TC5" s="11"/>
      <c r="TD5" s="8"/>
      <c r="TE5" s="8"/>
      <c r="TF5" s="11"/>
      <c r="TG5" s="8"/>
      <c r="TH5" s="8"/>
      <c r="TI5" s="11"/>
      <c r="TJ5" s="8"/>
      <c r="TK5" s="8"/>
      <c r="TL5" s="26"/>
      <c r="TM5" s="8"/>
      <c r="TN5" s="8"/>
      <c r="TO5" s="26"/>
      <c r="TP5" s="8"/>
      <c r="TQ5" s="8"/>
      <c r="TR5" s="11"/>
      <c r="TS5" s="8"/>
      <c r="TT5" s="8"/>
      <c r="TU5" s="11"/>
      <c r="TV5" s="8"/>
      <c r="TW5" s="8"/>
      <c r="TX5" s="11"/>
      <c r="TY5" s="8"/>
      <c r="TZ5" s="8"/>
      <c r="UA5" s="11"/>
      <c r="UB5" s="8"/>
      <c r="UC5" s="8"/>
      <c r="UD5" s="11"/>
      <c r="UE5" s="8"/>
      <c r="UF5" s="8"/>
      <c r="UG5" s="26"/>
      <c r="UH5" s="8"/>
      <c r="UI5" s="8"/>
      <c r="UJ5" s="26"/>
      <c r="UK5" s="8"/>
      <c r="UL5" s="8"/>
      <c r="UM5" s="11"/>
      <c r="UN5" s="8"/>
      <c r="UO5" s="8"/>
      <c r="UP5" s="11"/>
      <c r="UQ5" s="8"/>
      <c r="UR5" s="8"/>
      <c r="US5" s="11"/>
      <c r="UT5" s="8"/>
      <c r="UU5" s="8"/>
      <c r="UV5" s="11"/>
      <c r="UW5" s="8"/>
      <c r="UX5" s="8"/>
      <c r="UY5" s="11"/>
      <c r="UZ5" s="8"/>
      <c r="VA5" s="8"/>
      <c r="VB5" s="26"/>
      <c r="VC5" s="8"/>
      <c r="VD5" s="8"/>
      <c r="VE5" s="26"/>
      <c r="VF5" s="8"/>
      <c r="VG5" s="8"/>
      <c r="VH5" s="11"/>
      <c r="VI5" s="8"/>
      <c r="VJ5" s="8"/>
      <c r="VK5" s="11"/>
      <c r="VL5" s="8"/>
      <c r="VM5" s="8"/>
      <c r="VN5" s="11"/>
      <c r="VO5" s="8"/>
      <c r="VP5" s="8"/>
      <c r="VQ5" s="11"/>
      <c r="VR5" s="8"/>
      <c r="VS5" s="8"/>
      <c r="VT5" s="11"/>
      <c r="VU5" s="8"/>
      <c r="VV5" s="8"/>
      <c r="VW5" s="26"/>
      <c r="VX5" s="8"/>
      <c r="VY5" s="8"/>
      <c r="VZ5" s="26"/>
      <c r="WA5" s="8"/>
      <c r="WB5" s="8"/>
      <c r="WC5" s="11"/>
      <c r="WD5" s="8"/>
      <c r="WE5" s="8"/>
      <c r="WF5" s="11"/>
      <c r="WG5" s="8"/>
      <c r="WH5" s="8"/>
      <c r="WI5" s="11"/>
      <c r="WJ5" s="8"/>
      <c r="WK5" s="8"/>
      <c r="WL5" s="11"/>
      <c r="WM5" s="8"/>
      <c r="WN5" s="8"/>
      <c r="WO5" s="11"/>
      <c r="WP5" s="8"/>
      <c r="WQ5" s="8"/>
      <c r="WR5" s="26"/>
      <c r="WS5" s="8"/>
      <c r="WT5" s="8"/>
      <c r="WU5" s="26"/>
      <c r="WV5" s="8"/>
      <c r="WW5" s="8"/>
      <c r="WX5" s="11"/>
      <c r="WY5" s="8"/>
      <c r="WZ5" s="8"/>
      <c r="XA5" s="11"/>
      <c r="XB5" s="8"/>
      <c r="XC5" s="8"/>
      <c r="XD5" s="11"/>
      <c r="XE5" s="8"/>
      <c r="XF5" s="8"/>
      <c r="XG5" s="11"/>
      <c r="XH5" s="8"/>
      <c r="XI5" s="8"/>
      <c r="XJ5" s="11"/>
      <c r="XK5" s="8"/>
      <c r="XL5" s="8"/>
      <c r="XM5" s="26"/>
      <c r="XN5" s="8"/>
      <c r="XO5" s="8"/>
      <c r="XP5" s="26"/>
      <c r="XQ5" s="8"/>
      <c r="XR5" s="8"/>
      <c r="XS5" s="11"/>
      <c r="XT5" s="8"/>
      <c r="XU5" s="8"/>
      <c r="XV5" s="11"/>
      <c r="XW5" s="8"/>
      <c r="XX5" s="8"/>
      <c r="XY5" s="11"/>
      <c r="XZ5" s="8"/>
      <c r="YA5" s="8"/>
      <c r="YB5" s="11"/>
      <c r="YC5" s="8"/>
      <c r="YD5" s="8"/>
      <c r="YE5" s="11"/>
      <c r="YF5" s="8"/>
      <c r="YG5" s="8"/>
      <c r="YH5" s="26"/>
      <c r="YI5" s="8"/>
      <c r="YJ5" s="8"/>
      <c r="YK5" s="26"/>
      <c r="YL5" s="8"/>
      <c r="YM5" s="8"/>
      <c r="YN5" s="11"/>
      <c r="YO5" s="8"/>
      <c r="YP5" s="8"/>
      <c r="YQ5" s="11"/>
      <c r="YR5" s="8"/>
      <c r="YS5" s="8"/>
      <c r="YT5" s="11"/>
      <c r="YU5" s="8"/>
      <c r="YV5" s="8"/>
      <c r="YW5" s="11"/>
      <c r="YX5" s="8"/>
      <c r="YY5" s="8"/>
      <c r="YZ5" s="11"/>
      <c r="ZA5" s="8"/>
      <c r="ZB5" s="8"/>
      <c r="ZC5" s="26"/>
      <c r="ZD5" s="8"/>
      <c r="ZE5" s="8"/>
      <c r="ZF5" s="26"/>
      <c r="ZG5" s="8"/>
      <c r="ZH5" s="8"/>
      <c r="ZI5" s="11"/>
      <c r="ZJ5" s="8"/>
      <c r="ZK5" s="8"/>
      <c r="ZL5" s="11"/>
      <c r="ZM5" s="8"/>
      <c r="ZN5" s="8"/>
      <c r="ZO5" s="11"/>
      <c r="ZP5" s="8"/>
      <c r="ZQ5" s="8"/>
      <c r="ZR5" s="11"/>
      <c r="ZS5" s="8"/>
      <c r="ZT5" s="8"/>
      <c r="ZU5" s="11"/>
      <c r="ZV5" s="8"/>
      <c r="ZW5" s="8"/>
      <c r="ZX5" s="26"/>
      <c r="ZY5" s="8"/>
      <c r="ZZ5" s="8"/>
      <c r="AAA5" s="26"/>
      <c r="AAB5" s="8"/>
      <c r="AAC5" s="8"/>
      <c r="AAD5" s="11"/>
      <c r="AAE5" s="8"/>
      <c r="AAF5" s="8"/>
      <c r="AAG5" s="11"/>
      <c r="AAH5" s="8"/>
      <c r="AAI5" s="8"/>
      <c r="AAJ5" s="11"/>
      <c r="AAK5" s="8"/>
      <c r="AAL5" s="8"/>
      <c r="AAM5" s="11"/>
      <c r="AAN5" s="8"/>
      <c r="AAO5" s="8"/>
      <c r="AAP5" s="11"/>
      <c r="AAQ5" s="8"/>
      <c r="AAR5" s="8"/>
      <c r="AAS5" s="26"/>
      <c r="AAT5" s="8"/>
      <c r="AAU5" s="8"/>
      <c r="AAV5" s="26"/>
      <c r="AAW5" s="8"/>
      <c r="AAX5" s="8"/>
      <c r="AAY5" s="11"/>
      <c r="AAZ5" s="8"/>
      <c r="ABA5" s="8"/>
      <c r="ABB5" s="11"/>
      <c r="ABC5" s="8"/>
      <c r="ABD5" s="8"/>
      <c r="ABE5" s="11"/>
      <c r="ABF5" s="8"/>
      <c r="ABG5" s="8"/>
      <c r="ABH5" s="11"/>
      <c r="ABI5" s="8"/>
      <c r="ABJ5" s="8"/>
      <c r="ABK5" s="11"/>
      <c r="ABL5" s="8"/>
      <c r="ABM5" s="8"/>
      <c r="ABN5" s="26"/>
      <c r="ABO5" s="8"/>
      <c r="ABP5" s="8"/>
      <c r="ABQ5" s="26"/>
      <c r="ABR5" s="8"/>
      <c r="ABS5" s="8"/>
      <c r="ABT5" s="11"/>
      <c r="ABU5" s="8"/>
      <c r="ABV5" s="8"/>
      <c r="ABW5" s="11"/>
      <c r="ABX5" s="8"/>
      <c r="ABY5" s="8"/>
      <c r="ABZ5" s="11"/>
      <c r="ACA5" s="8"/>
      <c r="ACB5" s="8"/>
      <c r="ACC5" s="11"/>
      <c r="ACD5" s="8"/>
      <c r="ACE5" s="8"/>
      <c r="ACF5" s="11"/>
      <c r="ACG5" s="8"/>
      <c r="ACH5" s="8"/>
      <c r="ACI5" s="26"/>
      <c r="ACJ5" s="8"/>
      <c r="ACK5" s="8"/>
      <c r="ACL5" s="26"/>
      <c r="ACM5" s="8"/>
      <c r="ACN5" s="8"/>
      <c r="ACO5" s="11"/>
      <c r="ACP5" s="8"/>
      <c r="ACQ5" s="8"/>
      <c r="ACR5" s="11"/>
      <c r="ACS5" s="8"/>
      <c r="ACT5" s="8"/>
      <c r="ACU5" s="11"/>
      <c r="ACV5" s="8"/>
      <c r="ACW5" s="8"/>
      <c r="ACX5" s="11"/>
      <c r="ACY5" s="8"/>
      <c r="ACZ5" s="8"/>
      <c r="ADA5" s="11"/>
      <c r="ADB5" s="8"/>
      <c r="ADC5" s="8"/>
      <c r="ADD5" s="26"/>
      <c r="ADE5" s="8"/>
      <c r="ADF5" s="8"/>
      <c r="ADG5" s="26"/>
      <c r="ADH5" s="8"/>
      <c r="ADI5" s="8"/>
      <c r="ADJ5" s="11"/>
      <c r="ADK5" s="8"/>
      <c r="ADL5" s="8"/>
      <c r="ADM5" s="11"/>
      <c r="ADN5" s="8"/>
      <c r="ADO5" s="8"/>
      <c r="ADP5" s="11"/>
      <c r="ADQ5" s="8"/>
      <c r="ADR5" s="8"/>
      <c r="ADS5" s="11"/>
      <c r="ADT5" s="8"/>
      <c r="ADU5" s="8"/>
      <c r="ADV5" s="11"/>
      <c r="ADW5" s="8"/>
      <c r="ADX5" s="8"/>
      <c r="ADY5" s="26"/>
      <c r="ADZ5" s="8"/>
      <c r="AEA5" s="8"/>
      <c r="AEB5" s="26"/>
      <c r="AEC5" s="8"/>
      <c r="AED5" s="8"/>
      <c r="AEE5" s="11"/>
      <c r="AEF5" s="8"/>
      <c r="AEG5" s="8"/>
      <c r="AEH5" s="11"/>
      <c r="AEI5" s="8"/>
      <c r="AEJ5" s="8"/>
      <c r="AEK5" s="11"/>
      <c r="AEL5" s="8"/>
      <c r="AEM5" s="8"/>
      <c r="AEN5" s="11"/>
      <c r="AEO5" s="8"/>
      <c r="AEP5" s="8"/>
      <c r="AEQ5" s="11"/>
      <c r="AER5" s="8"/>
      <c r="AES5" s="8"/>
      <c r="AET5" s="26"/>
      <c r="AEU5" s="8"/>
      <c r="AEV5" s="8"/>
      <c r="AEW5" s="26"/>
      <c r="AEX5" s="8"/>
      <c r="AEY5" s="8"/>
      <c r="AEZ5" s="11"/>
      <c r="AFA5" s="8"/>
      <c r="AFB5" s="8"/>
      <c r="AFC5" s="11"/>
      <c r="AFD5" s="8"/>
      <c r="AFE5" s="8"/>
      <c r="AFF5" s="11"/>
      <c r="AFG5" s="8"/>
      <c r="AFH5" s="8"/>
      <c r="AFI5" s="11"/>
      <c r="AFJ5" s="8"/>
      <c r="AFK5" s="8"/>
      <c r="AFL5" s="11"/>
      <c r="AFM5" s="8"/>
      <c r="AFN5" s="8"/>
      <c r="AFO5" s="26"/>
      <c r="AFP5" s="8"/>
      <c r="AFQ5" s="8"/>
      <c r="AFR5" s="26"/>
      <c r="AFS5" s="8"/>
      <c r="AFT5" s="8"/>
      <c r="AFU5" s="11"/>
      <c r="AFV5" s="8"/>
      <c r="AFW5" s="8"/>
      <c r="AFX5" s="11"/>
      <c r="AFY5" s="8"/>
      <c r="AFZ5" s="8"/>
      <c r="AGA5" s="11"/>
      <c r="AGB5" s="8"/>
      <c r="AGC5" s="8"/>
      <c r="AGD5" s="11"/>
      <c r="AGE5" s="8"/>
      <c r="AGF5" s="8"/>
      <c r="AGG5" s="11"/>
      <c r="AGH5" s="8"/>
      <c r="AGI5" s="8"/>
      <c r="AGJ5" s="26"/>
      <c r="AGK5" s="8"/>
      <c r="AGL5" s="8"/>
      <c r="AGM5" s="26"/>
      <c r="AGN5" s="8"/>
      <c r="AGO5" s="8"/>
      <c r="AGP5" s="11"/>
      <c r="AGQ5" s="8"/>
      <c r="AGR5" s="8"/>
      <c r="AGS5" s="11"/>
      <c r="AGT5" s="8"/>
      <c r="AGU5" s="8"/>
      <c r="AGV5" s="11"/>
      <c r="AGW5" s="8"/>
      <c r="AGX5" s="8"/>
      <c r="AGY5" s="11"/>
      <c r="AGZ5" s="8"/>
      <c r="AHA5" s="8"/>
      <c r="AHB5" s="11"/>
      <c r="AHC5" s="8"/>
      <c r="AHD5" s="8"/>
      <c r="AHE5" s="26"/>
      <c r="AHF5" s="8"/>
      <c r="AHG5" s="8"/>
      <c r="AHH5" s="26"/>
      <c r="AHI5" s="8"/>
      <c r="AHJ5" s="8"/>
      <c r="AHK5" s="11"/>
      <c r="AHL5" s="8"/>
      <c r="AHM5" s="8"/>
      <c r="AHN5" s="11"/>
      <c r="AHO5" s="8"/>
      <c r="AHP5" s="8"/>
      <c r="AHQ5" s="11"/>
      <c r="AHR5" s="8"/>
      <c r="AHS5" s="8"/>
      <c r="AHT5" s="11"/>
      <c r="AHU5" s="8"/>
      <c r="AHV5" s="8"/>
      <c r="AHW5" s="11"/>
      <c r="AHX5" s="8"/>
      <c r="AHY5" s="8"/>
      <c r="AHZ5" s="26"/>
      <c r="AIA5" s="8"/>
      <c r="AIB5" s="8"/>
      <c r="AIC5" s="26"/>
      <c r="AID5" s="8"/>
      <c r="AIE5" s="8"/>
      <c r="AIF5" s="11"/>
      <c r="AIG5" s="8"/>
      <c r="AIH5" s="8"/>
      <c r="AII5" s="11"/>
      <c r="AIJ5" s="8"/>
      <c r="AIK5" s="8"/>
      <c r="AIL5" s="11"/>
      <c r="AIM5" s="8"/>
      <c r="AIN5" s="8"/>
      <c r="AIO5" s="11"/>
      <c r="AIP5" s="8"/>
      <c r="AIQ5" s="8"/>
      <c r="AIR5" s="11"/>
      <c r="AIS5" s="8"/>
      <c r="AIT5" s="8"/>
      <c r="AIU5" s="26"/>
      <c r="AIV5" s="8"/>
      <c r="AIW5" s="8"/>
      <c r="AIX5" s="26"/>
      <c r="AIY5" s="8"/>
      <c r="AIZ5" s="8"/>
      <c r="AJA5" s="11"/>
      <c r="AJB5" s="8"/>
      <c r="AJC5" s="8"/>
      <c r="AJD5" s="11"/>
      <c r="AJE5" s="8"/>
      <c r="AJF5" s="8"/>
      <c r="AJG5" s="11"/>
      <c r="AJH5" s="8"/>
      <c r="AJI5" s="8"/>
      <c r="AJJ5" s="11"/>
      <c r="AJK5" s="8"/>
      <c r="AJL5" s="8"/>
      <c r="AJM5" s="11"/>
      <c r="AJN5" s="8"/>
      <c r="AJO5" s="8"/>
      <c r="AJP5" s="26"/>
      <c r="AJQ5" s="8"/>
      <c r="AJR5" s="8"/>
      <c r="AJS5" s="26"/>
      <c r="AJT5" s="8"/>
      <c r="AJU5" s="8"/>
      <c r="AJV5" s="11"/>
      <c r="AJW5" s="8"/>
      <c r="AJX5" s="8"/>
      <c r="AJY5" s="11"/>
      <c r="AJZ5" s="8"/>
      <c r="AKA5" s="8"/>
      <c r="AKB5" s="11"/>
      <c r="AKC5" s="8"/>
      <c r="AKD5" s="8"/>
      <c r="AKE5" s="11"/>
      <c r="AKF5" s="8"/>
      <c r="AKG5" s="8"/>
      <c r="AKH5" s="11"/>
      <c r="AKI5" s="8"/>
      <c r="AKJ5" s="8"/>
      <c r="AKK5" s="26"/>
      <c r="AKL5" s="8"/>
      <c r="AKM5" s="8"/>
      <c r="AKN5" s="26"/>
      <c r="AKO5" s="8"/>
      <c r="AKP5" s="8"/>
      <c r="AKQ5" s="11"/>
      <c r="AKR5" s="8"/>
      <c r="AKS5" s="8"/>
      <c r="AKT5" s="11"/>
      <c r="AKU5" s="8"/>
      <c r="AKV5" s="8"/>
      <c r="AKW5" s="11"/>
      <c r="AKX5" s="8"/>
      <c r="AKY5" s="8"/>
      <c r="AKZ5" s="11"/>
      <c r="ALA5" s="8"/>
      <c r="ALB5" s="8"/>
      <c r="ALC5" s="11"/>
      <c r="ALD5" s="8"/>
      <c r="ALE5" s="8"/>
      <c r="ALF5" s="26"/>
      <c r="ALG5" s="8"/>
      <c r="ALH5" s="8"/>
      <c r="ALI5" s="26"/>
      <c r="ALJ5" s="8"/>
      <c r="ALK5" s="8"/>
      <c r="ALL5" s="11"/>
      <c r="ALM5" s="8"/>
      <c r="ALN5" s="8"/>
      <c r="ALO5" s="11"/>
      <c r="ALP5" s="8"/>
      <c r="ALQ5" s="8"/>
      <c r="ALR5" s="11"/>
      <c r="ALS5" s="8"/>
      <c r="ALT5" s="8"/>
      <c r="ALU5" s="11"/>
      <c r="ALV5" s="8"/>
      <c r="ALW5" s="8"/>
      <c r="ALX5" s="11"/>
      <c r="ALY5" s="8"/>
      <c r="ALZ5" s="8"/>
      <c r="AMA5" s="26"/>
      <c r="AMB5" s="8"/>
      <c r="AMC5" s="8"/>
      <c r="AMD5" s="26"/>
      <c r="AME5" s="8"/>
      <c r="AMF5" s="8"/>
      <c r="AMG5" s="11"/>
      <c r="AMH5" s="8"/>
      <c r="AMI5" s="8"/>
      <c r="AMJ5" s="11"/>
      <c r="AMK5" s="8"/>
      <c r="AML5" s="8"/>
      <c r="AMM5" s="11"/>
      <c r="AMN5" s="8"/>
      <c r="AMO5" s="8"/>
      <c r="AMP5" s="11"/>
      <c r="AMQ5" s="8"/>
      <c r="AMR5" s="8"/>
      <c r="AMS5" s="11"/>
      <c r="AMT5" s="8"/>
      <c r="AMU5" s="8"/>
      <c r="AMV5" s="26"/>
      <c r="AMW5" s="8"/>
      <c r="AMX5" s="8"/>
      <c r="AMY5" s="26"/>
      <c r="AMZ5" s="8"/>
      <c r="ANA5" s="8"/>
      <c r="ANB5" s="11"/>
      <c r="ANC5" s="8"/>
      <c r="AND5" s="8"/>
      <c r="ANE5" s="11"/>
      <c r="ANF5" s="8"/>
      <c r="ANG5" s="8"/>
      <c r="ANH5" s="11"/>
      <c r="ANI5" s="8"/>
      <c r="ANJ5" s="8"/>
      <c r="ANK5" s="11"/>
      <c r="ANL5" s="8"/>
      <c r="ANM5" s="8"/>
      <c r="ANN5" s="11"/>
      <c r="ANO5" s="8"/>
      <c r="ANP5" s="8"/>
      <c r="ANQ5" s="26"/>
      <c r="ANR5" s="8"/>
      <c r="ANS5" s="8"/>
      <c r="ANT5" s="26"/>
      <c r="ANU5" s="8"/>
      <c r="ANV5" s="8"/>
      <c r="ANW5" s="11"/>
      <c r="ANX5" s="8"/>
      <c r="ANY5" s="8"/>
      <c r="ANZ5" s="11"/>
      <c r="AOA5" s="8"/>
      <c r="AOB5" s="8"/>
      <c r="AOC5" s="11"/>
      <c r="AOD5" s="8"/>
      <c r="AOE5" s="8"/>
      <c r="AOF5" s="11"/>
      <c r="AOG5" s="8"/>
      <c r="AOH5" s="8"/>
      <c r="AOI5" s="11"/>
      <c r="AOJ5" s="8"/>
      <c r="AOK5" s="8"/>
      <c r="AOL5" s="26"/>
      <c r="AOM5" s="8"/>
      <c r="AON5" s="8"/>
      <c r="AOO5" s="26"/>
      <c r="AOP5" s="8"/>
      <c r="AOQ5" s="8"/>
      <c r="AOR5" s="11"/>
      <c r="AOS5" s="8"/>
      <c r="AOT5" s="8"/>
      <c r="AOU5" s="11"/>
      <c r="AOV5" s="8"/>
      <c r="AOW5" s="8"/>
      <c r="AOX5" s="11"/>
      <c r="AOY5" s="8"/>
      <c r="AOZ5" s="8"/>
      <c r="APA5" s="11"/>
      <c r="APB5" s="8"/>
      <c r="APC5" s="8"/>
      <c r="APD5" s="11"/>
    </row>
    <row r="6" spans="1:1096" ht="28.5" customHeight="1" x14ac:dyDescent="0.25">
      <c r="B6" s="406" t="s">
        <v>176</v>
      </c>
      <c r="C6" s="406"/>
      <c r="D6" s="406"/>
      <c r="E6" s="8"/>
      <c r="F6" s="8"/>
      <c r="G6" s="11"/>
      <c r="H6" s="8"/>
      <c r="I6" s="8"/>
      <c r="J6" s="11"/>
      <c r="K6" s="8"/>
      <c r="L6" s="8"/>
      <c r="M6" s="11"/>
      <c r="N6" s="8"/>
      <c r="O6" s="8"/>
      <c r="P6" s="11"/>
      <c r="Q6" s="8"/>
      <c r="R6" s="8"/>
      <c r="S6" s="11"/>
      <c r="T6" s="8"/>
      <c r="U6" s="8"/>
      <c r="V6" s="11"/>
      <c r="W6" s="8"/>
      <c r="X6" s="8"/>
      <c r="Y6" s="11"/>
      <c r="Z6" s="8"/>
      <c r="AA6" s="8"/>
      <c r="AB6" s="11"/>
      <c r="AC6" s="8"/>
      <c r="AD6" s="8"/>
      <c r="AE6" s="11"/>
      <c r="AF6" s="8"/>
      <c r="AG6" s="8"/>
      <c r="AH6" s="11"/>
      <c r="AI6" s="8"/>
      <c r="AJ6" s="8"/>
      <c r="AK6" s="11"/>
      <c r="AL6" s="8"/>
      <c r="AM6" s="8"/>
      <c r="AN6" s="11"/>
      <c r="AO6" s="8"/>
      <c r="AP6" s="8"/>
      <c r="AQ6" s="11"/>
      <c r="AR6" s="8"/>
      <c r="AS6" s="8"/>
      <c r="AT6" s="11"/>
      <c r="AU6" s="8"/>
      <c r="AV6" s="8"/>
      <c r="AW6" s="11"/>
      <c r="AX6" s="8"/>
      <c r="AY6" s="8"/>
      <c r="AZ6" s="11"/>
      <c r="BA6" s="8"/>
      <c r="BB6" s="8"/>
      <c r="BC6" s="11"/>
      <c r="BD6" s="8"/>
      <c r="BE6" s="8"/>
      <c r="BF6" s="11"/>
      <c r="BG6" s="8"/>
      <c r="BH6" s="8"/>
      <c r="BI6" s="11"/>
      <c r="BJ6" s="8"/>
      <c r="BK6" s="8"/>
      <c r="BL6" s="11"/>
      <c r="BM6" s="8"/>
      <c r="BN6" s="8"/>
      <c r="BO6" s="11"/>
      <c r="BP6" s="8"/>
      <c r="BQ6" s="8"/>
      <c r="BR6" s="11"/>
      <c r="BS6" s="8"/>
      <c r="BT6" s="8"/>
      <c r="BU6" s="11"/>
      <c r="BV6" s="8"/>
      <c r="BW6" s="8"/>
      <c r="BX6" s="11"/>
      <c r="BY6" s="8"/>
      <c r="BZ6" s="8"/>
      <c r="CA6" s="11"/>
      <c r="CB6" s="8"/>
      <c r="CC6" s="8"/>
      <c r="CD6" s="11"/>
      <c r="CE6" s="8"/>
      <c r="CF6" s="8"/>
      <c r="CG6" s="11"/>
      <c r="CH6" s="8"/>
      <c r="CI6" s="8"/>
      <c r="CJ6" s="11"/>
      <c r="CK6" s="8"/>
      <c r="CL6" s="8"/>
      <c r="CM6" s="11"/>
      <c r="CN6" s="8"/>
      <c r="CO6" s="8"/>
      <c r="CP6" s="11"/>
      <c r="CQ6" s="8"/>
      <c r="CR6" s="8"/>
      <c r="CS6" s="11"/>
      <c r="CT6" s="8"/>
      <c r="CU6" s="8"/>
      <c r="CV6" s="11"/>
      <c r="CW6" s="8"/>
      <c r="CX6" s="8"/>
      <c r="CY6" s="11"/>
      <c r="CZ6" s="8"/>
      <c r="DA6" s="8"/>
      <c r="DB6" s="11"/>
      <c r="DC6" s="8"/>
      <c r="DD6" s="8"/>
      <c r="DE6" s="11"/>
      <c r="DF6" s="8"/>
      <c r="DG6" s="8"/>
      <c r="DH6" s="11"/>
      <c r="DI6" s="8"/>
      <c r="DJ6" s="8"/>
      <c r="DK6" s="11"/>
      <c r="DL6" s="8"/>
      <c r="DM6" s="8"/>
      <c r="DN6" s="11"/>
      <c r="DO6" s="8"/>
      <c r="DP6" s="8"/>
      <c r="DQ6" s="11"/>
      <c r="DR6" s="8"/>
      <c r="DS6" s="8"/>
      <c r="DT6" s="11"/>
      <c r="DU6" s="8"/>
      <c r="DV6" s="8"/>
      <c r="DW6" s="11"/>
      <c r="DX6" s="8"/>
      <c r="DY6" s="8"/>
      <c r="DZ6" s="11"/>
      <c r="EA6" s="8"/>
      <c r="EB6" s="8"/>
      <c r="EC6" s="11"/>
      <c r="ED6" s="8"/>
      <c r="EE6" s="8"/>
      <c r="EF6" s="11"/>
      <c r="EG6" s="8"/>
      <c r="EH6" s="8"/>
      <c r="EI6" s="11"/>
      <c r="EJ6" s="8"/>
      <c r="EK6" s="8"/>
      <c r="EL6" s="11"/>
      <c r="EM6" s="8"/>
      <c r="EN6" s="8"/>
      <c r="EO6" s="11"/>
      <c r="EP6" s="8"/>
      <c r="EQ6" s="8"/>
      <c r="ER6" s="11"/>
      <c r="ES6" s="8"/>
      <c r="ET6" s="8"/>
      <c r="EU6" s="11"/>
      <c r="EV6" s="8"/>
      <c r="EW6" s="8"/>
      <c r="EX6" s="11"/>
      <c r="EY6" s="8"/>
      <c r="EZ6" s="8"/>
      <c r="FA6" s="11"/>
      <c r="FB6" s="8"/>
      <c r="FC6" s="8"/>
      <c r="FD6" s="11"/>
      <c r="FE6" s="8"/>
      <c r="FF6" s="8"/>
      <c r="FG6" s="11"/>
      <c r="FH6" s="8"/>
      <c r="FI6" s="8"/>
      <c r="FJ6" s="11"/>
      <c r="FK6" s="8"/>
      <c r="FL6" s="8"/>
      <c r="FM6" s="11"/>
      <c r="FN6" s="8"/>
      <c r="FO6" s="8"/>
      <c r="FP6" s="11"/>
      <c r="FQ6" s="8"/>
      <c r="FR6" s="8"/>
      <c r="FS6" s="11"/>
      <c r="FT6" s="8"/>
      <c r="FU6" s="8"/>
      <c r="FV6" s="11"/>
      <c r="FW6" s="8"/>
      <c r="FX6" s="8"/>
      <c r="FY6" s="11"/>
      <c r="FZ6" s="8"/>
      <c r="GA6" s="8"/>
      <c r="GB6" s="11"/>
      <c r="GC6" s="8"/>
      <c r="GD6" s="8"/>
      <c r="GE6" s="11"/>
      <c r="GF6" s="8"/>
      <c r="GG6" s="8"/>
      <c r="GH6" s="11"/>
      <c r="GI6" s="8"/>
      <c r="GJ6" s="8"/>
      <c r="GK6" s="11"/>
      <c r="GL6" s="8"/>
      <c r="GM6" s="8"/>
      <c r="GN6" s="11"/>
      <c r="GO6" s="8"/>
      <c r="GP6" s="8"/>
      <c r="GQ6" s="11"/>
      <c r="GR6" s="8"/>
      <c r="GS6" s="8"/>
      <c r="GT6" s="11"/>
      <c r="GU6" s="8"/>
      <c r="GV6" s="8"/>
      <c r="GW6" s="11"/>
      <c r="GX6" s="8"/>
      <c r="GY6" s="8"/>
      <c r="GZ6" s="11"/>
      <c r="HA6" s="8"/>
      <c r="HB6" s="8"/>
      <c r="HC6" s="11"/>
      <c r="HD6" s="8"/>
      <c r="HE6" s="8"/>
      <c r="HF6" s="11"/>
      <c r="HG6" s="8"/>
      <c r="HH6" s="8"/>
      <c r="HI6" s="11"/>
      <c r="HJ6" s="8"/>
      <c r="HK6" s="8"/>
      <c r="HL6" s="11"/>
      <c r="HM6" s="8"/>
      <c r="HN6" s="8"/>
      <c r="HO6" s="11"/>
      <c r="HP6" s="8"/>
      <c r="HQ6" s="8"/>
      <c r="HR6" s="11"/>
      <c r="HS6" s="8"/>
      <c r="HT6" s="8"/>
      <c r="HU6" s="11"/>
      <c r="HV6" s="8"/>
      <c r="HW6" s="8"/>
      <c r="HX6" s="11"/>
      <c r="HY6" s="8"/>
      <c r="HZ6" s="8"/>
      <c r="IA6" s="11"/>
      <c r="IB6" s="8"/>
      <c r="IC6" s="8"/>
      <c r="ID6" s="11"/>
      <c r="IE6" s="8"/>
      <c r="IF6" s="8"/>
      <c r="IG6" s="11"/>
      <c r="IH6" s="8"/>
      <c r="II6" s="8"/>
      <c r="IJ6" s="11"/>
      <c r="IK6" s="8"/>
      <c r="IL6" s="8"/>
      <c r="IM6" s="11"/>
      <c r="IN6" s="8"/>
      <c r="IO6" s="8"/>
      <c r="IP6" s="11"/>
      <c r="IQ6" s="8"/>
      <c r="IR6" s="8"/>
      <c r="IS6" s="11"/>
      <c r="IT6" s="8"/>
      <c r="IU6" s="8"/>
      <c r="IV6" s="11"/>
      <c r="IW6" s="8"/>
      <c r="IX6" s="8"/>
      <c r="IY6" s="11"/>
      <c r="IZ6" s="8"/>
      <c r="JA6" s="8"/>
      <c r="JB6" s="11"/>
      <c r="JC6" s="8"/>
      <c r="JD6" s="8"/>
      <c r="JE6" s="11"/>
      <c r="JF6" s="8"/>
      <c r="JG6" s="8"/>
      <c r="JH6" s="11"/>
      <c r="JI6" s="8"/>
      <c r="JJ6" s="8"/>
      <c r="JK6" s="11"/>
      <c r="JL6" s="8"/>
      <c r="JM6" s="8"/>
      <c r="JN6" s="11"/>
      <c r="JO6" s="8"/>
      <c r="JP6" s="8"/>
      <c r="JQ6" s="11"/>
      <c r="JR6" s="8"/>
      <c r="JS6" s="8"/>
      <c r="JT6" s="11"/>
      <c r="JU6" s="8"/>
      <c r="JV6" s="8"/>
      <c r="JW6" s="11"/>
      <c r="JX6" s="8"/>
      <c r="JY6" s="8"/>
      <c r="JZ6" s="11"/>
      <c r="KA6" s="8"/>
      <c r="KB6" s="8"/>
      <c r="KC6" s="11"/>
      <c r="KD6" s="8"/>
      <c r="KE6" s="8"/>
      <c r="KF6" s="11"/>
      <c r="KG6" s="8"/>
      <c r="KH6" s="8"/>
      <c r="KI6" s="11"/>
      <c r="KJ6" s="8"/>
      <c r="KK6" s="8"/>
      <c r="KL6" s="11"/>
      <c r="KM6" s="8"/>
      <c r="KN6" s="8"/>
      <c r="KO6" s="11"/>
      <c r="KP6" s="8"/>
      <c r="KQ6" s="8"/>
      <c r="KR6" s="11"/>
      <c r="KS6" s="8"/>
      <c r="KT6" s="8"/>
      <c r="KU6" s="11"/>
      <c r="KV6" s="8"/>
      <c r="KW6" s="8"/>
      <c r="KX6" s="11"/>
      <c r="KY6" s="8"/>
      <c r="KZ6" s="8"/>
      <c r="LA6" s="11"/>
      <c r="LB6" s="8"/>
      <c r="LC6" s="8"/>
      <c r="LD6" s="11"/>
      <c r="LE6" s="8"/>
      <c r="LF6" s="8"/>
      <c r="LG6" s="11"/>
      <c r="LH6" s="8"/>
      <c r="LI6" s="8"/>
      <c r="LJ6" s="11"/>
      <c r="LK6" s="8"/>
      <c r="LL6" s="8"/>
      <c r="LM6" s="11"/>
      <c r="LN6" s="8"/>
      <c r="LO6" s="8"/>
      <c r="LP6" s="11"/>
      <c r="LQ6" s="8"/>
      <c r="LR6" s="8"/>
      <c r="LS6" s="11"/>
      <c r="LT6" s="8"/>
      <c r="LU6" s="8"/>
      <c r="LV6" s="11"/>
      <c r="LW6" s="8"/>
      <c r="LX6" s="8"/>
      <c r="LY6" s="11"/>
      <c r="LZ6" s="8"/>
      <c r="MA6" s="8"/>
      <c r="MB6" s="11"/>
      <c r="MC6" s="8"/>
      <c r="MD6" s="8"/>
      <c r="ME6" s="11"/>
      <c r="MF6" s="8"/>
      <c r="MG6" s="8"/>
      <c r="MH6" s="11"/>
      <c r="MI6" s="8"/>
      <c r="MJ6" s="8"/>
      <c r="MK6" s="11"/>
      <c r="ML6" s="8"/>
      <c r="MM6" s="8"/>
      <c r="MN6" s="11"/>
      <c r="MO6" s="8"/>
      <c r="MP6" s="8"/>
      <c r="MQ6" s="11"/>
      <c r="MR6" s="8"/>
      <c r="MS6" s="8"/>
      <c r="MT6" s="11"/>
      <c r="MU6" s="8"/>
      <c r="MV6" s="8"/>
      <c r="MW6" s="11"/>
      <c r="MX6" s="8"/>
      <c r="MY6" s="8"/>
      <c r="MZ6" s="11"/>
      <c r="NA6" s="8"/>
      <c r="NB6" s="8"/>
      <c r="NC6" s="11"/>
      <c r="ND6" s="8"/>
      <c r="NE6" s="8"/>
      <c r="NF6" s="11"/>
      <c r="NG6" s="8"/>
      <c r="NH6" s="8"/>
      <c r="NI6" s="11"/>
      <c r="NJ6" s="8"/>
      <c r="NK6" s="8"/>
      <c r="NL6" s="11"/>
      <c r="NM6" s="8"/>
      <c r="NN6" s="8"/>
      <c r="NO6" s="11"/>
      <c r="NP6" s="8"/>
      <c r="NQ6" s="8"/>
      <c r="NR6" s="11"/>
      <c r="NS6" s="8"/>
      <c r="NT6" s="8"/>
      <c r="NU6" s="11"/>
      <c r="NV6" s="8"/>
      <c r="NW6" s="8"/>
      <c r="NX6" s="11"/>
      <c r="NY6" s="8"/>
      <c r="NZ6" s="8"/>
      <c r="OA6" s="11"/>
      <c r="OB6" s="8"/>
      <c r="OC6" s="8"/>
      <c r="OD6" s="11"/>
      <c r="OE6" s="8"/>
      <c r="OF6" s="8"/>
      <c r="OG6" s="11"/>
      <c r="OH6" s="8"/>
      <c r="OI6" s="8"/>
      <c r="OJ6" s="11"/>
      <c r="OK6" s="8"/>
      <c r="OL6" s="8"/>
      <c r="OM6" s="11"/>
      <c r="ON6" s="8"/>
      <c r="OO6" s="8"/>
      <c r="OP6" s="11"/>
      <c r="OQ6" s="8"/>
      <c r="OR6" s="8"/>
      <c r="OS6" s="11"/>
      <c r="OT6" s="8"/>
      <c r="OU6" s="8"/>
      <c r="OV6" s="11"/>
      <c r="OW6" s="8"/>
      <c r="OX6" s="8"/>
      <c r="OY6" s="11"/>
      <c r="OZ6" s="8"/>
      <c r="PA6" s="8"/>
      <c r="PB6" s="11"/>
      <c r="PC6" s="8"/>
      <c r="PD6" s="8"/>
      <c r="PE6" s="11"/>
      <c r="PF6" s="8"/>
      <c r="PG6" s="8"/>
      <c r="PH6" s="11"/>
      <c r="PI6" s="8"/>
      <c r="PJ6" s="8"/>
      <c r="PK6" s="11"/>
      <c r="PL6" s="8"/>
      <c r="PM6" s="8"/>
      <c r="PN6" s="11"/>
      <c r="PO6" s="8"/>
      <c r="PP6" s="8"/>
      <c r="PQ6" s="11"/>
      <c r="PR6" s="8"/>
      <c r="PS6" s="8"/>
      <c r="PT6" s="11"/>
      <c r="PU6" s="8"/>
      <c r="PV6" s="8"/>
      <c r="PW6" s="11"/>
      <c r="PX6" s="8"/>
      <c r="PY6" s="8"/>
      <c r="PZ6" s="11"/>
      <c r="QA6" s="8"/>
      <c r="QB6" s="8"/>
      <c r="QC6" s="11"/>
      <c r="QD6" s="8"/>
      <c r="QE6" s="8"/>
      <c r="QF6" s="11"/>
      <c r="QG6" s="8"/>
      <c r="QH6" s="8"/>
      <c r="QI6" s="11"/>
      <c r="QJ6" s="8"/>
      <c r="QK6" s="8"/>
      <c r="QL6" s="11"/>
      <c r="QM6" s="8"/>
      <c r="QN6" s="8"/>
      <c r="QO6" s="11"/>
      <c r="QP6" s="8"/>
      <c r="QQ6" s="8"/>
      <c r="QR6" s="11"/>
      <c r="QS6" s="8"/>
      <c r="QT6" s="8"/>
      <c r="QU6" s="11"/>
      <c r="QV6" s="8"/>
      <c r="QW6" s="8"/>
      <c r="QX6" s="11"/>
      <c r="QY6" s="8"/>
      <c r="QZ6" s="8"/>
      <c r="RA6" s="11"/>
      <c r="RB6" s="8"/>
      <c r="RC6" s="8"/>
      <c r="RD6" s="11"/>
      <c r="RE6" s="8"/>
      <c r="RF6" s="8"/>
      <c r="RG6" s="11"/>
      <c r="RH6" s="8"/>
      <c r="RI6" s="8"/>
      <c r="RJ6" s="11"/>
      <c r="RK6" s="8"/>
      <c r="RL6" s="8"/>
      <c r="RM6" s="11"/>
      <c r="RN6" s="8"/>
      <c r="RO6" s="8"/>
      <c r="RP6" s="11"/>
      <c r="RQ6" s="8"/>
      <c r="RR6" s="8"/>
      <c r="RS6" s="11"/>
      <c r="RT6" s="8"/>
      <c r="RU6" s="8"/>
      <c r="RV6" s="11"/>
      <c r="RW6" s="8"/>
      <c r="RX6" s="8"/>
      <c r="RY6" s="11"/>
      <c r="RZ6" s="8"/>
      <c r="SA6" s="8"/>
      <c r="SB6" s="11"/>
      <c r="SC6" s="8"/>
      <c r="SD6" s="8"/>
      <c r="SE6" s="11"/>
      <c r="SF6" s="8"/>
      <c r="SG6" s="8"/>
      <c r="SH6" s="11"/>
      <c r="SI6" s="8"/>
      <c r="SJ6" s="8"/>
      <c r="SK6" s="11"/>
      <c r="SL6" s="8"/>
      <c r="SM6" s="8"/>
      <c r="SN6" s="11"/>
      <c r="SO6" s="8"/>
      <c r="SP6" s="8"/>
      <c r="SQ6" s="11"/>
      <c r="SR6" s="8"/>
      <c r="SS6" s="8"/>
      <c r="ST6" s="11"/>
      <c r="SU6" s="8"/>
      <c r="SV6" s="8"/>
      <c r="SW6" s="11"/>
      <c r="SX6" s="8"/>
      <c r="SY6" s="8"/>
      <c r="SZ6" s="11"/>
      <c r="TA6" s="8"/>
      <c r="TB6" s="8"/>
      <c r="TC6" s="11"/>
      <c r="TD6" s="8"/>
      <c r="TE6" s="8"/>
      <c r="TF6" s="11"/>
      <c r="TG6" s="8"/>
      <c r="TH6" s="8"/>
      <c r="TI6" s="11"/>
      <c r="TJ6" s="8"/>
      <c r="TK6" s="8"/>
      <c r="TL6" s="11"/>
      <c r="TM6" s="8"/>
      <c r="TN6" s="8"/>
      <c r="TO6" s="11"/>
      <c r="TP6" s="8"/>
      <c r="TQ6" s="8"/>
      <c r="TR6" s="11"/>
      <c r="TS6" s="8"/>
      <c r="TT6" s="8"/>
      <c r="TU6" s="11"/>
      <c r="TV6" s="8"/>
      <c r="TW6" s="8"/>
      <c r="TX6" s="11"/>
      <c r="TY6" s="8"/>
      <c r="TZ6" s="8"/>
      <c r="UA6" s="11"/>
      <c r="UB6" s="8"/>
      <c r="UC6" s="8"/>
      <c r="UD6" s="11"/>
      <c r="UE6" s="8"/>
      <c r="UF6" s="8"/>
      <c r="UG6" s="11"/>
      <c r="UH6" s="8"/>
      <c r="UI6" s="8"/>
      <c r="UJ6" s="11"/>
      <c r="UK6" s="8"/>
      <c r="UL6" s="8"/>
      <c r="UM6" s="11"/>
      <c r="UN6" s="8"/>
      <c r="UO6" s="8"/>
      <c r="UP6" s="11"/>
      <c r="UQ6" s="8"/>
      <c r="UR6" s="8"/>
      <c r="US6" s="11"/>
      <c r="UT6" s="8"/>
      <c r="UU6" s="8"/>
      <c r="UV6" s="11"/>
      <c r="UW6" s="8"/>
      <c r="UX6" s="8"/>
      <c r="UY6" s="11"/>
      <c r="UZ6" s="8"/>
      <c r="VA6" s="8"/>
      <c r="VB6" s="11"/>
      <c r="VC6" s="8"/>
      <c r="VD6" s="8"/>
      <c r="VE6" s="11"/>
      <c r="VF6" s="8"/>
      <c r="VG6" s="8"/>
      <c r="VH6" s="11"/>
      <c r="VI6" s="8"/>
      <c r="VJ6" s="8"/>
      <c r="VK6" s="11"/>
      <c r="VL6" s="8"/>
      <c r="VM6" s="8"/>
      <c r="VN6" s="11"/>
      <c r="VO6" s="8"/>
      <c r="VP6" s="8"/>
      <c r="VQ6" s="11"/>
      <c r="VR6" s="8"/>
      <c r="VS6" s="8"/>
      <c r="VT6" s="11"/>
      <c r="VU6" s="8"/>
      <c r="VV6" s="8"/>
      <c r="VW6" s="11"/>
      <c r="VX6" s="8"/>
      <c r="VY6" s="8"/>
      <c r="VZ6" s="11"/>
      <c r="WA6" s="8"/>
      <c r="WB6" s="8"/>
      <c r="WC6" s="11"/>
      <c r="WD6" s="8"/>
      <c r="WE6" s="8"/>
      <c r="WF6" s="11"/>
      <c r="WG6" s="8"/>
      <c r="WH6" s="8"/>
      <c r="WI6" s="11"/>
      <c r="WJ6" s="8"/>
      <c r="WK6" s="8"/>
      <c r="WL6" s="11"/>
      <c r="WM6" s="8"/>
      <c r="WN6" s="8"/>
      <c r="WO6" s="11"/>
      <c r="WP6" s="8"/>
      <c r="WQ6" s="8"/>
      <c r="WR6" s="11"/>
      <c r="WS6" s="8"/>
      <c r="WT6" s="8"/>
      <c r="WU6" s="11"/>
      <c r="WV6" s="8"/>
      <c r="WW6" s="8"/>
      <c r="WX6" s="11"/>
      <c r="WY6" s="8"/>
      <c r="WZ6" s="8"/>
      <c r="XA6" s="11"/>
      <c r="XB6" s="8"/>
      <c r="XC6" s="8"/>
      <c r="XD6" s="11"/>
      <c r="XE6" s="8"/>
      <c r="XF6" s="8"/>
      <c r="XG6" s="11"/>
      <c r="XH6" s="8"/>
      <c r="XI6" s="8"/>
      <c r="XJ6" s="11"/>
      <c r="XK6" s="8"/>
      <c r="XL6" s="8"/>
      <c r="XM6" s="11"/>
      <c r="XN6" s="8"/>
      <c r="XO6" s="8"/>
      <c r="XP6" s="11"/>
      <c r="XQ6" s="8"/>
      <c r="XR6" s="8"/>
      <c r="XS6" s="11"/>
      <c r="XT6" s="8"/>
      <c r="XU6" s="8"/>
      <c r="XV6" s="11"/>
      <c r="XW6" s="8"/>
      <c r="XX6" s="8"/>
      <c r="XY6" s="11"/>
      <c r="XZ6" s="8"/>
      <c r="YA6" s="8"/>
      <c r="YB6" s="11"/>
      <c r="YC6" s="8"/>
      <c r="YD6" s="8"/>
      <c r="YE6" s="11"/>
      <c r="YF6" s="8"/>
      <c r="YG6" s="8"/>
      <c r="YH6" s="11"/>
      <c r="YI6" s="8"/>
      <c r="YJ6" s="8"/>
      <c r="YK6" s="11"/>
      <c r="YL6" s="8"/>
      <c r="YM6" s="8"/>
      <c r="YN6" s="11"/>
      <c r="YO6" s="8"/>
      <c r="YP6" s="8"/>
      <c r="YQ6" s="11"/>
      <c r="YR6" s="8"/>
      <c r="YS6" s="8"/>
      <c r="YT6" s="11"/>
      <c r="YU6" s="8"/>
      <c r="YV6" s="8"/>
      <c r="YW6" s="11"/>
      <c r="YX6" s="8"/>
      <c r="YY6" s="8"/>
      <c r="YZ6" s="11"/>
      <c r="ZA6" s="8"/>
      <c r="ZB6" s="8"/>
      <c r="ZC6" s="11"/>
      <c r="ZD6" s="8"/>
      <c r="ZE6" s="8"/>
      <c r="ZF6" s="11"/>
      <c r="ZG6" s="8"/>
      <c r="ZH6" s="8"/>
      <c r="ZI6" s="11"/>
      <c r="ZJ6" s="8"/>
      <c r="ZK6" s="8"/>
      <c r="ZL6" s="11"/>
      <c r="ZM6" s="8"/>
      <c r="ZN6" s="8"/>
      <c r="ZO6" s="11"/>
      <c r="ZP6" s="8"/>
      <c r="ZQ6" s="8"/>
      <c r="ZR6" s="11"/>
      <c r="ZS6" s="8"/>
      <c r="ZT6" s="8"/>
      <c r="ZU6" s="11"/>
      <c r="ZV6" s="8"/>
      <c r="ZW6" s="8"/>
      <c r="ZX6" s="11"/>
      <c r="ZY6" s="8"/>
      <c r="ZZ6" s="8"/>
      <c r="AAA6" s="11"/>
      <c r="AAB6" s="8"/>
      <c r="AAC6" s="8"/>
      <c r="AAD6" s="11"/>
      <c r="AAE6" s="8"/>
      <c r="AAF6" s="8"/>
      <c r="AAG6" s="11"/>
      <c r="AAH6" s="8"/>
      <c r="AAI6" s="8"/>
      <c r="AAJ6" s="11"/>
      <c r="AAK6" s="8"/>
      <c r="AAL6" s="8"/>
      <c r="AAM6" s="11"/>
      <c r="AAN6" s="8"/>
      <c r="AAO6" s="8"/>
      <c r="AAP6" s="11"/>
      <c r="AAQ6" s="8"/>
      <c r="AAR6" s="8"/>
      <c r="AAS6" s="11"/>
      <c r="AAT6" s="8"/>
      <c r="AAU6" s="8"/>
      <c r="AAV6" s="11"/>
      <c r="AAW6" s="8"/>
      <c r="AAX6" s="8"/>
      <c r="AAY6" s="11"/>
      <c r="AAZ6" s="8"/>
      <c r="ABA6" s="8"/>
      <c r="ABB6" s="11"/>
      <c r="ABC6" s="8"/>
      <c r="ABD6" s="8"/>
      <c r="ABE6" s="11"/>
      <c r="ABF6" s="8"/>
      <c r="ABG6" s="8"/>
      <c r="ABH6" s="11"/>
      <c r="ABI6" s="8"/>
      <c r="ABJ6" s="8"/>
      <c r="ABK6" s="11"/>
      <c r="ABL6" s="8"/>
      <c r="ABM6" s="8"/>
      <c r="ABN6" s="11"/>
      <c r="ABO6" s="8"/>
      <c r="ABP6" s="8"/>
      <c r="ABQ6" s="11"/>
      <c r="ABR6" s="8"/>
      <c r="ABS6" s="8"/>
      <c r="ABT6" s="11"/>
      <c r="ABU6" s="8"/>
      <c r="ABV6" s="8"/>
      <c r="ABW6" s="11"/>
      <c r="ABX6" s="8"/>
      <c r="ABY6" s="8"/>
      <c r="ABZ6" s="11"/>
      <c r="ACA6" s="8"/>
      <c r="ACB6" s="8"/>
      <c r="ACC6" s="11"/>
      <c r="ACD6" s="8"/>
      <c r="ACE6" s="8"/>
      <c r="ACF6" s="11"/>
      <c r="ACG6" s="8"/>
      <c r="ACH6" s="8"/>
      <c r="ACI6" s="11"/>
      <c r="ACJ6" s="8"/>
      <c r="ACK6" s="8"/>
      <c r="ACL6" s="11"/>
      <c r="ACM6" s="8"/>
      <c r="ACN6" s="8"/>
      <c r="ACO6" s="11"/>
      <c r="ACP6" s="8"/>
      <c r="ACQ6" s="8"/>
      <c r="ACR6" s="11"/>
      <c r="ACS6" s="8"/>
      <c r="ACT6" s="8"/>
      <c r="ACU6" s="11"/>
      <c r="ACV6" s="8"/>
      <c r="ACW6" s="8"/>
      <c r="ACX6" s="11"/>
      <c r="ACY6" s="8"/>
      <c r="ACZ6" s="8"/>
      <c r="ADA6" s="11"/>
      <c r="ADB6" s="8"/>
      <c r="ADC6" s="8"/>
      <c r="ADD6" s="11"/>
      <c r="ADE6" s="8"/>
      <c r="ADF6" s="8"/>
      <c r="ADG6" s="11"/>
      <c r="ADH6" s="8"/>
      <c r="ADI6" s="8"/>
      <c r="ADJ6" s="11"/>
      <c r="ADK6" s="8"/>
      <c r="ADL6" s="8"/>
      <c r="ADM6" s="11"/>
      <c r="ADN6" s="8"/>
      <c r="ADO6" s="8"/>
      <c r="ADP6" s="11"/>
      <c r="ADQ6" s="8"/>
      <c r="ADR6" s="8"/>
      <c r="ADS6" s="11"/>
      <c r="ADT6" s="8"/>
      <c r="ADU6" s="8"/>
      <c r="ADV6" s="11"/>
      <c r="ADW6" s="8"/>
      <c r="ADX6" s="8"/>
      <c r="ADY6" s="11"/>
      <c r="ADZ6" s="8"/>
      <c r="AEA6" s="8"/>
      <c r="AEB6" s="11"/>
      <c r="AEC6" s="8"/>
      <c r="AED6" s="8"/>
      <c r="AEE6" s="11"/>
      <c r="AEF6" s="8"/>
      <c r="AEG6" s="8"/>
      <c r="AEH6" s="11"/>
      <c r="AEI6" s="8"/>
      <c r="AEJ6" s="8"/>
      <c r="AEK6" s="11"/>
      <c r="AEL6" s="8"/>
      <c r="AEM6" s="8"/>
      <c r="AEN6" s="11"/>
      <c r="AEO6" s="8"/>
      <c r="AEP6" s="8"/>
      <c r="AEQ6" s="11"/>
      <c r="AER6" s="8"/>
      <c r="AES6" s="8"/>
      <c r="AET6" s="11"/>
      <c r="AEU6" s="8"/>
      <c r="AEV6" s="8"/>
      <c r="AEW6" s="11"/>
      <c r="AEX6" s="8"/>
      <c r="AEY6" s="8"/>
      <c r="AEZ6" s="11"/>
      <c r="AFA6" s="8"/>
      <c r="AFB6" s="8"/>
      <c r="AFC6" s="11"/>
      <c r="AFD6" s="8"/>
      <c r="AFE6" s="8"/>
      <c r="AFF6" s="11"/>
      <c r="AFG6" s="8"/>
      <c r="AFH6" s="8"/>
      <c r="AFI6" s="11"/>
      <c r="AFJ6" s="8"/>
      <c r="AFK6" s="8"/>
      <c r="AFL6" s="11"/>
      <c r="AFM6" s="8"/>
      <c r="AFN6" s="8"/>
      <c r="AFO6" s="11"/>
      <c r="AFP6" s="8"/>
      <c r="AFQ6" s="8"/>
      <c r="AFR6" s="11"/>
      <c r="AFS6" s="8"/>
      <c r="AFT6" s="8"/>
      <c r="AFU6" s="11"/>
      <c r="AFV6" s="8"/>
      <c r="AFW6" s="8"/>
      <c r="AFX6" s="11"/>
      <c r="AFY6" s="8"/>
      <c r="AFZ6" s="8"/>
      <c r="AGA6" s="11"/>
      <c r="AGB6" s="8"/>
      <c r="AGC6" s="8"/>
      <c r="AGD6" s="11"/>
      <c r="AGE6" s="8"/>
      <c r="AGF6" s="8"/>
      <c r="AGG6" s="11"/>
      <c r="AGH6" s="8"/>
      <c r="AGI6" s="8"/>
      <c r="AGJ6" s="11"/>
      <c r="AGK6" s="8"/>
      <c r="AGL6" s="8"/>
      <c r="AGM6" s="11"/>
      <c r="AGN6" s="8"/>
      <c r="AGO6" s="8"/>
      <c r="AGP6" s="11"/>
      <c r="AGQ6" s="8"/>
      <c r="AGR6" s="8"/>
      <c r="AGS6" s="11"/>
      <c r="AGT6" s="8"/>
      <c r="AGU6" s="8"/>
      <c r="AGV6" s="11"/>
      <c r="AGW6" s="8"/>
      <c r="AGX6" s="8"/>
      <c r="AGY6" s="11"/>
      <c r="AGZ6" s="8"/>
      <c r="AHA6" s="8"/>
      <c r="AHB6" s="11"/>
      <c r="AHC6" s="8"/>
      <c r="AHD6" s="8"/>
      <c r="AHE6" s="11"/>
      <c r="AHF6" s="8"/>
      <c r="AHG6" s="8"/>
      <c r="AHH6" s="11"/>
      <c r="AHI6" s="8"/>
      <c r="AHJ6" s="8"/>
      <c r="AHK6" s="11"/>
      <c r="AHL6" s="8"/>
      <c r="AHM6" s="8"/>
      <c r="AHN6" s="11"/>
      <c r="AHO6" s="8"/>
      <c r="AHP6" s="8"/>
      <c r="AHQ6" s="11"/>
      <c r="AHR6" s="8"/>
      <c r="AHS6" s="8"/>
      <c r="AHT6" s="11"/>
      <c r="AHU6" s="8"/>
      <c r="AHV6" s="8"/>
      <c r="AHW6" s="11"/>
      <c r="AHX6" s="8"/>
      <c r="AHY6" s="8"/>
      <c r="AHZ6" s="11"/>
      <c r="AIA6" s="8"/>
      <c r="AIB6" s="8"/>
      <c r="AIC6" s="11"/>
      <c r="AID6" s="8"/>
      <c r="AIE6" s="8"/>
      <c r="AIF6" s="11"/>
      <c r="AIG6" s="8"/>
      <c r="AIH6" s="8"/>
      <c r="AII6" s="11"/>
      <c r="AIJ6" s="8"/>
      <c r="AIK6" s="8"/>
      <c r="AIL6" s="11"/>
      <c r="AIM6" s="8"/>
      <c r="AIN6" s="8"/>
      <c r="AIO6" s="11"/>
      <c r="AIP6" s="8"/>
      <c r="AIQ6" s="8"/>
      <c r="AIR6" s="11"/>
      <c r="AIS6" s="8"/>
      <c r="AIT6" s="8"/>
      <c r="AIU6" s="11"/>
      <c r="AIV6" s="8"/>
      <c r="AIW6" s="8"/>
      <c r="AIX6" s="11"/>
      <c r="AIY6" s="8"/>
      <c r="AIZ6" s="8"/>
      <c r="AJA6" s="11"/>
      <c r="AJB6" s="8"/>
      <c r="AJC6" s="8"/>
      <c r="AJD6" s="11"/>
      <c r="AJE6" s="8"/>
      <c r="AJF6" s="8"/>
      <c r="AJG6" s="11"/>
      <c r="AJH6" s="8"/>
      <c r="AJI6" s="8"/>
      <c r="AJJ6" s="11"/>
      <c r="AJK6" s="8"/>
      <c r="AJL6" s="8"/>
      <c r="AJM6" s="11"/>
      <c r="AJN6" s="8"/>
      <c r="AJO6" s="8"/>
      <c r="AJP6" s="11"/>
      <c r="AJQ6" s="8"/>
      <c r="AJR6" s="8"/>
      <c r="AJS6" s="11"/>
      <c r="AJT6" s="8"/>
      <c r="AJU6" s="8"/>
      <c r="AJV6" s="11"/>
      <c r="AJW6" s="8"/>
      <c r="AJX6" s="8"/>
      <c r="AJY6" s="11"/>
      <c r="AJZ6" s="8"/>
      <c r="AKA6" s="8"/>
      <c r="AKB6" s="11"/>
      <c r="AKC6" s="8"/>
      <c r="AKD6" s="8"/>
      <c r="AKE6" s="11"/>
      <c r="AKF6" s="8"/>
      <c r="AKG6" s="8"/>
      <c r="AKH6" s="11"/>
      <c r="AKI6" s="8"/>
      <c r="AKJ6" s="8"/>
      <c r="AKK6" s="11"/>
      <c r="AKL6" s="8"/>
      <c r="AKM6" s="8"/>
      <c r="AKN6" s="11"/>
      <c r="AKO6" s="8"/>
      <c r="AKP6" s="8"/>
      <c r="AKQ6" s="11"/>
      <c r="AKR6" s="8"/>
      <c r="AKS6" s="8"/>
      <c r="AKT6" s="11"/>
      <c r="AKU6" s="8"/>
      <c r="AKV6" s="8"/>
      <c r="AKW6" s="11"/>
      <c r="AKX6" s="8"/>
      <c r="AKY6" s="8"/>
      <c r="AKZ6" s="11"/>
      <c r="ALA6" s="8"/>
      <c r="ALB6" s="8"/>
      <c r="ALC6" s="11"/>
      <c r="ALD6" s="8"/>
      <c r="ALE6" s="8"/>
      <c r="ALF6" s="11"/>
      <c r="ALG6" s="8"/>
      <c r="ALH6" s="8"/>
      <c r="ALI6" s="11"/>
      <c r="ALJ6" s="8"/>
      <c r="ALK6" s="8"/>
      <c r="ALL6" s="11"/>
      <c r="ALM6" s="8"/>
      <c r="ALN6" s="8"/>
      <c r="ALO6" s="11"/>
      <c r="ALP6" s="8"/>
      <c r="ALQ6" s="8"/>
      <c r="ALR6" s="11"/>
      <c r="ALS6" s="8"/>
      <c r="ALT6" s="8"/>
      <c r="ALU6" s="11"/>
      <c r="ALV6" s="8"/>
      <c r="ALW6" s="8"/>
      <c r="ALX6" s="11"/>
      <c r="ALY6" s="8"/>
      <c r="ALZ6" s="8"/>
      <c r="AMA6" s="11"/>
      <c r="AMB6" s="8"/>
      <c r="AMC6" s="8"/>
      <c r="AMD6" s="11"/>
      <c r="AME6" s="8"/>
      <c r="AMF6" s="8"/>
      <c r="AMG6" s="11"/>
      <c r="AMH6" s="8"/>
      <c r="AMI6" s="8"/>
      <c r="AMJ6" s="11"/>
      <c r="AMK6" s="8"/>
      <c r="AML6" s="8"/>
      <c r="AMM6" s="11"/>
      <c r="AMN6" s="8"/>
      <c r="AMO6" s="8"/>
      <c r="AMP6" s="11"/>
      <c r="AMQ6" s="8"/>
      <c r="AMR6" s="8"/>
      <c r="AMS6" s="11"/>
      <c r="AMT6" s="8"/>
      <c r="AMU6" s="8"/>
      <c r="AMV6" s="11"/>
      <c r="AMW6" s="8"/>
      <c r="AMX6" s="8"/>
      <c r="AMY6" s="11"/>
      <c r="AMZ6" s="8"/>
      <c r="ANA6" s="8"/>
      <c r="ANB6" s="11"/>
      <c r="ANC6" s="8"/>
      <c r="AND6" s="8"/>
      <c r="ANE6" s="11"/>
      <c r="ANF6" s="8"/>
      <c r="ANG6" s="8"/>
      <c r="ANH6" s="11"/>
      <c r="ANI6" s="8"/>
      <c r="ANJ6" s="8"/>
      <c r="ANK6" s="11"/>
      <c r="ANL6" s="8"/>
      <c r="ANM6" s="8"/>
      <c r="ANN6" s="11"/>
      <c r="ANO6" s="8"/>
      <c r="ANP6" s="8"/>
      <c r="ANQ6" s="11"/>
      <c r="ANR6" s="8"/>
      <c r="ANS6" s="8"/>
      <c r="ANT6" s="11"/>
      <c r="ANU6" s="8"/>
      <c r="ANV6" s="8"/>
      <c r="ANW6" s="11"/>
      <c r="ANX6" s="8"/>
      <c r="ANY6" s="8"/>
      <c r="ANZ6" s="11"/>
      <c r="AOA6" s="8"/>
      <c r="AOB6" s="8"/>
      <c r="AOC6" s="11"/>
      <c r="AOD6" s="8"/>
      <c r="AOE6" s="8"/>
      <c r="AOF6" s="11"/>
      <c r="AOG6" s="8"/>
      <c r="AOH6" s="8"/>
      <c r="AOI6" s="11"/>
      <c r="AOJ6" s="8"/>
      <c r="AOK6" s="8"/>
      <c r="AOL6" s="11"/>
      <c r="AOM6" s="8"/>
      <c r="AON6" s="8"/>
      <c r="AOO6" s="11"/>
      <c r="AOP6" s="8"/>
      <c r="AOQ6" s="8"/>
      <c r="AOR6" s="11"/>
      <c r="AOS6" s="8"/>
      <c r="AOT6" s="8"/>
      <c r="AOU6" s="11"/>
      <c r="AOV6" s="8"/>
      <c r="AOW6" s="8"/>
      <c r="AOX6" s="11"/>
      <c r="AOY6" s="8"/>
      <c r="AOZ6" s="8"/>
      <c r="APA6" s="11"/>
      <c r="APB6" s="8"/>
      <c r="APC6" s="8"/>
      <c r="APD6" s="11"/>
    </row>
    <row r="7" spans="1:1096" ht="48" customHeight="1" x14ac:dyDescent="0.25">
      <c r="B7" s="407" t="s">
        <v>177</v>
      </c>
      <c r="C7" s="407"/>
      <c r="D7" s="407"/>
      <c r="E7" s="8"/>
      <c r="F7" s="8"/>
      <c r="G7" s="11"/>
      <c r="H7" s="8"/>
      <c r="I7" s="8"/>
      <c r="J7" s="11"/>
      <c r="K7" s="8"/>
      <c r="L7" s="8"/>
      <c r="M7" s="11"/>
      <c r="N7" s="8"/>
      <c r="O7" s="8"/>
      <c r="P7" s="11"/>
      <c r="Q7" s="8"/>
      <c r="R7" s="8"/>
      <c r="S7" s="11"/>
      <c r="T7" s="8"/>
      <c r="U7" s="8"/>
      <c r="V7" s="11"/>
      <c r="W7" s="8"/>
      <c r="X7" s="8"/>
      <c r="Y7" s="11"/>
      <c r="Z7" s="8"/>
      <c r="AA7" s="8"/>
      <c r="AB7" s="11"/>
      <c r="AC7" s="8"/>
      <c r="AD7" s="8"/>
      <c r="AE7" s="11"/>
      <c r="AF7" s="8"/>
      <c r="AG7" s="8"/>
      <c r="AH7" s="11"/>
      <c r="AI7" s="8"/>
      <c r="AJ7" s="8"/>
      <c r="AK7" s="11"/>
      <c r="AL7" s="8"/>
      <c r="AM7" s="8"/>
      <c r="AN7" s="11"/>
      <c r="AO7" s="8"/>
      <c r="AP7" s="8"/>
      <c r="AQ7" s="11"/>
      <c r="AR7" s="8"/>
      <c r="AS7" s="8"/>
      <c r="AT7" s="11"/>
      <c r="AU7" s="8"/>
      <c r="AV7" s="8"/>
      <c r="AW7" s="11"/>
      <c r="AX7" s="8"/>
      <c r="AY7" s="8"/>
      <c r="AZ7" s="11"/>
      <c r="BA7" s="8"/>
      <c r="BB7" s="8"/>
      <c r="BC7" s="11"/>
      <c r="BD7" s="8"/>
      <c r="BE7" s="8"/>
      <c r="BF7" s="11"/>
      <c r="BG7" s="8"/>
      <c r="BH7" s="8"/>
      <c r="BI7" s="11"/>
      <c r="BJ7" s="8"/>
      <c r="BK7" s="8"/>
      <c r="BL7" s="11"/>
      <c r="BM7" s="8"/>
      <c r="BN7" s="8"/>
      <c r="BO7" s="11"/>
      <c r="BP7" s="8"/>
      <c r="BQ7" s="8"/>
      <c r="BR7" s="11"/>
      <c r="BS7" s="8"/>
      <c r="BT7" s="8"/>
      <c r="BU7" s="11"/>
      <c r="BV7" s="8"/>
      <c r="BW7" s="8"/>
      <c r="BX7" s="11"/>
      <c r="BY7" s="8"/>
      <c r="BZ7" s="8"/>
      <c r="CA7" s="11"/>
      <c r="CB7" s="8"/>
      <c r="CC7" s="8"/>
      <c r="CD7" s="11"/>
      <c r="CE7" s="8"/>
      <c r="CF7" s="8"/>
      <c r="CG7" s="11"/>
      <c r="CH7" s="8"/>
      <c r="CI7" s="8"/>
      <c r="CJ7" s="11"/>
      <c r="CK7" s="8"/>
      <c r="CL7" s="8"/>
      <c r="CM7" s="11"/>
      <c r="CN7" s="8"/>
      <c r="CO7" s="8"/>
      <c r="CP7" s="11"/>
      <c r="CQ7" s="8"/>
      <c r="CR7" s="8"/>
      <c r="CS7" s="11"/>
      <c r="CT7" s="8"/>
      <c r="CU7" s="8"/>
      <c r="CV7" s="11"/>
      <c r="CW7" s="8"/>
      <c r="CX7" s="8"/>
      <c r="CY7" s="11"/>
      <c r="CZ7" s="8"/>
      <c r="DA7" s="8"/>
      <c r="DB7" s="11"/>
      <c r="DC7" s="8"/>
      <c r="DD7" s="8"/>
      <c r="DE7" s="11"/>
      <c r="DF7" s="8"/>
      <c r="DG7" s="8"/>
      <c r="DH7" s="11"/>
      <c r="DI7" s="8"/>
      <c r="DJ7" s="8"/>
      <c r="DK7" s="11"/>
      <c r="DL7" s="8"/>
      <c r="DM7" s="8"/>
      <c r="DN7" s="11"/>
      <c r="DO7" s="8"/>
      <c r="DP7" s="8"/>
      <c r="DQ7" s="11"/>
      <c r="DR7" s="8"/>
      <c r="DS7" s="8"/>
      <c r="DT7" s="11"/>
      <c r="DU7" s="8"/>
      <c r="DV7" s="8"/>
      <c r="DW7" s="11"/>
      <c r="DX7" s="8"/>
      <c r="DY7" s="8"/>
      <c r="DZ7" s="11"/>
      <c r="EA7" s="8"/>
      <c r="EB7" s="8"/>
      <c r="EC7" s="11"/>
      <c r="ED7" s="8"/>
      <c r="EE7" s="8"/>
      <c r="EF7" s="11"/>
      <c r="EG7" s="8"/>
      <c r="EH7" s="8"/>
      <c r="EI7" s="11"/>
      <c r="EJ7" s="8"/>
      <c r="EK7" s="8"/>
      <c r="EL7" s="11"/>
      <c r="EM7" s="8"/>
      <c r="EN7" s="8"/>
      <c r="EO7" s="11"/>
      <c r="EP7" s="8"/>
      <c r="EQ7" s="8"/>
      <c r="ER7" s="11"/>
      <c r="ES7" s="8"/>
      <c r="ET7" s="8"/>
      <c r="EU7" s="11"/>
      <c r="EV7" s="8"/>
      <c r="EW7" s="8"/>
      <c r="EX7" s="11"/>
      <c r="EY7" s="8"/>
      <c r="EZ7" s="8"/>
      <c r="FA7" s="11"/>
      <c r="FB7" s="8"/>
      <c r="FC7" s="8"/>
      <c r="FD7" s="11"/>
      <c r="FE7" s="8"/>
      <c r="FF7" s="8"/>
      <c r="FG7" s="11"/>
      <c r="FH7" s="8"/>
      <c r="FI7" s="8"/>
      <c r="FJ7" s="11"/>
      <c r="FK7" s="8"/>
      <c r="FL7" s="8"/>
      <c r="FM7" s="11"/>
      <c r="FN7" s="8"/>
      <c r="FO7" s="8"/>
      <c r="FP7" s="11"/>
      <c r="FQ7" s="8"/>
      <c r="FR7" s="8"/>
      <c r="FS7" s="11"/>
      <c r="FT7" s="8"/>
      <c r="FU7" s="8"/>
      <c r="FV7" s="11"/>
      <c r="FW7" s="8"/>
      <c r="FX7" s="8"/>
      <c r="FY7" s="11"/>
      <c r="FZ7" s="8"/>
      <c r="GA7" s="8"/>
      <c r="GB7" s="11"/>
      <c r="GC7" s="8"/>
      <c r="GD7" s="8"/>
      <c r="GE7" s="11"/>
      <c r="GF7" s="8"/>
      <c r="GG7" s="8"/>
      <c r="GH7" s="11"/>
      <c r="GI7" s="8"/>
      <c r="GJ7" s="8"/>
      <c r="GK7" s="11"/>
      <c r="GL7" s="8"/>
      <c r="GM7" s="8"/>
      <c r="GN7" s="11"/>
      <c r="GO7" s="8"/>
      <c r="GP7" s="8"/>
      <c r="GQ7" s="11"/>
      <c r="GR7" s="8"/>
      <c r="GS7" s="8"/>
      <c r="GT7" s="11"/>
      <c r="GU7" s="8"/>
      <c r="GV7" s="8"/>
      <c r="GW7" s="11"/>
      <c r="GX7" s="8"/>
      <c r="GY7" s="8"/>
      <c r="GZ7" s="11"/>
      <c r="HA7" s="8"/>
      <c r="HB7" s="8"/>
      <c r="HC7" s="11"/>
      <c r="HD7" s="8"/>
      <c r="HE7" s="8"/>
      <c r="HF7" s="11"/>
      <c r="HG7" s="8"/>
      <c r="HH7" s="8"/>
      <c r="HI7" s="11"/>
      <c r="HJ7" s="8"/>
      <c r="HK7" s="8"/>
      <c r="HL7" s="11"/>
      <c r="HM7" s="8"/>
      <c r="HN7" s="8"/>
      <c r="HO7" s="11"/>
      <c r="HP7" s="8"/>
      <c r="HQ7" s="8"/>
      <c r="HR7" s="11"/>
      <c r="HS7" s="8"/>
      <c r="HT7" s="8"/>
      <c r="HU7" s="11"/>
      <c r="HV7" s="8"/>
      <c r="HW7" s="8"/>
      <c r="HX7" s="11"/>
      <c r="HY7" s="8"/>
      <c r="HZ7" s="8"/>
      <c r="IA7" s="11"/>
      <c r="IB7" s="8"/>
      <c r="IC7" s="8"/>
      <c r="ID7" s="11"/>
      <c r="IE7" s="8"/>
      <c r="IF7" s="8"/>
      <c r="IG7" s="11"/>
      <c r="IH7" s="8"/>
      <c r="II7" s="8"/>
      <c r="IJ7" s="11"/>
      <c r="IK7" s="8"/>
      <c r="IL7" s="8"/>
      <c r="IM7" s="11"/>
      <c r="IN7" s="8"/>
      <c r="IO7" s="8"/>
      <c r="IP7" s="11"/>
      <c r="IQ7" s="8"/>
      <c r="IR7" s="8"/>
      <c r="IS7" s="11"/>
      <c r="IT7" s="8"/>
      <c r="IU7" s="8"/>
      <c r="IV7" s="11"/>
      <c r="IW7" s="8"/>
      <c r="IX7" s="8"/>
      <c r="IY7" s="11"/>
      <c r="IZ7" s="8"/>
      <c r="JA7" s="8"/>
      <c r="JB7" s="11"/>
      <c r="JC7" s="8"/>
      <c r="JD7" s="8"/>
      <c r="JE7" s="11"/>
      <c r="JF7" s="8"/>
      <c r="JG7" s="8"/>
      <c r="JH7" s="11"/>
      <c r="JI7" s="8"/>
      <c r="JJ7" s="8"/>
      <c r="JK7" s="11"/>
      <c r="JL7" s="8"/>
      <c r="JM7" s="8"/>
      <c r="JN7" s="11"/>
      <c r="JO7" s="8"/>
      <c r="JP7" s="8"/>
      <c r="JQ7" s="11"/>
      <c r="JR7" s="8"/>
      <c r="JS7" s="8"/>
      <c r="JT7" s="11"/>
      <c r="JU7" s="8"/>
      <c r="JV7" s="8"/>
      <c r="JW7" s="11"/>
      <c r="JX7" s="8"/>
      <c r="JY7" s="8"/>
      <c r="JZ7" s="11"/>
      <c r="KA7" s="8"/>
      <c r="KB7" s="8"/>
      <c r="KC7" s="11"/>
      <c r="KD7" s="8"/>
      <c r="KE7" s="8"/>
      <c r="KF7" s="11"/>
      <c r="KG7" s="8"/>
      <c r="KH7" s="8"/>
      <c r="KI7" s="11"/>
      <c r="KJ7" s="8"/>
      <c r="KK7" s="8"/>
      <c r="KL7" s="11"/>
      <c r="KM7" s="8"/>
      <c r="KN7" s="8"/>
      <c r="KO7" s="11"/>
      <c r="KP7" s="8"/>
      <c r="KQ7" s="8"/>
      <c r="KR7" s="11"/>
      <c r="KS7" s="8"/>
      <c r="KT7" s="8"/>
      <c r="KU7" s="11"/>
      <c r="KV7" s="8"/>
      <c r="KW7" s="8"/>
      <c r="KX7" s="11"/>
      <c r="KY7" s="8"/>
      <c r="KZ7" s="8"/>
      <c r="LA7" s="11"/>
      <c r="LB7" s="8"/>
      <c r="LC7" s="8"/>
      <c r="LD7" s="11"/>
      <c r="LE7" s="8"/>
      <c r="LF7" s="8"/>
      <c r="LG7" s="11"/>
      <c r="LH7" s="8"/>
      <c r="LI7" s="8"/>
      <c r="LJ7" s="11"/>
      <c r="LK7" s="8"/>
      <c r="LL7" s="8"/>
      <c r="LM7" s="11"/>
      <c r="LN7" s="8"/>
      <c r="LO7" s="8"/>
      <c r="LP7" s="11"/>
      <c r="LQ7" s="8"/>
      <c r="LR7" s="8"/>
      <c r="LS7" s="11"/>
      <c r="LT7" s="8"/>
      <c r="LU7" s="8"/>
      <c r="LV7" s="11"/>
      <c r="LW7" s="8"/>
      <c r="LX7" s="8"/>
      <c r="LY7" s="11"/>
      <c r="LZ7" s="8"/>
      <c r="MA7" s="8"/>
      <c r="MB7" s="11"/>
      <c r="MC7" s="8"/>
      <c r="MD7" s="8"/>
      <c r="ME7" s="11"/>
      <c r="MF7" s="8"/>
      <c r="MG7" s="8"/>
      <c r="MH7" s="11"/>
      <c r="MI7" s="8"/>
      <c r="MJ7" s="8"/>
      <c r="MK7" s="11"/>
      <c r="ML7" s="8"/>
      <c r="MM7" s="8"/>
      <c r="MN7" s="11"/>
      <c r="MO7" s="8"/>
      <c r="MP7" s="8"/>
      <c r="MQ7" s="11"/>
      <c r="MR7" s="8"/>
      <c r="MS7" s="8"/>
      <c r="MT7" s="11"/>
      <c r="MU7" s="8"/>
      <c r="MV7" s="8"/>
      <c r="MW7" s="11"/>
      <c r="MX7" s="8"/>
      <c r="MY7" s="8"/>
      <c r="MZ7" s="11"/>
      <c r="NA7" s="8"/>
      <c r="NB7" s="8"/>
      <c r="NC7" s="11"/>
      <c r="ND7" s="8"/>
      <c r="NE7" s="8"/>
      <c r="NF7" s="11"/>
      <c r="NG7" s="8"/>
      <c r="NH7" s="8"/>
      <c r="NI7" s="11"/>
      <c r="NJ7" s="8"/>
      <c r="NK7" s="8"/>
      <c r="NL7" s="11"/>
      <c r="NM7" s="8"/>
      <c r="NN7" s="8"/>
      <c r="NO7" s="11"/>
      <c r="NP7" s="8"/>
      <c r="NQ7" s="8"/>
      <c r="NR7" s="11"/>
      <c r="NS7" s="8"/>
      <c r="NT7" s="8"/>
      <c r="NU7" s="11"/>
      <c r="NV7" s="8"/>
      <c r="NW7" s="8"/>
      <c r="NX7" s="11"/>
      <c r="NY7" s="8"/>
      <c r="NZ7" s="8"/>
      <c r="OA7" s="11"/>
      <c r="OB7" s="8"/>
      <c r="OC7" s="8"/>
      <c r="OD7" s="11"/>
      <c r="OE7" s="8"/>
      <c r="OF7" s="8"/>
      <c r="OG7" s="11"/>
      <c r="OH7" s="8"/>
      <c r="OI7" s="8"/>
      <c r="OJ7" s="11"/>
      <c r="OK7" s="8"/>
      <c r="OL7" s="8"/>
      <c r="OM7" s="11"/>
      <c r="ON7" s="8"/>
      <c r="OO7" s="8"/>
      <c r="OP7" s="11"/>
      <c r="OQ7" s="8"/>
      <c r="OR7" s="8"/>
      <c r="OS7" s="11"/>
      <c r="OT7" s="8"/>
      <c r="OU7" s="8"/>
      <c r="OV7" s="11"/>
      <c r="OW7" s="8"/>
      <c r="OX7" s="8"/>
      <c r="OY7" s="11"/>
      <c r="OZ7" s="8"/>
      <c r="PA7" s="8"/>
      <c r="PB7" s="11"/>
      <c r="PC7" s="8"/>
      <c r="PD7" s="8"/>
      <c r="PE7" s="11"/>
      <c r="PF7" s="8"/>
      <c r="PG7" s="8"/>
      <c r="PH7" s="11"/>
      <c r="PI7" s="8"/>
      <c r="PJ7" s="8"/>
      <c r="PK7" s="11"/>
      <c r="PL7" s="8"/>
      <c r="PM7" s="8"/>
      <c r="PN7" s="11"/>
      <c r="PO7" s="8"/>
      <c r="PP7" s="8"/>
      <c r="PQ7" s="11"/>
      <c r="PR7" s="8"/>
      <c r="PS7" s="8"/>
      <c r="PT7" s="11"/>
      <c r="PU7" s="8"/>
      <c r="PV7" s="8"/>
      <c r="PW7" s="11"/>
      <c r="PX7" s="8"/>
      <c r="PY7" s="8"/>
      <c r="PZ7" s="11"/>
      <c r="QA7" s="8"/>
      <c r="QB7" s="8"/>
      <c r="QC7" s="11"/>
      <c r="QD7" s="8"/>
      <c r="QE7" s="8"/>
      <c r="QF7" s="11"/>
      <c r="QG7" s="8"/>
      <c r="QH7" s="8"/>
      <c r="QI7" s="11"/>
      <c r="QJ7" s="8"/>
      <c r="QK7" s="8"/>
      <c r="QL7" s="11"/>
      <c r="QM7" s="8"/>
      <c r="QN7" s="8"/>
      <c r="QO7" s="11"/>
      <c r="QP7" s="8"/>
      <c r="QQ7" s="8"/>
      <c r="QR7" s="11"/>
      <c r="QS7" s="8"/>
      <c r="QT7" s="8"/>
      <c r="QU7" s="11"/>
      <c r="QV7" s="8"/>
      <c r="QW7" s="8"/>
      <c r="QX7" s="11"/>
      <c r="QY7" s="8"/>
      <c r="QZ7" s="8"/>
      <c r="RA7" s="11"/>
      <c r="RB7" s="8"/>
      <c r="RC7" s="8"/>
      <c r="RD7" s="11"/>
      <c r="RE7" s="8"/>
      <c r="RF7" s="8"/>
      <c r="RG7" s="11"/>
      <c r="RH7" s="8"/>
      <c r="RI7" s="8"/>
      <c r="RJ7" s="11"/>
      <c r="RK7" s="8"/>
      <c r="RL7" s="8"/>
      <c r="RM7" s="11"/>
      <c r="RN7" s="8"/>
      <c r="RO7" s="8"/>
      <c r="RP7" s="11"/>
      <c r="RQ7" s="8"/>
      <c r="RR7" s="8"/>
      <c r="RS7" s="11"/>
      <c r="RT7" s="8"/>
      <c r="RU7" s="8"/>
      <c r="RV7" s="11"/>
      <c r="RW7" s="8"/>
      <c r="RX7" s="8"/>
      <c r="RY7" s="11"/>
      <c r="RZ7" s="8"/>
      <c r="SA7" s="8"/>
      <c r="SB7" s="11"/>
      <c r="SC7" s="8"/>
      <c r="SD7" s="8"/>
      <c r="SE7" s="11"/>
      <c r="SF7" s="8"/>
      <c r="SG7" s="8"/>
      <c r="SH7" s="11"/>
      <c r="SI7" s="8"/>
      <c r="SJ7" s="8"/>
      <c r="SK7" s="11"/>
      <c r="SL7" s="8"/>
      <c r="SM7" s="8"/>
      <c r="SN7" s="11"/>
      <c r="SO7" s="8"/>
      <c r="SP7" s="8"/>
      <c r="SQ7" s="11"/>
      <c r="SR7" s="8"/>
      <c r="SS7" s="8"/>
      <c r="ST7" s="11"/>
      <c r="SU7" s="8"/>
      <c r="SV7" s="8"/>
      <c r="SW7" s="11"/>
      <c r="SX7" s="8"/>
      <c r="SY7" s="8"/>
      <c r="SZ7" s="11"/>
      <c r="TA7" s="8"/>
      <c r="TB7" s="8"/>
      <c r="TC7" s="11"/>
      <c r="TD7" s="8"/>
      <c r="TE7" s="8"/>
      <c r="TF7" s="11"/>
      <c r="TG7" s="8"/>
      <c r="TH7" s="8"/>
      <c r="TI7" s="11"/>
      <c r="TJ7" s="8"/>
      <c r="TK7" s="8"/>
      <c r="TL7" s="11"/>
      <c r="TM7" s="8"/>
      <c r="TN7" s="8"/>
      <c r="TO7" s="11"/>
      <c r="TP7" s="8"/>
      <c r="TQ7" s="8"/>
      <c r="TR7" s="11"/>
      <c r="TS7" s="8"/>
      <c r="TT7" s="8"/>
      <c r="TU7" s="11"/>
      <c r="TV7" s="8"/>
      <c r="TW7" s="8"/>
      <c r="TX7" s="11"/>
      <c r="TY7" s="8"/>
      <c r="TZ7" s="8"/>
      <c r="UA7" s="11"/>
      <c r="UB7" s="8"/>
      <c r="UC7" s="8"/>
      <c r="UD7" s="11"/>
      <c r="UE7" s="8"/>
      <c r="UF7" s="8"/>
      <c r="UG7" s="11"/>
      <c r="UH7" s="8"/>
      <c r="UI7" s="8"/>
      <c r="UJ7" s="11"/>
      <c r="UK7" s="8"/>
      <c r="UL7" s="8"/>
      <c r="UM7" s="11"/>
      <c r="UN7" s="8"/>
      <c r="UO7" s="8"/>
      <c r="UP7" s="11"/>
      <c r="UQ7" s="8"/>
      <c r="UR7" s="8"/>
      <c r="US7" s="11"/>
      <c r="UT7" s="8"/>
      <c r="UU7" s="8"/>
      <c r="UV7" s="11"/>
      <c r="UW7" s="8"/>
      <c r="UX7" s="8"/>
      <c r="UY7" s="11"/>
      <c r="UZ7" s="8"/>
      <c r="VA7" s="8"/>
      <c r="VB7" s="11"/>
      <c r="VC7" s="8"/>
      <c r="VD7" s="8"/>
      <c r="VE7" s="11"/>
      <c r="VF7" s="8"/>
      <c r="VG7" s="8"/>
      <c r="VH7" s="11"/>
      <c r="VI7" s="8"/>
      <c r="VJ7" s="8"/>
      <c r="VK7" s="11"/>
      <c r="VL7" s="8"/>
      <c r="VM7" s="8"/>
      <c r="VN7" s="11"/>
      <c r="VO7" s="8"/>
      <c r="VP7" s="8"/>
      <c r="VQ7" s="11"/>
      <c r="VR7" s="8"/>
      <c r="VS7" s="8"/>
      <c r="VT7" s="11"/>
      <c r="VU7" s="8"/>
      <c r="VV7" s="8"/>
      <c r="VW7" s="11"/>
      <c r="VX7" s="8"/>
      <c r="VY7" s="8"/>
      <c r="VZ7" s="11"/>
      <c r="WA7" s="8"/>
      <c r="WB7" s="8"/>
      <c r="WC7" s="11"/>
      <c r="WD7" s="8"/>
      <c r="WE7" s="8"/>
      <c r="WF7" s="11"/>
      <c r="WG7" s="8"/>
      <c r="WH7" s="8"/>
      <c r="WI7" s="11"/>
      <c r="WJ7" s="8"/>
      <c r="WK7" s="8"/>
      <c r="WL7" s="11"/>
      <c r="WM7" s="8"/>
      <c r="WN7" s="8"/>
      <c r="WO7" s="11"/>
      <c r="WP7" s="8"/>
      <c r="WQ7" s="8"/>
      <c r="WR7" s="11"/>
      <c r="WS7" s="8"/>
      <c r="WT7" s="8"/>
      <c r="WU7" s="11"/>
      <c r="WV7" s="8"/>
      <c r="WW7" s="8"/>
      <c r="WX7" s="11"/>
      <c r="WY7" s="8"/>
      <c r="WZ7" s="8"/>
      <c r="XA7" s="11"/>
      <c r="XB7" s="8"/>
      <c r="XC7" s="8"/>
      <c r="XD7" s="11"/>
      <c r="XE7" s="8"/>
      <c r="XF7" s="8"/>
      <c r="XG7" s="11"/>
      <c r="XH7" s="8"/>
      <c r="XI7" s="8"/>
      <c r="XJ7" s="11"/>
      <c r="XK7" s="8"/>
      <c r="XL7" s="8"/>
      <c r="XM7" s="11"/>
      <c r="XN7" s="8"/>
      <c r="XO7" s="8"/>
      <c r="XP7" s="11"/>
      <c r="XQ7" s="8"/>
      <c r="XR7" s="8"/>
      <c r="XS7" s="11"/>
      <c r="XT7" s="8"/>
      <c r="XU7" s="8"/>
      <c r="XV7" s="11"/>
      <c r="XW7" s="8"/>
      <c r="XX7" s="8"/>
      <c r="XY7" s="11"/>
      <c r="XZ7" s="8"/>
      <c r="YA7" s="8"/>
      <c r="YB7" s="11"/>
      <c r="YC7" s="8"/>
      <c r="YD7" s="8"/>
      <c r="YE7" s="11"/>
      <c r="YF7" s="8"/>
      <c r="YG7" s="8"/>
      <c r="YH7" s="11"/>
      <c r="YI7" s="8"/>
      <c r="YJ7" s="8"/>
      <c r="YK7" s="11"/>
      <c r="YL7" s="8"/>
      <c r="YM7" s="8"/>
      <c r="YN7" s="11"/>
      <c r="YO7" s="8"/>
      <c r="YP7" s="8"/>
      <c r="YQ7" s="11"/>
      <c r="YR7" s="8"/>
      <c r="YS7" s="8"/>
      <c r="YT7" s="11"/>
      <c r="YU7" s="8"/>
      <c r="YV7" s="8"/>
      <c r="YW7" s="11"/>
      <c r="YX7" s="8"/>
      <c r="YY7" s="8"/>
      <c r="YZ7" s="11"/>
      <c r="ZA7" s="8"/>
      <c r="ZB7" s="8"/>
      <c r="ZC7" s="11"/>
      <c r="ZD7" s="8"/>
      <c r="ZE7" s="8"/>
      <c r="ZF7" s="11"/>
      <c r="ZG7" s="8"/>
      <c r="ZH7" s="8"/>
      <c r="ZI7" s="11"/>
      <c r="ZJ7" s="8"/>
      <c r="ZK7" s="8"/>
      <c r="ZL7" s="11"/>
      <c r="ZM7" s="8"/>
      <c r="ZN7" s="8"/>
      <c r="ZO7" s="11"/>
      <c r="ZP7" s="8"/>
      <c r="ZQ7" s="8"/>
      <c r="ZR7" s="11"/>
      <c r="ZS7" s="8"/>
      <c r="ZT7" s="8"/>
      <c r="ZU7" s="11"/>
      <c r="ZV7" s="8"/>
      <c r="ZW7" s="8"/>
      <c r="ZX7" s="11"/>
      <c r="ZY7" s="8"/>
      <c r="ZZ7" s="8"/>
      <c r="AAA7" s="11"/>
      <c r="AAB7" s="8"/>
      <c r="AAC7" s="8"/>
      <c r="AAD7" s="11"/>
      <c r="AAE7" s="8"/>
      <c r="AAF7" s="8"/>
      <c r="AAG7" s="11"/>
      <c r="AAH7" s="8"/>
      <c r="AAI7" s="8"/>
      <c r="AAJ7" s="11"/>
      <c r="AAK7" s="8"/>
      <c r="AAL7" s="8"/>
      <c r="AAM7" s="11"/>
      <c r="AAN7" s="8"/>
      <c r="AAO7" s="8"/>
      <c r="AAP7" s="11"/>
      <c r="AAQ7" s="8"/>
      <c r="AAR7" s="8"/>
      <c r="AAS7" s="11"/>
      <c r="AAT7" s="8"/>
      <c r="AAU7" s="8"/>
      <c r="AAV7" s="11"/>
      <c r="AAW7" s="8"/>
      <c r="AAX7" s="8"/>
      <c r="AAY7" s="11"/>
      <c r="AAZ7" s="8"/>
      <c r="ABA7" s="8"/>
      <c r="ABB7" s="11"/>
      <c r="ABC7" s="8"/>
      <c r="ABD7" s="8"/>
      <c r="ABE7" s="11"/>
      <c r="ABF7" s="8"/>
      <c r="ABG7" s="8"/>
      <c r="ABH7" s="11"/>
      <c r="ABI7" s="8"/>
      <c r="ABJ7" s="8"/>
      <c r="ABK7" s="11"/>
      <c r="ABL7" s="8"/>
      <c r="ABM7" s="8"/>
      <c r="ABN7" s="11"/>
      <c r="ABO7" s="8"/>
      <c r="ABP7" s="8"/>
      <c r="ABQ7" s="11"/>
      <c r="ABR7" s="8"/>
      <c r="ABS7" s="8"/>
      <c r="ABT7" s="11"/>
      <c r="ABU7" s="8"/>
      <c r="ABV7" s="8"/>
      <c r="ABW7" s="11"/>
      <c r="ABX7" s="8"/>
      <c r="ABY7" s="8"/>
      <c r="ABZ7" s="11"/>
      <c r="ACA7" s="8"/>
      <c r="ACB7" s="8"/>
      <c r="ACC7" s="11"/>
      <c r="ACD7" s="8"/>
      <c r="ACE7" s="8"/>
      <c r="ACF7" s="11"/>
      <c r="ACG7" s="8"/>
      <c r="ACH7" s="8"/>
      <c r="ACI7" s="11"/>
      <c r="ACJ7" s="8"/>
      <c r="ACK7" s="8"/>
      <c r="ACL7" s="11"/>
      <c r="ACM7" s="8"/>
      <c r="ACN7" s="8"/>
      <c r="ACO7" s="11"/>
      <c r="ACP7" s="8"/>
      <c r="ACQ7" s="8"/>
      <c r="ACR7" s="11"/>
      <c r="ACS7" s="8"/>
      <c r="ACT7" s="8"/>
      <c r="ACU7" s="11"/>
      <c r="ACV7" s="8"/>
      <c r="ACW7" s="8"/>
      <c r="ACX7" s="11"/>
      <c r="ACY7" s="8"/>
      <c r="ACZ7" s="8"/>
      <c r="ADA7" s="11"/>
      <c r="ADB7" s="8"/>
      <c r="ADC7" s="8"/>
      <c r="ADD7" s="11"/>
      <c r="ADE7" s="8"/>
      <c r="ADF7" s="8"/>
      <c r="ADG7" s="11"/>
      <c r="ADH7" s="8"/>
      <c r="ADI7" s="8"/>
      <c r="ADJ7" s="11"/>
      <c r="ADK7" s="8"/>
      <c r="ADL7" s="8"/>
      <c r="ADM7" s="11"/>
      <c r="ADN7" s="8"/>
      <c r="ADO7" s="8"/>
      <c r="ADP7" s="11"/>
      <c r="ADQ7" s="8"/>
      <c r="ADR7" s="8"/>
      <c r="ADS7" s="11"/>
      <c r="ADT7" s="8"/>
      <c r="ADU7" s="8"/>
      <c r="ADV7" s="11"/>
      <c r="ADW7" s="8"/>
      <c r="ADX7" s="8"/>
      <c r="ADY7" s="11"/>
      <c r="ADZ7" s="8"/>
      <c r="AEA7" s="8"/>
      <c r="AEB7" s="11"/>
      <c r="AEC7" s="8"/>
      <c r="AED7" s="8"/>
      <c r="AEE7" s="11"/>
      <c r="AEF7" s="8"/>
      <c r="AEG7" s="8"/>
      <c r="AEH7" s="11"/>
      <c r="AEI7" s="8"/>
      <c r="AEJ7" s="8"/>
      <c r="AEK7" s="11"/>
      <c r="AEL7" s="8"/>
      <c r="AEM7" s="8"/>
      <c r="AEN7" s="11"/>
      <c r="AEO7" s="8"/>
      <c r="AEP7" s="8"/>
      <c r="AEQ7" s="11"/>
      <c r="AER7" s="8"/>
      <c r="AES7" s="8"/>
      <c r="AET7" s="11"/>
      <c r="AEU7" s="8"/>
      <c r="AEV7" s="8"/>
      <c r="AEW7" s="11"/>
      <c r="AEX7" s="8"/>
      <c r="AEY7" s="8"/>
      <c r="AEZ7" s="11"/>
      <c r="AFA7" s="8"/>
      <c r="AFB7" s="8"/>
      <c r="AFC7" s="11"/>
      <c r="AFD7" s="8"/>
      <c r="AFE7" s="8"/>
      <c r="AFF7" s="11"/>
      <c r="AFG7" s="8"/>
      <c r="AFH7" s="8"/>
      <c r="AFI7" s="11"/>
      <c r="AFJ7" s="8"/>
      <c r="AFK7" s="8"/>
      <c r="AFL7" s="11"/>
      <c r="AFM7" s="8"/>
      <c r="AFN7" s="8"/>
      <c r="AFO7" s="11"/>
      <c r="AFP7" s="8"/>
      <c r="AFQ7" s="8"/>
      <c r="AFR7" s="11"/>
      <c r="AFS7" s="8"/>
      <c r="AFT7" s="8"/>
      <c r="AFU7" s="11"/>
      <c r="AFV7" s="8"/>
      <c r="AFW7" s="8"/>
      <c r="AFX7" s="11"/>
      <c r="AFY7" s="8"/>
      <c r="AFZ7" s="8"/>
      <c r="AGA7" s="11"/>
      <c r="AGB7" s="8"/>
      <c r="AGC7" s="8"/>
      <c r="AGD7" s="11"/>
      <c r="AGE7" s="8"/>
      <c r="AGF7" s="8"/>
      <c r="AGG7" s="11"/>
      <c r="AGH7" s="8"/>
      <c r="AGI7" s="8"/>
      <c r="AGJ7" s="11"/>
      <c r="AGK7" s="8"/>
      <c r="AGL7" s="8"/>
      <c r="AGM7" s="11"/>
      <c r="AGN7" s="8"/>
      <c r="AGO7" s="8"/>
      <c r="AGP7" s="11"/>
      <c r="AGQ7" s="8"/>
      <c r="AGR7" s="8"/>
      <c r="AGS7" s="11"/>
      <c r="AGT7" s="8"/>
      <c r="AGU7" s="8"/>
      <c r="AGV7" s="11"/>
      <c r="AGW7" s="8"/>
      <c r="AGX7" s="8"/>
      <c r="AGY7" s="11"/>
      <c r="AGZ7" s="8"/>
      <c r="AHA7" s="8"/>
      <c r="AHB7" s="11"/>
      <c r="AHC7" s="8"/>
      <c r="AHD7" s="8"/>
      <c r="AHE7" s="11"/>
      <c r="AHF7" s="8"/>
      <c r="AHG7" s="8"/>
      <c r="AHH7" s="11"/>
      <c r="AHI7" s="8"/>
      <c r="AHJ7" s="8"/>
      <c r="AHK7" s="11"/>
      <c r="AHL7" s="8"/>
      <c r="AHM7" s="8"/>
      <c r="AHN7" s="11"/>
      <c r="AHO7" s="8"/>
      <c r="AHP7" s="8"/>
      <c r="AHQ7" s="11"/>
      <c r="AHR7" s="8"/>
      <c r="AHS7" s="8"/>
      <c r="AHT7" s="11"/>
      <c r="AHU7" s="8"/>
      <c r="AHV7" s="8"/>
      <c r="AHW7" s="11"/>
      <c r="AHX7" s="8"/>
      <c r="AHY7" s="8"/>
      <c r="AHZ7" s="11"/>
      <c r="AIA7" s="8"/>
      <c r="AIB7" s="8"/>
      <c r="AIC7" s="11"/>
      <c r="AID7" s="8"/>
      <c r="AIE7" s="8"/>
      <c r="AIF7" s="11"/>
      <c r="AIG7" s="8"/>
      <c r="AIH7" s="8"/>
      <c r="AII7" s="11"/>
      <c r="AIJ7" s="8"/>
      <c r="AIK7" s="8"/>
      <c r="AIL7" s="11"/>
      <c r="AIM7" s="8"/>
      <c r="AIN7" s="8"/>
      <c r="AIO7" s="11"/>
      <c r="AIP7" s="8"/>
      <c r="AIQ7" s="8"/>
      <c r="AIR7" s="11"/>
      <c r="AIS7" s="8"/>
      <c r="AIT7" s="8"/>
      <c r="AIU7" s="11"/>
      <c r="AIV7" s="8"/>
      <c r="AIW7" s="8"/>
      <c r="AIX7" s="11"/>
      <c r="AIY7" s="8"/>
      <c r="AIZ7" s="8"/>
      <c r="AJA7" s="11"/>
      <c r="AJB7" s="8"/>
      <c r="AJC7" s="8"/>
      <c r="AJD7" s="11"/>
      <c r="AJE7" s="8"/>
      <c r="AJF7" s="8"/>
      <c r="AJG7" s="11"/>
      <c r="AJH7" s="8"/>
      <c r="AJI7" s="8"/>
      <c r="AJJ7" s="11"/>
      <c r="AJK7" s="8"/>
      <c r="AJL7" s="8"/>
      <c r="AJM7" s="11"/>
      <c r="AJN7" s="8"/>
      <c r="AJO7" s="8"/>
      <c r="AJP7" s="11"/>
      <c r="AJQ7" s="8"/>
      <c r="AJR7" s="8"/>
      <c r="AJS7" s="11"/>
      <c r="AJT7" s="8"/>
      <c r="AJU7" s="8"/>
      <c r="AJV7" s="11"/>
      <c r="AJW7" s="8"/>
      <c r="AJX7" s="8"/>
      <c r="AJY7" s="11"/>
      <c r="AJZ7" s="8"/>
      <c r="AKA7" s="8"/>
      <c r="AKB7" s="11"/>
      <c r="AKC7" s="8"/>
      <c r="AKD7" s="8"/>
      <c r="AKE7" s="11"/>
      <c r="AKF7" s="8"/>
      <c r="AKG7" s="8"/>
      <c r="AKH7" s="11"/>
      <c r="AKI7" s="8"/>
      <c r="AKJ7" s="8"/>
      <c r="AKK7" s="11"/>
      <c r="AKL7" s="8"/>
      <c r="AKM7" s="8"/>
      <c r="AKN7" s="11"/>
      <c r="AKO7" s="8"/>
      <c r="AKP7" s="8"/>
      <c r="AKQ7" s="11"/>
      <c r="AKR7" s="8"/>
      <c r="AKS7" s="8"/>
      <c r="AKT7" s="11"/>
      <c r="AKU7" s="8"/>
      <c r="AKV7" s="8"/>
      <c r="AKW7" s="11"/>
      <c r="AKX7" s="8"/>
      <c r="AKY7" s="8"/>
      <c r="AKZ7" s="11"/>
      <c r="ALA7" s="8"/>
      <c r="ALB7" s="8"/>
      <c r="ALC7" s="11"/>
      <c r="ALD7" s="8"/>
      <c r="ALE7" s="8"/>
      <c r="ALF7" s="11"/>
      <c r="ALG7" s="8"/>
      <c r="ALH7" s="8"/>
      <c r="ALI7" s="11"/>
      <c r="ALJ7" s="8"/>
      <c r="ALK7" s="8"/>
      <c r="ALL7" s="11"/>
      <c r="ALM7" s="8"/>
      <c r="ALN7" s="8"/>
      <c r="ALO7" s="11"/>
      <c r="ALP7" s="8"/>
      <c r="ALQ7" s="8"/>
      <c r="ALR7" s="11"/>
      <c r="ALS7" s="8"/>
      <c r="ALT7" s="8"/>
      <c r="ALU7" s="11"/>
      <c r="ALV7" s="8"/>
      <c r="ALW7" s="8"/>
      <c r="ALX7" s="11"/>
      <c r="ALY7" s="8"/>
      <c r="ALZ7" s="8"/>
      <c r="AMA7" s="11"/>
      <c r="AMB7" s="8"/>
      <c r="AMC7" s="8"/>
      <c r="AMD7" s="11"/>
      <c r="AME7" s="8"/>
      <c r="AMF7" s="8"/>
      <c r="AMG7" s="11"/>
      <c r="AMH7" s="8"/>
      <c r="AMI7" s="8"/>
      <c r="AMJ7" s="11"/>
      <c r="AMK7" s="8"/>
      <c r="AML7" s="8"/>
      <c r="AMM7" s="11"/>
      <c r="AMN7" s="8"/>
      <c r="AMO7" s="8"/>
      <c r="AMP7" s="11"/>
      <c r="AMQ7" s="8"/>
      <c r="AMR7" s="8"/>
      <c r="AMS7" s="11"/>
      <c r="AMT7" s="8"/>
      <c r="AMU7" s="8"/>
      <c r="AMV7" s="11"/>
      <c r="AMW7" s="8"/>
      <c r="AMX7" s="8"/>
      <c r="AMY7" s="11"/>
      <c r="AMZ7" s="8"/>
      <c r="ANA7" s="8"/>
      <c r="ANB7" s="11"/>
      <c r="ANC7" s="8"/>
      <c r="AND7" s="8"/>
      <c r="ANE7" s="11"/>
      <c r="ANF7" s="8"/>
      <c r="ANG7" s="8"/>
      <c r="ANH7" s="11"/>
      <c r="ANI7" s="8"/>
      <c r="ANJ7" s="8"/>
      <c r="ANK7" s="11"/>
      <c r="ANL7" s="8"/>
      <c r="ANM7" s="8"/>
      <c r="ANN7" s="11"/>
      <c r="ANO7" s="8"/>
      <c r="ANP7" s="8"/>
      <c r="ANQ7" s="11"/>
      <c r="ANR7" s="8"/>
      <c r="ANS7" s="8"/>
      <c r="ANT7" s="11"/>
      <c r="ANU7" s="8"/>
      <c r="ANV7" s="8"/>
      <c r="ANW7" s="11"/>
      <c r="ANX7" s="8"/>
      <c r="ANY7" s="8"/>
      <c r="ANZ7" s="11"/>
      <c r="AOA7" s="8"/>
      <c r="AOB7" s="8"/>
      <c r="AOC7" s="11"/>
      <c r="AOD7" s="8"/>
      <c r="AOE7" s="8"/>
      <c r="AOF7" s="11"/>
      <c r="AOG7" s="8"/>
      <c r="AOH7" s="8"/>
      <c r="AOI7" s="11"/>
      <c r="AOJ7" s="8"/>
      <c r="AOK7" s="8"/>
      <c r="AOL7" s="11"/>
      <c r="AOM7" s="8"/>
      <c r="AON7" s="8"/>
      <c r="AOO7" s="11"/>
      <c r="AOP7" s="8"/>
      <c r="AOQ7" s="8"/>
      <c r="AOR7" s="11"/>
      <c r="AOS7" s="8"/>
      <c r="AOT7" s="8"/>
      <c r="AOU7" s="11"/>
      <c r="AOV7" s="8"/>
      <c r="AOW7" s="8"/>
      <c r="AOX7" s="11"/>
      <c r="AOY7" s="8"/>
      <c r="AOZ7" s="8"/>
      <c r="APA7" s="11"/>
      <c r="APB7" s="8"/>
      <c r="APC7" s="8"/>
      <c r="APD7" s="11"/>
    </row>
    <row r="8" spans="1:1096" ht="59.25" customHeight="1" thickBot="1" x14ac:dyDescent="0.3">
      <c r="B8" s="413" t="s">
        <v>178</v>
      </c>
      <c r="C8" s="414"/>
      <c r="D8" s="414"/>
      <c r="E8" s="8"/>
      <c r="F8" s="8"/>
      <c r="G8" s="11"/>
      <c r="H8" s="8"/>
      <c r="I8" s="8"/>
      <c r="J8" s="11"/>
      <c r="K8" s="8"/>
      <c r="L8" s="8"/>
      <c r="M8" s="11"/>
      <c r="N8" s="8"/>
      <c r="O8" s="8"/>
      <c r="P8" s="11"/>
      <c r="Q8" s="8"/>
      <c r="R8" s="8"/>
      <c r="S8" s="11"/>
      <c r="T8" s="8"/>
      <c r="U8" s="8"/>
      <c r="V8" s="11"/>
      <c r="W8" s="8"/>
      <c r="X8" s="8"/>
      <c r="Y8" s="11"/>
      <c r="Z8" s="8"/>
      <c r="AA8" s="8"/>
      <c r="AB8" s="11"/>
      <c r="AC8" s="8"/>
      <c r="AD8" s="8"/>
      <c r="AE8" s="11"/>
      <c r="AF8" s="8"/>
      <c r="AG8" s="8"/>
      <c r="AH8" s="11"/>
      <c r="AI8" s="8"/>
      <c r="AJ8" s="8"/>
      <c r="AK8" s="11"/>
      <c r="AL8" s="8"/>
      <c r="AM8" s="8"/>
      <c r="AN8" s="11"/>
      <c r="AO8" s="8"/>
      <c r="AP8" s="8"/>
      <c r="AQ8" s="11"/>
      <c r="AR8" s="8"/>
      <c r="AS8" s="8"/>
      <c r="AT8" s="11"/>
      <c r="AU8" s="8"/>
      <c r="AV8" s="8"/>
      <c r="AW8" s="11"/>
      <c r="AX8" s="8"/>
      <c r="AY8" s="8"/>
      <c r="AZ8" s="11"/>
      <c r="BA8" s="8"/>
      <c r="BB8" s="8"/>
      <c r="BC8" s="11"/>
      <c r="BD8" s="8"/>
      <c r="BE8" s="8"/>
      <c r="BF8" s="11"/>
      <c r="BG8" s="8"/>
      <c r="BH8" s="8"/>
      <c r="BI8" s="11"/>
      <c r="BJ8" s="8"/>
      <c r="BK8" s="8"/>
      <c r="BL8" s="11"/>
      <c r="BM8" s="8"/>
      <c r="BN8" s="8"/>
      <c r="BO8" s="11"/>
      <c r="BP8" s="8"/>
      <c r="BQ8" s="8"/>
      <c r="BR8" s="11"/>
      <c r="BS8" s="8"/>
      <c r="BT8" s="8"/>
      <c r="BU8" s="11"/>
      <c r="BV8" s="8"/>
      <c r="BW8" s="8"/>
      <c r="BX8" s="11"/>
      <c r="BY8" s="8"/>
      <c r="BZ8" s="8"/>
      <c r="CA8" s="11"/>
      <c r="CB8" s="8"/>
      <c r="CC8" s="8"/>
      <c r="CD8" s="11"/>
      <c r="CE8" s="8"/>
      <c r="CF8" s="8"/>
      <c r="CG8" s="11"/>
      <c r="CH8" s="8"/>
      <c r="CI8" s="8"/>
      <c r="CJ8" s="11"/>
      <c r="CK8" s="8"/>
      <c r="CL8" s="8"/>
      <c r="CM8" s="11"/>
      <c r="CN8" s="8"/>
      <c r="CO8" s="8"/>
      <c r="CP8" s="11"/>
      <c r="CQ8" s="8"/>
      <c r="CR8" s="8"/>
      <c r="CS8" s="11"/>
      <c r="CT8" s="8"/>
      <c r="CU8" s="8"/>
      <c r="CV8" s="11"/>
      <c r="CW8" s="8"/>
      <c r="CX8" s="8"/>
      <c r="CY8" s="11"/>
      <c r="CZ8" s="8"/>
      <c r="DA8" s="8"/>
      <c r="DB8" s="11"/>
      <c r="DC8" s="8"/>
      <c r="DD8" s="8"/>
      <c r="DE8" s="11"/>
      <c r="DF8" s="8"/>
      <c r="DG8" s="8"/>
      <c r="DH8" s="11"/>
      <c r="DI8" s="8"/>
      <c r="DJ8" s="8"/>
      <c r="DK8" s="11"/>
      <c r="DL8" s="8"/>
      <c r="DM8" s="8"/>
      <c r="DN8" s="11"/>
      <c r="DO8" s="8"/>
      <c r="DP8" s="8"/>
      <c r="DQ8" s="11"/>
      <c r="DR8" s="8"/>
      <c r="DS8" s="8"/>
      <c r="DT8" s="11"/>
      <c r="DU8" s="8"/>
      <c r="DV8" s="8"/>
      <c r="DW8" s="11"/>
      <c r="DX8" s="8"/>
      <c r="DY8" s="8"/>
      <c r="DZ8" s="11"/>
      <c r="EA8" s="8"/>
      <c r="EB8" s="8"/>
      <c r="EC8" s="11"/>
      <c r="ED8" s="8"/>
      <c r="EE8" s="8"/>
      <c r="EF8" s="11"/>
      <c r="EG8" s="8"/>
      <c r="EH8" s="8"/>
      <c r="EI8" s="11"/>
      <c r="EJ8" s="8"/>
      <c r="EK8" s="8"/>
      <c r="EL8" s="11"/>
      <c r="EM8" s="8"/>
      <c r="EN8" s="8"/>
      <c r="EO8" s="11"/>
      <c r="EP8" s="8"/>
      <c r="EQ8" s="8"/>
      <c r="ER8" s="11"/>
      <c r="ES8" s="8"/>
      <c r="ET8" s="8"/>
      <c r="EU8" s="11"/>
      <c r="EV8" s="8"/>
      <c r="EW8" s="8"/>
      <c r="EX8" s="11"/>
      <c r="EY8" s="8"/>
      <c r="EZ8" s="8"/>
      <c r="FA8" s="11"/>
      <c r="FB8" s="8"/>
      <c r="FC8" s="8"/>
      <c r="FD8" s="11"/>
      <c r="FE8" s="8"/>
      <c r="FF8" s="8"/>
      <c r="FG8" s="11"/>
      <c r="FH8" s="8"/>
      <c r="FI8" s="8"/>
      <c r="FJ8" s="11"/>
      <c r="FK8" s="8"/>
      <c r="FL8" s="8"/>
      <c r="FM8" s="11"/>
      <c r="FN8" s="8"/>
      <c r="FO8" s="8"/>
      <c r="FP8" s="11"/>
      <c r="FQ8" s="8"/>
      <c r="FR8" s="8"/>
      <c r="FS8" s="11"/>
      <c r="FT8" s="8"/>
      <c r="FU8" s="8"/>
      <c r="FV8" s="11"/>
      <c r="FW8" s="8"/>
      <c r="FX8" s="8"/>
      <c r="FY8" s="11"/>
      <c r="FZ8" s="8"/>
      <c r="GA8" s="8"/>
      <c r="GB8" s="11"/>
      <c r="GC8" s="8"/>
      <c r="GD8" s="8"/>
      <c r="GE8" s="11"/>
      <c r="GF8" s="8"/>
      <c r="GG8" s="8"/>
      <c r="GH8" s="11"/>
      <c r="GI8" s="8"/>
      <c r="GJ8" s="8"/>
      <c r="GK8" s="11"/>
      <c r="GL8" s="8"/>
      <c r="GM8" s="8"/>
      <c r="GN8" s="11"/>
      <c r="GO8" s="8"/>
      <c r="GP8" s="8"/>
      <c r="GQ8" s="11"/>
      <c r="GR8" s="8"/>
      <c r="GS8" s="8"/>
      <c r="GT8" s="11"/>
      <c r="GU8" s="8"/>
      <c r="GV8" s="8"/>
      <c r="GW8" s="11"/>
      <c r="GX8" s="8"/>
      <c r="GY8" s="8"/>
      <c r="GZ8" s="11"/>
      <c r="HA8" s="8"/>
      <c r="HB8" s="8"/>
      <c r="HC8" s="11"/>
      <c r="HD8" s="8"/>
      <c r="HE8" s="8"/>
      <c r="HF8" s="11"/>
      <c r="HG8" s="8"/>
      <c r="HH8" s="8"/>
      <c r="HI8" s="11"/>
      <c r="HJ8" s="8"/>
      <c r="HK8" s="8"/>
      <c r="HL8" s="11"/>
      <c r="HM8" s="8"/>
      <c r="HN8" s="8"/>
      <c r="HO8" s="11"/>
      <c r="HP8" s="8"/>
      <c r="HQ8" s="8"/>
      <c r="HR8" s="11"/>
      <c r="HS8" s="8"/>
      <c r="HT8" s="8"/>
      <c r="HU8" s="11"/>
      <c r="HV8" s="8"/>
      <c r="HW8" s="8"/>
      <c r="HX8" s="11"/>
      <c r="HY8" s="8"/>
      <c r="HZ8" s="8"/>
      <c r="IA8" s="11"/>
      <c r="IB8" s="8"/>
      <c r="IC8" s="8"/>
      <c r="ID8" s="11"/>
      <c r="IE8" s="8"/>
      <c r="IF8" s="8"/>
      <c r="IG8" s="11"/>
      <c r="IH8" s="8"/>
      <c r="II8" s="8"/>
      <c r="IJ8" s="11"/>
      <c r="IK8" s="8"/>
      <c r="IL8" s="8"/>
      <c r="IM8" s="11"/>
      <c r="IN8" s="8"/>
      <c r="IO8" s="8"/>
      <c r="IP8" s="11"/>
      <c r="IQ8" s="8"/>
      <c r="IR8" s="8"/>
      <c r="IS8" s="11"/>
      <c r="IT8" s="8"/>
      <c r="IU8" s="8"/>
      <c r="IV8" s="11"/>
      <c r="IW8" s="8"/>
      <c r="IX8" s="8"/>
      <c r="IY8" s="11"/>
      <c r="IZ8" s="8"/>
      <c r="JA8" s="8"/>
      <c r="JB8" s="11"/>
      <c r="JC8" s="8"/>
      <c r="JD8" s="8"/>
      <c r="JE8" s="11"/>
      <c r="JF8" s="8"/>
      <c r="JG8" s="8"/>
      <c r="JH8" s="11"/>
      <c r="JI8" s="8"/>
      <c r="JJ8" s="8"/>
      <c r="JK8" s="11"/>
      <c r="JL8" s="8"/>
      <c r="JM8" s="8"/>
      <c r="JN8" s="11"/>
      <c r="JO8" s="8"/>
      <c r="JP8" s="8"/>
      <c r="JQ8" s="11"/>
      <c r="JR8" s="8"/>
      <c r="JS8" s="8"/>
      <c r="JT8" s="11"/>
      <c r="JU8" s="8"/>
      <c r="JV8" s="8"/>
      <c r="JW8" s="11"/>
      <c r="JX8" s="8"/>
      <c r="JY8" s="8"/>
      <c r="JZ8" s="11"/>
      <c r="KA8" s="8"/>
      <c r="KB8" s="8"/>
      <c r="KC8" s="11"/>
      <c r="KD8" s="8"/>
      <c r="KE8" s="8"/>
      <c r="KF8" s="11"/>
      <c r="KG8" s="8"/>
      <c r="KH8" s="8"/>
      <c r="KI8" s="11"/>
      <c r="KJ8" s="8"/>
      <c r="KK8" s="8"/>
      <c r="KL8" s="11"/>
      <c r="KM8" s="8"/>
      <c r="KN8" s="8"/>
      <c r="KO8" s="11"/>
      <c r="KP8" s="8"/>
      <c r="KQ8" s="8"/>
      <c r="KR8" s="11"/>
      <c r="KS8" s="8"/>
      <c r="KT8" s="8"/>
      <c r="KU8" s="11"/>
      <c r="KV8" s="8"/>
      <c r="KW8" s="8"/>
      <c r="KX8" s="11"/>
      <c r="KY8" s="8"/>
      <c r="KZ8" s="8"/>
      <c r="LA8" s="11"/>
      <c r="LB8" s="8"/>
      <c r="LC8" s="8"/>
      <c r="LD8" s="11"/>
      <c r="LE8" s="8"/>
      <c r="LF8" s="8"/>
      <c r="LG8" s="11"/>
      <c r="LH8" s="8"/>
      <c r="LI8" s="8"/>
      <c r="LJ8" s="11"/>
      <c r="LK8" s="8"/>
      <c r="LL8" s="8"/>
      <c r="LM8" s="11"/>
      <c r="LN8" s="8"/>
      <c r="LO8" s="8"/>
      <c r="LP8" s="11"/>
      <c r="LQ8" s="8"/>
      <c r="LR8" s="8"/>
      <c r="LS8" s="11"/>
      <c r="LT8" s="8"/>
      <c r="LU8" s="8"/>
      <c r="LV8" s="11"/>
      <c r="LW8" s="8"/>
      <c r="LX8" s="8"/>
      <c r="LY8" s="11"/>
      <c r="LZ8" s="8"/>
      <c r="MA8" s="8"/>
      <c r="MB8" s="11"/>
      <c r="MC8" s="8"/>
      <c r="MD8" s="8"/>
      <c r="ME8" s="11"/>
      <c r="MF8" s="8"/>
      <c r="MG8" s="8"/>
      <c r="MH8" s="11"/>
      <c r="MI8" s="8"/>
      <c r="MJ8" s="8"/>
      <c r="MK8" s="11"/>
      <c r="ML8" s="8"/>
      <c r="MM8" s="8"/>
      <c r="MN8" s="11"/>
      <c r="MO8" s="8"/>
      <c r="MP8" s="8"/>
      <c r="MQ8" s="11"/>
      <c r="MR8" s="8"/>
      <c r="MS8" s="8"/>
      <c r="MT8" s="11"/>
      <c r="MU8" s="8"/>
      <c r="MV8" s="8"/>
      <c r="MW8" s="11"/>
      <c r="MX8" s="8"/>
      <c r="MY8" s="8"/>
      <c r="MZ8" s="11"/>
      <c r="NA8" s="8"/>
      <c r="NB8" s="8"/>
      <c r="NC8" s="11"/>
      <c r="ND8" s="8"/>
      <c r="NE8" s="8"/>
      <c r="NF8" s="11"/>
      <c r="NG8" s="8"/>
      <c r="NH8" s="8"/>
      <c r="NI8" s="11"/>
      <c r="NJ8" s="8"/>
      <c r="NK8" s="8"/>
      <c r="NL8" s="11"/>
      <c r="NM8" s="8"/>
      <c r="NN8" s="8"/>
      <c r="NO8" s="11"/>
      <c r="NP8" s="8"/>
      <c r="NQ8" s="8"/>
      <c r="NR8" s="11"/>
      <c r="NS8" s="8"/>
      <c r="NT8" s="8"/>
      <c r="NU8" s="11"/>
      <c r="NV8" s="8"/>
      <c r="NW8" s="8"/>
      <c r="NX8" s="11"/>
      <c r="NY8" s="8"/>
      <c r="NZ8" s="8"/>
      <c r="OA8" s="11"/>
      <c r="OB8" s="8"/>
      <c r="OC8" s="8"/>
      <c r="OD8" s="11"/>
      <c r="OE8" s="8"/>
      <c r="OF8" s="8"/>
      <c r="OG8" s="11"/>
      <c r="OH8" s="8"/>
      <c r="OI8" s="8"/>
      <c r="OJ8" s="11"/>
      <c r="OK8" s="8"/>
      <c r="OL8" s="8"/>
      <c r="OM8" s="11"/>
      <c r="ON8" s="8"/>
      <c r="OO8" s="8"/>
      <c r="OP8" s="11"/>
      <c r="OQ8" s="8"/>
      <c r="OR8" s="8"/>
      <c r="OS8" s="11"/>
      <c r="OT8" s="8"/>
      <c r="OU8" s="8"/>
      <c r="OV8" s="11"/>
      <c r="OW8" s="8"/>
      <c r="OX8" s="8"/>
      <c r="OY8" s="11"/>
      <c r="OZ8" s="8"/>
      <c r="PA8" s="8"/>
      <c r="PB8" s="11"/>
      <c r="PC8" s="8"/>
      <c r="PD8" s="8"/>
      <c r="PE8" s="11"/>
      <c r="PF8" s="8"/>
      <c r="PG8" s="8"/>
      <c r="PH8" s="11"/>
      <c r="PI8" s="8"/>
      <c r="PJ8" s="8"/>
      <c r="PK8" s="11"/>
      <c r="PL8" s="8"/>
      <c r="PM8" s="8"/>
      <c r="PN8" s="11"/>
      <c r="PO8" s="8"/>
      <c r="PP8" s="8"/>
      <c r="PQ8" s="11"/>
      <c r="PR8" s="8"/>
      <c r="PS8" s="8"/>
      <c r="PT8" s="11"/>
      <c r="PU8" s="8"/>
      <c r="PV8" s="8"/>
      <c r="PW8" s="11"/>
      <c r="PX8" s="8"/>
      <c r="PY8" s="8"/>
      <c r="PZ8" s="11"/>
      <c r="QA8" s="8"/>
      <c r="QB8" s="8"/>
      <c r="QC8" s="11"/>
      <c r="QD8" s="8"/>
      <c r="QE8" s="8"/>
      <c r="QF8" s="11"/>
      <c r="QG8" s="8"/>
      <c r="QH8" s="8"/>
      <c r="QI8" s="11"/>
      <c r="QJ8" s="8"/>
      <c r="QK8" s="8"/>
      <c r="QL8" s="11"/>
      <c r="QM8" s="8"/>
      <c r="QN8" s="8"/>
      <c r="QO8" s="11"/>
      <c r="QP8" s="8"/>
      <c r="QQ8" s="8"/>
      <c r="QR8" s="11"/>
      <c r="QS8" s="8"/>
      <c r="QT8" s="8"/>
      <c r="QU8" s="11"/>
      <c r="QV8" s="8"/>
      <c r="QW8" s="8"/>
      <c r="QX8" s="11"/>
      <c r="QY8" s="8"/>
      <c r="QZ8" s="8"/>
      <c r="RA8" s="11"/>
      <c r="RB8" s="8"/>
      <c r="RC8" s="8"/>
      <c r="RD8" s="11"/>
      <c r="RE8" s="8"/>
      <c r="RF8" s="8"/>
      <c r="RG8" s="11"/>
      <c r="RH8" s="8"/>
      <c r="RI8" s="8"/>
      <c r="RJ8" s="11"/>
      <c r="RK8" s="8"/>
      <c r="RL8" s="8"/>
      <c r="RM8" s="11"/>
      <c r="RN8" s="8"/>
      <c r="RO8" s="8"/>
      <c r="RP8" s="11"/>
      <c r="RQ8" s="8"/>
      <c r="RR8" s="8"/>
      <c r="RS8" s="11"/>
      <c r="RT8" s="8"/>
      <c r="RU8" s="8"/>
      <c r="RV8" s="11"/>
      <c r="RW8" s="8"/>
      <c r="RX8" s="8"/>
      <c r="RY8" s="11"/>
      <c r="RZ8" s="8"/>
      <c r="SA8" s="8"/>
      <c r="SB8" s="11"/>
      <c r="SC8" s="8"/>
      <c r="SD8" s="8"/>
      <c r="SE8" s="11"/>
      <c r="SF8" s="8"/>
      <c r="SG8" s="8"/>
      <c r="SH8" s="11"/>
      <c r="SI8" s="8"/>
      <c r="SJ8" s="8"/>
      <c r="SK8" s="11"/>
      <c r="SL8" s="8"/>
      <c r="SM8" s="8"/>
      <c r="SN8" s="11"/>
      <c r="SO8" s="8"/>
      <c r="SP8" s="8"/>
      <c r="SQ8" s="11"/>
      <c r="SR8" s="8"/>
      <c r="SS8" s="8"/>
      <c r="ST8" s="11"/>
      <c r="SU8" s="8"/>
      <c r="SV8" s="8"/>
      <c r="SW8" s="11"/>
      <c r="SX8" s="8"/>
      <c r="SY8" s="8"/>
      <c r="SZ8" s="11"/>
      <c r="TA8" s="8"/>
      <c r="TB8" s="8"/>
      <c r="TC8" s="11"/>
      <c r="TD8" s="8"/>
      <c r="TE8" s="8"/>
      <c r="TF8" s="11"/>
      <c r="TG8" s="8"/>
      <c r="TH8" s="8"/>
      <c r="TI8" s="11"/>
      <c r="TJ8" s="8"/>
      <c r="TK8" s="8"/>
      <c r="TL8" s="11"/>
      <c r="TM8" s="8"/>
      <c r="TN8" s="8"/>
      <c r="TO8" s="11"/>
      <c r="TP8" s="8"/>
      <c r="TQ8" s="8"/>
      <c r="TR8" s="11"/>
      <c r="TS8" s="8"/>
      <c r="TT8" s="8"/>
      <c r="TU8" s="11"/>
      <c r="TV8" s="8"/>
      <c r="TW8" s="8"/>
      <c r="TX8" s="11"/>
      <c r="TY8" s="8"/>
      <c r="TZ8" s="8"/>
      <c r="UA8" s="11"/>
      <c r="UB8" s="8"/>
      <c r="UC8" s="8"/>
      <c r="UD8" s="11"/>
      <c r="UE8" s="8"/>
      <c r="UF8" s="8"/>
      <c r="UG8" s="11"/>
      <c r="UH8" s="8"/>
      <c r="UI8" s="8"/>
      <c r="UJ8" s="11"/>
      <c r="UK8" s="8"/>
      <c r="UL8" s="8"/>
      <c r="UM8" s="11"/>
      <c r="UN8" s="8"/>
      <c r="UO8" s="8"/>
      <c r="UP8" s="11"/>
      <c r="UQ8" s="8"/>
      <c r="UR8" s="8"/>
      <c r="US8" s="11"/>
      <c r="UT8" s="8"/>
      <c r="UU8" s="8"/>
      <c r="UV8" s="11"/>
      <c r="UW8" s="8"/>
      <c r="UX8" s="8"/>
      <c r="UY8" s="11"/>
      <c r="UZ8" s="8"/>
      <c r="VA8" s="8"/>
      <c r="VB8" s="11"/>
      <c r="VC8" s="8"/>
      <c r="VD8" s="8"/>
      <c r="VE8" s="11"/>
      <c r="VF8" s="8"/>
      <c r="VG8" s="8"/>
      <c r="VH8" s="11"/>
      <c r="VI8" s="8"/>
      <c r="VJ8" s="8"/>
      <c r="VK8" s="11"/>
      <c r="VL8" s="8"/>
      <c r="VM8" s="8"/>
      <c r="VN8" s="11"/>
      <c r="VO8" s="8"/>
      <c r="VP8" s="8"/>
      <c r="VQ8" s="11"/>
      <c r="VR8" s="8"/>
      <c r="VS8" s="8"/>
      <c r="VT8" s="11"/>
      <c r="VU8" s="8"/>
      <c r="VV8" s="8"/>
      <c r="VW8" s="11"/>
      <c r="VX8" s="8"/>
      <c r="VY8" s="8"/>
      <c r="VZ8" s="11"/>
      <c r="WA8" s="8"/>
      <c r="WB8" s="8"/>
      <c r="WC8" s="11"/>
      <c r="WD8" s="8"/>
      <c r="WE8" s="8"/>
      <c r="WF8" s="11"/>
      <c r="WG8" s="8"/>
      <c r="WH8" s="8"/>
      <c r="WI8" s="11"/>
      <c r="WJ8" s="8"/>
      <c r="WK8" s="8"/>
      <c r="WL8" s="11"/>
      <c r="WM8" s="8"/>
      <c r="WN8" s="8"/>
      <c r="WO8" s="11"/>
      <c r="WP8" s="8"/>
      <c r="WQ8" s="8"/>
      <c r="WR8" s="11"/>
      <c r="WS8" s="8"/>
      <c r="WT8" s="8"/>
      <c r="WU8" s="11"/>
      <c r="WV8" s="8"/>
      <c r="WW8" s="8"/>
      <c r="WX8" s="11"/>
      <c r="WY8" s="8"/>
      <c r="WZ8" s="8"/>
      <c r="XA8" s="11"/>
      <c r="XB8" s="8"/>
      <c r="XC8" s="8"/>
      <c r="XD8" s="11"/>
      <c r="XE8" s="8"/>
      <c r="XF8" s="8"/>
      <c r="XG8" s="11"/>
      <c r="XH8" s="8"/>
      <c r="XI8" s="8"/>
      <c r="XJ8" s="11"/>
      <c r="XK8" s="8"/>
      <c r="XL8" s="8"/>
      <c r="XM8" s="11"/>
      <c r="XN8" s="8"/>
      <c r="XO8" s="8"/>
      <c r="XP8" s="11"/>
      <c r="XQ8" s="8"/>
      <c r="XR8" s="8"/>
      <c r="XS8" s="11"/>
      <c r="XT8" s="8"/>
      <c r="XU8" s="8"/>
      <c r="XV8" s="11"/>
      <c r="XW8" s="8"/>
      <c r="XX8" s="8"/>
      <c r="XY8" s="11"/>
      <c r="XZ8" s="8"/>
      <c r="YA8" s="8"/>
      <c r="YB8" s="11"/>
      <c r="YC8" s="8"/>
      <c r="YD8" s="8"/>
      <c r="YE8" s="11"/>
      <c r="YF8" s="8"/>
      <c r="YG8" s="8"/>
      <c r="YH8" s="11"/>
      <c r="YI8" s="8"/>
      <c r="YJ8" s="8"/>
      <c r="YK8" s="11"/>
      <c r="YL8" s="8"/>
      <c r="YM8" s="8"/>
      <c r="YN8" s="11"/>
      <c r="YO8" s="8"/>
      <c r="YP8" s="8"/>
      <c r="YQ8" s="11"/>
      <c r="YR8" s="8"/>
      <c r="YS8" s="8"/>
      <c r="YT8" s="11"/>
      <c r="YU8" s="8"/>
      <c r="YV8" s="8"/>
      <c r="YW8" s="11"/>
      <c r="YX8" s="8"/>
      <c r="YY8" s="8"/>
      <c r="YZ8" s="11"/>
      <c r="ZA8" s="8"/>
      <c r="ZB8" s="8"/>
      <c r="ZC8" s="11"/>
      <c r="ZD8" s="8"/>
      <c r="ZE8" s="8"/>
      <c r="ZF8" s="11"/>
      <c r="ZG8" s="8"/>
      <c r="ZH8" s="8"/>
      <c r="ZI8" s="11"/>
      <c r="ZJ8" s="8"/>
      <c r="ZK8" s="8"/>
      <c r="ZL8" s="11"/>
      <c r="ZM8" s="8"/>
      <c r="ZN8" s="8"/>
      <c r="ZO8" s="11"/>
      <c r="ZP8" s="8"/>
      <c r="ZQ8" s="8"/>
      <c r="ZR8" s="11"/>
      <c r="ZS8" s="8"/>
      <c r="ZT8" s="8"/>
      <c r="ZU8" s="11"/>
      <c r="ZV8" s="8"/>
      <c r="ZW8" s="8"/>
      <c r="ZX8" s="11"/>
      <c r="ZY8" s="8"/>
      <c r="ZZ8" s="8"/>
      <c r="AAA8" s="11"/>
      <c r="AAB8" s="8"/>
      <c r="AAC8" s="8"/>
      <c r="AAD8" s="11"/>
      <c r="AAE8" s="8"/>
      <c r="AAF8" s="8"/>
      <c r="AAG8" s="11"/>
      <c r="AAH8" s="8"/>
      <c r="AAI8" s="8"/>
      <c r="AAJ8" s="11"/>
      <c r="AAK8" s="8"/>
      <c r="AAL8" s="8"/>
      <c r="AAM8" s="11"/>
      <c r="AAN8" s="8"/>
      <c r="AAO8" s="8"/>
      <c r="AAP8" s="11"/>
      <c r="AAQ8" s="8"/>
      <c r="AAR8" s="8"/>
      <c r="AAS8" s="11"/>
      <c r="AAT8" s="8"/>
      <c r="AAU8" s="8"/>
      <c r="AAV8" s="11"/>
      <c r="AAW8" s="8"/>
      <c r="AAX8" s="8"/>
      <c r="AAY8" s="11"/>
      <c r="AAZ8" s="8"/>
      <c r="ABA8" s="8"/>
      <c r="ABB8" s="11"/>
      <c r="ABC8" s="8"/>
      <c r="ABD8" s="8"/>
      <c r="ABE8" s="11"/>
      <c r="ABF8" s="8"/>
      <c r="ABG8" s="8"/>
      <c r="ABH8" s="11"/>
      <c r="ABI8" s="8"/>
      <c r="ABJ8" s="8"/>
      <c r="ABK8" s="11"/>
      <c r="ABL8" s="8"/>
      <c r="ABM8" s="8"/>
      <c r="ABN8" s="11"/>
      <c r="ABO8" s="8"/>
      <c r="ABP8" s="8"/>
      <c r="ABQ8" s="11"/>
      <c r="ABR8" s="8"/>
      <c r="ABS8" s="8"/>
      <c r="ABT8" s="11"/>
      <c r="ABU8" s="8"/>
      <c r="ABV8" s="8"/>
      <c r="ABW8" s="11"/>
      <c r="ABX8" s="8"/>
      <c r="ABY8" s="8"/>
      <c r="ABZ8" s="11"/>
      <c r="ACA8" s="8"/>
      <c r="ACB8" s="8"/>
      <c r="ACC8" s="11"/>
      <c r="ACD8" s="8"/>
      <c r="ACE8" s="8"/>
      <c r="ACF8" s="11"/>
      <c r="ACG8" s="8"/>
      <c r="ACH8" s="8"/>
      <c r="ACI8" s="11"/>
      <c r="ACJ8" s="8"/>
      <c r="ACK8" s="8"/>
      <c r="ACL8" s="11"/>
      <c r="ACM8" s="8"/>
      <c r="ACN8" s="8"/>
      <c r="ACO8" s="11"/>
      <c r="ACP8" s="8"/>
      <c r="ACQ8" s="8"/>
      <c r="ACR8" s="11"/>
      <c r="ACS8" s="8"/>
      <c r="ACT8" s="8"/>
      <c r="ACU8" s="11"/>
      <c r="ACV8" s="8"/>
      <c r="ACW8" s="8"/>
      <c r="ACX8" s="11"/>
      <c r="ACY8" s="8"/>
      <c r="ACZ8" s="8"/>
      <c r="ADA8" s="11"/>
      <c r="ADB8" s="8"/>
      <c r="ADC8" s="8"/>
      <c r="ADD8" s="11"/>
      <c r="ADE8" s="8"/>
      <c r="ADF8" s="8"/>
      <c r="ADG8" s="11"/>
      <c r="ADH8" s="8"/>
      <c r="ADI8" s="8"/>
      <c r="ADJ8" s="11"/>
      <c r="ADK8" s="8"/>
      <c r="ADL8" s="8"/>
      <c r="ADM8" s="11"/>
      <c r="ADN8" s="8"/>
      <c r="ADO8" s="8"/>
      <c r="ADP8" s="11"/>
      <c r="ADQ8" s="8"/>
      <c r="ADR8" s="8"/>
      <c r="ADS8" s="11"/>
      <c r="ADT8" s="8"/>
      <c r="ADU8" s="8"/>
      <c r="ADV8" s="11"/>
      <c r="ADW8" s="8"/>
      <c r="ADX8" s="8"/>
      <c r="ADY8" s="11"/>
      <c r="ADZ8" s="8"/>
      <c r="AEA8" s="8"/>
      <c r="AEB8" s="11"/>
      <c r="AEC8" s="8"/>
      <c r="AED8" s="8"/>
      <c r="AEE8" s="11"/>
      <c r="AEF8" s="8"/>
      <c r="AEG8" s="8"/>
      <c r="AEH8" s="11"/>
      <c r="AEI8" s="8"/>
      <c r="AEJ8" s="8"/>
      <c r="AEK8" s="11"/>
      <c r="AEL8" s="8"/>
      <c r="AEM8" s="8"/>
      <c r="AEN8" s="11"/>
      <c r="AEO8" s="8"/>
      <c r="AEP8" s="8"/>
      <c r="AEQ8" s="11"/>
      <c r="AER8" s="8"/>
      <c r="AES8" s="8"/>
      <c r="AET8" s="11"/>
      <c r="AEU8" s="8"/>
      <c r="AEV8" s="8"/>
      <c r="AEW8" s="11"/>
      <c r="AEX8" s="8"/>
      <c r="AEY8" s="8"/>
      <c r="AEZ8" s="11"/>
      <c r="AFA8" s="8"/>
      <c r="AFB8" s="8"/>
      <c r="AFC8" s="11"/>
      <c r="AFD8" s="8"/>
      <c r="AFE8" s="8"/>
      <c r="AFF8" s="11"/>
      <c r="AFG8" s="8"/>
      <c r="AFH8" s="8"/>
      <c r="AFI8" s="11"/>
      <c r="AFJ8" s="8"/>
      <c r="AFK8" s="8"/>
      <c r="AFL8" s="11"/>
      <c r="AFM8" s="8"/>
      <c r="AFN8" s="8"/>
      <c r="AFO8" s="11"/>
      <c r="AFP8" s="8"/>
      <c r="AFQ8" s="8"/>
      <c r="AFR8" s="11"/>
      <c r="AFS8" s="8"/>
      <c r="AFT8" s="8"/>
      <c r="AFU8" s="11"/>
      <c r="AFV8" s="8"/>
      <c r="AFW8" s="8"/>
      <c r="AFX8" s="11"/>
      <c r="AFY8" s="8"/>
      <c r="AFZ8" s="8"/>
      <c r="AGA8" s="11"/>
      <c r="AGB8" s="8"/>
      <c r="AGC8" s="8"/>
      <c r="AGD8" s="11"/>
      <c r="AGE8" s="8"/>
      <c r="AGF8" s="8"/>
      <c r="AGG8" s="11"/>
      <c r="AGH8" s="8"/>
      <c r="AGI8" s="8"/>
      <c r="AGJ8" s="11"/>
      <c r="AGK8" s="8"/>
      <c r="AGL8" s="8"/>
      <c r="AGM8" s="11"/>
      <c r="AGN8" s="8"/>
      <c r="AGO8" s="8"/>
      <c r="AGP8" s="11"/>
      <c r="AGQ8" s="8"/>
      <c r="AGR8" s="8"/>
      <c r="AGS8" s="11"/>
      <c r="AGT8" s="8"/>
      <c r="AGU8" s="8"/>
      <c r="AGV8" s="11"/>
      <c r="AGW8" s="8"/>
      <c r="AGX8" s="8"/>
      <c r="AGY8" s="11"/>
      <c r="AGZ8" s="8"/>
      <c r="AHA8" s="8"/>
      <c r="AHB8" s="11"/>
      <c r="AHC8" s="8"/>
      <c r="AHD8" s="8"/>
      <c r="AHE8" s="11"/>
      <c r="AHF8" s="8"/>
      <c r="AHG8" s="8"/>
      <c r="AHH8" s="11"/>
      <c r="AHI8" s="8"/>
      <c r="AHJ8" s="8"/>
      <c r="AHK8" s="11"/>
      <c r="AHL8" s="8"/>
      <c r="AHM8" s="8"/>
      <c r="AHN8" s="11"/>
      <c r="AHO8" s="8"/>
      <c r="AHP8" s="8"/>
      <c r="AHQ8" s="11"/>
      <c r="AHR8" s="8"/>
      <c r="AHS8" s="8"/>
      <c r="AHT8" s="11"/>
      <c r="AHU8" s="8"/>
      <c r="AHV8" s="8"/>
      <c r="AHW8" s="11"/>
      <c r="AHX8" s="8"/>
      <c r="AHY8" s="8"/>
      <c r="AHZ8" s="11"/>
      <c r="AIA8" s="8"/>
      <c r="AIB8" s="8"/>
      <c r="AIC8" s="11"/>
      <c r="AID8" s="8"/>
      <c r="AIE8" s="8"/>
      <c r="AIF8" s="11"/>
      <c r="AIG8" s="8"/>
      <c r="AIH8" s="8"/>
      <c r="AII8" s="11"/>
      <c r="AIJ8" s="8"/>
      <c r="AIK8" s="8"/>
      <c r="AIL8" s="11"/>
      <c r="AIM8" s="8"/>
      <c r="AIN8" s="8"/>
      <c r="AIO8" s="11"/>
      <c r="AIP8" s="8"/>
      <c r="AIQ8" s="8"/>
      <c r="AIR8" s="11"/>
      <c r="AIS8" s="8"/>
      <c r="AIT8" s="8"/>
      <c r="AIU8" s="11"/>
      <c r="AIV8" s="8"/>
      <c r="AIW8" s="8"/>
      <c r="AIX8" s="11"/>
      <c r="AIY8" s="8"/>
      <c r="AIZ8" s="8"/>
      <c r="AJA8" s="11"/>
      <c r="AJB8" s="8"/>
      <c r="AJC8" s="8"/>
      <c r="AJD8" s="11"/>
      <c r="AJE8" s="8"/>
      <c r="AJF8" s="8"/>
      <c r="AJG8" s="11"/>
      <c r="AJH8" s="8"/>
      <c r="AJI8" s="8"/>
      <c r="AJJ8" s="11"/>
      <c r="AJK8" s="8"/>
      <c r="AJL8" s="8"/>
      <c r="AJM8" s="11"/>
      <c r="AJN8" s="8"/>
      <c r="AJO8" s="8"/>
      <c r="AJP8" s="11"/>
      <c r="AJQ8" s="8"/>
      <c r="AJR8" s="8"/>
      <c r="AJS8" s="11"/>
      <c r="AJT8" s="8"/>
      <c r="AJU8" s="8"/>
      <c r="AJV8" s="11"/>
      <c r="AJW8" s="8"/>
      <c r="AJX8" s="8"/>
      <c r="AJY8" s="11"/>
      <c r="AJZ8" s="8"/>
      <c r="AKA8" s="8"/>
      <c r="AKB8" s="11"/>
      <c r="AKC8" s="8"/>
      <c r="AKD8" s="8"/>
      <c r="AKE8" s="11"/>
      <c r="AKF8" s="8"/>
      <c r="AKG8" s="8"/>
      <c r="AKH8" s="11"/>
      <c r="AKI8" s="8"/>
      <c r="AKJ8" s="8"/>
      <c r="AKK8" s="11"/>
      <c r="AKL8" s="8"/>
      <c r="AKM8" s="8"/>
      <c r="AKN8" s="11"/>
      <c r="AKO8" s="8"/>
      <c r="AKP8" s="8"/>
      <c r="AKQ8" s="11"/>
      <c r="AKR8" s="8"/>
      <c r="AKS8" s="8"/>
      <c r="AKT8" s="11"/>
      <c r="AKU8" s="8"/>
      <c r="AKV8" s="8"/>
      <c r="AKW8" s="11"/>
      <c r="AKX8" s="8"/>
      <c r="AKY8" s="8"/>
      <c r="AKZ8" s="11"/>
      <c r="ALA8" s="8"/>
      <c r="ALB8" s="8"/>
      <c r="ALC8" s="11"/>
      <c r="ALD8" s="8"/>
      <c r="ALE8" s="8"/>
      <c r="ALF8" s="11"/>
      <c r="ALG8" s="8"/>
      <c r="ALH8" s="8"/>
      <c r="ALI8" s="11"/>
      <c r="ALJ8" s="8"/>
      <c r="ALK8" s="8"/>
      <c r="ALL8" s="11"/>
      <c r="ALM8" s="8"/>
      <c r="ALN8" s="8"/>
      <c r="ALO8" s="11"/>
      <c r="ALP8" s="8"/>
      <c r="ALQ8" s="8"/>
      <c r="ALR8" s="11"/>
      <c r="ALS8" s="8"/>
      <c r="ALT8" s="8"/>
      <c r="ALU8" s="11"/>
      <c r="ALV8" s="8"/>
      <c r="ALW8" s="8"/>
      <c r="ALX8" s="11"/>
      <c r="ALY8" s="8"/>
      <c r="ALZ8" s="8"/>
      <c r="AMA8" s="11"/>
      <c r="AMB8" s="8"/>
      <c r="AMC8" s="8"/>
      <c r="AMD8" s="11"/>
      <c r="AME8" s="8"/>
      <c r="AMF8" s="8"/>
      <c r="AMG8" s="11"/>
      <c r="AMH8" s="8"/>
      <c r="AMI8" s="8"/>
      <c r="AMJ8" s="11"/>
      <c r="AMK8" s="8"/>
      <c r="AML8" s="8"/>
      <c r="AMM8" s="11"/>
      <c r="AMN8" s="8"/>
      <c r="AMO8" s="8"/>
      <c r="AMP8" s="11"/>
      <c r="AMQ8" s="8"/>
      <c r="AMR8" s="8"/>
      <c r="AMS8" s="11"/>
      <c r="AMT8" s="8"/>
      <c r="AMU8" s="8"/>
      <c r="AMV8" s="11"/>
      <c r="AMW8" s="8"/>
      <c r="AMX8" s="8"/>
      <c r="AMY8" s="11"/>
      <c r="AMZ8" s="8"/>
      <c r="ANA8" s="8"/>
      <c r="ANB8" s="11"/>
      <c r="ANC8" s="8"/>
      <c r="AND8" s="8"/>
      <c r="ANE8" s="11"/>
      <c r="ANF8" s="8"/>
      <c r="ANG8" s="8"/>
      <c r="ANH8" s="11"/>
      <c r="ANI8" s="8"/>
      <c r="ANJ8" s="8"/>
      <c r="ANK8" s="11"/>
      <c r="ANL8" s="8"/>
      <c r="ANM8" s="8"/>
      <c r="ANN8" s="11"/>
      <c r="ANO8" s="8"/>
      <c r="ANP8" s="8"/>
      <c r="ANQ8" s="11"/>
      <c r="ANR8" s="8"/>
      <c r="ANS8" s="8"/>
      <c r="ANT8" s="11"/>
      <c r="ANU8" s="8"/>
      <c r="ANV8" s="8"/>
      <c r="ANW8" s="11"/>
      <c r="ANX8" s="8"/>
      <c r="ANY8" s="8"/>
      <c r="ANZ8" s="11"/>
      <c r="AOA8" s="8"/>
      <c r="AOB8" s="8"/>
      <c r="AOC8" s="11"/>
      <c r="AOD8" s="8"/>
      <c r="AOE8" s="8"/>
      <c r="AOF8" s="11"/>
      <c r="AOG8" s="8"/>
      <c r="AOH8" s="8"/>
      <c r="AOI8" s="11"/>
      <c r="AOJ8" s="8"/>
      <c r="AOK8" s="8"/>
      <c r="AOL8" s="11"/>
      <c r="AOM8" s="8"/>
      <c r="AON8" s="8"/>
      <c r="AOO8" s="11"/>
      <c r="AOP8" s="8"/>
      <c r="AOQ8" s="8"/>
      <c r="AOR8" s="11"/>
      <c r="AOS8" s="8"/>
      <c r="AOT8" s="8"/>
      <c r="AOU8" s="11"/>
      <c r="AOV8" s="8"/>
      <c r="AOW8" s="8"/>
      <c r="AOX8" s="11"/>
      <c r="AOY8" s="8"/>
      <c r="AOZ8" s="8"/>
      <c r="APA8" s="11"/>
      <c r="APB8" s="8"/>
      <c r="APC8" s="8"/>
      <c r="APD8" s="11"/>
    </row>
    <row r="9" spans="1:1096" ht="18.75" thickBot="1" x14ac:dyDescent="0.3">
      <c r="B9" s="417" t="s">
        <v>179</v>
      </c>
      <c r="C9" s="418"/>
      <c r="D9" s="21" t="s">
        <v>180</v>
      </c>
      <c r="E9" s="8"/>
      <c r="F9" s="8"/>
      <c r="G9" s="11"/>
      <c r="H9" s="8"/>
      <c r="I9" s="8"/>
      <c r="J9" s="11"/>
      <c r="K9" s="8"/>
      <c r="L9" s="8"/>
      <c r="M9" s="11"/>
      <c r="N9" s="8"/>
      <c r="O9" s="8"/>
      <c r="P9" s="11"/>
      <c r="Q9" s="8"/>
      <c r="R9" s="8"/>
      <c r="S9" s="11"/>
      <c r="T9" s="8"/>
      <c r="U9" s="8"/>
      <c r="V9" s="11"/>
      <c r="W9" s="8"/>
      <c r="X9" s="8"/>
      <c r="Y9" s="11"/>
      <c r="Z9" s="8"/>
      <c r="AA9" s="8"/>
      <c r="AB9" s="11"/>
      <c r="AC9" s="8"/>
      <c r="AD9" s="8"/>
      <c r="AE9" s="11"/>
      <c r="AF9" s="8"/>
      <c r="AG9" s="8"/>
      <c r="AH9" s="11"/>
      <c r="AI9" s="8"/>
      <c r="AJ9" s="8"/>
      <c r="AK9" s="11"/>
      <c r="AL9" s="8"/>
      <c r="AM9" s="8"/>
      <c r="AN9" s="11"/>
      <c r="AO9" s="8"/>
      <c r="AP9" s="8"/>
      <c r="AQ9" s="11"/>
      <c r="AR9" s="8"/>
      <c r="AS9" s="8"/>
      <c r="AT9" s="11"/>
      <c r="AU9" s="8"/>
      <c r="AV9" s="8"/>
      <c r="AW9" s="11"/>
      <c r="AX9" s="8"/>
      <c r="AY9" s="8"/>
      <c r="AZ9" s="11"/>
      <c r="BA9" s="8"/>
      <c r="BB9" s="8"/>
      <c r="BC9" s="11"/>
      <c r="BD9" s="8"/>
      <c r="BE9" s="8"/>
      <c r="BF9" s="11"/>
      <c r="BG9" s="8"/>
      <c r="BH9" s="8"/>
      <c r="BI9" s="11"/>
      <c r="BJ9" s="8"/>
      <c r="BK9" s="8"/>
      <c r="BL9" s="11"/>
      <c r="BM9" s="8"/>
      <c r="BN9" s="8"/>
      <c r="BO9" s="11"/>
      <c r="BP9" s="8"/>
      <c r="BQ9" s="8"/>
      <c r="BR9" s="11"/>
      <c r="BS9" s="8"/>
      <c r="BT9" s="8"/>
      <c r="BU9" s="11"/>
      <c r="BV9" s="8"/>
      <c r="BW9" s="8"/>
      <c r="BX9" s="11"/>
      <c r="BY9" s="8"/>
      <c r="BZ9" s="8"/>
      <c r="CA9" s="11"/>
      <c r="CB9" s="8"/>
      <c r="CC9" s="8"/>
      <c r="CD9" s="11"/>
      <c r="CE9" s="8"/>
      <c r="CF9" s="8"/>
      <c r="CG9" s="11"/>
      <c r="CH9" s="8"/>
      <c r="CI9" s="8"/>
      <c r="CJ9" s="11"/>
      <c r="CK9" s="8"/>
      <c r="CL9" s="8"/>
      <c r="CM9" s="11"/>
      <c r="CN9" s="8"/>
      <c r="CO9" s="8"/>
      <c r="CP9" s="11"/>
      <c r="CQ9" s="8"/>
      <c r="CR9" s="8"/>
      <c r="CS9" s="11"/>
      <c r="CT9" s="8"/>
      <c r="CU9" s="8"/>
      <c r="CV9" s="11"/>
      <c r="CW9" s="8"/>
      <c r="CX9" s="8"/>
      <c r="CY9" s="11"/>
      <c r="CZ9" s="8"/>
      <c r="DA9" s="8"/>
      <c r="DB9" s="11"/>
      <c r="DC9" s="8"/>
      <c r="DD9" s="8"/>
      <c r="DE9" s="11"/>
      <c r="DF9" s="8"/>
      <c r="DG9" s="8"/>
      <c r="DH9" s="11"/>
      <c r="DI9" s="8"/>
      <c r="DJ9" s="8"/>
      <c r="DK9" s="11"/>
      <c r="DL9" s="8"/>
      <c r="DM9" s="8"/>
      <c r="DN9" s="11"/>
      <c r="DO9" s="8"/>
      <c r="DP9" s="8"/>
      <c r="DQ9" s="11"/>
      <c r="DR9" s="8"/>
      <c r="DS9" s="8"/>
      <c r="DT9" s="11"/>
      <c r="DU9" s="8"/>
      <c r="DV9" s="8"/>
      <c r="DW9" s="11"/>
      <c r="DX9" s="8"/>
      <c r="DY9" s="8"/>
      <c r="DZ9" s="11"/>
      <c r="EA9" s="8"/>
      <c r="EB9" s="8"/>
      <c r="EC9" s="11"/>
      <c r="ED9" s="8"/>
      <c r="EE9" s="8"/>
      <c r="EF9" s="11"/>
      <c r="EG9" s="8"/>
      <c r="EH9" s="8"/>
      <c r="EI9" s="11"/>
      <c r="EJ9" s="8"/>
      <c r="EK9" s="8"/>
      <c r="EL9" s="11"/>
      <c r="EM9" s="8"/>
      <c r="EN9" s="8"/>
      <c r="EO9" s="11"/>
      <c r="EP9" s="8"/>
      <c r="EQ9" s="8"/>
      <c r="ER9" s="11"/>
      <c r="ES9" s="8"/>
      <c r="ET9" s="8"/>
      <c r="EU9" s="11"/>
      <c r="EV9" s="8"/>
      <c r="EW9" s="8"/>
      <c r="EX9" s="11"/>
      <c r="EY9" s="8"/>
      <c r="EZ9" s="8"/>
      <c r="FA9" s="11"/>
      <c r="FB9" s="8"/>
      <c r="FC9" s="8"/>
      <c r="FD9" s="11"/>
      <c r="FE9" s="8"/>
      <c r="FF9" s="8"/>
      <c r="FG9" s="11"/>
      <c r="FH9" s="8"/>
      <c r="FI9" s="8"/>
      <c r="FJ9" s="11"/>
      <c r="FK9" s="8"/>
      <c r="FL9" s="8"/>
      <c r="FM9" s="11"/>
      <c r="FN9" s="8"/>
      <c r="FO9" s="8"/>
      <c r="FP9" s="11"/>
      <c r="FQ9" s="8"/>
      <c r="FR9" s="8"/>
      <c r="FS9" s="11"/>
      <c r="FT9" s="8"/>
      <c r="FU9" s="8"/>
      <c r="FV9" s="11"/>
      <c r="FW9" s="8"/>
      <c r="FX9" s="8"/>
      <c r="FY9" s="11"/>
      <c r="FZ9" s="8"/>
      <c r="GA9" s="8"/>
      <c r="GB9" s="11"/>
      <c r="GC9" s="8"/>
      <c r="GD9" s="8"/>
      <c r="GE9" s="11"/>
      <c r="GF9" s="8"/>
      <c r="GG9" s="8"/>
      <c r="GH9" s="11"/>
      <c r="GI9" s="8"/>
      <c r="GJ9" s="8"/>
      <c r="GK9" s="11"/>
      <c r="GL9" s="8"/>
      <c r="GM9" s="8"/>
      <c r="GN9" s="11"/>
      <c r="GO9" s="8"/>
      <c r="GP9" s="8"/>
      <c r="GQ9" s="11"/>
      <c r="GR9" s="8"/>
      <c r="GS9" s="8"/>
      <c r="GT9" s="11"/>
      <c r="GU9" s="8"/>
      <c r="GV9" s="8"/>
      <c r="GW9" s="11"/>
      <c r="GX9" s="8"/>
      <c r="GY9" s="8"/>
      <c r="GZ9" s="11"/>
      <c r="HA9" s="8"/>
      <c r="HB9" s="8"/>
      <c r="HC9" s="11"/>
      <c r="HD9" s="8"/>
      <c r="HE9" s="8"/>
      <c r="HF9" s="11"/>
      <c r="HG9" s="8"/>
      <c r="HH9" s="8"/>
      <c r="HI9" s="11"/>
      <c r="HJ9" s="8"/>
      <c r="HK9" s="8"/>
      <c r="HL9" s="11"/>
      <c r="HM9" s="8"/>
      <c r="HN9" s="8"/>
      <c r="HO9" s="11"/>
      <c r="HP9" s="8"/>
      <c r="HQ9" s="8"/>
      <c r="HR9" s="11"/>
      <c r="HS9" s="8"/>
      <c r="HT9" s="8"/>
      <c r="HU9" s="11"/>
      <c r="HV9" s="8"/>
      <c r="HW9" s="8"/>
      <c r="HX9" s="11"/>
      <c r="HY9" s="8"/>
      <c r="HZ9" s="8"/>
      <c r="IA9" s="11"/>
      <c r="IB9" s="8"/>
      <c r="IC9" s="8"/>
      <c r="ID9" s="11"/>
      <c r="IE9" s="8"/>
      <c r="IF9" s="8"/>
      <c r="IG9" s="11"/>
      <c r="IH9" s="8"/>
      <c r="II9" s="8"/>
      <c r="IJ9" s="11"/>
      <c r="IK9" s="8"/>
      <c r="IL9" s="8"/>
      <c r="IM9" s="11"/>
      <c r="IN9" s="8"/>
      <c r="IO9" s="8"/>
      <c r="IP9" s="11"/>
      <c r="IQ9" s="8"/>
      <c r="IR9" s="8"/>
      <c r="IS9" s="11"/>
      <c r="IT9" s="8"/>
      <c r="IU9" s="8"/>
      <c r="IV9" s="11"/>
      <c r="IW9" s="8"/>
      <c r="IX9" s="8"/>
      <c r="IY9" s="11"/>
      <c r="IZ9" s="8"/>
      <c r="JA9" s="8"/>
      <c r="JB9" s="11"/>
      <c r="JC9" s="8"/>
      <c r="JD9" s="8"/>
      <c r="JE9" s="11"/>
      <c r="JF9" s="8"/>
      <c r="JG9" s="8"/>
      <c r="JH9" s="11"/>
      <c r="JI9" s="8"/>
      <c r="JJ9" s="8"/>
      <c r="JK9" s="11"/>
      <c r="JL9" s="8"/>
      <c r="JM9" s="8"/>
      <c r="JN9" s="11"/>
      <c r="JO9" s="8"/>
      <c r="JP9" s="8"/>
      <c r="JQ9" s="11"/>
      <c r="JR9" s="8"/>
      <c r="JS9" s="8"/>
      <c r="JT9" s="11"/>
      <c r="JU9" s="8"/>
      <c r="JV9" s="8"/>
      <c r="JW9" s="11"/>
      <c r="JX9" s="8"/>
      <c r="JY9" s="8"/>
      <c r="JZ9" s="11"/>
      <c r="KA9" s="8"/>
      <c r="KB9" s="8"/>
      <c r="KC9" s="11"/>
      <c r="KD9" s="8"/>
      <c r="KE9" s="8"/>
      <c r="KF9" s="11"/>
      <c r="KG9" s="8"/>
      <c r="KH9" s="8"/>
      <c r="KI9" s="11"/>
      <c r="KJ9" s="8"/>
      <c r="KK9" s="8"/>
      <c r="KL9" s="11"/>
      <c r="KM9" s="8"/>
      <c r="KN9" s="8"/>
      <c r="KO9" s="11"/>
      <c r="KP9" s="8"/>
      <c r="KQ9" s="8"/>
      <c r="KR9" s="11"/>
      <c r="KS9" s="8"/>
      <c r="KT9" s="8"/>
      <c r="KU9" s="11"/>
      <c r="KV9" s="8"/>
      <c r="KW9" s="8"/>
      <c r="KX9" s="11"/>
      <c r="KY9" s="8"/>
      <c r="KZ9" s="8"/>
      <c r="LA9" s="11"/>
      <c r="LB9" s="8"/>
      <c r="LC9" s="8"/>
      <c r="LD9" s="11"/>
      <c r="LE9" s="8"/>
      <c r="LF9" s="8"/>
      <c r="LG9" s="11"/>
      <c r="LH9" s="8"/>
      <c r="LI9" s="8"/>
      <c r="LJ9" s="11"/>
      <c r="LK9" s="8"/>
      <c r="LL9" s="8"/>
      <c r="LM9" s="11"/>
      <c r="LN9" s="8"/>
      <c r="LO9" s="8"/>
      <c r="LP9" s="11"/>
      <c r="LQ9" s="8"/>
      <c r="LR9" s="8"/>
      <c r="LS9" s="11"/>
      <c r="LT9" s="8"/>
      <c r="LU9" s="8"/>
      <c r="LV9" s="11"/>
      <c r="LW9" s="8"/>
      <c r="LX9" s="8"/>
      <c r="LY9" s="11"/>
      <c r="LZ9" s="8"/>
      <c r="MA9" s="8"/>
      <c r="MB9" s="11"/>
      <c r="MC9" s="8"/>
      <c r="MD9" s="8"/>
      <c r="ME9" s="11"/>
      <c r="MF9" s="8"/>
      <c r="MG9" s="8"/>
      <c r="MH9" s="11"/>
      <c r="MI9" s="8"/>
      <c r="MJ9" s="8"/>
      <c r="MK9" s="11"/>
      <c r="ML9" s="8"/>
      <c r="MM9" s="8"/>
      <c r="MN9" s="11"/>
      <c r="MO9" s="8"/>
      <c r="MP9" s="8"/>
      <c r="MQ9" s="11"/>
      <c r="MR9" s="8"/>
      <c r="MS9" s="8"/>
      <c r="MT9" s="11"/>
      <c r="MU9" s="8"/>
      <c r="MV9" s="8"/>
      <c r="MW9" s="11"/>
      <c r="MX9" s="8"/>
      <c r="MY9" s="8"/>
      <c r="MZ9" s="11"/>
      <c r="NA9" s="8"/>
      <c r="NB9" s="8"/>
      <c r="NC9" s="11"/>
      <c r="ND9" s="8"/>
      <c r="NE9" s="8"/>
      <c r="NF9" s="11"/>
      <c r="NG9" s="8"/>
      <c r="NH9" s="8"/>
      <c r="NI9" s="11"/>
      <c r="NJ9" s="8"/>
      <c r="NK9" s="8"/>
      <c r="NL9" s="11"/>
      <c r="NM9" s="8"/>
      <c r="NN9" s="8"/>
      <c r="NO9" s="11"/>
      <c r="NP9" s="8"/>
      <c r="NQ9" s="8"/>
      <c r="NR9" s="11"/>
      <c r="NS9" s="8"/>
      <c r="NT9" s="8"/>
      <c r="NU9" s="11"/>
      <c r="NV9" s="8"/>
      <c r="NW9" s="8"/>
      <c r="NX9" s="11"/>
      <c r="NY9" s="8"/>
      <c r="NZ9" s="8"/>
      <c r="OA9" s="11"/>
      <c r="OB9" s="8"/>
      <c r="OC9" s="8"/>
      <c r="OD9" s="11"/>
      <c r="OE9" s="8"/>
      <c r="OF9" s="8"/>
      <c r="OG9" s="11"/>
      <c r="OH9" s="8"/>
      <c r="OI9" s="8"/>
      <c r="OJ9" s="11"/>
      <c r="OK9" s="8"/>
      <c r="OL9" s="8"/>
      <c r="OM9" s="11"/>
      <c r="ON9" s="8"/>
      <c r="OO9" s="8"/>
      <c r="OP9" s="11"/>
      <c r="OQ9" s="8"/>
      <c r="OR9" s="8"/>
      <c r="OS9" s="11"/>
      <c r="OT9" s="8"/>
      <c r="OU9" s="8"/>
      <c r="OV9" s="11"/>
      <c r="OW9" s="8"/>
      <c r="OX9" s="8"/>
      <c r="OY9" s="11"/>
      <c r="OZ9" s="8"/>
      <c r="PA9" s="8"/>
      <c r="PB9" s="11"/>
      <c r="PC9" s="8"/>
      <c r="PD9" s="8"/>
      <c r="PE9" s="11"/>
      <c r="PF9" s="8"/>
      <c r="PG9" s="8"/>
      <c r="PH9" s="11"/>
      <c r="PI9" s="8"/>
      <c r="PJ9" s="8"/>
      <c r="PK9" s="11"/>
      <c r="PL9" s="8"/>
      <c r="PM9" s="8"/>
      <c r="PN9" s="11"/>
      <c r="PO9" s="8"/>
      <c r="PP9" s="8"/>
      <c r="PQ9" s="11"/>
      <c r="PR9" s="8"/>
      <c r="PS9" s="8"/>
      <c r="PT9" s="11"/>
      <c r="PU9" s="8"/>
      <c r="PV9" s="8"/>
      <c r="PW9" s="11"/>
      <c r="PX9" s="8"/>
      <c r="PY9" s="8"/>
      <c r="PZ9" s="11"/>
      <c r="QA9" s="8"/>
      <c r="QB9" s="8"/>
      <c r="QC9" s="11"/>
      <c r="QD9" s="8"/>
      <c r="QE9" s="8"/>
      <c r="QF9" s="11"/>
      <c r="QG9" s="8"/>
      <c r="QH9" s="8"/>
      <c r="QI9" s="11"/>
      <c r="QJ9" s="8"/>
      <c r="QK9" s="8"/>
      <c r="QL9" s="11"/>
      <c r="QM9" s="8"/>
      <c r="QN9" s="8"/>
      <c r="QO9" s="11"/>
      <c r="QP9" s="8"/>
      <c r="QQ9" s="8"/>
      <c r="QR9" s="11"/>
      <c r="QS9" s="8"/>
      <c r="QT9" s="8"/>
      <c r="QU9" s="11"/>
      <c r="QV9" s="8"/>
      <c r="QW9" s="8"/>
      <c r="QX9" s="11"/>
      <c r="QY9" s="8"/>
      <c r="QZ9" s="8"/>
      <c r="RA9" s="11"/>
      <c r="RB9" s="8"/>
      <c r="RC9" s="8"/>
      <c r="RD9" s="11"/>
      <c r="RE9" s="8"/>
      <c r="RF9" s="8"/>
      <c r="RG9" s="11"/>
      <c r="RH9" s="8"/>
      <c r="RI9" s="8"/>
      <c r="RJ9" s="11"/>
      <c r="RK9" s="8"/>
      <c r="RL9" s="8"/>
      <c r="RM9" s="11"/>
      <c r="RN9" s="8"/>
      <c r="RO9" s="8"/>
      <c r="RP9" s="11"/>
      <c r="RQ9" s="8"/>
      <c r="RR9" s="8"/>
      <c r="RS9" s="11"/>
      <c r="RT9" s="8"/>
      <c r="RU9" s="8"/>
      <c r="RV9" s="11"/>
      <c r="RW9" s="8"/>
      <c r="RX9" s="8"/>
      <c r="RY9" s="11"/>
      <c r="RZ9" s="8"/>
      <c r="SA9" s="8"/>
      <c r="SB9" s="11"/>
      <c r="SC9" s="8"/>
      <c r="SD9" s="8"/>
      <c r="SE9" s="11"/>
      <c r="SF9" s="8"/>
      <c r="SG9" s="8"/>
      <c r="SH9" s="11"/>
      <c r="SI9" s="8"/>
      <c r="SJ9" s="8"/>
      <c r="SK9" s="11"/>
      <c r="SL9" s="8"/>
      <c r="SM9" s="8"/>
      <c r="SN9" s="11"/>
      <c r="SO9" s="8"/>
      <c r="SP9" s="8"/>
      <c r="SQ9" s="11"/>
      <c r="SR9" s="8"/>
      <c r="SS9" s="8"/>
      <c r="ST9" s="11"/>
      <c r="SU9" s="8"/>
      <c r="SV9" s="8"/>
      <c r="SW9" s="11"/>
      <c r="SX9" s="8"/>
      <c r="SY9" s="8"/>
      <c r="SZ9" s="11"/>
      <c r="TA9" s="8"/>
      <c r="TB9" s="8"/>
      <c r="TC9" s="11"/>
      <c r="TD9" s="8"/>
      <c r="TE9" s="8"/>
      <c r="TF9" s="11"/>
      <c r="TG9" s="8"/>
      <c r="TH9" s="8"/>
      <c r="TI9" s="11"/>
      <c r="TJ9" s="8"/>
      <c r="TK9" s="8"/>
      <c r="TL9" s="11"/>
      <c r="TM9" s="8"/>
      <c r="TN9" s="8"/>
      <c r="TO9" s="11"/>
      <c r="TP9" s="8"/>
      <c r="TQ9" s="8"/>
      <c r="TR9" s="11"/>
      <c r="TS9" s="8"/>
      <c r="TT9" s="8"/>
      <c r="TU9" s="11"/>
      <c r="TV9" s="8"/>
      <c r="TW9" s="8"/>
      <c r="TX9" s="11"/>
      <c r="TY9" s="8"/>
      <c r="TZ9" s="8"/>
      <c r="UA9" s="11"/>
      <c r="UB9" s="8"/>
      <c r="UC9" s="8"/>
      <c r="UD9" s="11"/>
      <c r="UE9" s="8"/>
      <c r="UF9" s="8"/>
      <c r="UG9" s="11"/>
      <c r="UH9" s="8"/>
      <c r="UI9" s="8"/>
      <c r="UJ9" s="11"/>
      <c r="UK9" s="8"/>
      <c r="UL9" s="8"/>
      <c r="UM9" s="11"/>
      <c r="UN9" s="8"/>
      <c r="UO9" s="8"/>
      <c r="UP9" s="11"/>
      <c r="UQ9" s="8"/>
      <c r="UR9" s="8"/>
      <c r="US9" s="11"/>
      <c r="UT9" s="8"/>
      <c r="UU9" s="8"/>
      <c r="UV9" s="11"/>
      <c r="UW9" s="8"/>
      <c r="UX9" s="8"/>
      <c r="UY9" s="11"/>
      <c r="UZ9" s="8"/>
      <c r="VA9" s="8"/>
      <c r="VB9" s="11"/>
      <c r="VC9" s="8"/>
      <c r="VD9" s="8"/>
      <c r="VE9" s="11"/>
      <c r="VF9" s="8"/>
      <c r="VG9" s="8"/>
      <c r="VH9" s="11"/>
      <c r="VI9" s="8"/>
      <c r="VJ9" s="8"/>
      <c r="VK9" s="11"/>
      <c r="VL9" s="8"/>
      <c r="VM9" s="8"/>
      <c r="VN9" s="11"/>
      <c r="VO9" s="8"/>
      <c r="VP9" s="8"/>
      <c r="VQ9" s="11"/>
      <c r="VR9" s="8"/>
      <c r="VS9" s="8"/>
      <c r="VT9" s="11"/>
      <c r="VU9" s="8"/>
      <c r="VV9" s="8"/>
      <c r="VW9" s="11"/>
      <c r="VX9" s="8"/>
      <c r="VY9" s="8"/>
      <c r="VZ9" s="11"/>
      <c r="WA9" s="8"/>
      <c r="WB9" s="8"/>
      <c r="WC9" s="11"/>
      <c r="WD9" s="8"/>
      <c r="WE9" s="8"/>
      <c r="WF9" s="11"/>
      <c r="WG9" s="8"/>
      <c r="WH9" s="8"/>
      <c r="WI9" s="11"/>
      <c r="WJ9" s="8"/>
      <c r="WK9" s="8"/>
      <c r="WL9" s="11"/>
      <c r="WM9" s="8"/>
      <c r="WN9" s="8"/>
      <c r="WO9" s="11"/>
      <c r="WP9" s="8"/>
      <c r="WQ9" s="8"/>
      <c r="WR9" s="11"/>
      <c r="WS9" s="8"/>
      <c r="WT9" s="8"/>
      <c r="WU9" s="11"/>
      <c r="WV9" s="8"/>
      <c r="WW9" s="8"/>
      <c r="WX9" s="11"/>
      <c r="WY9" s="8"/>
      <c r="WZ9" s="8"/>
      <c r="XA9" s="11"/>
      <c r="XB9" s="8"/>
      <c r="XC9" s="8"/>
      <c r="XD9" s="11"/>
      <c r="XE9" s="8"/>
      <c r="XF9" s="8"/>
      <c r="XG9" s="11"/>
      <c r="XH9" s="8"/>
      <c r="XI9" s="8"/>
      <c r="XJ9" s="11"/>
      <c r="XK9" s="8"/>
      <c r="XL9" s="8"/>
      <c r="XM9" s="11"/>
      <c r="XN9" s="8"/>
      <c r="XO9" s="8"/>
      <c r="XP9" s="11"/>
      <c r="XQ9" s="8"/>
      <c r="XR9" s="8"/>
      <c r="XS9" s="11"/>
      <c r="XT9" s="8"/>
      <c r="XU9" s="8"/>
      <c r="XV9" s="11"/>
      <c r="XW9" s="8"/>
      <c r="XX9" s="8"/>
      <c r="XY9" s="11"/>
      <c r="XZ9" s="8"/>
      <c r="YA9" s="8"/>
      <c r="YB9" s="11"/>
      <c r="YC9" s="8"/>
      <c r="YD9" s="8"/>
      <c r="YE9" s="11"/>
      <c r="YF9" s="8"/>
      <c r="YG9" s="8"/>
      <c r="YH9" s="11"/>
      <c r="YI9" s="8"/>
      <c r="YJ9" s="8"/>
      <c r="YK9" s="11"/>
      <c r="YL9" s="8"/>
      <c r="YM9" s="8"/>
      <c r="YN9" s="11"/>
      <c r="YO9" s="8"/>
      <c r="YP9" s="8"/>
      <c r="YQ9" s="11"/>
      <c r="YR9" s="8"/>
      <c r="YS9" s="8"/>
      <c r="YT9" s="11"/>
      <c r="YU9" s="8"/>
      <c r="YV9" s="8"/>
      <c r="YW9" s="11"/>
      <c r="YX9" s="8"/>
      <c r="YY9" s="8"/>
      <c r="YZ9" s="11"/>
      <c r="ZA9" s="8"/>
      <c r="ZB9" s="8"/>
      <c r="ZC9" s="11"/>
      <c r="ZD9" s="8"/>
      <c r="ZE9" s="8"/>
      <c r="ZF9" s="11"/>
      <c r="ZG9" s="8"/>
      <c r="ZH9" s="8"/>
      <c r="ZI9" s="11"/>
      <c r="ZJ9" s="8"/>
      <c r="ZK9" s="8"/>
      <c r="ZL9" s="11"/>
      <c r="ZM9" s="8"/>
      <c r="ZN9" s="8"/>
      <c r="ZO9" s="11"/>
      <c r="ZP9" s="8"/>
      <c r="ZQ9" s="8"/>
      <c r="ZR9" s="11"/>
      <c r="ZS9" s="8"/>
      <c r="ZT9" s="8"/>
      <c r="ZU9" s="11"/>
      <c r="ZV9" s="8"/>
      <c r="ZW9" s="8"/>
      <c r="ZX9" s="11"/>
      <c r="ZY9" s="8"/>
      <c r="ZZ9" s="8"/>
      <c r="AAA9" s="11"/>
      <c r="AAB9" s="8"/>
      <c r="AAC9" s="8"/>
      <c r="AAD9" s="11"/>
      <c r="AAE9" s="8"/>
      <c r="AAF9" s="8"/>
      <c r="AAG9" s="11"/>
      <c r="AAH9" s="8"/>
      <c r="AAI9" s="8"/>
      <c r="AAJ9" s="11"/>
      <c r="AAK9" s="8"/>
      <c r="AAL9" s="8"/>
      <c r="AAM9" s="11"/>
      <c r="AAN9" s="8"/>
      <c r="AAO9" s="8"/>
      <c r="AAP9" s="11"/>
      <c r="AAQ9" s="8"/>
      <c r="AAR9" s="8"/>
      <c r="AAS9" s="11"/>
      <c r="AAT9" s="8"/>
      <c r="AAU9" s="8"/>
      <c r="AAV9" s="11"/>
      <c r="AAW9" s="8"/>
      <c r="AAX9" s="8"/>
      <c r="AAY9" s="11"/>
      <c r="AAZ9" s="8"/>
      <c r="ABA9" s="8"/>
      <c r="ABB9" s="11"/>
      <c r="ABC9" s="8"/>
      <c r="ABD9" s="8"/>
      <c r="ABE9" s="11"/>
      <c r="ABF9" s="8"/>
      <c r="ABG9" s="8"/>
      <c r="ABH9" s="11"/>
      <c r="ABI9" s="8"/>
      <c r="ABJ9" s="8"/>
      <c r="ABK9" s="11"/>
      <c r="ABL9" s="8"/>
      <c r="ABM9" s="8"/>
      <c r="ABN9" s="11"/>
      <c r="ABO9" s="8"/>
      <c r="ABP9" s="8"/>
      <c r="ABQ9" s="11"/>
      <c r="ABR9" s="8"/>
      <c r="ABS9" s="8"/>
      <c r="ABT9" s="11"/>
      <c r="ABU9" s="8"/>
      <c r="ABV9" s="8"/>
      <c r="ABW9" s="11"/>
      <c r="ABX9" s="8"/>
      <c r="ABY9" s="8"/>
      <c r="ABZ9" s="11"/>
      <c r="ACA9" s="8"/>
      <c r="ACB9" s="8"/>
      <c r="ACC9" s="11"/>
      <c r="ACD9" s="8"/>
      <c r="ACE9" s="8"/>
      <c r="ACF9" s="11"/>
      <c r="ACG9" s="8"/>
      <c r="ACH9" s="8"/>
      <c r="ACI9" s="11"/>
      <c r="ACJ9" s="8"/>
      <c r="ACK9" s="8"/>
      <c r="ACL9" s="11"/>
      <c r="ACM9" s="8"/>
      <c r="ACN9" s="8"/>
      <c r="ACO9" s="11"/>
      <c r="ACP9" s="8"/>
      <c r="ACQ9" s="8"/>
      <c r="ACR9" s="11"/>
      <c r="ACS9" s="8"/>
      <c r="ACT9" s="8"/>
      <c r="ACU9" s="11"/>
      <c r="ACV9" s="8"/>
      <c r="ACW9" s="8"/>
      <c r="ACX9" s="11"/>
      <c r="ACY9" s="8"/>
      <c r="ACZ9" s="8"/>
      <c r="ADA9" s="11"/>
      <c r="ADB9" s="8"/>
      <c r="ADC9" s="8"/>
      <c r="ADD9" s="11"/>
      <c r="ADE9" s="8"/>
      <c r="ADF9" s="8"/>
      <c r="ADG9" s="11"/>
      <c r="ADH9" s="8"/>
      <c r="ADI9" s="8"/>
      <c r="ADJ9" s="11"/>
      <c r="ADK9" s="8"/>
      <c r="ADL9" s="8"/>
      <c r="ADM9" s="11"/>
      <c r="ADN9" s="8"/>
      <c r="ADO9" s="8"/>
      <c r="ADP9" s="11"/>
      <c r="ADQ9" s="8"/>
      <c r="ADR9" s="8"/>
      <c r="ADS9" s="11"/>
      <c r="ADT9" s="8"/>
      <c r="ADU9" s="8"/>
      <c r="ADV9" s="11"/>
      <c r="ADW9" s="8"/>
      <c r="ADX9" s="8"/>
      <c r="ADY9" s="11"/>
      <c r="ADZ9" s="8"/>
      <c r="AEA9" s="8"/>
      <c r="AEB9" s="11"/>
      <c r="AEC9" s="8"/>
      <c r="AED9" s="8"/>
      <c r="AEE9" s="11"/>
      <c r="AEF9" s="8"/>
      <c r="AEG9" s="8"/>
      <c r="AEH9" s="11"/>
      <c r="AEI9" s="8"/>
      <c r="AEJ9" s="8"/>
      <c r="AEK9" s="11"/>
      <c r="AEL9" s="8"/>
      <c r="AEM9" s="8"/>
      <c r="AEN9" s="11"/>
      <c r="AEO9" s="8"/>
      <c r="AEP9" s="8"/>
      <c r="AEQ9" s="11"/>
      <c r="AER9" s="8"/>
      <c r="AES9" s="8"/>
      <c r="AET9" s="11"/>
      <c r="AEU9" s="8"/>
      <c r="AEV9" s="8"/>
      <c r="AEW9" s="11"/>
      <c r="AEX9" s="8"/>
      <c r="AEY9" s="8"/>
      <c r="AEZ9" s="11"/>
      <c r="AFA9" s="8"/>
      <c r="AFB9" s="8"/>
      <c r="AFC9" s="11"/>
      <c r="AFD9" s="8"/>
      <c r="AFE9" s="8"/>
      <c r="AFF9" s="11"/>
      <c r="AFG9" s="8"/>
      <c r="AFH9" s="8"/>
      <c r="AFI9" s="11"/>
      <c r="AFJ9" s="8"/>
      <c r="AFK9" s="8"/>
      <c r="AFL9" s="11"/>
      <c r="AFM9" s="8"/>
      <c r="AFN9" s="8"/>
      <c r="AFO9" s="11"/>
      <c r="AFP9" s="8"/>
      <c r="AFQ9" s="8"/>
      <c r="AFR9" s="11"/>
      <c r="AFS9" s="8"/>
      <c r="AFT9" s="8"/>
      <c r="AFU9" s="11"/>
      <c r="AFV9" s="8"/>
      <c r="AFW9" s="8"/>
      <c r="AFX9" s="11"/>
      <c r="AFY9" s="8"/>
      <c r="AFZ9" s="8"/>
      <c r="AGA9" s="11"/>
      <c r="AGB9" s="8"/>
      <c r="AGC9" s="8"/>
      <c r="AGD9" s="11"/>
      <c r="AGE9" s="8"/>
      <c r="AGF9" s="8"/>
      <c r="AGG9" s="11"/>
      <c r="AGH9" s="8"/>
      <c r="AGI9" s="8"/>
      <c r="AGJ9" s="11"/>
      <c r="AGK9" s="8"/>
      <c r="AGL9" s="8"/>
      <c r="AGM9" s="11"/>
      <c r="AGN9" s="8"/>
      <c r="AGO9" s="8"/>
      <c r="AGP9" s="11"/>
      <c r="AGQ9" s="8"/>
      <c r="AGR9" s="8"/>
      <c r="AGS9" s="11"/>
      <c r="AGT9" s="8"/>
      <c r="AGU9" s="8"/>
      <c r="AGV9" s="11"/>
      <c r="AGW9" s="8"/>
      <c r="AGX9" s="8"/>
      <c r="AGY9" s="11"/>
      <c r="AGZ9" s="8"/>
      <c r="AHA9" s="8"/>
      <c r="AHB9" s="11"/>
      <c r="AHC9" s="8"/>
      <c r="AHD9" s="8"/>
      <c r="AHE9" s="11"/>
      <c r="AHF9" s="8"/>
      <c r="AHG9" s="8"/>
      <c r="AHH9" s="11"/>
      <c r="AHI9" s="8"/>
      <c r="AHJ9" s="8"/>
      <c r="AHK9" s="11"/>
      <c r="AHL9" s="8"/>
      <c r="AHM9" s="8"/>
      <c r="AHN9" s="11"/>
      <c r="AHO9" s="8"/>
      <c r="AHP9" s="8"/>
      <c r="AHQ9" s="11"/>
      <c r="AHR9" s="8"/>
      <c r="AHS9" s="8"/>
      <c r="AHT9" s="11"/>
      <c r="AHU9" s="8"/>
      <c r="AHV9" s="8"/>
      <c r="AHW9" s="11"/>
      <c r="AHX9" s="8"/>
      <c r="AHY9" s="8"/>
      <c r="AHZ9" s="11"/>
      <c r="AIA9" s="8"/>
      <c r="AIB9" s="8"/>
      <c r="AIC9" s="11"/>
      <c r="AID9" s="8"/>
      <c r="AIE9" s="8"/>
      <c r="AIF9" s="11"/>
      <c r="AIG9" s="8"/>
      <c r="AIH9" s="8"/>
      <c r="AII9" s="11"/>
      <c r="AIJ9" s="8"/>
      <c r="AIK9" s="8"/>
      <c r="AIL9" s="11"/>
      <c r="AIM9" s="8"/>
      <c r="AIN9" s="8"/>
      <c r="AIO9" s="11"/>
      <c r="AIP9" s="8"/>
      <c r="AIQ9" s="8"/>
      <c r="AIR9" s="11"/>
      <c r="AIS9" s="8"/>
      <c r="AIT9" s="8"/>
      <c r="AIU9" s="11"/>
      <c r="AIV9" s="8"/>
      <c r="AIW9" s="8"/>
      <c r="AIX9" s="11"/>
      <c r="AIY9" s="8"/>
      <c r="AIZ9" s="8"/>
      <c r="AJA9" s="11"/>
      <c r="AJB9" s="8"/>
      <c r="AJC9" s="8"/>
      <c r="AJD9" s="11"/>
      <c r="AJE9" s="8"/>
      <c r="AJF9" s="8"/>
      <c r="AJG9" s="11"/>
      <c r="AJH9" s="8"/>
      <c r="AJI9" s="8"/>
      <c r="AJJ9" s="11"/>
      <c r="AJK9" s="8"/>
      <c r="AJL9" s="8"/>
      <c r="AJM9" s="11"/>
      <c r="AJN9" s="8"/>
      <c r="AJO9" s="8"/>
      <c r="AJP9" s="11"/>
      <c r="AJQ9" s="8"/>
      <c r="AJR9" s="8"/>
      <c r="AJS9" s="11"/>
      <c r="AJT9" s="8"/>
      <c r="AJU9" s="8"/>
      <c r="AJV9" s="11"/>
      <c r="AJW9" s="8"/>
      <c r="AJX9" s="8"/>
      <c r="AJY9" s="11"/>
      <c r="AJZ9" s="8"/>
      <c r="AKA9" s="8"/>
      <c r="AKB9" s="11"/>
      <c r="AKC9" s="8"/>
      <c r="AKD9" s="8"/>
      <c r="AKE9" s="11"/>
      <c r="AKF9" s="8"/>
      <c r="AKG9" s="8"/>
      <c r="AKH9" s="11"/>
      <c r="AKI9" s="8"/>
      <c r="AKJ9" s="8"/>
      <c r="AKK9" s="11"/>
      <c r="AKL9" s="8"/>
      <c r="AKM9" s="8"/>
      <c r="AKN9" s="11"/>
      <c r="AKO9" s="8"/>
      <c r="AKP9" s="8"/>
      <c r="AKQ9" s="11"/>
      <c r="AKR9" s="8"/>
      <c r="AKS9" s="8"/>
      <c r="AKT9" s="11"/>
      <c r="AKU9" s="8"/>
      <c r="AKV9" s="8"/>
      <c r="AKW9" s="11"/>
      <c r="AKX9" s="8"/>
      <c r="AKY9" s="8"/>
      <c r="AKZ9" s="11"/>
      <c r="ALA9" s="8"/>
      <c r="ALB9" s="8"/>
      <c r="ALC9" s="11"/>
      <c r="ALD9" s="8"/>
      <c r="ALE9" s="8"/>
      <c r="ALF9" s="11"/>
      <c r="ALG9" s="8"/>
      <c r="ALH9" s="8"/>
      <c r="ALI9" s="11"/>
      <c r="ALJ9" s="8"/>
      <c r="ALK9" s="8"/>
      <c r="ALL9" s="11"/>
      <c r="ALM9" s="8"/>
      <c r="ALN9" s="8"/>
      <c r="ALO9" s="11"/>
      <c r="ALP9" s="8"/>
      <c r="ALQ9" s="8"/>
      <c r="ALR9" s="11"/>
      <c r="ALS9" s="8"/>
      <c r="ALT9" s="8"/>
      <c r="ALU9" s="11"/>
      <c r="ALV9" s="8"/>
      <c r="ALW9" s="8"/>
      <c r="ALX9" s="11"/>
      <c r="ALY9" s="8"/>
      <c r="ALZ9" s="8"/>
      <c r="AMA9" s="11"/>
      <c r="AMB9" s="8"/>
      <c r="AMC9" s="8"/>
      <c r="AMD9" s="11"/>
      <c r="AME9" s="8"/>
      <c r="AMF9" s="8"/>
      <c r="AMG9" s="11"/>
      <c r="AMH9" s="8"/>
      <c r="AMI9" s="8"/>
      <c r="AMJ9" s="11"/>
      <c r="AMK9" s="8"/>
      <c r="AML9" s="8"/>
      <c r="AMM9" s="11"/>
      <c r="AMN9" s="8"/>
      <c r="AMO9" s="8"/>
      <c r="AMP9" s="11"/>
      <c r="AMQ9" s="8"/>
      <c r="AMR9" s="8"/>
      <c r="AMS9" s="11"/>
      <c r="AMT9" s="8"/>
      <c r="AMU9" s="8"/>
      <c r="AMV9" s="11"/>
      <c r="AMW9" s="8"/>
      <c r="AMX9" s="8"/>
      <c r="AMY9" s="11"/>
      <c r="AMZ9" s="8"/>
      <c r="ANA9" s="8"/>
      <c r="ANB9" s="11"/>
      <c r="ANC9" s="8"/>
      <c r="AND9" s="8"/>
      <c r="ANE9" s="11"/>
      <c r="ANF9" s="8"/>
      <c r="ANG9" s="8"/>
      <c r="ANH9" s="11"/>
      <c r="ANI9" s="8"/>
      <c r="ANJ9" s="8"/>
      <c r="ANK9" s="11"/>
      <c r="ANL9" s="8"/>
      <c r="ANM9" s="8"/>
      <c r="ANN9" s="11"/>
      <c r="ANO9" s="8"/>
      <c r="ANP9" s="8"/>
      <c r="ANQ9" s="11"/>
      <c r="ANR9" s="8"/>
      <c r="ANS9" s="8"/>
      <c r="ANT9" s="11"/>
      <c r="ANU9" s="8"/>
      <c r="ANV9" s="8"/>
      <c r="ANW9" s="11"/>
      <c r="ANX9" s="8"/>
      <c r="ANY9" s="8"/>
      <c r="ANZ9" s="11"/>
      <c r="AOA9" s="8"/>
      <c r="AOB9" s="8"/>
      <c r="AOC9" s="11"/>
      <c r="AOD9" s="8"/>
      <c r="AOE9" s="8"/>
      <c r="AOF9" s="11"/>
      <c r="AOG9" s="8"/>
      <c r="AOH9" s="8"/>
      <c r="AOI9" s="11"/>
      <c r="AOJ9" s="8"/>
      <c r="AOK9" s="8"/>
      <c r="AOL9" s="11"/>
      <c r="AOM9" s="8"/>
      <c r="AON9" s="8"/>
      <c r="AOO9" s="11"/>
      <c r="AOP9" s="8"/>
      <c r="AOQ9" s="8"/>
      <c r="AOR9" s="11"/>
      <c r="AOS9" s="8"/>
      <c r="AOT9" s="8"/>
      <c r="AOU9" s="11"/>
      <c r="AOV9" s="8"/>
      <c r="AOW9" s="8"/>
      <c r="AOX9" s="11"/>
      <c r="AOY9" s="8"/>
      <c r="AOZ9" s="8"/>
      <c r="APA9" s="11"/>
      <c r="APB9" s="8"/>
      <c r="APC9" s="8"/>
      <c r="APD9" s="11"/>
    </row>
    <row r="10" spans="1:1096" s="33" customFormat="1" ht="44.25" customHeight="1" thickBot="1" x14ac:dyDescent="0.3">
      <c r="A10" s="3"/>
      <c r="B10" s="419" t="s">
        <v>181</v>
      </c>
      <c r="C10" s="420"/>
      <c r="D10" s="67">
        <v>3</v>
      </c>
      <c r="E10" s="34"/>
      <c r="F10" s="34"/>
      <c r="G10" s="35"/>
      <c r="H10" s="34"/>
      <c r="I10" s="34"/>
      <c r="J10" s="35"/>
      <c r="K10" s="34"/>
      <c r="L10" s="34"/>
      <c r="M10" s="35"/>
      <c r="N10" s="34"/>
      <c r="O10" s="34"/>
      <c r="P10" s="35"/>
      <c r="Q10" s="34"/>
      <c r="R10" s="34"/>
      <c r="S10" s="35"/>
      <c r="T10" s="34"/>
      <c r="U10" s="34"/>
      <c r="V10" s="35"/>
      <c r="W10" s="34"/>
      <c r="X10" s="34"/>
      <c r="Y10" s="35"/>
      <c r="Z10" s="34"/>
      <c r="AA10" s="34"/>
      <c r="AB10" s="35"/>
      <c r="AC10" s="34"/>
      <c r="AD10" s="34"/>
      <c r="AE10" s="35"/>
      <c r="AF10" s="34"/>
      <c r="AG10" s="34"/>
      <c r="AH10" s="35"/>
      <c r="AI10" s="34"/>
      <c r="AJ10" s="34"/>
      <c r="AK10" s="35"/>
      <c r="AL10" s="34"/>
      <c r="AM10" s="34"/>
      <c r="AN10" s="35"/>
      <c r="AO10" s="34"/>
      <c r="AP10" s="34"/>
      <c r="AQ10" s="35"/>
      <c r="AR10" s="34"/>
      <c r="AS10" s="34"/>
      <c r="AT10" s="35"/>
      <c r="AU10" s="34"/>
      <c r="AV10" s="34"/>
      <c r="AW10" s="35"/>
      <c r="AX10" s="34"/>
      <c r="AY10" s="34"/>
      <c r="AZ10" s="35"/>
      <c r="BA10" s="34"/>
      <c r="BB10" s="34"/>
      <c r="BC10" s="35"/>
      <c r="BD10" s="34"/>
      <c r="BE10" s="34"/>
      <c r="BF10" s="35"/>
      <c r="BG10" s="34"/>
      <c r="BH10" s="34"/>
      <c r="BI10" s="35"/>
      <c r="BJ10" s="34"/>
      <c r="BK10" s="34"/>
      <c r="BL10" s="35"/>
      <c r="BM10" s="34"/>
      <c r="BN10" s="34"/>
      <c r="BO10" s="35"/>
      <c r="BP10" s="34"/>
      <c r="BQ10" s="34"/>
      <c r="BR10" s="35"/>
      <c r="BS10" s="34"/>
      <c r="BT10" s="34"/>
      <c r="BU10" s="35"/>
      <c r="BV10" s="34"/>
      <c r="BW10" s="34"/>
      <c r="BX10" s="35"/>
      <c r="BY10" s="34"/>
      <c r="BZ10" s="34"/>
      <c r="CA10" s="35"/>
      <c r="CB10" s="34"/>
      <c r="CC10" s="34"/>
      <c r="CD10" s="35"/>
      <c r="CE10" s="34"/>
      <c r="CF10" s="34"/>
      <c r="CG10" s="35"/>
      <c r="CH10" s="34"/>
      <c r="CI10" s="34"/>
      <c r="CJ10" s="35"/>
      <c r="CK10" s="34"/>
      <c r="CL10" s="34"/>
      <c r="CM10" s="35"/>
      <c r="CN10" s="34"/>
      <c r="CO10" s="34"/>
      <c r="CP10" s="35"/>
      <c r="CQ10" s="34"/>
      <c r="CR10" s="34"/>
      <c r="CS10" s="35"/>
      <c r="CT10" s="34"/>
      <c r="CU10" s="34"/>
      <c r="CV10" s="35"/>
      <c r="CW10" s="34"/>
      <c r="CX10" s="34"/>
      <c r="CY10" s="35"/>
      <c r="CZ10" s="34"/>
      <c r="DA10" s="34"/>
      <c r="DB10" s="35"/>
      <c r="DC10" s="34"/>
      <c r="DD10" s="34"/>
      <c r="DE10" s="35"/>
      <c r="DF10" s="34"/>
      <c r="DG10" s="34"/>
      <c r="DH10" s="35"/>
      <c r="DI10" s="34"/>
      <c r="DJ10" s="34"/>
      <c r="DK10" s="35"/>
      <c r="DL10" s="34"/>
      <c r="DM10" s="34"/>
      <c r="DN10" s="35"/>
      <c r="DO10" s="34"/>
      <c r="DP10" s="34"/>
      <c r="DQ10" s="35"/>
      <c r="DR10" s="34"/>
      <c r="DS10" s="34"/>
      <c r="DT10" s="35"/>
      <c r="DU10" s="34"/>
      <c r="DV10" s="34"/>
      <c r="DW10" s="35"/>
      <c r="DX10" s="34"/>
      <c r="DY10" s="34"/>
      <c r="DZ10" s="35"/>
      <c r="EA10" s="34"/>
      <c r="EB10" s="34"/>
      <c r="EC10" s="35"/>
      <c r="ED10" s="34"/>
      <c r="EE10" s="34"/>
      <c r="EF10" s="35"/>
      <c r="EG10" s="34"/>
      <c r="EH10" s="34"/>
      <c r="EI10" s="35"/>
      <c r="EJ10" s="34"/>
      <c r="EK10" s="34"/>
      <c r="EL10" s="35"/>
      <c r="EM10" s="34"/>
      <c r="EN10" s="34"/>
      <c r="EO10" s="35"/>
      <c r="EP10" s="34"/>
      <c r="EQ10" s="34"/>
      <c r="ER10" s="35"/>
      <c r="ES10" s="34"/>
      <c r="ET10" s="34"/>
      <c r="EU10" s="35"/>
      <c r="EV10" s="34"/>
      <c r="EW10" s="34"/>
      <c r="EX10" s="35"/>
      <c r="EY10" s="34"/>
      <c r="EZ10" s="34"/>
      <c r="FA10" s="35"/>
      <c r="FB10" s="34"/>
      <c r="FC10" s="34"/>
      <c r="FD10" s="35"/>
      <c r="FE10" s="34"/>
      <c r="FF10" s="34"/>
      <c r="FG10" s="35"/>
      <c r="FH10" s="34"/>
      <c r="FI10" s="34"/>
      <c r="FJ10" s="35"/>
    </row>
    <row r="11" spans="1:1096" s="33" customFormat="1" ht="44.25" customHeight="1" thickBot="1" x14ac:dyDescent="0.3">
      <c r="A11" s="3"/>
      <c r="B11" s="419" t="s">
        <v>182</v>
      </c>
      <c r="C11" s="420"/>
      <c r="D11" s="15">
        <v>1</v>
      </c>
      <c r="E11" s="36"/>
      <c r="F11" s="36"/>
      <c r="G11" s="37"/>
      <c r="H11" s="36"/>
      <c r="I11" s="36"/>
      <c r="J11" s="37"/>
      <c r="K11" s="36"/>
      <c r="L11" s="36"/>
      <c r="M11" s="37"/>
      <c r="N11" s="36"/>
      <c r="O11" s="36"/>
      <c r="P11" s="37"/>
      <c r="Q11" s="36"/>
      <c r="R11" s="36"/>
      <c r="S11" s="37"/>
      <c r="T11" s="36"/>
      <c r="U11" s="36"/>
      <c r="V11" s="37"/>
      <c r="W11" s="36"/>
      <c r="X11" s="36"/>
      <c r="Y11" s="37"/>
      <c r="Z11" s="36"/>
      <c r="AA11" s="36"/>
      <c r="AB11" s="37"/>
      <c r="AC11" s="36"/>
      <c r="AD11" s="36"/>
      <c r="AE11" s="37"/>
      <c r="AF11" s="36"/>
      <c r="AG11" s="36"/>
      <c r="AH11" s="37"/>
      <c r="AI11" s="36"/>
      <c r="AJ11" s="36"/>
      <c r="AK11" s="37"/>
      <c r="AL11" s="36"/>
      <c r="AM11" s="36"/>
      <c r="AN11" s="37"/>
      <c r="AO11" s="36"/>
      <c r="AP11" s="36"/>
      <c r="AQ11" s="37"/>
      <c r="AR11" s="36"/>
      <c r="AS11" s="36"/>
      <c r="AT11" s="37"/>
      <c r="AU11" s="36"/>
      <c r="AV11" s="36"/>
      <c r="AW11" s="37"/>
      <c r="AX11" s="36"/>
      <c r="AY11" s="36"/>
      <c r="AZ11" s="37"/>
      <c r="BA11" s="36"/>
      <c r="BB11" s="36"/>
      <c r="BC11" s="37"/>
      <c r="BD11" s="36"/>
      <c r="BE11" s="36"/>
      <c r="BF11" s="37"/>
      <c r="BG11" s="36"/>
      <c r="BH11" s="36"/>
      <c r="BI11" s="37"/>
      <c r="BJ11" s="36"/>
      <c r="BK11" s="36"/>
      <c r="BL11" s="37"/>
      <c r="BM11" s="36"/>
      <c r="BN11" s="36"/>
      <c r="BO11" s="37"/>
      <c r="BP11" s="36"/>
      <c r="BQ11" s="36"/>
      <c r="BR11" s="37"/>
      <c r="BS11" s="36"/>
      <c r="BT11" s="36"/>
      <c r="BU11" s="37"/>
      <c r="BV11" s="36"/>
      <c r="BW11" s="36"/>
      <c r="BX11" s="37"/>
      <c r="BY11" s="36"/>
      <c r="BZ11" s="36"/>
      <c r="CA11" s="37"/>
      <c r="CB11" s="36"/>
      <c r="CC11" s="36"/>
      <c r="CD11" s="37"/>
      <c r="CE11" s="36"/>
      <c r="CF11" s="36"/>
      <c r="CG11" s="37"/>
      <c r="CH11" s="36"/>
      <c r="CI11" s="36"/>
      <c r="CJ11" s="37"/>
      <c r="CK11" s="36"/>
      <c r="CL11" s="36"/>
      <c r="CM11" s="37"/>
      <c r="CN11" s="36"/>
      <c r="CO11" s="36"/>
      <c r="CP11" s="37"/>
      <c r="CQ11" s="36"/>
      <c r="CR11" s="36"/>
      <c r="CS11" s="37"/>
      <c r="CT11" s="36"/>
      <c r="CU11" s="36"/>
      <c r="CV11" s="37"/>
      <c r="CW11" s="36"/>
      <c r="CX11" s="36"/>
      <c r="CY11" s="37"/>
      <c r="CZ11" s="36"/>
      <c r="DA11" s="36"/>
      <c r="DB11" s="37"/>
      <c r="DC11" s="36"/>
      <c r="DD11" s="36"/>
      <c r="DE11" s="37"/>
      <c r="DF11" s="36"/>
      <c r="DG11" s="36"/>
      <c r="DH11" s="37"/>
      <c r="DI11" s="36"/>
      <c r="DJ11" s="36"/>
      <c r="DK11" s="37"/>
      <c r="DL11" s="36"/>
      <c r="DM11" s="36"/>
      <c r="DN11" s="37"/>
      <c r="DO11" s="36"/>
      <c r="DP11" s="36"/>
      <c r="DQ11" s="37"/>
      <c r="DR11" s="36"/>
      <c r="DS11" s="36"/>
      <c r="DT11" s="37"/>
      <c r="DU11" s="36"/>
      <c r="DV11" s="36"/>
      <c r="DW11" s="37"/>
      <c r="DX11" s="36"/>
      <c r="DY11" s="36"/>
      <c r="DZ11" s="37"/>
      <c r="EA11" s="36"/>
      <c r="EB11" s="36"/>
      <c r="EC11" s="37"/>
      <c r="ED11" s="36"/>
      <c r="EE11" s="36"/>
      <c r="EF11" s="37"/>
      <c r="EG11" s="36"/>
      <c r="EH11" s="36"/>
      <c r="EI11" s="37"/>
      <c r="EJ11" s="36"/>
      <c r="EK11" s="36"/>
      <c r="EL11" s="37"/>
      <c r="EM11" s="36"/>
      <c r="EN11" s="36"/>
      <c r="EO11" s="37"/>
      <c r="EP11" s="36"/>
      <c r="EQ11" s="36"/>
      <c r="ER11" s="37"/>
      <c r="ES11" s="36"/>
      <c r="ET11" s="36"/>
      <c r="EU11" s="37"/>
      <c r="EV11" s="36"/>
      <c r="EW11" s="36"/>
      <c r="EX11" s="37"/>
      <c r="EY11" s="36"/>
      <c r="EZ11" s="36"/>
      <c r="FA11" s="37"/>
      <c r="FB11" s="36"/>
      <c r="FC11" s="36"/>
      <c r="FD11" s="37"/>
      <c r="FE11" s="36"/>
      <c r="FF11" s="36"/>
      <c r="FG11" s="37"/>
      <c r="FH11" s="36"/>
      <c r="FI11" s="36"/>
      <c r="FJ11" s="37"/>
    </row>
    <row r="12" spans="1:1096" s="33" customFormat="1" ht="46.5" customHeight="1" thickBot="1" x14ac:dyDescent="0.3">
      <c r="A12" s="3"/>
      <c r="B12" s="421" t="s">
        <v>183</v>
      </c>
      <c r="C12" s="409"/>
      <c r="D12" s="15">
        <v>1</v>
      </c>
      <c r="E12" s="31"/>
      <c r="F12" s="31"/>
      <c r="G12" s="32"/>
      <c r="H12" s="31"/>
      <c r="I12" s="31"/>
      <c r="J12" s="32"/>
      <c r="K12" s="31"/>
      <c r="L12" s="31"/>
      <c r="M12" s="32"/>
      <c r="N12" s="31"/>
      <c r="O12" s="31"/>
      <c r="P12" s="32"/>
      <c r="Q12" s="31"/>
      <c r="R12" s="31"/>
      <c r="S12" s="32"/>
      <c r="T12" s="31"/>
      <c r="U12" s="31"/>
      <c r="V12" s="32"/>
      <c r="W12" s="31"/>
      <c r="X12" s="31"/>
      <c r="Y12" s="32"/>
      <c r="Z12" s="31"/>
      <c r="AA12" s="31"/>
      <c r="AB12" s="32"/>
      <c r="AC12" s="31"/>
      <c r="AD12" s="31"/>
      <c r="AE12" s="32"/>
      <c r="AF12" s="31"/>
      <c r="AG12" s="31"/>
      <c r="AH12" s="32"/>
      <c r="AI12" s="31"/>
      <c r="AJ12" s="31"/>
      <c r="AK12" s="32"/>
      <c r="AL12" s="31"/>
      <c r="AM12" s="31"/>
      <c r="AN12" s="32"/>
      <c r="AO12" s="31"/>
      <c r="AP12" s="31"/>
      <c r="AQ12" s="32"/>
      <c r="AR12" s="31"/>
      <c r="AS12" s="31"/>
      <c r="AT12" s="32"/>
      <c r="AU12" s="31"/>
      <c r="AV12" s="31"/>
      <c r="AW12" s="32"/>
      <c r="AX12" s="31"/>
      <c r="AY12" s="31"/>
      <c r="AZ12" s="32"/>
      <c r="BA12" s="31"/>
      <c r="BB12" s="31"/>
      <c r="BC12" s="32"/>
      <c r="BD12" s="31"/>
      <c r="BE12" s="31"/>
      <c r="BF12" s="32"/>
      <c r="BG12" s="31"/>
      <c r="BH12" s="31"/>
      <c r="BI12" s="32"/>
      <c r="BJ12" s="31"/>
      <c r="BK12" s="31"/>
      <c r="BL12" s="32"/>
      <c r="BM12" s="31"/>
      <c r="BN12" s="31"/>
      <c r="BO12" s="32"/>
      <c r="BP12" s="31"/>
      <c r="BQ12" s="31"/>
      <c r="BR12" s="32"/>
      <c r="BS12" s="31"/>
      <c r="BT12" s="31"/>
      <c r="BU12" s="32"/>
      <c r="BV12" s="31"/>
      <c r="BW12" s="31"/>
      <c r="BX12" s="32"/>
      <c r="BY12" s="31"/>
      <c r="BZ12" s="31"/>
      <c r="CA12" s="32"/>
      <c r="CB12" s="31"/>
      <c r="CC12" s="31"/>
      <c r="CD12" s="32"/>
      <c r="CE12" s="31"/>
      <c r="CF12" s="31"/>
      <c r="CG12" s="32"/>
      <c r="CH12" s="31"/>
      <c r="CI12" s="31"/>
      <c r="CJ12" s="32"/>
      <c r="CK12" s="31"/>
      <c r="CL12" s="31"/>
      <c r="CM12" s="32"/>
      <c r="CN12" s="31"/>
      <c r="CO12" s="31"/>
      <c r="CP12" s="32"/>
      <c r="CQ12" s="31"/>
      <c r="CR12" s="31"/>
      <c r="CS12" s="32"/>
      <c r="CT12" s="31"/>
      <c r="CU12" s="31"/>
      <c r="CV12" s="32"/>
      <c r="CW12" s="31"/>
      <c r="CX12" s="31"/>
      <c r="CY12" s="32"/>
      <c r="CZ12" s="31"/>
      <c r="DA12" s="31"/>
      <c r="DB12" s="32"/>
      <c r="DC12" s="31"/>
      <c r="DD12" s="31"/>
      <c r="DE12" s="32"/>
      <c r="DF12" s="31"/>
      <c r="DG12" s="31"/>
      <c r="DH12" s="32"/>
      <c r="DI12" s="31"/>
      <c r="DJ12" s="31"/>
      <c r="DK12" s="32"/>
      <c r="DL12" s="31"/>
      <c r="DM12" s="31"/>
      <c r="DN12" s="32"/>
      <c r="DO12" s="31"/>
      <c r="DP12" s="31"/>
      <c r="DQ12" s="32"/>
      <c r="DR12" s="31"/>
      <c r="DS12" s="31"/>
      <c r="DT12" s="32"/>
      <c r="DU12" s="31"/>
      <c r="DV12" s="31"/>
      <c r="DW12" s="32"/>
      <c r="DX12" s="31"/>
      <c r="DY12" s="31"/>
      <c r="DZ12" s="32"/>
      <c r="EA12" s="31"/>
      <c r="EB12" s="31"/>
      <c r="EC12" s="32"/>
      <c r="ED12" s="31"/>
      <c r="EE12" s="31"/>
      <c r="EF12" s="32"/>
      <c r="EG12" s="31"/>
      <c r="EH12" s="31"/>
      <c r="EI12" s="32"/>
      <c r="EJ12" s="31"/>
      <c r="EK12" s="31"/>
      <c r="EL12" s="32"/>
      <c r="EM12" s="31"/>
      <c r="EN12" s="31"/>
      <c r="EO12" s="32"/>
      <c r="EP12" s="31"/>
      <c r="EQ12" s="31"/>
      <c r="ER12" s="32"/>
      <c r="ES12" s="31"/>
      <c r="ET12" s="31"/>
      <c r="EU12" s="32"/>
      <c r="EV12" s="31"/>
      <c r="EW12" s="31"/>
      <c r="EX12" s="32"/>
      <c r="EY12" s="31"/>
      <c r="EZ12" s="31"/>
      <c r="FA12" s="32"/>
      <c r="FB12" s="31"/>
      <c r="FC12" s="31"/>
      <c r="FD12" s="32"/>
      <c r="FE12" s="31"/>
      <c r="FF12" s="31"/>
      <c r="FG12" s="32"/>
      <c r="FH12" s="31"/>
      <c r="FI12" s="31"/>
      <c r="FJ12" s="32"/>
    </row>
    <row r="13" spans="1:1096" s="33" customFormat="1" ht="44.25" customHeight="1" thickBot="1" x14ac:dyDescent="0.3">
      <c r="A13" s="3"/>
      <c r="B13" s="408" t="s">
        <v>184</v>
      </c>
      <c r="C13" s="409"/>
      <c r="D13" s="15">
        <v>3</v>
      </c>
      <c r="E13" s="34"/>
      <c r="F13" s="34"/>
      <c r="G13" s="35"/>
      <c r="H13" s="34"/>
      <c r="I13" s="34"/>
      <c r="J13" s="35"/>
      <c r="K13" s="34"/>
      <c r="L13" s="34"/>
      <c r="M13" s="35"/>
      <c r="N13" s="34"/>
      <c r="O13" s="34"/>
      <c r="P13" s="35"/>
      <c r="Q13" s="34"/>
      <c r="R13" s="34"/>
      <c r="S13" s="35"/>
      <c r="T13" s="34"/>
      <c r="U13" s="34"/>
      <c r="V13" s="35"/>
      <c r="W13" s="34"/>
      <c r="X13" s="34"/>
      <c r="Y13" s="35"/>
      <c r="Z13" s="34"/>
      <c r="AA13" s="34"/>
      <c r="AB13" s="35"/>
      <c r="AC13" s="34"/>
      <c r="AD13" s="34"/>
      <c r="AE13" s="35"/>
      <c r="AF13" s="34"/>
      <c r="AG13" s="34"/>
      <c r="AH13" s="35"/>
      <c r="AI13" s="34"/>
      <c r="AJ13" s="34"/>
      <c r="AK13" s="35"/>
      <c r="AL13" s="34"/>
      <c r="AM13" s="34"/>
      <c r="AN13" s="35"/>
      <c r="AO13" s="34"/>
      <c r="AP13" s="34"/>
      <c r="AQ13" s="35"/>
      <c r="AR13" s="34"/>
      <c r="AS13" s="34"/>
      <c r="AT13" s="35"/>
      <c r="AU13" s="34"/>
      <c r="AV13" s="34"/>
      <c r="AW13" s="35"/>
      <c r="AX13" s="34"/>
      <c r="AY13" s="34"/>
      <c r="AZ13" s="35"/>
      <c r="BA13" s="34"/>
      <c r="BB13" s="34"/>
      <c r="BC13" s="35"/>
      <c r="BD13" s="34"/>
      <c r="BE13" s="34"/>
      <c r="BF13" s="35"/>
      <c r="BG13" s="34"/>
      <c r="BH13" s="34"/>
      <c r="BI13" s="35"/>
      <c r="BJ13" s="34"/>
      <c r="BK13" s="34"/>
      <c r="BL13" s="35"/>
      <c r="BM13" s="34"/>
      <c r="BN13" s="34"/>
      <c r="BO13" s="35"/>
      <c r="BP13" s="34"/>
      <c r="BQ13" s="34"/>
      <c r="BR13" s="35"/>
      <c r="BS13" s="34"/>
      <c r="BT13" s="34"/>
      <c r="BU13" s="35"/>
      <c r="BV13" s="34"/>
      <c r="BW13" s="34"/>
      <c r="BX13" s="35"/>
      <c r="BY13" s="34"/>
      <c r="BZ13" s="34"/>
      <c r="CA13" s="35"/>
      <c r="CB13" s="34"/>
      <c r="CC13" s="34"/>
      <c r="CD13" s="35"/>
      <c r="CE13" s="34"/>
      <c r="CF13" s="34"/>
      <c r="CG13" s="35"/>
      <c r="CH13" s="34"/>
      <c r="CI13" s="34"/>
      <c r="CJ13" s="35"/>
      <c r="CK13" s="34"/>
      <c r="CL13" s="34"/>
      <c r="CM13" s="35"/>
      <c r="CN13" s="34"/>
      <c r="CO13" s="34"/>
      <c r="CP13" s="35"/>
      <c r="CQ13" s="34"/>
      <c r="CR13" s="34"/>
      <c r="CS13" s="35"/>
      <c r="CT13" s="34"/>
      <c r="CU13" s="34"/>
      <c r="CV13" s="35"/>
      <c r="CW13" s="34"/>
      <c r="CX13" s="34"/>
      <c r="CY13" s="35"/>
      <c r="CZ13" s="34"/>
      <c r="DA13" s="34"/>
      <c r="DB13" s="35"/>
      <c r="DC13" s="34"/>
      <c r="DD13" s="34"/>
      <c r="DE13" s="35"/>
      <c r="DF13" s="34"/>
      <c r="DG13" s="34"/>
      <c r="DH13" s="35"/>
      <c r="DI13" s="34"/>
      <c r="DJ13" s="34"/>
      <c r="DK13" s="35"/>
      <c r="DL13" s="34"/>
      <c r="DM13" s="34"/>
      <c r="DN13" s="35"/>
      <c r="DO13" s="34"/>
      <c r="DP13" s="34"/>
      <c r="DQ13" s="35"/>
      <c r="DR13" s="34"/>
      <c r="DS13" s="34"/>
      <c r="DT13" s="35"/>
      <c r="DU13" s="34"/>
      <c r="DV13" s="34"/>
      <c r="DW13" s="35"/>
      <c r="DX13" s="34"/>
      <c r="DY13" s="34"/>
      <c r="DZ13" s="35"/>
      <c r="EA13" s="34"/>
      <c r="EB13" s="34"/>
      <c r="EC13" s="35"/>
      <c r="ED13" s="34"/>
      <c r="EE13" s="34"/>
      <c r="EF13" s="35"/>
      <c r="EG13" s="34"/>
      <c r="EH13" s="34"/>
      <c r="EI13" s="35"/>
      <c r="EJ13" s="34"/>
      <c r="EK13" s="34"/>
      <c r="EL13" s="35"/>
      <c r="EM13" s="34"/>
      <c r="EN13" s="34"/>
      <c r="EO13" s="35"/>
      <c r="EP13" s="34"/>
      <c r="EQ13" s="34"/>
      <c r="ER13" s="35"/>
      <c r="ES13" s="34"/>
      <c r="ET13" s="34"/>
      <c r="EU13" s="35"/>
      <c r="EV13" s="34"/>
      <c r="EW13" s="34"/>
      <c r="EX13" s="35"/>
      <c r="EY13" s="34"/>
      <c r="EZ13" s="34"/>
      <c r="FA13" s="35"/>
      <c r="FB13" s="34"/>
      <c r="FC13" s="34"/>
      <c r="FD13" s="35"/>
      <c r="FE13" s="34"/>
      <c r="FF13" s="34"/>
      <c r="FG13" s="35"/>
      <c r="FH13" s="34"/>
      <c r="FI13" s="34"/>
      <c r="FJ13" s="35"/>
    </row>
    <row r="14" spans="1:1096" s="33" customFormat="1" ht="44.25" customHeight="1" thickBot="1" x14ac:dyDescent="0.3">
      <c r="A14" s="3"/>
      <c r="B14" s="421" t="s">
        <v>185</v>
      </c>
      <c r="C14" s="409"/>
      <c r="D14" s="15">
        <v>2</v>
      </c>
      <c r="E14" s="34"/>
      <c r="F14" s="34"/>
      <c r="G14" s="35"/>
      <c r="H14" s="34"/>
      <c r="I14" s="34"/>
      <c r="J14" s="35"/>
      <c r="K14" s="34"/>
      <c r="L14" s="34"/>
      <c r="M14" s="35"/>
      <c r="N14" s="34"/>
      <c r="O14" s="34"/>
      <c r="P14" s="35"/>
      <c r="Q14" s="34"/>
      <c r="R14" s="34"/>
      <c r="S14" s="35"/>
      <c r="T14" s="34"/>
      <c r="U14" s="34"/>
      <c r="V14" s="35"/>
      <c r="W14" s="34"/>
      <c r="X14" s="34"/>
      <c r="Y14" s="35"/>
      <c r="Z14" s="34"/>
      <c r="AA14" s="34"/>
      <c r="AB14" s="35"/>
      <c r="AC14" s="34"/>
      <c r="AD14" s="34"/>
      <c r="AE14" s="35"/>
      <c r="AF14" s="34"/>
      <c r="AG14" s="34"/>
      <c r="AH14" s="35"/>
      <c r="AI14" s="34"/>
      <c r="AJ14" s="34"/>
      <c r="AK14" s="35"/>
      <c r="AL14" s="34"/>
      <c r="AM14" s="34"/>
      <c r="AN14" s="35"/>
      <c r="AO14" s="34"/>
      <c r="AP14" s="34"/>
      <c r="AQ14" s="35"/>
      <c r="AR14" s="34"/>
      <c r="AS14" s="34"/>
      <c r="AT14" s="35"/>
      <c r="AU14" s="34"/>
      <c r="AV14" s="34"/>
      <c r="AW14" s="35"/>
      <c r="AX14" s="34"/>
      <c r="AY14" s="34"/>
      <c r="AZ14" s="35"/>
      <c r="BA14" s="34"/>
      <c r="BB14" s="34"/>
      <c r="BC14" s="35"/>
      <c r="BD14" s="34"/>
      <c r="BE14" s="34"/>
      <c r="BF14" s="35"/>
      <c r="BG14" s="34"/>
      <c r="BH14" s="34"/>
      <c r="BI14" s="35"/>
      <c r="BJ14" s="34"/>
      <c r="BK14" s="34"/>
      <c r="BL14" s="35"/>
      <c r="BM14" s="34"/>
      <c r="BN14" s="34"/>
      <c r="BO14" s="35"/>
      <c r="BP14" s="34"/>
      <c r="BQ14" s="34"/>
      <c r="BR14" s="35"/>
      <c r="BS14" s="34"/>
      <c r="BT14" s="34"/>
      <c r="BU14" s="35"/>
      <c r="BV14" s="34"/>
      <c r="BW14" s="34"/>
      <c r="BX14" s="35"/>
      <c r="BY14" s="34"/>
      <c r="BZ14" s="34"/>
      <c r="CA14" s="35"/>
      <c r="CB14" s="34"/>
      <c r="CC14" s="34"/>
      <c r="CD14" s="35"/>
      <c r="CE14" s="34"/>
      <c r="CF14" s="34"/>
      <c r="CG14" s="35"/>
      <c r="CH14" s="34"/>
      <c r="CI14" s="34"/>
      <c r="CJ14" s="35"/>
      <c r="CK14" s="34"/>
      <c r="CL14" s="34"/>
      <c r="CM14" s="35"/>
      <c r="CN14" s="34"/>
      <c r="CO14" s="34"/>
      <c r="CP14" s="35"/>
      <c r="CQ14" s="34"/>
      <c r="CR14" s="34"/>
      <c r="CS14" s="35"/>
      <c r="CT14" s="34"/>
      <c r="CU14" s="34"/>
      <c r="CV14" s="35"/>
      <c r="CW14" s="34"/>
      <c r="CX14" s="34"/>
      <c r="CY14" s="35"/>
      <c r="CZ14" s="34"/>
      <c r="DA14" s="34"/>
      <c r="DB14" s="35"/>
      <c r="DC14" s="34"/>
      <c r="DD14" s="34"/>
      <c r="DE14" s="35"/>
      <c r="DF14" s="34"/>
      <c r="DG14" s="34"/>
      <c r="DH14" s="35"/>
      <c r="DI14" s="34"/>
      <c r="DJ14" s="34"/>
      <c r="DK14" s="35"/>
      <c r="DL14" s="34"/>
      <c r="DM14" s="34"/>
      <c r="DN14" s="35"/>
      <c r="DO14" s="34"/>
      <c r="DP14" s="34"/>
      <c r="DQ14" s="35"/>
      <c r="DR14" s="34"/>
      <c r="DS14" s="34"/>
      <c r="DT14" s="35"/>
      <c r="DU14" s="34"/>
      <c r="DV14" s="34"/>
      <c r="DW14" s="35"/>
      <c r="DX14" s="34"/>
      <c r="DY14" s="34"/>
      <c r="DZ14" s="35"/>
      <c r="EA14" s="34"/>
      <c r="EB14" s="34"/>
      <c r="EC14" s="35"/>
      <c r="ED14" s="34"/>
      <c r="EE14" s="34"/>
      <c r="EF14" s="35"/>
      <c r="EG14" s="34"/>
      <c r="EH14" s="34"/>
      <c r="EI14" s="35"/>
      <c r="EJ14" s="34"/>
      <c r="EK14" s="34"/>
      <c r="EL14" s="35"/>
      <c r="EM14" s="34"/>
      <c r="EN14" s="34"/>
      <c r="EO14" s="35"/>
      <c r="EP14" s="34"/>
      <c r="EQ14" s="34"/>
      <c r="ER14" s="35"/>
      <c r="ES14" s="34"/>
      <c r="ET14" s="34"/>
      <c r="EU14" s="35"/>
      <c r="EV14" s="34"/>
      <c r="EW14" s="34"/>
      <c r="EX14" s="35"/>
      <c r="EY14" s="34"/>
      <c r="EZ14" s="34"/>
      <c r="FA14" s="35"/>
      <c r="FB14" s="34"/>
      <c r="FC14" s="34"/>
      <c r="FD14" s="35"/>
      <c r="FE14" s="34"/>
      <c r="FF14" s="34"/>
      <c r="FG14" s="35"/>
      <c r="FH14" s="34"/>
      <c r="FI14" s="34"/>
      <c r="FJ14" s="35"/>
    </row>
    <row r="15" spans="1:1096" s="33" customFormat="1" ht="44.25" customHeight="1" thickBot="1" x14ac:dyDescent="0.3">
      <c r="A15" s="3"/>
      <c r="B15" s="408" t="s">
        <v>186</v>
      </c>
      <c r="C15" s="409"/>
      <c r="D15" s="15">
        <v>2</v>
      </c>
      <c r="E15" s="34"/>
      <c r="F15" s="34"/>
      <c r="G15" s="35"/>
      <c r="H15" s="34"/>
      <c r="I15" s="34"/>
      <c r="J15" s="35"/>
      <c r="K15" s="34"/>
      <c r="L15" s="34"/>
      <c r="M15" s="35"/>
      <c r="N15" s="34"/>
      <c r="O15" s="34"/>
      <c r="P15" s="35"/>
      <c r="Q15" s="34"/>
      <c r="R15" s="34"/>
      <c r="S15" s="35"/>
      <c r="T15" s="34"/>
      <c r="U15" s="34"/>
      <c r="V15" s="35"/>
      <c r="W15" s="34"/>
      <c r="X15" s="34"/>
      <c r="Y15" s="35"/>
      <c r="Z15" s="34"/>
      <c r="AA15" s="34"/>
      <c r="AB15" s="35"/>
      <c r="AC15" s="34"/>
      <c r="AD15" s="34"/>
      <c r="AE15" s="35"/>
      <c r="AF15" s="34"/>
      <c r="AG15" s="34"/>
      <c r="AH15" s="35"/>
      <c r="AI15" s="34"/>
      <c r="AJ15" s="34"/>
      <c r="AK15" s="35"/>
      <c r="AL15" s="34"/>
      <c r="AM15" s="34"/>
      <c r="AN15" s="35"/>
      <c r="AO15" s="34"/>
      <c r="AP15" s="34"/>
      <c r="AQ15" s="35"/>
      <c r="AR15" s="34"/>
      <c r="AS15" s="34"/>
      <c r="AT15" s="35"/>
      <c r="AU15" s="34"/>
      <c r="AV15" s="34"/>
      <c r="AW15" s="35"/>
      <c r="AX15" s="34"/>
      <c r="AY15" s="34"/>
      <c r="AZ15" s="35"/>
      <c r="BA15" s="34"/>
      <c r="BB15" s="34"/>
      <c r="BC15" s="35"/>
      <c r="BD15" s="34"/>
      <c r="BE15" s="34"/>
      <c r="BF15" s="35"/>
      <c r="BG15" s="34"/>
      <c r="BH15" s="34"/>
      <c r="BI15" s="35"/>
      <c r="BJ15" s="34"/>
      <c r="BK15" s="34"/>
      <c r="BL15" s="35"/>
      <c r="BM15" s="34"/>
      <c r="BN15" s="34"/>
      <c r="BO15" s="35"/>
      <c r="BP15" s="34"/>
      <c r="BQ15" s="34"/>
      <c r="BR15" s="35"/>
      <c r="BS15" s="34"/>
      <c r="BT15" s="34"/>
      <c r="BU15" s="35"/>
      <c r="BV15" s="34"/>
      <c r="BW15" s="34"/>
      <c r="BX15" s="35"/>
      <c r="BY15" s="34"/>
      <c r="BZ15" s="34"/>
      <c r="CA15" s="35"/>
      <c r="CB15" s="34"/>
      <c r="CC15" s="34"/>
      <c r="CD15" s="35"/>
      <c r="CE15" s="34"/>
      <c r="CF15" s="34"/>
      <c r="CG15" s="35"/>
      <c r="CH15" s="34"/>
      <c r="CI15" s="34"/>
      <c r="CJ15" s="35"/>
      <c r="CK15" s="34"/>
      <c r="CL15" s="34"/>
      <c r="CM15" s="35"/>
      <c r="CN15" s="34"/>
      <c r="CO15" s="34"/>
      <c r="CP15" s="35"/>
      <c r="CQ15" s="34"/>
      <c r="CR15" s="34"/>
      <c r="CS15" s="35"/>
      <c r="CT15" s="34"/>
      <c r="CU15" s="34"/>
      <c r="CV15" s="35"/>
      <c r="CW15" s="34"/>
      <c r="CX15" s="34"/>
      <c r="CY15" s="35"/>
      <c r="CZ15" s="34"/>
      <c r="DA15" s="34"/>
      <c r="DB15" s="35"/>
      <c r="DC15" s="34"/>
      <c r="DD15" s="34"/>
      <c r="DE15" s="35"/>
      <c r="DF15" s="34"/>
      <c r="DG15" s="34"/>
      <c r="DH15" s="35"/>
      <c r="DI15" s="34"/>
      <c r="DJ15" s="34"/>
      <c r="DK15" s="35"/>
      <c r="DL15" s="34"/>
      <c r="DM15" s="34"/>
      <c r="DN15" s="35"/>
      <c r="DO15" s="34"/>
      <c r="DP15" s="34"/>
      <c r="DQ15" s="35"/>
      <c r="DR15" s="34"/>
      <c r="DS15" s="34"/>
      <c r="DT15" s="35"/>
      <c r="DU15" s="34"/>
      <c r="DV15" s="34"/>
      <c r="DW15" s="35"/>
      <c r="DX15" s="34"/>
      <c r="DY15" s="34"/>
      <c r="DZ15" s="35"/>
      <c r="EA15" s="34"/>
      <c r="EB15" s="34"/>
      <c r="EC15" s="35"/>
      <c r="ED15" s="34"/>
      <c r="EE15" s="34"/>
      <c r="EF15" s="35"/>
      <c r="EG15" s="34"/>
      <c r="EH15" s="34"/>
      <c r="EI15" s="35"/>
      <c r="EJ15" s="34"/>
      <c r="EK15" s="34"/>
      <c r="EL15" s="35"/>
      <c r="EM15" s="34"/>
      <c r="EN15" s="34"/>
      <c r="EO15" s="35"/>
      <c r="EP15" s="34"/>
      <c r="EQ15" s="34"/>
      <c r="ER15" s="35"/>
      <c r="ES15" s="34"/>
      <c r="ET15" s="34"/>
      <c r="EU15" s="35"/>
      <c r="EV15" s="34"/>
      <c r="EW15" s="34"/>
      <c r="EX15" s="35"/>
      <c r="EY15" s="34"/>
      <c r="EZ15" s="34"/>
      <c r="FA15" s="35"/>
      <c r="FB15" s="34"/>
      <c r="FC15" s="34"/>
      <c r="FD15" s="35"/>
      <c r="FE15" s="34"/>
      <c r="FF15" s="34"/>
      <c r="FG15" s="35"/>
      <c r="FH15" s="34"/>
      <c r="FI15" s="34"/>
      <c r="FJ15" s="35"/>
    </row>
    <row r="16" spans="1:1096" s="33" customFormat="1" ht="44.25" customHeight="1" thickBot="1" x14ac:dyDescent="0.3">
      <c r="A16" s="3"/>
      <c r="B16" s="408" t="s">
        <v>187</v>
      </c>
      <c r="C16" s="409"/>
      <c r="D16" s="15">
        <v>3</v>
      </c>
      <c r="E16" s="34"/>
      <c r="F16" s="34"/>
      <c r="G16" s="35"/>
      <c r="H16" s="34"/>
      <c r="I16" s="34"/>
      <c r="J16" s="35"/>
      <c r="K16" s="34"/>
      <c r="L16" s="34"/>
      <c r="M16" s="35"/>
      <c r="N16" s="34"/>
      <c r="O16" s="34"/>
      <c r="P16" s="35"/>
      <c r="Q16" s="34"/>
      <c r="R16" s="34"/>
      <c r="S16" s="35"/>
      <c r="T16" s="34"/>
      <c r="U16" s="34"/>
      <c r="V16" s="35"/>
      <c r="W16" s="34"/>
      <c r="X16" s="34"/>
      <c r="Y16" s="35"/>
      <c r="Z16" s="34"/>
      <c r="AA16" s="34"/>
      <c r="AB16" s="35"/>
      <c r="AC16" s="34"/>
      <c r="AD16" s="34"/>
      <c r="AE16" s="35"/>
      <c r="AF16" s="34"/>
      <c r="AG16" s="34"/>
      <c r="AH16" s="35"/>
      <c r="AI16" s="34"/>
      <c r="AJ16" s="34"/>
      <c r="AK16" s="35"/>
      <c r="AL16" s="34"/>
      <c r="AM16" s="34"/>
      <c r="AN16" s="35"/>
      <c r="AO16" s="34"/>
      <c r="AP16" s="34"/>
      <c r="AQ16" s="35"/>
      <c r="AR16" s="34"/>
      <c r="AS16" s="34"/>
      <c r="AT16" s="35"/>
      <c r="AU16" s="34"/>
      <c r="AV16" s="34"/>
      <c r="AW16" s="35"/>
      <c r="AX16" s="34"/>
      <c r="AY16" s="34"/>
      <c r="AZ16" s="35"/>
      <c r="BA16" s="34"/>
      <c r="BB16" s="34"/>
      <c r="BC16" s="35"/>
      <c r="BD16" s="34"/>
      <c r="BE16" s="34"/>
      <c r="BF16" s="35"/>
      <c r="BG16" s="34"/>
      <c r="BH16" s="34"/>
      <c r="BI16" s="35"/>
      <c r="BJ16" s="34"/>
      <c r="BK16" s="34"/>
      <c r="BL16" s="35"/>
      <c r="BM16" s="34"/>
      <c r="BN16" s="34"/>
      <c r="BO16" s="35"/>
      <c r="BP16" s="34"/>
      <c r="BQ16" s="34"/>
      <c r="BR16" s="35"/>
      <c r="BS16" s="34"/>
      <c r="BT16" s="34"/>
      <c r="BU16" s="35"/>
      <c r="BV16" s="34"/>
      <c r="BW16" s="34"/>
      <c r="BX16" s="35"/>
      <c r="BY16" s="34"/>
      <c r="BZ16" s="34"/>
      <c r="CA16" s="35"/>
      <c r="CB16" s="34"/>
      <c r="CC16" s="34"/>
      <c r="CD16" s="35"/>
      <c r="CE16" s="34"/>
      <c r="CF16" s="34"/>
      <c r="CG16" s="35"/>
      <c r="CH16" s="34"/>
      <c r="CI16" s="34"/>
      <c r="CJ16" s="35"/>
      <c r="CK16" s="34"/>
      <c r="CL16" s="34"/>
      <c r="CM16" s="35"/>
      <c r="CN16" s="34"/>
      <c r="CO16" s="34"/>
      <c r="CP16" s="35"/>
      <c r="CQ16" s="34"/>
      <c r="CR16" s="34"/>
      <c r="CS16" s="35"/>
      <c r="CT16" s="34"/>
      <c r="CU16" s="34"/>
      <c r="CV16" s="35"/>
      <c r="CW16" s="34"/>
      <c r="CX16" s="34"/>
      <c r="CY16" s="35"/>
      <c r="CZ16" s="34"/>
      <c r="DA16" s="34"/>
      <c r="DB16" s="35"/>
      <c r="DC16" s="34"/>
      <c r="DD16" s="34"/>
      <c r="DE16" s="35"/>
      <c r="DF16" s="34"/>
      <c r="DG16" s="34"/>
      <c r="DH16" s="35"/>
      <c r="DI16" s="34"/>
      <c r="DJ16" s="34"/>
      <c r="DK16" s="35"/>
      <c r="DL16" s="34"/>
      <c r="DM16" s="34"/>
      <c r="DN16" s="35"/>
      <c r="DO16" s="34"/>
      <c r="DP16" s="34"/>
      <c r="DQ16" s="35"/>
      <c r="DR16" s="34"/>
      <c r="DS16" s="34"/>
      <c r="DT16" s="35"/>
      <c r="DU16" s="34"/>
      <c r="DV16" s="34"/>
      <c r="DW16" s="35"/>
      <c r="DX16" s="34"/>
      <c r="DY16" s="34"/>
      <c r="DZ16" s="35"/>
      <c r="EA16" s="34"/>
      <c r="EB16" s="34"/>
      <c r="EC16" s="35"/>
      <c r="ED16" s="34"/>
      <c r="EE16" s="34"/>
      <c r="EF16" s="35"/>
      <c r="EG16" s="34"/>
      <c r="EH16" s="34"/>
      <c r="EI16" s="35"/>
      <c r="EJ16" s="34"/>
      <c r="EK16" s="34"/>
      <c r="EL16" s="35"/>
      <c r="EM16" s="34"/>
      <c r="EN16" s="34"/>
      <c r="EO16" s="35"/>
      <c r="EP16" s="34"/>
      <c r="EQ16" s="34"/>
      <c r="ER16" s="35"/>
      <c r="ES16" s="34"/>
      <c r="ET16" s="34"/>
      <c r="EU16" s="35"/>
      <c r="EV16" s="34"/>
      <c r="EW16" s="34"/>
      <c r="EX16" s="35"/>
      <c r="EY16" s="34"/>
      <c r="EZ16" s="34"/>
      <c r="FA16" s="35"/>
      <c r="FB16" s="34"/>
      <c r="FC16" s="34"/>
      <c r="FD16" s="35"/>
      <c r="FE16" s="34"/>
      <c r="FF16" s="34"/>
      <c r="FG16" s="35"/>
      <c r="FH16" s="34"/>
      <c r="FI16" s="34"/>
      <c r="FJ16" s="35"/>
    </row>
    <row r="17" spans="1:166" s="33" customFormat="1" ht="80.25" customHeight="1" thickBot="1" x14ac:dyDescent="0.3">
      <c r="A17" s="3"/>
      <c r="B17" s="408" t="s">
        <v>188</v>
      </c>
      <c r="C17" s="409"/>
      <c r="D17" s="15">
        <v>2</v>
      </c>
      <c r="E17" s="31"/>
      <c r="F17" s="31"/>
      <c r="G17" s="32"/>
      <c r="H17" s="31"/>
      <c r="I17" s="31"/>
      <c r="J17" s="32"/>
      <c r="K17" s="31"/>
      <c r="L17" s="31"/>
      <c r="M17" s="32"/>
      <c r="N17" s="31"/>
      <c r="O17" s="31"/>
      <c r="P17" s="32"/>
      <c r="Q17" s="31"/>
      <c r="R17" s="31"/>
      <c r="S17" s="32"/>
      <c r="T17" s="31"/>
      <c r="U17" s="31"/>
      <c r="V17" s="32"/>
      <c r="W17" s="31"/>
      <c r="X17" s="31"/>
      <c r="Y17" s="32"/>
      <c r="Z17" s="31"/>
      <c r="AA17" s="31"/>
      <c r="AB17" s="32"/>
      <c r="AC17" s="31"/>
      <c r="AD17" s="31"/>
      <c r="AE17" s="32"/>
      <c r="AF17" s="31"/>
      <c r="AG17" s="31"/>
      <c r="AH17" s="32"/>
      <c r="AI17" s="31"/>
      <c r="AJ17" s="31"/>
      <c r="AK17" s="32"/>
      <c r="AL17" s="31"/>
      <c r="AM17" s="31"/>
      <c r="AN17" s="32"/>
      <c r="AO17" s="31"/>
      <c r="AP17" s="31"/>
      <c r="AQ17" s="32"/>
      <c r="AR17" s="31"/>
      <c r="AS17" s="31"/>
      <c r="AT17" s="32"/>
      <c r="AU17" s="31"/>
      <c r="AV17" s="31"/>
      <c r="AW17" s="32"/>
      <c r="AX17" s="31"/>
      <c r="AY17" s="31"/>
      <c r="AZ17" s="32"/>
      <c r="BA17" s="31"/>
      <c r="BB17" s="31"/>
      <c r="BC17" s="32"/>
      <c r="BD17" s="31"/>
      <c r="BE17" s="31"/>
      <c r="BF17" s="32"/>
      <c r="BG17" s="31"/>
      <c r="BH17" s="31"/>
      <c r="BI17" s="32"/>
      <c r="BJ17" s="31"/>
      <c r="BK17" s="31"/>
      <c r="BL17" s="32"/>
      <c r="BM17" s="31"/>
      <c r="BN17" s="31"/>
      <c r="BO17" s="32"/>
      <c r="BP17" s="31"/>
      <c r="BQ17" s="31"/>
      <c r="BR17" s="32"/>
      <c r="BS17" s="31"/>
      <c r="BT17" s="31"/>
      <c r="BU17" s="32"/>
      <c r="BV17" s="31"/>
      <c r="BW17" s="31"/>
      <c r="BX17" s="32"/>
      <c r="BY17" s="31"/>
      <c r="BZ17" s="31"/>
      <c r="CA17" s="32"/>
      <c r="CB17" s="31"/>
      <c r="CC17" s="31"/>
      <c r="CD17" s="32"/>
      <c r="CE17" s="31"/>
      <c r="CF17" s="31"/>
      <c r="CG17" s="32"/>
      <c r="CH17" s="31"/>
      <c r="CI17" s="31"/>
      <c r="CJ17" s="32"/>
      <c r="CK17" s="31"/>
      <c r="CL17" s="31"/>
      <c r="CM17" s="32"/>
      <c r="CN17" s="31"/>
      <c r="CO17" s="31"/>
      <c r="CP17" s="32"/>
      <c r="CQ17" s="31"/>
      <c r="CR17" s="31"/>
      <c r="CS17" s="32"/>
      <c r="CT17" s="31"/>
      <c r="CU17" s="31"/>
      <c r="CV17" s="32"/>
      <c r="CW17" s="31"/>
      <c r="CX17" s="31"/>
      <c r="CY17" s="32"/>
      <c r="CZ17" s="31"/>
      <c r="DA17" s="31"/>
      <c r="DB17" s="32"/>
      <c r="DC17" s="31"/>
      <c r="DD17" s="31"/>
      <c r="DE17" s="32"/>
      <c r="DF17" s="31"/>
      <c r="DG17" s="31"/>
      <c r="DH17" s="32"/>
      <c r="DI17" s="31"/>
      <c r="DJ17" s="31"/>
      <c r="DK17" s="32"/>
      <c r="DL17" s="31"/>
      <c r="DM17" s="31"/>
      <c r="DN17" s="32"/>
      <c r="DO17" s="31"/>
      <c r="DP17" s="31"/>
      <c r="DQ17" s="32"/>
      <c r="DR17" s="31"/>
      <c r="DS17" s="31"/>
      <c r="DT17" s="32"/>
      <c r="DU17" s="31"/>
      <c r="DV17" s="31"/>
      <c r="DW17" s="32"/>
      <c r="DX17" s="31"/>
      <c r="DY17" s="31"/>
      <c r="DZ17" s="32"/>
      <c r="EA17" s="31"/>
      <c r="EB17" s="31"/>
      <c r="EC17" s="32"/>
      <c r="ED17" s="31"/>
      <c r="EE17" s="31"/>
      <c r="EF17" s="32"/>
      <c r="EG17" s="31"/>
      <c r="EH17" s="31"/>
      <c r="EI17" s="32"/>
      <c r="EJ17" s="31"/>
      <c r="EK17" s="31"/>
      <c r="EL17" s="32"/>
      <c r="EM17" s="31"/>
      <c r="EN17" s="31"/>
      <c r="EO17" s="32"/>
      <c r="EP17" s="31"/>
      <c r="EQ17" s="31"/>
      <c r="ER17" s="32"/>
      <c r="ES17" s="31"/>
      <c r="ET17" s="31"/>
      <c r="EU17" s="32"/>
      <c r="EV17" s="31"/>
      <c r="EW17" s="31"/>
      <c r="EX17" s="32"/>
      <c r="EY17" s="31"/>
      <c r="EZ17" s="31"/>
      <c r="FA17" s="32"/>
      <c r="FB17" s="31"/>
      <c r="FC17" s="31"/>
      <c r="FD17" s="32"/>
      <c r="FE17" s="31"/>
      <c r="FF17" s="31"/>
      <c r="FG17" s="32"/>
      <c r="FH17" s="31"/>
      <c r="FI17" s="31"/>
      <c r="FJ17" s="32"/>
    </row>
    <row r="18" spans="1:166" s="33" customFormat="1" ht="35.25" customHeight="1" thickBot="1" x14ac:dyDescent="0.3">
      <c r="A18" s="3"/>
      <c r="B18" s="422" t="s">
        <v>189</v>
      </c>
      <c r="C18" s="423"/>
      <c r="D18" s="15">
        <v>1</v>
      </c>
      <c r="E18" s="34"/>
      <c r="F18" s="34"/>
      <c r="G18" s="35"/>
      <c r="H18" s="34"/>
      <c r="I18" s="34"/>
      <c r="J18" s="35"/>
      <c r="K18" s="34"/>
      <c r="L18" s="34"/>
      <c r="M18" s="35"/>
      <c r="N18" s="34"/>
      <c r="O18" s="34"/>
      <c r="P18" s="35"/>
      <c r="Q18" s="34"/>
      <c r="R18" s="34"/>
      <c r="S18" s="35"/>
      <c r="T18" s="34"/>
      <c r="U18" s="34"/>
      <c r="V18" s="35"/>
      <c r="W18" s="34"/>
      <c r="X18" s="34"/>
      <c r="Y18" s="35"/>
      <c r="Z18" s="34"/>
      <c r="AA18" s="34"/>
      <c r="AB18" s="35"/>
      <c r="AC18" s="34"/>
      <c r="AD18" s="34"/>
      <c r="AE18" s="35"/>
      <c r="AF18" s="34"/>
      <c r="AG18" s="34"/>
      <c r="AH18" s="35"/>
      <c r="AI18" s="34"/>
      <c r="AJ18" s="34"/>
      <c r="AK18" s="35"/>
      <c r="AL18" s="34"/>
      <c r="AM18" s="34"/>
      <c r="AN18" s="35"/>
      <c r="AO18" s="34"/>
      <c r="AP18" s="34"/>
      <c r="AQ18" s="35"/>
      <c r="AR18" s="34"/>
      <c r="AS18" s="34"/>
      <c r="AT18" s="35"/>
      <c r="AU18" s="34"/>
      <c r="AV18" s="34"/>
      <c r="AW18" s="35"/>
      <c r="AX18" s="34"/>
      <c r="AY18" s="34"/>
      <c r="AZ18" s="35"/>
      <c r="BA18" s="34"/>
      <c r="BB18" s="34"/>
      <c r="BC18" s="35"/>
      <c r="BD18" s="34"/>
      <c r="BE18" s="34"/>
      <c r="BF18" s="35"/>
      <c r="BG18" s="34"/>
      <c r="BH18" s="34"/>
      <c r="BI18" s="35"/>
      <c r="BJ18" s="34"/>
      <c r="BK18" s="34"/>
      <c r="BL18" s="35"/>
      <c r="BM18" s="34"/>
      <c r="BN18" s="34"/>
      <c r="BO18" s="35"/>
      <c r="BP18" s="34"/>
      <c r="BQ18" s="34"/>
      <c r="BR18" s="35"/>
      <c r="BS18" s="34"/>
      <c r="BT18" s="34"/>
      <c r="BU18" s="35"/>
      <c r="BV18" s="34"/>
      <c r="BW18" s="34"/>
      <c r="BX18" s="35"/>
      <c r="BY18" s="34"/>
      <c r="BZ18" s="34"/>
      <c r="CA18" s="35"/>
      <c r="CB18" s="34"/>
      <c r="CC18" s="34"/>
      <c r="CD18" s="35"/>
      <c r="CE18" s="34"/>
      <c r="CF18" s="34"/>
      <c r="CG18" s="35"/>
      <c r="CH18" s="34"/>
      <c r="CI18" s="34"/>
      <c r="CJ18" s="35"/>
      <c r="CK18" s="34"/>
      <c r="CL18" s="34"/>
      <c r="CM18" s="35"/>
      <c r="CN18" s="34"/>
      <c r="CO18" s="34"/>
      <c r="CP18" s="35"/>
      <c r="CQ18" s="34"/>
      <c r="CR18" s="34"/>
      <c r="CS18" s="35"/>
      <c r="CT18" s="34"/>
      <c r="CU18" s="34"/>
      <c r="CV18" s="35"/>
      <c r="CW18" s="34"/>
      <c r="CX18" s="34"/>
      <c r="CY18" s="35"/>
      <c r="CZ18" s="34"/>
      <c r="DA18" s="34"/>
      <c r="DB18" s="35"/>
      <c r="DC18" s="34"/>
      <c r="DD18" s="34"/>
      <c r="DE18" s="35"/>
      <c r="DF18" s="34"/>
      <c r="DG18" s="34"/>
      <c r="DH18" s="35"/>
      <c r="DI18" s="34"/>
      <c r="DJ18" s="34"/>
      <c r="DK18" s="35"/>
      <c r="DL18" s="34"/>
      <c r="DM18" s="34"/>
      <c r="DN18" s="35"/>
      <c r="DO18" s="34"/>
      <c r="DP18" s="34"/>
      <c r="DQ18" s="35"/>
      <c r="DR18" s="34"/>
      <c r="DS18" s="34"/>
      <c r="DT18" s="35"/>
      <c r="DU18" s="34"/>
      <c r="DV18" s="34"/>
      <c r="DW18" s="35"/>
      <c r="DX18" s="34"/>
      <c r="DY18" s="34"/>
      <c r="DZ18" s="35"/>
      <c r="EA18" s="34"/>
      <c r="EB18" s="34"/>
      <c r="EC18" s="35"/>
      <c r="ED18" s="34"/>
      <c r="EE18" s="34"/>
      <c r="EF18" s="35"/>
      <c r="EG18" s="34"/>
      <c r="EH18" s="34"/>
      <c r="EI18" s="35"/>
      <c r="EJ18" s="34"/>
      <c r="EK18" s="34"/>
      <c r="EL18" s="35"/>
      <c r="EM18" s="34"/>
      <c r="EN18" s="34"/>
      <c r="EO18" s="35"/>
      <c r="EP18" s="34"/>
      <c r="EQ18" s="34"/>
      <c r="ER18" s="35"/>
      <c r="ES18" s="34"/>
      <c r="ET18" s="34"/>
      <c r="EU18" s="35"/>
      <c r="EV18" s="34"/>
      <c r="EW18" s="34"/>
      <c r="EX18" s="35"/>
      <c r="EY18" s="34"/>
      <c r="EZ18" s="34"/>
      <c r="FA18" s="35"/>
      <c r="FB18" s="34"/>
      <c r="FC18" s="34"/>
      <c r="FD18" s="35"/>
      <c r="FE18" s="34"/>
      <c r="FF18" s="34"/>
      <c r="FG18" s="35"/>
      <c r="FH18" s="34"/>
      <c r="FI18" s="34"/>
      <c r="FJ18" s="35"/>
    </row>
    <row r="19" spans="1:166" s="33" customFormat="1" ht="42" customHeight="1" thickBot="1" x14ac:dyDescent="0.3">
      <c r="A19" s="3"/>
      <c r="B19" s="424" t="s">
        <v>190</v>
      </c>
      <c r="C19" s="425"/>
      <c r="D19" s="24">
        <v>2</v>
      </c>
      <c r="E19" s="36"/>
      <c r="F19" s="36"/>
      <c r="G19" s="37"/>
      <c r="H19" s="36"/>
      <c r="I19" s="36"/>
      <c r="J19" s="37"/>
      <c r="K19" s="36"/>
      <c r="L19" s="36"/>
      <c r="M19" s="37"/>
      <c r="N19" s="36"/>
      <c r="O19" s="36"/>
      <c r="P19" s="37"/>
      <c r="Q19" s="36"/>
      <c r="R19" s="36"/>
      <c r="S19" s="37"/>
      <c r="T19" s="36"/>
      <c r="U19" s="36"/>
      <c r="V19" s="37"/>
      <c r="W19" s="36"/>
      <c r="X19" s="36"/>
      <c r="Y19" s="37"/>
      <c r="Z19" s="36"/>
      <c r="AA19" s="36"/>
      <c r="AB19" s="37"/>
      <c r="AC19" s="36"/>
      <c r="AD19" s="36"/>
      <c r="AE19" s="37"/>
      <c r="AF19" s="36"/>
      <c r="AG19" s="36"/>
      <c r="AH19" s="37"/>
      <c r="AI19" s="36"/>
      <c r="AJ19" s="36"/>
      <c r="AK19" s="37"/>
      <c r="AL19" s="36"/>
      <c r="AM19" s="36"/>
      <c r="AN19" s="37"/>
      <c r="AO19" s="36"/>
      <c r="AP19" s="36"/>
      <c r="AQ19" s="37"/>
      <c r="AR19" s="36"/>
      <c r="AS19" s="36"/>
      <c r="AT19" s="37"/>
      <c r="AU19" s="36"/>
      <c r="AV19" s="36"/>
      <c r="AW19" s="37"/>
      <c r="AX19" s="36"/>
      <c r="AY19" s="36"/>
      <c r="AZ19" s="37"/>
      <c r="BA19" s="36"/>
      <c r="BB19" s="36"/>
      <c r="BC19" s="37"/>
      <c r="BD19" s="36"/>
      <c r="BE19" s="36"/>
      <c r="BF19" s="37"/>
      <c r="BG19" s="36"/>
      <c r="BH19" s="36"/>
      <c r="BI19" s="37"/>
      <c r="BJ19" s="36"/>
      <c r="BK19" s="36"/>
      <c r="BL19" s="37"/>
      <c r="BM19" s="36"/>
      <c r="BN19" s="36"/>
      <c r="BO19" s="37"/>
      <c r="BP19" s="36"/>
      <c r="BQ19" s="36"/>
      <c r="BR19" s="37"/>
      <c r="BS19" s="36"/>
      <c r="BT19" s="36"/>
      <c r="BU19" s="37"/>
      <c r="BV19" s="36"/>
      <c r="BW19" s="36"/>
      <c r="BX19" s="37"/>
      <c r="BY19" s="36"/>
      <c r="BZ19" s="36"/>
      <c r="CA19" s="37"/>
      <c r="CB19" s="36"/>
      <c r="CC19" s="36"/>
      <c r="CD19" s="37"/>
      <c r="CE19" s="36"/>
      <c r="CF19" s="36"/>
      <c r="CG19" s="37"/>
      <c r="CH19" s="36"/>
      <c r="CI19" s="36"/>
      <c r="CJ19" s="37"/>
      <c r="CK19" s="36"/>
      <c r="CL19" s="36"/>
      <c r="CM19" s="37"/>
      <c r="CN19" s="36"/>
      <c r="CO19" s="36"/>
      <c r="CP19" s="37"/>
      <c r="CQ19" s="36"/>
      <c r="CR19" s="36"/>
      <c r="CS19" s="37"/>
      <c r="CT19" s="36"/>
      <c r="CU19" s="36"/>
      <c r="CV19" s="37"/>
      <c r="CW19" s="36"/>
      <c r="CX19" s="36"/>
      <c r="CY19" s="37"/>
      <c r="CZ19" s="36"/>
      <c r="DA19" s="36"/>
      <c r="DB19" s="37"/>
      <c r="DC19" s="36"/>
      <c r="DD19" s="36"/>
      <c r="DE19" s="37"/>
      <c r="DF19" s="36"/>
      <c r="DG19" s="36"/>
      <c r="DH19" s="37"/>
      <c r="DI19" s="36"/>
      <c r="DJ19" s="36"/>
      <c r="DK19" s="37"/>
      <c r="DL19" s="36"/>
      <c r="DM19" s="36"/>
      <c r="DN19" s="37"/>
      <c r="DO19" s="36"/>
      <c r="DP19" s="36"/>
      <c r="DQ19" s="37"/>
      <c r="DR19" s="36"/>
      <c r="DS19" s="36"/>
      <c r="DT19" s="37"/>
      <c r="DU19" s="36"/>
      <c r="DV19" s="36"/>
      <c r="DW19" s="37"/>
      <c r="DX19" s="36"/>
      <c r="DY19" s="36"/>
      <c r="DZ19" s="37"/>
      <c r="EA19" s="36"/>
      <c r="EB19" s="36"/>
      <c r="EC19" s="37"/>
      <c r="ED19" s="36"/>
      <c r="EE19" s="36"/>
      <c r="EF19" s="37"/>
      <c r="EG19" s="36"/>
      <c r="EH19" s="36"/>
      <c r="EI19" s="37"/>
      <c r="EJ19" s="36"/>
      <c r="EK19" s="36"/>
      <c r="EL19" s="37"/>
      <c r="EM19" s="36"/>
      <c r="EN19" s="36"/>
      <c r="EO19" s="37"/>
      <c r="EP19" s="36"/>
      <c r="EQ19" s="36"/>
      <c r="ER19" s="37"/>
      <c r="ES19" s="36"/>
      <c r="ET19" s="36"/>
      <c r="EU19" s="37"/>
      <c r="EV19" s="36"/>
      <c r="EW19" s="36"/>
      <c r="EX19" s="37"/>
      <c r="EY19" s="36"/>
      <c r="EZ19" s="36"/>
      <c r="FA19" s="37"/>
      <c r="FB19" s="36"/>
      <c r="FC19" s="36"/>
      <c r="FD19" s="37"/>
      <c r="FE19" s="36"/>
      <c r="FF19" s="36"/>
      <c r="FG19" s="37"/>
      <c r="FH19" s="36"/>
      <c r="FI19" s="36"/>
      <c r="FJ19" s="37"/>
    </row>
    <row r="20" spans="1:166" s="33" customFormat="1" ht="34.5" customHeight="1" thickBot="1" x14ac:dyDescent="0.3">
      <c r="A20" s="3"/>
      <c r="B20" s="426" t="s">
        <v>191</v>
      </c>
      <c r="C20" s="425"/>
      <c r="D20" s="25">
        <v>2</v>
      </c>
      <c r="E20" s="31"/>
      <c r="F20" s="31"/>
      <c r="G20" s="32"/>
      <c r="H20" s="31"/>
      <c r="I20" s="31"/>
      <c r="J20" s="32"/>
      <c r="K20" s="31"/>
      <c r="L20" s="31"/>
      <c r="M20" s="32"/>
      <c r="N20" s="31"/>
      <c r="O20" s="31"/>
      <c r="P20" s="32"/>
      <c r="Q20" s="31"/>
      <c r="R20" s="31"/>
      <c r="S20" s="32"/>
      <c r="T20" s="31"/>
      <c r="U20" s="31"/>
      <c r="V20" s="32"/>
      <c r="W20" s="31"/>
      <c r="X20" s="31"/>
      <c r="Y20" s="32"/>
      <c r="Z20" s="31"/>
      <c r="AA20" s="31"/>
      <c r="AB20" s="32"/>
      <c r="AC20" s="31"/>
      <c r="AD20" s="31"/>
      <c r="AE20" s="32"/>
      <c r="AF20" s="31"/>
      <c r="AG20" s="31"/>
      <c r="AH20" s="32"/>
      <c r="AI20" s="31"/>
      <c r="AJ20" s="31"/>
      <c r="AK20" s="32"/>
      <c r="AL20" s="31"/>
      <c r="AM20" s="31"/>
      <c r="AN20" s="32"/>
      <c r="AO20" s="31"/>
      <c r="AP20" s="31"/>
      <c r="AQ20" s="32"/>
      <c r="AR20" s="31"/>
      <c r="AS20" s="31"/>
      <c r="AT20" s="32"/>
      <c r="AU20" s="31"/>
      <c r="AV20" s="31"/>
      <c r="AW20" s="32"/>
      <c r="AX20" s="31"/>
      <c r="AY20" s="31"/>
      <c r="AZ20" s="32"/>
      <c r="BA20" s="31"/>
      <c r="BB20" s="31"/>
      <c r="BC20" s="32"/>
      <c r="BD20" s="31"/>
      <c r="BE20" s="31"/>
      <c r="BF20" s="32"/>
      <c r="BG20" s="31"/>
      <c r="BH20" s="31"/>
      <c r="BI20" s="32"/>
      <c r="BJ20" s="31"/>
      <c r="BK20" s="31"/>
      <c r="BL20" s="32"/>
      <c r="BM20" s="31"/>
      <c r="BN20" s="31"/>
      <c r="BO20" s="32"/>
      <c r="BP20" s="31"/>
      <c r="BQ20" s="31"/>
      <c r="BR20" s="32"/>
      <c r="BS20" s="31"/>
      <c r="BT20" s="31"/>
      <c r="BU20" s="32"/>
      <c r="BV20" s="31"/>
      <c r="BW20" s="31"/>
      <c r="BX20" s="32"/>
      <c r="BY20" s="31"/>
      <c r="BZ20" s="31"/>
      <c r="CA20" s="32"/>
      <c r="CB20" s="31"/>
      <c r="CC20" s="31"/>
      <c r="CD20" s="32"/>
      <c r="CE20" s="31"/>
      <c r="CF20" s="31"/>
      <c r="CG20" s="32"/>
      <c r="CH20" s="31"/>
      <c r="CI20" s="31"/>
      <c r="CJ20" s="32"/>
      <c r="CK20" s="31"/>
      <c r="CL20" s="31"/>
      <c r="CM20" s="32"/>
      <c r="CN20" s="31"/>
      <c r="CO20" s="31"/>
      <c r="CP20" s="32"/>
      <c r="CQ20" s="31"/>
      <c r="CR20" s="31"/>
      <c r="CS20" s="32"/>
      <c r="CT20" s="31"/>
      <c r="CU20" s="31"/>
      <c r="CV20" s="32"/>
      <c r="CW20" s="31"/>
      <c r="CX20" s="31"/>
      <c r="CY20" s="32"/>
      <c r="CZ20" s="31"/>
      <c r="DA20" s="31"/>
      <c r="DB20" s="32"/>
      <c r="DC20" s="31"/>
      <c r="DD20" s="31"/>
      <c r="DE20" s="32"/>
      <c r="DF20" s="31"/>
      <c r="DG20" s="31"/>
      <c r="DH20" s="32"/>
      <c r="DI20" s="31"/>
      <c r="DJ20" s="31"/>
      <c r="DK20" s="32"/>
      <c r="DL20" s="31"/>
      <c r="DM20" s="31"/>
      <c r="DN20" s="32"/>
      <c r="DO20" s="31"/>
      <c r="DP20" s="31"/>
      <c r="DQ20" s="32"/>
      <c r="DR20" s="31"/>
      <c r="DS20" s="31"/>
      <c r="DT20" s="32"/>
      <c r="DU20" s="31"/>
      <c r="DV20" s="31"/>
      <c r="DW20" s="32"/>
      <c r="DX20" s="31"/>
      <c r="DY20" s="31"/>
      <c r="DZ20" s="32"/>
      <c r="EA20" s="31"/>
      <c r="EB20" s="31"/>
      <c r="EC20" s="32"/>
      <c r="ED20" s="31"/>
      <c r="EE20" s="31"/>
      <c r="EF20" s="32"/>
      <c r="EG20" s="31"/>
      <c r="EH20" s="31"/>
      <c r="EI20" s="32"/>
      <c r="EJ20" s="31"/>
      <c r="EK20" s="31"/>
      <c r="EL20" s="32"/>
      <c r="EM20" s="31"/>
      <c r="EN20" s="31"/>
      <c r="EO20" s="32"/>
      <c r="EP20" s="31"/>
      <c r="EQ20" s="31"/>
      <c r="ER20" s="32"/>
      <c r="ES20" s="31"/>
      <c r="ET20" s="31"/>
      <c r="EU20" s="32"/>
      <c r="EV20" s="31"/>
      <c r="EW20" s="31"/>
      <c r="EX20" s="32"/>
      <c r="EY20" s="31"/>
      <c r="EZ20" s="31"/>
      <c r="FA20" s="32"/>
      <c r="FB20" s="31"/>
      <c r="FC20" s="31"/>
      <c r="FD20" s="32"/>
      <c r="FE20" s="31"/>
      <c r="FF20" s="31"/>
      <c r="FG20" s="32"/>
      <c r="FH20" s="31"/>
      <c r="FI20" s="31"/>
      <c r="FJ20" s="32"/>
    </row>
    <row r="21" spans="1:166" ht="18.75" thickBot="1" x14ac:dyDescent="0.3">
      <c r="B21" s="415" t="s">
        <v>192</v>
      </c>
      <c r="C21" s="416"/>
      <c r="D21" s="16"/>
      <c r="E21" s="8"/>
      <c r="F21" s="8"/>
      <c r="G21" s="11"/>
      <c r="H21" s="8"/>
      <c r="I21" s="8"/>
      <c r="J21" s="11"/>
      <c r="K21" s="8"/>
      <c r="L21" s="8"/>
      <c r="M21" s="11"/>
      <c r="N21" s="8"/>
      <c r="O21" s="8"/>
      <c r="P21" s="11"/>
      <c r="Q21" s="8"/>
      <c r="R21" s="8"/>
      <c r="S21" s="11"/>
      <c r="T21" s="8"/>
      <c r="U21" s="8"/>
      <c r="V21" s="11"/>
      <c r="W21" s="8"/>
      <c r="X21" s="8"/>
      <c r="Y21" s="11"/>
      <c r="Z21" s="8"/>
      <c r="AA21" s="8"/>
      <c r="AB21" s="11"/>
      <c r="AC21" s="8"/>
      <c r="AD21" s="8"/>
      <c r="AE21" s="11"/>
      <c r="AF21" s="8"/>
      <c r="AG21" s="8"/>
      <c r="AH21" s="11"/>
      <c r="AI21" s="8"/>
      <c r="AJ21" s="8"/>
      <c r="AK21" s="11"/>
      <c r="AL21" s="8"/>
      <c r="AM21" s="8"/>
      <c r="AN21" s="11"/>
      <c r="AO21" s="8"/>
      <c r="AP21" s="8"/>
      <c r="AQ21" s="11"/>
      <c r="AR21" s="8"/>
      <c r="AS21" s="8"/>
      <c r="AT21" s="11"/>
      <c r="AU21" s="8"/>
      <c r="AV21" s="8"/>
      <c r="AW21" s="11"/>
      <c r="AX21" s="8"/>
      <c r="AY21" s="8"/>
      <c r="AZ21" s="11"/>
      <c r="BA21" s="8"/>
      <c r="BB21" s="8"/>
      <c r="BC21" s="11"/>
      <c r="BD21" s="8"/>
      <c r="BE21" s="8"/>
      <c r="BF21" s="11"/>
      <c r="BG21" s="8"/>
      <c r="BH21" s="8"/>
      <c r="BI21" s="11"/>
      <c r="BJ21" s="8"/>
      <c r="BK21" s="8"/>
      <c r="BL21" s="11"/>
      <c r="BM21" s="8"/>
      <c r="BN21" s="8"/>
      <c r="BO21" s="11"/>
      <c r="BP21" s="8"/>
      <c r="BQ21" s="8"/>
      <c r="BR21" s="11"/>
      <c r="BS21" s="8"/>
      <c r="BT21" s="8"/>
      <c r="BU21" s="11"/>
      <c r="BV21" s="8"/>
      <c r="BW21" s="8"/>
      <c r="BX21" s="11"/>
      <c r="BY21" s="8"/>
      <c r="BZ21" s="8"/>
      <c r="CA21" s="11"/>
      <c r="CB21" s="8"/>
      <c r="CC21" s="8"/>
      <c r="CD21" s="11"/>
      <c r="CE21" s="8"/>
      <c r="CF21" s="8"/>
      <c r="CG21" s="11"/>
      <c r="CH21" s="8"/>
      <c r="CI21" s="8"/>
      <c r="CJ21" s="11"/>
      <c r="CK21" s="8"/>
      <c r="CL21" s="8"/>
      <c r="CM21" s="11"/>
      <c r="CN21" s="8"/>
      <c r="CO21" s="8"/>
      <c r="CP21" s="11"/>
      <c r="CQ21" s="8"/>
      <c r="CR21" s="8"/>
      <c r="CS21" s="11"/>
      <c r="CT21" s="8"/>
      <c r="CU21" s="8"/>
      <c r="CV21" s="11"/>
      <c r="CW21" s="8"/>
      <c r="CX21" s="8"/>
      <c r="CY21" s="11"/>
      <c r="CZ21" s="8"/>
      <c r="DA21" s="8"/>
      <c r="DB21" s="11"/>
      <c r="DC21" s="8"/>
      <c r="DD21" s="8"/>
      <c r="DE21" s="11"/>
      <c r="DF21" s="8"/>
      <c r="DG21" s="8"/>
      <c r="DH21" s="11"/>
      <c r="DI21" s="8"/>
      <c r="DJ21" s="8"/>
      <c r="DK21" s="11"/>
      <c r="DL21" s="8"/>
      <c r="DM21" s="8"/>
      <c r="DN21" s="11"/>
      <c r="DO21" s="8"/>
      <c r="DP21" s="8"/>
      <c r="DQ21" s="11"/>
      <c r="DR21" s="8"/>
      <c r="DS21" s="8"/>
      <c r="DT21" s="11"/>
      <c r="DU21" s="8"/>
      <c r="DV21" s="8"/>
      <c r="DW21" s="11"/>
      <c r="DX21" s="8"/>
      <c r="DY21" s="8"/>
      <c r="DZ21" s="11"/>
      <c r="EA21" s="8"/>
      <c r="EB21" s="8"/>
      <c r="EC21" s="11"/>
      <c r="ED21" s="8"/>
      <c r="EE21" s="8"/>
      <c r="EF21" s="11"/>
      <c r="EG21" s="8"/>
      <c r="EH21" s="8"/>
      <c r="EI21" s="11"/>
      <c r="EJ21" s="8"/>
      <c r="EK21" s="8"/>
      <c r="EL21" s="11"/>
      <c r="EM21" s="8"/>
      <c r="EN21" s="8"/>
      <c r="EO21" s="11"/>
      <c r="EP21" s="8"/>
      <c r="EQ21" s="8"/>
      <c r="ER21" s="11"/>
      <c r="ES21" s="8"/>
      <c r="ET21" s="8"/>
      <c r="EU21" s="11"/>
      <c r="EV21" s="8"/>
      <c r="EW21" s="8"/>
      <c r="EX21" s="11"/>
      <c r="EY21" s="8"/>
      <c r="EZ21" s="8"/>
      <c r="FA21" s="11"/>
      <c r="FB21" s="8"/>
      <c r="FC21" s="8"/>
      <c r="FD21" s="11"/>
      <c r="FE21" s="8"/>
      <c r="FF21" s="8"/>
      <c r="FG21" s="11"/>
      <c r="FH21" s="8"/>
      <c r="FI21" s="8"/>
      <c r="FJ21" s="11"/>
    </row>
    <row r="22" spans="1:166" ht="15.75" x14ac:dyDescent="0.25">
      <c r="A22" s="4"/>
      <c r="B22" s="7" t="s">
        <v>193</v>
      </c>
      <c r="C22" s="22" t="s">
        <v>194</v>
      </c>
      <c r="D22" s="23">
        <v>5</v>
      </c>
      <c r="E22" s="9">
        <f t="shared" ref="E22:BC22" si="0">SUMIF(E10:E20,"&lt;&gt;",$D$10:$D$20)</f>
        <v>0</v>
      </c>
      <c r="F22" s="5">
        <f t="shared" si="0"/>
        <v>0</v>
      </c>
      <c r="G22" s="5">
        <f t="shared" si="0"/>
        <v>0</v>
      </c>
      <c r="H22" s="9">
        <f t="shared" si="0"/>
        <v>0</v>
      </c>
      <c r="I22" s="5">
        <f t="shared" si="0"/>
        <v>0</v>
      </c>
      <c r="J22" s="5">
        <f t="shared" si="0"/>
        <v>0</v>
      </c>
      <c r="K22" s="9">
        <f t="shared" si="0"/>
        <v>0</v>
      </c>
      <c r="L22" s="5">
        <f t="shared" si="0"/>
        <v>0</v>
      </c>
      <c r="M22" s="5">
        <f t="shared" si="0"/>
        <v>0</v>
      </c>
      <c r="N22" s="9">
        <f t="shared" si="0"/>
        <v>0</v>
      </c>
      <c r="O22" s="5">
        <f t="shared" si="0"/>
        <v>0</v>
      </c>
      <c r="P22" s="5">
        <f t="shared" si="0"/>
        <v>0</v>
      </c>
      <c r="Q22" s="9">
        <f t="shared" si="0"/>
        <v>0</v>
      </c>
      <c r="R22" s="5">
        <f t="shared" si="0"/>
        <v>0</v>
      </c>
      <c r="S22" s="5">
        <f t="shared" si="0"/>
        <v>0</v>
      </c>
      <c r="T22" s="9">
        <f t="shared" si="0"/>
        <v>0</v>
      </c>
      <c r="U22" s="5">
        <f t="shared" si="0"/>
        <v>0</v>
      </c>
      <c r="V22" s="5">
        <f t="shared" si="0"/>
        <v>0</v>
      </c>
      <c r="W22" s="9">
        <f t="shared" si="0"/>
        <v>0</v>
      </c>
      <c r="X22" s="5">
        <f t="shared" si="0"/>
        <v>0</v>
      </c>
      <c r="Y22" s="5">
        <f t="shared" si="0"/>
        <v>0</v>
      </c>
      <c r="Z22" s="9">
        <f t="shared" si="0"/>
        <v>0</v>
      </c>
      <c r="AA22" s="5">
        <f t="shared" si="0"/>
        <v>0</v>
      </c>
      <c r="AB22" s="5">
        <f t="shared" si="0"/>
        <v>0</v>
      </c>
      <c r="AC22" s="9">
        <f t="shared" si="0"/>
        <v>0</v>
      </c>
      <c r="AD22" s="5">
        <f t="shared" si="0"/>
        <v>0</v>
      </c>
      <c r="AE22" s="5">
        <f t="shared" si="0"/>
        <v>0</v>
      </c>
      <c r="AF22" s="9">
        <f t="shared" si="0"/>
        <v>0</v>
      </c>
      <c r="AG22" s="5">
        <f t="shared" si="0"/>
        <v>0</v>
      </c>
      <c r="AH22" s="5">
        <f t="shared" si="0"/>
        <v>0</v>
      </c>
      <c r="AI22" s="9">
        <f t="shared" si="0"/>
        <v>0</v>
      </c>
      <c r="AJ22" s="5">
        <f t="shared" si="0"/>
        <v>0</v>
      </c>
      <c r="AK22" s="5">
        <f t="shared" si="0"/>
        <v>0</v>
      </c>
      <c r="AL22" s="9">
        <f t="shared" si="0"/>
        <v>0</v>
      </c>
      <c r="AM22" s="5">
        <f t="shared" si="0"/>
        <v>0</v>
      </c>
      <c r="AN22" s="5">
        <f t="shared" si="0"/>
        <v>0</v>
      </c>
      <c r="AO22" s="9">
        <f t="shared" si="0"/>
        <v>0</v>
      </c>
      <c r="AP22" s="5">
        <f t="shared" si="0"/>
        <v>0</v>
      </c>
      <c r="AQ22" s="5">
        <f t="shared" si="0"/>
        <v>0</v>
      </c>
      <c r="AR22" s="9">
        <f t="shared" si="0"/>
        <v>0</v>
      </c>
      <c r="AS22" s="5">
        <f t="shared" si="0"/>
        <v>0</v>
      </c>
      <c r="AT22" s="5">
        <f t="shared" si="0"/>
        <v>0</v>
      </c>
      <c r="AU22" s="9">
        <f t="shared" si="0"/>
        <v>0</v>
      </c>
      <c r="AV22" s="5">
        <f t="shared" si="0"/>
        <v>0</v>
      </c>
      <c r="AW22" s="5">
        <f t="shared" si="0"/>
        <v>0</v>
      </c>
      <c r="AX22" s="9">
        <f t="shared" si="0"/>
        <v>0</v>
      </c>
      <c r="AY22" s="5">
        <f t="shared" si="0"/>
        <v>0</v>
      </c>
      <c r="AZ22" s="5">
        <f t="shared" si="0"/>
        <v>0</v>
      </c>
      <c r="BA22" s="9">
        <f t="shared" si="0"/>
        <v>0</v>
      </c>
      <c r="BB22" s="5">
        <f t="shared" si="0"/>
        <v>0</v>
      </c>
      <c r="BC22" s="5">
        <f t="shared" si="0"/>
        <v>0</v>
      </c>
      <c r="BD22" s="9">
        <f t="shared" ref="BD22:DO22" si="1">SUMIF(BD10:BD20,"&lt;&gt;",$D$10:$D$20)</f>
        <v>0</v>
      </c>
      <c r="BE22" s="5">
        <f t="shared" si="1"/>
        <v>0</v>
      </c>
      <c r="BF22" s="5">
        <f t="shared" si="1"/>
        <v>0</v>
      </c>
      <c r="BG22" s="9">
        <f t="shared" si="1"/>
        <v>0</v>
      </c>
      <c r="BH22" s="5">
        <f t="shared" si="1"/>
        <v>0</v>
      </c>
      <c r="BI22" s="5">
        <f t="shared" si="1"/>
        <v>0</v>
      </c>
      <c r="BJ22" s="9">
        <f t="shared" si="1"/>
        <v>0</v>
      </c>
      <c r="BK22" s="5">
        <f t="shared" si="1"/>
        <v>0</v>
      </c>
      <c r="BL22" s="5">
        <f t="shared" si="1"/>
        <v>0</v>
      </c>
      <c r="BM22" s="9">
        <f t="shared" si="1"/>
        <v>0</v>
      </c>
      <c r="BN22" s="5">
        <f t="shared" si="1"/>
        <v>0</v>
      </c>
      <c r="BO22" s="5">
        <f t="shared" si="1"/>
        <v>0</v>
      </c>
      <c r="BP22" s="9">
        <f t="shared" si="1"/>
        <v>0</v>
      </c>
      <c r="BQ22" s="5">
        <f t="shared" si="1"/>
        <v>0</v>
      </c>
      <c r="BR22" s="5">
        <f t="shared" si="1"/>
        <v>0</v>
      </c>
      <c r="BS22" s="9">
        <f t="shared" si="1"/>
        <v>0</v>
      </c>
      <c r="BT22" s="5">
        <f t="shared" si="1"/>
        <v>0</v>
      </c>
      <c r="BU22" s="5">
        <f t="shared" si="1"/>
        <v>0</v>
      </c>
      <c r="BV22" s="9">
        <f t="shared" si="1"/>
        <v>0</v>
      </c>
      <c r="BW22" s="5">
        <f t="shared" si="1"/>
        <v>0</v>
      </c>
      <c r="BX22" s="5">
        <f t="shared" si="1"/>
        <v>0</v>
      </c>
      <c r="BY22" s="9">
        <f t="shared" si="1"/>
        <v>0</v>
      </c>
      <c r="BZ22" s="5">
        <f t="shared" si="1"/>
        <v>0</v>
      </c>
      <c r="CA22" s="5">
        <f t="shared" si="1"/>
        <v>0</v>
      </c>
      <c r="CB22" s="9">
        <f t="shared" si="1"/>
        <v>0</v>
      </c>
      <c r="CC22" s="5">
        <f t="shared" si="1"/>
        <v>0</v>
      </c>
      <c r="CD22" s="5">
        <f t="shared" si="1"/>
        <v>0</v>
      </c>
      <c r="CE22" s="9">
        <f t="shared" si="1"/>
        <v>0</v>
      </c>
      <c r="CF22" s="5">
        <f t="shared" si="1"/>
        <v>0</v>
      </c>
      <c r="CG22" s="5">
        <f t="shared" si="1"/>
        <v>0</v>
      </c>
      <c r="CH22" s="9">
        <f t="shared" si="1"/>
        <v>0</v>
      </c>
      <c r="CI22" s="5">
        <f t="shared" si="1"/>
        <v>0</v>
      </c>
      <c r="CJ22" s="5">
        <f t="shared" si="1"/>
        <v>0</v>
      </c>
      <c r="CK22" s="9">
        <f t="shared" si="1"/>
        <v>0</v>
      </c>
      <c r="CL22" s="5">
        <f t="shared" si="1"/>
        <v>0</v>
      </c>
      <c r="CM22" s="5">
        <f t="shared" si="1"/>
        <v>0</v>
      </c>
      <c r="CN22" s="9">
        <f t="shared" si="1"/>
        <v>0</v>
      </c>
      <c r="CO22" s="5">
        <f t="shared" si="1"/>
        <v>0</v>
      </c>
      <c r="CP22" s="5">
        <f t="shared" si="1"/>
        <v>0</v>
      </c>
      <c r="CQ22" s="9">
        <f t="shared" si="1"/>
        <v>0</v>
      </c>
      <c r="CR22" s="5">
        <f t="shared" si="1"/>
        <v>0</v>
      </c>
      <c r="CS22" s="5">
        <f t="shared" si="1"/>
        <v>0</v>
      </c>
      <c r="CT22" s="9">
        <f t="shared" si="1"/>
        <v>0</v>
      </c>
      <c r="CU22" s="5">
        <f t="shared" si="1"/>
        <v>0</v>
      </c>
      <c r="CV22" s="5">
        <f t="shared" si="1"/>
        <v>0</v>
      </c>
      <c r="CW22" s="9">
        <f t="shared" si="1"/>
        <v>0</v>
      </c>
      <c r="CX22" s="5">
        <f t="shared" si="1"/>
        <v>0</v>
      </c>
      <c r="CY22" s="5">
        <f t="shared" si="1"/>
        <v>0</v>
      </c>
      <c r="CZ22" s="9">
        <f t="shared" si="1"/>
        <v>0</v>
      </c>
      <c r="DA22" s="5">
        <f t="shared" si="1"/>
        <v>0</v>
      </c>
      <c r="DB22" s="5">
        <f t="shared" si="1"/>
        <v>0</v>
      </c>
      <c r="DC22" s="9">
        <f t="shared" si="1"/>
        <v>0</v>
      </c>
      <c r="DD22" s="5">
        <f t="shared" si="1"/>
        <v>0</v>
      </c>
      <c r="DE22" s="5">
        <f t="shared" si="1"/>
        <v>0</v>
      </c>
      <c r="DF22" s="9">
        <f t="shared" si="1"/>
        <v>0</v>
      </c>
      <c r="DG22" s="5">
        <f t="shared" si="1"/>
        <v>0</v>
      </c>
      <c r="DH22" s="5">
        <f t="shared" si="1"/>
        <v>0</v>
      </c>
      <c r="DI22" s="9">
        <f t="shared" si="1"/>
        <v>0</v>
      </c>
      <c r="DJ22" s="5">
        <f t="shared" si="1"/>
        <v>0</v>
      </c>
      <c r="DK22" s="5">
        <f t="shared" si="1"/>
        <v>0</v>
      </c>
      <c r="DL22" s="9">
        <f t="shared" si="1"/>
        <v>0</v>
      </c>
      <c r="DM22" s="5">
        <f t="shared" si="1"/>
        <v>0</v>
      </c>
      <c r="DN22" s="5">
        <f t="shared" si="1"/>
        <v>0</v>
      </c>
      <c r="DO22" s="9">
        <f t="shared" si="1"/>
        <v>0</v>
      </c>
      <c r="DP22" s="5">
        <f t="shared" ref="DP22:FJ22" si="2">SUMIF(DP10:DP20,"&lt;&gt;",$D$10:$D$20)</f>
        <v>0</v>
      </c>
      <c r="DQ22" s="5">
        <f t="shared" si="2"/>
        <v>0</v>
      </c>
      <c r="DR22" s="9">
        <f t="shared" si="2"/>
        <v>0</v>
      </c>
      <c r="DS22" s="5">
        <f t="shared" si="2"/>
        <v>0</v>
      </c>
      <c r="DT22" s="5">
        <f t="shared" si="2"/>
        <v>0</v>
      </c>
      <c r="DU22" s="9">
        <f t="shared" si="2"/>
        <v>0</v>
      </c>
      <c r="DV22" s="5">
        <f t="shared" si="2"/>
        <v>0</v>
      </c>
      <c r="DW22" s="5">
        <f t="shared" si="2"/>
        <v>0</v>
      </c>
      <c r="DX22" s="9">
        <f t="shared" si="2"/>
        <v>0</v>
      </c>
      <c r="DY22" s="5">
        <f t="shared" si="2"/>
        <v>0</v>
      </c>
      <c r="DZ22" s="5">
        <f t="shared" si="2"/>
        <v>0</v>
      </c>
      <c r="EA22" s="9">
        <f t="shared" si="2"/>
        <v>0</v>
      </c>
      <c r="EB22" s="5">
        <f t="shared" si="2"/>
        <v>0</v>
      </c>
      <c r="EC22" s="5">
        <f t="shared" si="2"/>
        <v>0</v>
      </c>
      <c r="ED22" s="9">
        <f t="shared" si="2"/>
        <v>0</v>
      </c>
      <c r="EE22" s="5">
        <f t="shared" si="2"/>
        <v>0</v>
      </c>
      <c r="EF22" s="5">
        <f t="shared" si="2"/>
        <v>0</v>
      </c>
      <c r="EG22" s="9">
        <f t="shared" si="2"/>
        <v>0</v>
      </c>
      <c r="EH22" s="5">
        <f t="shared" si="2"/>
        <v>0</v>
      </c>
      <c r="EI22" s="5">
        <f t="shared" si="2"/>
        <v>0</v>
      </c>
      <c r="EJ22" s="9">
        <f t="shared" si="2"/>
        <v>0</v>
      </c>
      <c r="EK22" s="5">
        <f t="shared" si="2"/>
        <v>0</v>
      </c>
      <c r="EL22" s="5">
        <f t="shared" si="2"/>
        <v>0</v>
      </c>
      <c r="EM22" s="9">
        <f t="shared" si="2"/>
        <v>0</v>
      </c>
      <c r="EN22" s="5">
        <f t="shared" si="2"/>
        <v>0</v>
      </c>
      <c r="EO22" s="5">
        <f t="shared" si="2"/>
        <v>0</v>
      </c>
      <c r="EP22" s="9">
        <f t="shared" si="2"/>
        <v>0</v>
      </c>
      <c r="EQ22" s="5">
        <f t="shared" si="2"/>
        <v>0</v>
      </c>
      <c r="ER22" s="5">
        <f t="shared" si="2"/>
        <v>0</v>
      </c>
      <c r="ES22" s="9">
        <f t="shared" si="2"/>
        <v>0</v>
      </c>
      <c r="ET22" s="5">
        <f t="shared" si="2"/>
        <v>0</v>
      </c>
      <c r="EU22" s="5">
        <f t="shared" si="2"/>
        <v>0</v>
      </c>
      <c r="EV22" s="9">
        <f t="shared" si="2"/>
        <v>0</v>
      </c>
      <c r="EW22" s="5">
        <f t="shared" si="2"/>
        <v>0</v>
      </c>
      <c r="EX22" s="5">
        <f t="shared" si="2"/>
        <v>0</v>
      </c>
      <c r="EY22" s="9">
        <f t="shared" si="2"/>
        <v>0</v>
      </c>
      <c r="EZ22" s="5">
        <f t="shared" si="2"/>
        <v>0</v>
      </c>
      <c r="FA22" s="5">
        <f t="shared" si="2"/>
        <v>0</v>
      </c>
      <c r="FB22" s="9">
        <f t="shared" si="2"/>
        <v>0</v>
      </c>
      <c r="FC22" s="5">
        <f t="shared" si="2"/>
        <v>0</v>
      </c>
      <c r="FD22" s="5">
        <f t="shared" si="2"/>
        <v>0</v>
      </c>
      <c r="FE22" s="9">
        <f t="shared" si="2"/>
        <v>0</v>
      </c>
      <c r="FF22" s="5">
        <f t="shared" si="2"/>
        <v>0</v>
      </c>
      <c r="FG22" s="5">
        <f t="shared" si="2"/>
        <v>0</v>
      </c>
      <c r="FH22" s="9">
        <f t="shared" si="2"/>
        <v>0</v>
      </c>
      <c r="FI22" s="5">
        <f t="shared" si="2"/>
        <v>0</v>
      </c>
      <c r="FJ22" s="5">
        <f t="shared" si="2"/>
        <v>0</v>
      </c>
    </row>
    <row r="23" spans="1:166" s="38" customFormat="1" ht="20.25" customHeight="1" x14ac:dyDescent="0.25">
      <c r="A23" s="4"/>
      <c r="B23" s="6" t="s">
        <v>195</v>
      </c>
      <c r="C23" s="1" t="s">
        <v>196</v>
      </c>
      <c r="D23" s="17">
        <v>1</v>
      </c>
      <c r="E23" s="39"/>
      <c r="F23" s="39"/>
      <c r="G23" s="40"/>
      <c r="H23" s="39"/>
      <c r="I23" s="39"/>
      <c r="J23" s="40"/>
      <c r="K23" s="39"/>
      <c r="L23" s="39"/>
      <c r="M23" s="40"/>
      <c r="N23" s="39"/>
      <c r="O23" s="39"/>
      <c r="P23" s="40"/>
      <c r="Q23" s="39"/>
      <c r="R23" s="39"/>
      <c r="S23" s="40"/>
      <c r="T23" s="39"/>
      <c r="U23" s="39"/>
      <c r="V23" s="40"/>
      <c r="W23" s="39"/>
      <c r="X23" s="39"/>
      <c r="Y23" s="40"/>
      <c r="Z23" s="39"/>
      <c r="AA23" s="39"/>
      <c r="AB23" s="40"/>
      <c r="AC23" s="39"/>
      <c r="AD23" s="39"/>
      <c r="AE23" s="40"/>
      <c r="AF23" s="39"/>
      <c r="AG23" s="39"/>
      <c r="AH23" s="40"/>
      <c r="AI23" s="39"/>
      <c r="AJ23" s="39"/>
      <c r="AK23" s="40"/>
      <c r="AL23" s="39"/>
      <c r="AM23" s="39"/>
      <c r="AN23" s="40"/>
      <c r="AO23" s="39"/>
      <c r="AP23" s="39"/>
      <c r="AQ23" s="40"/>
      <c r="AR23" s="39"/>
      <c r="AS23" s="39"/>
      <c r="AT23" s="40"/>
      <c r="AU23" s="39"/>
      <c r="AV23" s="39"/>
      <c r="AW23" s="40"/>
      <c r="AX23" s="39"/>
      <c r="AY23" s="39"/>
      <c r="AZ23" s="40"/>
      <c r="BA23" s="39"/>
      <c r="BB23" s="39"/>
      <c r="BC23" s="40"/>
      <c r="BD23" s="39"/>
      <c r="BE23" s="39"/>
      <c r="BF23" s="40"/>
      <c r="BG23" s="39"/>
      <c r="BH23" s="39"/>
      <c r="BI23" s="40"/>
      <c r="BJ23" s="39"/>
      <c r="BK23" s="39"/>
      <c r="BL23" s="40"/>
      <c r="BM23" s="39"/>
      <c r="BN23" s="39"/>
      <c r="BO23" s="40"/>
      <c r="BP23" s="39"/>
      <c r="BQ23" s="39"/>
      <c r="BR23" s="40"/>
      <c r="BS23" s="39"/>
      <c r="BT23" s="39"/>
      <c r="BU23" s="40"/>
      <c r="BV23" s="39"/>
      <c r="BW23" s="39"/>
      <c r="BX23" s="40"/>
      <c r="BY23" s="39"/>
      <c r="BZ23" s="39"/>
      <c r="CA23" s="40"/>
      <c r="CB23" s="39"/>
      <c r="CC23" s="39"/>
      <c r="CD23" s="40"/>
      <c r="CE23" s="39"/>
      <c r="CF23" s="39"/>
      <c r="CG23" s="40"/>
      <c r="CH23" s="39"/>
      <c r="CI23" s="39"/>
      <c r="CJ23" s="40"/>
      <c r="CK23" s="39"/>
      <c r="CL23" s="39"/>
      <c r="CM23" s="40"/>
      <c r="CN23" s="39"/>
      <c r="CO23" s="39"/>
      <c r="CP23" s="40"/>
      <c r="CQ23" s="39"/>
      <c r="CR23" s="39"/>
      <c r="CS23" s="40"/>
      <c r="CT23" s="39"/>
      <c r="CU23" s="39"/>
      <c r="CV23" s="40"/>
      <c r="CW23" s="39"/>
      <c r="CX23" s="39"/>
      <c r="CY23" s="40"/>
      <c r="CZ23" s="39"/>
      <c r="DA23" s="39"/>
      <c r="DB23" s="40"/>
      <c r="DC23" s="39"/>
      <c r="DD23" s="39"/>
      <c r="DE23" s="40"/>
      <c r="DF23" s="39"/>
      <c r="DG23" s="39"/>
      <c r="DH23" s="40"/>
      <c r="DI23" s="39"/>
      <c r="DJ23" s="39"/>
      <c r="DK23" s="40"/>
      <c r="DL23" s="39"/>
      <c r="DM23" s="39"/>
      <c r="DN23" s="40"/>
      <c r="DO23" s="39"/>
      <c r="DP23" s="39"/>
      <c r="DQ23" s="40"/>
      <c r="DR23" s="39"/>
      <c r="DS23" s="39"/>
      <c r="DT23" s="40"/>
      <c r="DU23" s="39"/>
      <c r="DV23" s="39"/>
      <c r="DW23" s="40"/>
      <c r="DX23" s="39"/>
      <c r="DY23" s="39"/>
      <c r="DZ23" s="40"/>
      <c r="EA23" s="39"/>
      <c r="EB23" s="39"/>
      <c r="EC23" s="40"/>
      <c r="ED23" s="39"/>
      <c r="EE23" s="39"/>
      <c r="EF23" s="40"/>
      <c r="EG23" s="39"/>
      <c r="EH23" s="39"/>
      <c r="EI23" s="40"/>
      <c r="EJ23" s="39"/>
      <c r="EK23" s="39"/>
      <c r="EL23" s="40"/>
      <c r="EM23" s="39"/>
      <c r="EN23" s="39"/>
      <c r="EO23" s="40"/>
      <c r="EP23" s="39"/>
      <c r="EQ23" s="39"/>
      <c r="ER23" s="40"/>
      <c r="ES23" s="39"/>
      <c r="ET23" s="39"/>
      <c r="EU23" s="40"/>
      <c r="EV23" s="39"/>
      <c r="EW23" s="39"/>
      <c r="EX23" s="40"/>
      <c r="EY23" s="39"/>
      <c r="EZ23" s="39"/>
      <c r="FA23" s="40"/>
      <c r="FB23" s="39"/>
      <c r="FC23" s="39"/>
      <c r="FD23" s="40"/>
      <c r="FE23" s="39"/>
      <c r="FF23" s="39"/>
      <c r="FG23" s="40"/>
      <c r="FH23" s="39"/>
      <c r="FI23" s="39"/>
      <c r="FJ23" s="40"/>
    </row>
    <row r="24" spans="1:166" s="38" customFormat="1" ht="20.25" customHeight="1" x14ac:dyDescent="0.25">
      <c r="A24" s="4"/>
      <c r="B24" s="6" t="s">
        <v>197</v>
      </c>
      <c r="C24" s="1" t="s">
        <v>198</v>
      </c>
      <c r="D24" s="17">
        <v>0</v>
      </c>
      <c r="E24" s="39"/>
      <c r="F24" s="39"/>
      <c r="G24" s="40"/>
      <c r="H24" s="39"/>
      <c r="I24" s="39"/>
      <c r="J24" s="40"/>
      <c r="K24" s="39"/>
      <c r="L24" s="39"/>
      <c r="M24" s="40"/>
      <c r="N24" s="39"/>
      <c r="O24" s="39"/>
      <c r="P24" s="40"/>
      <c r="Q24" s="39"/>
      <c r="R24" s="39"/>
      <c r="S24" s="40"/>
      <c r="T24" s="39"/>
      <c r="U24" s="39"/>
      <c r="V24" s="40"/>
      <c r="W24" s="39"/>
      <c r="X24" s="39"/>
      <c r="Y24" s="40"/>
      <c r="Z24" s="39"/>
      <c r="AA24" s="39"/>
      <c r="AB24" s="40"/>
      <c r="AC24" s="39"/>
      <c r="AD24" s="39"/>
      <c r="AE24" s="40"/>
      <c r="AF24" s="39"/>
      <c r="AG24" s="39"/>
      <c r="AH24" s="40"/>
      <c r="AI24" s="39"/>
      <c r="AJ24" s="39"/>
      <c r="AK24" s="40"/>
      <c r="AL24" s="39"/>
      <c r="AM24" s="39"/>
      <c r="AN24" s="40"/>
      <c r="AO24" s="39"/>
      <c r="AP24" s="39"/>
      <c r="AQ24" s="40"/>
      <c r="AR24" s="39"/>
      <c r="AS24" s="39"/>
      <c r="AT24" s="40"/>
      <c r="AU24" s="39"/>
      <c r="AV24" s="39"/>
      <c r="AW24" s="40"/>
      <c r="AX24" s="39"/>
      <c r="AY24" s="39"/>
      <c r="AZ24" s="40"/>
      <c r="BA24" s="39"/>
      <c r="BB24" s="39"/>
      <c r="BC24" s="40"/>
      <c r="BD24" s="39"/>
      <c r="BE24" s="39"/>
      <c r="BF24" s="40"/>
      <c r="BG24" s="39"/>
      <c r="BH24" s="39"/>
      <c r="BI24" s="40"/>
      <c r="BJ24" s="39"/>
      <c r="BK24" s="39"/>
      <c r="BL24" s="40"/>
      <c r="BM24" s="39"/>
      <c r="BN24" s="39"/>
      <c r="BO24" s="40"/>
      <c r="BP24" s="39"/>
      <c r="BQ24" s="39"/>
      <c r="BR24" s="40"/>
      <c r="BS24" s="39"/>
      <c r="BT24" s="39"/>
      <c r="BU24" s="40"/>
      <c r="BV24" s="39"/>
      <c r="BW24" s="39"/>
      <c r="BX24" s="40"/>
      <c r="BY24" s="39"/>
      <c r="BZ24" s="39"/>
      <c r="CA24" s="40"/>
      <c r="CB24" s="39"/>
      <c r="CC24" s="39"/>
      <c r="CD24" s="40"/>
      <c r="CE24" s="39"/>
      <c r="CF24" s="39"/>
      <c r="CG24" s="40"/>
      <c r="CH24" s="39"/>
      <c r="CI24" s="39"/>
      <c r="CJ24" s="40"/>
      <c r="CK24" s="39"/>
      <c r="CL24" s="39"/>
      <c r="CM24" s="40"/>
      <c r="CN24" s="39"/>
      <c r="CO24" s="39"/>
      <c r="CP24" s="40"/>
      <c r="CQ24" s="39"/>
      <c r="CR24" s="39"/>
      <c r="CS24" s="40"/>
      <c r="CT24" s="39"/>
      <c r="CU24" s="39"/>
      <c r="CV24" s="40"/>
      <c r="CW24" s="39"/>
      <c r="CX24" s="39"/>
      <c r="CY24" s="40"/>
      <c r="CZ24" s="39"/>
      <c r="DA24" s="39"/>
      <c r="DB24" s="40"/>
      <c r="DC24" s="39"/>
      <c r="DD24" s="39"/>
      <c r="DE24" s="40"/>
      <c r="DF24" s="39"/>
      <c r="DG24" s="39"/>
      <c r="DH24" s="40"/>
      <c r="DI24" s="39"/>
      <c r="DJ24" s="39"/>
      <c r="DK24" s="40"/>
      <c r="DL24" s="39"/>
      <c r="DM24" s="39"/>
      <c r="DN24" s="40"/>
      <c r="DO24" s="39"/>
      <c r="DP24" s="39"/>
      <c r="DQ24" s="40"/>
      <c r="DR24" s="39"/>
      <c r="DS24" s="39"/>
      <c r="DT24" s="40"/>
      <c r="DU24" s="39"/>
      <c r="DV24" s="39"/>
      <c r="DW24" s="40"/>
      <c r="DX24" s="39"/>
      <c r="DY24" s="39"/>
      <c r="DZ24" s="40"/>
      <c r="EA24" s="39"/>
      <c r="EB24" s="39"/>
      <c r="EC24" s="40"/>
      <c r="ED24" s="39"/>
      <c r="EE24" s="39"/>
      <c r="EF24" s="40"/>
      <c r="EG24" s="39"/>
      <c r="EH24" s="39"/>
      <c r="EI24" s="40"/>
      <c r="EJ24" s="39"/>
      <c r="EK24" s="39"/>
      <c r="EL24" s="40"/>
      <c r="EM24" s="39"/>
      <c r="EN24" s="39"/>
      <c r="EO24" s="40"/>
      <c r="EP24" s="39"/>
      <c r="EQ24" s="39"/>
      <c r="ER24" s="40"/>
      <c r="ES24" s="39"/>
      <c r="ET24" s="39"/>
      <c r="EU24" s="40"/>
      <c r="EV24" s="39"/>
      <c r="EW24" s="39"/>
      <c r="EX24" s="40"/>
      <c r="EY24" s="39"/>
      <c r="EZ24" s="39"/>
      <c r="FA24" s="40"/>
      <c r="FB24" s="39"/>
      <c r="FC24" s="39"/>
      <c r="FD24" s="40"/>
      <c r="FE24" s="39"/>
      <c r="FF24" s="39"/>
      <c r="FG24" s="40"/>
      <c r="FH24" s="39"/>
      <c r="FI24" s="39"/>
      <c r="FJ24" s="40"/>
    </row>
    <row r="25" spans="1:166" s="38" customFormat="1" ht="20.25" customHeight="1" x14ac:dyDescent="0.25">
      <c r="A25" s="4"/>
      <c r="B25" s="6" t="s">
        <v>199</v>
      </c>
      <c r="C25" s="1" t="s">
        <v>200</v>
      </c>
      <c r="D25" s="17">
        <v>0</v>
      </c>
      <c r="E25" s="41"/>
      <c r="F25" s="41"/>
      <c r="G25" s="42"/>
      <c r="H25" s="41"/>
      <c r="I25" s="41"/>
      <c r="J25" s="42"/>
      <c r="K25" s="41"/>
      <c r="L25" s="41"/>
      <c r="M25" s="42"/>
      <c r="N25" s="41"/>
      <c r="O25" s="41"/>
      <c r="P25" s="42"/>
      <c r="Q25" s="41"/>
      <c r="R25" s="41"/>
      <c r="S25" s="42"/>
      <c r="T25" s="41"/>
      <c r="U25" s="41"/>
      <c r="V25" s="42"/>
      <c r="W25" s="41"/>
      <c r="X25" s="41"/>
      <c r="Y25" s="42"/>
      <c r="Z25" s="41"/>
      <c r="AA25" s="41"/>
      <c r="AB25" s="42"/>
      <c r="AC25" s="41"/>
      <c r="AD25" s="41"/>
      <c r="AE25" s="42"/>
      <c r="AF25" s="41"/>
      <c r="AG25" s="41"/>
      <c r="AH25" s="42"/>
      <c r="AI25" s="41"/>
      <c r="AJ25" s="41"/>
      <c r="AK25" s="42"/>
      <c r="AL25" s="41"/>
      <c r="AM25" s="41"/>
      <c r="AN25" s="42"/>
      <c r="AO25" s="41"/>
      <c r="AP25" s="41"/>
      <c r="AQ25" s="42"/>
      <c r="AR25" s="41"/>
      <c r="AS25" s="41"/>
      <c r="AT25" s="42"/>
      <c r="AU25" s="41"/>
      <c r="AV25" s="41"/>
      <c r="AW25" s="42"/>
      <c r="AX25" s="41"/>
      <c r="AY25" s="41"/>
      <c r="AZ25" s="42"/>
      <c r="BA25" s="41"/>
      <c r="BB25" s="41"/>
      <c r="BC25" s="42"/>
      <c r="BD25" s="41"/>
      <c r="BE25" s="41"/>
      <c r="BF25" s="42"/>
      <c r="BG25" s="41"/>
      <c r="BH25" s="41"/>
      <c r="BI25" s="42"/>
      <c r="BJ25" s="41"/>
      <c r="BK25" s="41"/>
      <c r="BL25" s="42"/>
      <c r="BM25" s="41"/>
      <c r="BN25" s="41"/>
      <c r="BO25" s="42"/>
      <c r="BP25" s="41"/>
      <c r="BQ25" s="41"/>
      <c r="BR25" s="42"/>
      <c r="BS25" s="41"/>
      <c r="BT25" s="41"/>
      <c r="BU25" s="42"/>
      <c r="BV25" s="41"/>
      <c r="BW25" s="41"/>
      <c r="BX25" s="42"/>
      <c r="BY25" s="41"/>
      <c r="BZ25" s="41"/>
      <c r="CA25" s="42"/>
      <c r="CB25" s="41"/>
      <c r="CC25" s="41"/>
      <c r="CD25" s="42"/>
      <c r="CE25" s="41"/>
      <c r="CF25" s="41"/>
      <c r="CG25" s="42"/>
      <c r="CH25" s="41"/>
      <c r="CI25" s="41"/>
      <c r="CJ25" s="42"/>
      <c r="CK25" s="41"/>
      <c r="CL25" s="41"/>
      <c r="CM25" s="42"/>
      <c r="CN25" s="41"/>
      <c r="CO25" s="41"/>
      <c r="CP25" s="42"/>
      <c r="CQ25" s="41"/>
      <c r="CR25" s="41"/>
      <c r="CS25" s="42"/>
      <c r="CT25" s="41"/>
      <c r="CU25" s="41"/>
      <c r="CV25" s="42"/>
      <c r="CW25" s="41"/>
      <c r="CX25" s="41"/>
      <c r="CY25" s="42"/>
      <c r="CZ25" s="41"/>
      <c r="DA25" s="41"/>
      <c r="DB25" s="42"/>
      <c r="DC25" s="41"/>
      <c r="DD25" s="41"/>
      <c r="DE25" s="42"/>
      <c r="DF25" s="41"/>
      <c r="DG25" s="41"/>
      <c r="DH25" s="42"/>
      <c r="DI25" s="41"/>
      <c r="DJ25" s="41"/>
      <c r="DK25" s="42"/>
      <c r="DL25" s="41"/>
      <c r="DM25" s="41"/>
      <c r="DN25" s="42"/>
      <c r="DO25" s="41"/>
      <c r="DP25" s="41"/>
      <c r="DQ25" s="42"/>
      <c r="DR25" s="41"/>
      <c r="DS25" s="41"/>
      <c r="DT25" s="42"/>
      <c r="DU25" s="41"/>
      <c r="DV25" s="41"/>
      <c r="DW25" s="42"/>
      <c r="DX25" s="41"/>
      <c r="DY25" s="41"/>
      <c r="DZ25" s="42"/>
      <c r="EA25" s="41"/>
      <c r="EB25" s="41"/>
      <c r="EC25" s="42"/>
      <c r="ED25" s="41"/>
      <c r="EE25" s="41"/>
      <c r="EF25" s="42"/>
      <c r="EG25" s="41"/>
      <c r="EH25" s="41"/>
      <c r="EI25" s="42"/>
      <c r="EJ25" s="41"/>
      <c r="EK25" s="41"/>
      <c r="EL25" s="42"/>
      <c r="EM25" s="41"/>
      <c r="EN25" s="41"/>
      <c r="EO25" s="42"/>
      <c r="EP25" s="41"/>
      <c r="EQ25" s="41"/>
      <c r="ER25" s="42"/>
      <c r="ES25" s="41"/>
      <c r="ET25" s="41"/>
      <c r="EU25" s="42"/>
      <c r="EV25" s="41"/>
      <c r="EW25" s="41"/>
      <c r="EX25" s="42"/>
      <c r="EY25" s="41"/>
      <c r="EZ25" s="41"/>
      <c r="FA25" s="42"/>
      <c r="FB25" s="41"/>
      <c r="FC25" s="41"/>
      <c r="FD25" s="42"/>
      <c r="FE25" s="41"/>
      <c r="FF25" s="41"/>
      <c r="FG25" s="42"/>
      <c r="FH25" s="41"/>
      <c r="FI25" s="41"/>
      <c r="FJ25" s="42"/>
    </row>
    <row r="26" spans="1:166" s="28" customFormat="1" ht="15.75" x14ac:dyDescent="0.25">
      <c r="A26" s="3"/>
      <c r="B26" s="404" t="s">
        <v>201</v>
      </c>
      <c r="C26" s="404"/>
      <c r="D26" s="18"/>
      <c r="E26" s="29"/>
      <c r="F26" s="29"/>
      <c r="G26" s="30"/>
      <c r="H26" s="29"/>
      <c r="I26" s="29"/>
      <c r="J26" s="30"/>
      <c r="K26" s="29"/>
      <c r="L26" s="29"/>
      <c r="M26" s="30"/>
      <c r="N26" s="29"/>
      <c r="O26" s="29"/>
      <c r="P26" s="30"/>
      <c r="Q26" s="29"/>
      <c r="R26" s="29"/>
      <c r="S26" s="30"/>
      <c r="T26" s="29"/>
      <c r="U26" s="29"/>
      <c r="V26" s="30"/>
      <c r="W26" s="29"/>
      <c r="X26" s="29"/>
      <c r="Y26" s="30"/>
      <c r="Z26" s="29"/>
      <c r="AA26" s="29"/>
      <c r="AB26" s="30"/>
      <c r="AC26" s="29"/>
      <c r="AD26" s="29"/>
      <c r="AE26" s="30"/>
      <c r="AF26" s="29"/>
      <c r="AG26" s="29"/>
      <c r="AH26" s="30"/>
      <c r="AI26" s="29"/>
      <c r="AJ26" s="29"/>
      <c r="AK26" s="30"/>
      <c r="AL26" s="29"/>
      <c r="AM26" s="29"/>
      <c r="AN26" s="30"/>
      <c r="AO26" s="29"/>
      <c r="AP26" s="29"/>
      <c r="AQ26" s="30"/>
      <c r="AR26" s="29"/>
      <c r="AS26" s="29"/>
      <c r="AT26" s="30"/>
      <c r="AU26" s="29"/>
      <c r="AV26" s="29"/>
      <c r="AW26" s="30"/>
      <c r="AX26" s="29"/>
      <c r="AY26" s="29"/>
      <c r="AZ26" s="30"/>
      <c r="BA26" s="29"/>
      <c r="BB26" s="29"/>
      <c r="BC26" s="30"/>
      <c r="BD26" s="29"/>
      <c r="BE26" s="29"/>
      <c r="BF26" s="30"/>
      <c r="BG26" s="29"/>
      <c r="BH26" s="29"/>
      <c r="BI26" s="30"/>
      <c r="BJ26" s="29"/>
      <c r="BK26" s="29"/>
      <c r="BL26" s="30"/>
      <c r="BM26" s="29"/>
      <c r="BN26" s="29"/>
      <c r="BO26" s="30"/>
      <c r="BP26" s="29"/>
      <c r="BQ26" s="29"/>
      <c r="BR26" s="30"/>
      <c r="BS26" s="29"/>
      <c r="BT26" s="29"/>
      <c r="BU26" s="30"/>
      <c r="BV26" s="29"/>
      <c r="BW26" s="29"/>
      <c r="BX26" s="30"/>
      <c r="BY26" s="29"/>
      <c r="BZ26" s="29"/>
      <c r="CA26" s="30"/>
      <c r="CB26" s="29"/>
      <c r="CC26" s="29"/>
      <c r="CD26" s="30"/>
      <c r="CE26" s="29"/>
      <c r="CF26" s="29"/>
      <c r="CG26" s="30"/>
      <c r="CH26" s="29"/>
      <c r="CI26" s="29"/>
      <c r="CJ26" s="30"/>
      <c r="CK26" s="29"/>
      <c r="CL26" s="29"/>
      <c r="CM26" s="30"/>
      <c r="CN26" s="29"/>
      <c r="CO26" s="29"/>
      <c r="CP26" s="30"/>
      <c r="CQ26" s="29"/>
      <c r="CR26" s="29"/>
      <c r="CS26" s="30"/>
      <c r="CT26" s="29"/>
      <c r="CU26" s="29"/>
      <c r="CV26" s="30"/>
      <c r="CW26" s="29"/>
      <c r="CX26" s="29"/>
      <c r="CY26" s="30"/>
      <c r="CZ26" s="29"/>
      <c r="DA26" s="29"/>
      <c r="DB26" s="30"/>
      <c r="DC26" s="29"/>
      <c r="DD26" s="29"/>
      <c r="DE26" s="30"/>
      <c r="DF26" s="29"/>
      <c r="DG26" s="29"/>
      <c r="DH26" s="30"/>
      <c r="DI26" s="29"/>
      <c r="DJ26" s="29"/>
      <c r="DK26" s="30"/>
      <c r="DL26" s="29"/>
      <c r="DM26" s="29"/>
      <c r="DN26" s="30"/>
      <c r="DO26" s="29"/>
      <c r="DP26" s="29"/>
      <c r="DQ26" s="30"/>
      <c r="DR26" s="29"/>
      <c r="DS26" s="29"/>
      <c r="DT26" s="30"/>
      <c r="DU26" s="29"/>
      <c r="DV26" s="29"/>
      <c r="DW26" s="30"/>
      <c r="DX26" s="29"/>
      <c r="DY26" s="29"/>
      <c r="DZ26" s="30"/>
      <c r="EA26" s="29"/>
      <c r="EB26" s="29"/>
      <c r="EC26" s="30"/>
      <c r="ED26" s="29"/>
      <c r="EE26" s="29"/>
      <c r="EF26" s="30"/>
      <c r="EG26" s="29"/>
      <c r="EH26" s="29"/>
      <c r="EI26" s="30"/>
      <c r="EJ26" s="29"/>
      <c r="EK26" s="29"/>
      <c r="EL26" s="30"/>
      <c r="EM26" s="29"/>
      <c r="EN26" s="29"/>
      <c r="EO26" s="30"/>
      <c r="EP26" s="29"/>
      <c r="EQ26" s="29"/>
      <c r="ER26" s="30"/>
      <c r="ES26" s="29"/>
      <c r="ET26" s="29"/>
      <c r="EU26" s="30"/>
      <c r="EV26" s="29"/>
      <c r="EW26" s="29"/>
      <c r="EX26" s="30"/>
      <c r="EY26" s="29"/>
      <c r="EZ26" s="29"/>
      <c r="FA26" s="30"/>
      <c r="FB26" s="29"/>
      <c r="FC26" s="29"/>
      <c r="FD26" s="30"/>
      <c r="FE26" s="29"/>
      <c r="FF26" s="29"/>
      <c r="FG26" s="30"/>
      <c r="FH26" s="29"/>
      <c r="FI26" s="29"/>
      <c r="FJ26" s="30"/>
    </row>
    <row r="27" spans="1:166" s="38" customFormat="1" ht="15.75" x14ac:dyDescent="0.25">
      <c r="A27" s="3"/>
      <c r="B27" s="6" t="s">
        <v>202</v>
      </c>
      <c r="C27" s="1" t="s">
        <v>203</v>
      </c>
      <c r="D27" s="19" t="s">
        <v>82</v>
      </c>
      <c r="E27" s="43"/>
      <c r="F27" s="43"/>
      <c r="G27" s="44"/>
      <c r="H27" s="43"/>
      <c r="I27" s="43"/>
      <c r="J27" s="44"/>
      <c r="K27" s="43"/>
      <c r="L27" s="43"/>
      <c r="M27" s="44"/>
      <c r="N27" s="43"/>
      <c r="O27" s="43"/>
      <c r="P27" s="44"/>
      <c r="Q27" s="43"/>
      <c r="R27" s="43"/>
      <c r="S27" s="44"/>
      <c r="T27" s="43"/>
      <c r="U27" s="43"/>
      <c r="V27" s="44"/>
      <c r="W27" s="43"/>
      <c r="X27" s="43"/>
      <c r="Y27" s="44"/>
      <c r="Z27" s="43"/>
      <c r="AA27" s="43"/>
      <c r="AB27" s="44"/>
      <c r="AC27" s="43"/>
      <c r="AD27" s="43"/>
      <c r="AE27" s="44"/>
      <c r="AF27" s="43"/>
      <c r="AG27" s="43"/>
      <c r="AH27" s="44"/>
      <c r="AI27" s="43"/>
      <c r="AJ27" s="43"/>
      <c r="AK27" s="44"/>
      <c r="AL27" s="43"/>
      <c r="AM27" s="43"/>
      <c r="AN27" s="44"/>
      <c r="AO27" s="43"/>
      <c r="AP27" s="43"/>
      <c r="AQ27" s="44"/>
      <c r="AR27" s="43"/>
      <c r="AS27" s="43"/>
      <c r="AT27" s="44"/>
      <c r="AU27" s="43"/>
      <c r="AV27" s="43"/>
      <c r="AW27" s="44"/>
      <c r="AX27" s="43"/>
      <c r="AY27" s="43"/>
      <c r="AZ27" s="44"/>
      <c r="BA27" s="43"/>
      <c r="BB27" s="43"/>
      <c r="BC27" s="44"/>
      <c r="BD27" s="43"/>
      <c r="BE27" s="43"/>
      <c r="BF27" s="44"/>
      <c r="BG27" s="43"/>
      <c r="BH27" s="43"/>
      <c r="BI27" s="44"/>
      <c r="BJ27" s="43"/>
      <c r="BK27" s="43"/>
      <c r="BL27" s="44"/>
      <c r="BM27" s="43"/>
      <c r="BN27" s="43"/>
      <c r="BO27" s="44"/>
      <c r="BP27" s="43"/>
      <c r="BQ27" s="43"/>
      <c r="BR27" s="44"/>
      <c r="BS27" s="43"/>
      <c r="BT27" s="43"/>
      <c r="BU27" s="44"/>
      <c r="BV27" s="43"/>
      <c r="BW27" s="43"/>
      <c r="BX27" s="44"/>
      <c r="BY27" s="43"/>
      <c r="BZ27" s="43"/>
      <c r="CA27" s="44"/>
      <c r="CB27" s="43"/>
      <c r="CC27" s="43"/>
      <c r="CD27" s="44"/>
      <c r="CE27" s="43"/>
      <c r="CF27" s="43"/>
      <c r="CG27" s="44"/>
      <c r="CH27" s="43"/>
      <c r="CI27" s="43"/>
      <c r="CJ27" s="44"/>
      <c r="CK27" s="43"/>
      <c r="CL27" s="43"/>
      <c r="CM27" s="44"/>
      <c r="CN27" s="43"/>
      <c r="CO27" s="43"/>
      <c r="CP27" s="44"/>
      <c r="CQ27" s="43"/>
      <c r="CR27" s="43"/>
      <c r="CS27" s="44"/>
      <c r="CT27" s="43"/>
      <c r="CU27" s="43"/>
      <c r="CV27" s="44"/>
      <c r="CW27" s="43"/>
      <c r="CX27" s="43"/>
      <c r="CY27" s="44"/>
      <c r="CZ27" s="43"/>
      <c r="DA27" s="43"/>
      <c r="DB27" s="44"/>
      <c r="DC27" s="43"/>
      <c r="DD27" s="43"/>
      <c r="DE27" s="44"/>
      <c r="DF27" s="43"/>
      <c r="DG27" s="43"/>
      <c r="DH27" s="44"/>
      <c r="DI27" s="43"/>
      <c r="DJ27" s="43"/>
      <c r="DK27" s="44"/>
      <c r="DL27" s="43"/>
      <c r="DM27" s="43"/>
      <c r="DN27" s="44"/>
      <c r="DO27" s="43"/>
      <c r="DP27" s="43"/>
      <c r="DQ27" s="44"/>
      <c r="DR27" s="43"/>
      <c r="DS27" s="43"/>
      <c r="DT27" s="44"/>
      <c r="DU27" s="43"/>
      <c r="DV27" s="43"/>
      <c r="DW27" s="44"/>
      <c r="DX27" s="43"/>
      <c r="DY27" s="43"/>
      <c r="DZ27" s="44"/>
      <c r="EA27" s="43"/>
      <c r="EB27" s="43"/>
      <c r="EC27" s="44"/>
      <c r="ED27" s="43"/>
      <c r="EE27" s="43"/>
      <c r="EF27" s="44"/>
      <c r="EG27" s="43"/>
      <c r="EH27" s="43"/>
      <c r="EI27" s="44"/>
      <c r="EJ27" s="43"/>
      <c r="EK27" s="43"/>
      <c r="EL27" s="44"/>
      <c r="EM27" s="43"/>
      <c r="EN27" s="43"/>
      <c r="EO27" s="44"/>
      <c r="EP27" s="43"/>
      <c r="EQ27" s="43"/>
      <c r="ER27" s="44"/>
      <c r="ES27" s="43"/>
      <c r="ET27" s="43"/>
      <c r="EU27" s="44"/>
      <c r="EV27" s="43"/>
      <c r="EW27" s="43"/>
      <c r="EX27" s="44"/>
      <c r="EY27" s="43"/>
      <c r="EZ27" s="43"/>
      <c r="FA27" s="44"/>
      <c r="FB27" s="43"/>
      <c r="FC27" s="43"/>
      <c r="FD27" s="44"/>
      <c r="FE27" s="43"/>
      <c r="FF27" s="43"/>
      <c r="FG27" s="44"/>
      <c r="FH27" s="43"/>
      <c r="FI27" s="43"/>
      <c r="FJ27" s="44"/>
    </row>
    <row r="28" spans="1:166" s="38" customFormat="1" ht="15.75" x14ac:dyDescent="0.25">
      <c r="A28" s="3"/>
      <c r="B28" s="6" t="s">
        <v>204</v>
      </c>
      <c r="C28" s="1" t="s">
        <v>203</v>
      </c>
      <c r="D28" s="19" t="s">
        <v>82</v>
      </c>
      <c r="E28" s="43"/>
      <c r="F28" s="43"/>
      <c r="G28" s="44"/>
      <c r="H28" s="43"/>
      <c r="I28" s="43"/>
      <c r="J28" s="44"/>
      <c r="K28" s="43"/>
      <c r="L28" s="43"/>
      <c r="M28" s="44"/>
      <c r="N28" s="43"/>
      <c r="O28" s="43"/>
      <c r="P28" s="44"/>
      <c r="Q28" s="43"/>
      <c r="R28" s="43"/>
      <c r="S28" s="44"/>
      <c r="T28" s="43"/>
      <c r="U28" s="43"/>
      <c r="V28" s="44"/>
      <c r="W28" s="43"/>
      <c r="X28" s="43"/>
      <c r="Y28" s="44"/>
      <c r="Z28" s="43"/>
      <c r="AA28" s="43"/>
      <c r="AB28" s="44"/>
      <c r="AC28" s="43"/>
      <c r="AD28" s="43"/>
      <c r="AE28" s="44"/>
      <c r="AF28" s="43"/>
      <c r="AG28" s="43"/>
      <c r="AH28" s="44"/>
      <c r="AI28" s="43"/>
      <c r="AJ28" s="43"/>
      <c r="AK28" s="44"/>
      <c r="AL28" s="43"/>
      <c r="AM28" s="43"/>
      <c r="AN28" s="44"/>
      <c r="AO28" s="43"/>
      <c r="AP28" s="43"/>
      <c r="AQ28" s="44"/>
      <c r="AR28" s="43"/>
      <c r="AS28" s="43"/>
      <c r="AT28" s="44"/>
      <c r="AU28" s="43"/>
      <c r="AV28" s="43"/>
      <c r="AW28" s="44"/>
      <c r="AX28" s="43"/>
      <c r="AY28" s="43"/>
      <c r="AZ28" s="44"/>
      <c r="BA28" s="43"/>
      <c r="BB28" s="43"/>
      <c r="BC28" s="44"/>
      <c r="BD28" s="43"/>
      <c r="BE28" s="43"/>
      <c r="BF28" s="44"/>
      <c r="BG28" s="43"/>
      <c r="BH28" s="43"/>
      <c r="BI28" s="44"/>
      <c r="BJ28" s="43"/>
      <c r="BK28" s="43"/>
      <c r="BL28" s="44"/>
      <c r="BM28" s="43"/>
      <c r="BN28" s="43"/>
      <c r="BO28" s="44"/>
      <c r="BP28" s="43"/>
      <c r="BQ28" s="43"/>
      <c r="BR28" s="44"/>
      <c r="BS28" s="43"/>
      <c r="BT28" s="43"/>
      <c r="BU28" s="44"/>
      <c r="BV28" s="43"/>
      <c r="BW28" s="43"/>
      <c r="BX28" s="44"/>
      <c r="BY28" s="43"/>
      <c r="BZ28" s="43"/>
      <c r="CA28" s="44"/>
      <c r="CB28" s="43"/>
      <c r="CC28" s="43"/>
      <c r="CD28" s="44"/>
      <c r="CE28" s="43"/>
      <c r="CF28" s="43"/>
      <c r="CG28" s="44"/>
      <c r="CH28" s="43"/>
      <c r="CI28" s="43"/>
      <c r="CJ28" s="44"/>
      <c r="CK28" s="43"/>
      <c r="CL28" s="43"/>
      <c r="CM28" s="44"/>
      <c r="CN28" s="43"/>
      <c r="CO28" s="43"/>
      <c r="CP28" s="44"/>
      <c r="CQ28" s="43"/>
      <c r="CR28" s="43"/>
      <c r="CS28" s="44"/>
      <c r="CT28" s="43"/>
      <c r="CU28" s="43"/>
      <c r="CV28" s="44"/>
      <c r="CW28" s="43"/>
      <c r="CX28" s="43"/>
      <c r="CY28" s="44"/>
      <c r="CZ28" s="43"/>
      <c r="DA28" s="43"/>
      <c r="DB28" s="44"/>
      <c r="DC28" s="43"/>
      <c r="DD28" s="43"/>
      <c r="DE28" s="44"/>
      <c r="DF28" s="43"/>
      <c r="DG28" s="43"/>
      <c r="DH28" s="44"/>
      <c r="DI28" s="43"/>
      <c r="DJ28" s="43"/>
      <c r="DK28" s="44"/>
      <c r="DL28" s="43"/>
      <c r="DM28" s="43"/>
      <c r="DN28" s="44"/>
      <c r="DO28" s="43"/>
      <c r="DP28" s="43"/>
      <c r="DQ28" s="44"/>
      <c r="DR28" s="43"/>
      <c r="DS28" s="43"/>
      <c r="DT28" s="44"/>
      <c r="DU28" s="43"/>
      <c r="DV28" s="43"/>
      <c r="DW28" s="44"/>
      <c r="DX28" s="43"/>
      <c r="DY28" s="43"/>
      <c r="DZ28" s="44"/>
      <c r="EA28" s="43"/>
      <c r="EB28" s="43"/>
      <c r="EC28" s="44"/>
      <c r="ED28" s="43"/>
      <c r="EE28" s="43"/>
      <c r="EF28" s="44"/>
      <c r="EG28" s="43"/>
      <c r="EH28" s="43"/>
      <c r="EI28" s="44"/>
      <c r="EJ28" s="43"/>
      <c r="EK28" s="43"/>
      <c r="EL28" s="44"/>
      <c r="EM28" s="43"/>
      <c r="EN28" s="43"/>
      <c r="EO28" s="44"/>
      <c r="EP28" s="43"/>
      <c r="EQ28" s="43"/>
      <c r="ER28" s="44"/>
      <c r="ES28" s="43"/>
      <c r="ET28" s="43"/>
      <c r="EU28" s="44"/>
      <c r="EV28" s="43"/>
      <c r="EW28" s="43"/>
      <c r="EX28" s="44"/>
      <c r="EY28" s="43"/>
      <c r="EZ28" s="43"/>
      <c r="FA28" s="44"/>
      <c r="FB28" s="43"/>
      <c r="FC28" s="43"/>
      <c r="FD28" s="44"/>
      <c r="FE28" s="43"/>
      <c r="FF28" s="43"/>
      <c r="FG28" s="44"/>
      <c r="FH28" s="43"/>
      <c r="FI28" s="43"/>
      <c r="FJ28" s="44"/>
    </row>
    <row r="29" spans="1:166" s="38" customFormat="1" ht="15.75" x14ac:dyDescent="0.25">
      <c r="A29" s="3"/>
      <c r="B29" s="6" t="s">
        <v>205</v>
      </c>
      <c r="C29" s="1" t="s">
        <v>203</v>
      </c>
      <c r="D29" s="19" t="s">
        <v>82</v>
      </c>
      <c r="E29" s="43"/>
      <c r="F29" s="43"/>
      <c r="G29" s="44"/>
      <c r="H29" s="43"/>
      <c r="I29" s="43"/>
      <c r="J29" s="44"/>
      <c r="K29" s="43"/>
      <c r="L29" s="43"/>
      <c r="M29" s="44"/>
      <c r="N29" s="43"/>
      <c r="O29" s="43"/>
      <c r="P29" s="44"/>
      <c r="Q29" s="43"/>
      <c r="R29" s="43"/>
      <c r="S29" s="44"/>
      <c r="T29" s="43"/>
      <c r="U29" s="43"/>
      <c r="V29" s="44"/>
      <c r="W29" s="43"/>
      <c r="X29" s="43"/>
      <c r="Y29" s="44"/>
      <c r="Z29" s="43"/>
      <c r="AA29" s="43"/>
      <c r="AB29" s="44"/>
      <c r="AC29" s="43"/>
      <c r="AD29" s="43"/>
      <c r="AE29" s="44"/>
      <c r="AF29" s="43"/>
      <c r="AG29" s="43"/>
      <c r="AH29" s="44"/>
      <c r="AI29" s="43"/>
      <c r="AJ29" s="43"/>
      <c r="AK29" s="44"/>
      <c r="AL29" s="43"/>
      <c r="AM29" s="43"/>
      <c r="AN29" s="44"/>
      <c r="AO29" s="43"/>
      <c r="AP29" s="43"/>
      <c r="AQ29" s="44"/>
      <c r="AR29" s="43"/>
      <c r="AS29" s="43"/>
      <c r="AT29" s="44"/>
      <c r="AU29" s="43"/>
      <c r="AV29" s="43"/>
      <c r="AW29" s="44"/>
      <c r="AX29" s="43"/>
      <c r="AY29" s="43"/>
      <c r="AZ29" s="44"/>
      <c r="BA29" s="43"/>
      <c r="BB29" s="43"/>
      <c r="BC29" s="44"/>
      <c r="BD29" s="43"/>
      <c r="BE29" s="43"/>
      <c r="BF29" s="44"/>
      <c r="BG29" s="43"/>
      <c r="BH29" s="43"/>
      <c r="BI29" s="44"/>
      <c r="BJ29" s="43"/>
      <c r="BK29" s="43"/>
      <c r="BL29" s="44"/>
      <c r="BM29" s="43"/>
      <c r="BN29" s="43"/>
      <c r="BO29" s="44"/>
      <c r="BP29" s="43"/>
      <c r="BQ29" s="43"/>
      <c r="BR29" s="44"/>
      <c r="BS29" s="43"/>
      <c r="BT29" s="43"/>
      <c r="BU29" s="44"/>
      <c r="BV29" s="43"/>
      <c r="BW29" s="43"/>
      <c r="BX29" s="44"/>
      <c r="BY29" s="43"/>
      <c r="BZ29" s="43"/>
      <c r="CA29" s="44"/>
      <c r="CB29" s="43"/>
      <c r="CC29" s="43"/>
      <c r="CD29" s="44"/>
      <c r="CE29" s="43"/>
      <c r="CF29" s="43"/>
      <c r="CG29" s="44"/>
      <c r="CH29" s="43"/>
      <c r="CI29" s="43"/>
      <c r="CJ29" s="44"/>
      <c r="CK29" s="43"/>
      <c r="CL29" s="43"/>
      <c r="CM29" s="44"/>
      <c r="CN29" s="43"/>
      <c r="CO29" s="43"/>
      <c r="CP29" s="44"/>
      <c r="CQ29" s="43"/>
      <c r="CR29" s="43"/>
      <c r="CS29" s="44"/>
      <c r="CT29" s="43"/>
      <c r="CU29" s="43"/>
      <c r="CV29" s="44"/>
      <c r="CW29" s="43"/>
      <c r="CX29" s="43"/>
      <c r="CY29" s="44"/>
      <c r="CZ29" s="43"/>
      <c r="DA29" s="43"/>
      <c r="DB29" s="44"/>
      <c r="DC29" s="43"/>
      <c r="DD29" s="43"/>
      <c r="DE29" s="44"/>
      <c r="DF29" s="43"/>
      <c r="DG29" s="43"/>
      <c r="DH29" s="44"/>
      <c r="DI29" s="43"/>
      <c r="DJ29" s="43"/>
      <c r="DK29" s="44"/>
      <c r="DL29" s="43"/>
      <c r="DM29" s="43"/>
      <c r="DN29" s="44"/>
      <c r="DO29" s="43"/>
      <c r="DP29" s="43"/>
      <c r="DQ29" s="44"/>
      <c r="DR29" s="43"/>
      <c r="DS29" s="43"/>
      <c r="DT29" s="44"/>
      <c r="DU29" s="43"/>
      <c r="DV29" s="43"/>
      <c r="DW29" s="44"/>
      <c r="DX29" s="43"/>
      <c r="DY29" s="43"/>
      <c r="DZ29" s="44"/>
      <c r="EA29" s="43"/>
      <c r="EB29" s="43"/>
      <c r="EC29" s="44"/>
      <c r="ED29" s="43"/>
      <c r="EE29" s="43"/>
      <c r="EF29" s="44"/>
      <c r="EG29" s="43"/>
      <c r="EH29" s="43"/>
      <c r="EI29" s="44"/>
      <c r="EJ29" s="43"/>
      <c r="EK29" s="43"/>
      <c r="EL29" s="44"/>
      <c r="EM29" s="43"/>
      <c r="EN29" s="43"/>
      <c r="EO29" s="44"/>
      <c r="EP29" s="43"/>
      <c r="EQ29" s="43"/>
      <c r="ER29" s="44"/>
      <c r="ES29" s="43"/>
      <c r="ET29" s="43"/>
      <c r="EU29" s="44"/>
      <c r="EV29" s="43"/>
      <c r="EW29" s="43"/>
      <c r="EX29" s="44"/>
      <c r="EY29" s="43"/>
      <c r="EZ29" s="43"/>
      <c r="FA29" s="44"/>
      <c r="FB29" s="43"/>
      <c r="FC29" s="43"/>
      <c r="FD29" s="44"/>
      <c r="FE29" s="43"/>
      <c r="FF29" s="43"/>
      <c r="FG29" s="44"/>
      <c r="FH29" s="43"/>
      <c r="FI29" s="43"/>
      <c r="FJ29" s="44"/>
    </row>
    <row r="30" spans="1:166" s="38" customFormat="1" ht="15.75" x14ac:dyDescent="0.25">
      <c r="A30" s="3"/>
      <c r="B30" s="6" t="s">
        <v>206</v>
      </c>
      <c r="C30" s="1" t="s">
        <v>203</v>
      </c>
      <c r="D30" s="19" t="s">
        <v>82</v>
      </c>
      <c r="E30" s="43"/>
      <c r="F30" s="43"/>
      <c r="G30" s="44"/>
      <c r="H30" s="43"/>
      <c r="I30" s="43"/>
      <c r="J30" s="44"/>
      <c r="K30" s="43"/>
      <c r="L30" s="43"/>
      <c r="M30" s="44"/>
      <c r="N30" s="43"/>
      <c r="O30" s="43"/>
      <c r="P30" s="44"/>
      <c r="Q30" s="43"/>
      <c r="R30" s="43"/>
      <c r="S30" s="44"/>
      <c r="T30" s="43"/>
      <c r="U30" s="43"/>
      <c r="V30" s="44"/>
      <c r="W30" s="43"/>
      <c r="X30" s="43"/>
      <c r="Y30" s="44"/>
      <c r="Z30" s="43"/>
      <c r="AA30" s="43"/>
      <c r="AB30" s="44"/>
      <c r="AC30" s="43"/>
      <c r="AD30" s="43"/>
      <c r="AE30" s="44"/>
      <c r="AF30" s="43"/>
      <c r="AG30" s="43"/>
      <c r="AH30" s="44"/>
      <c r="AI30" s="43"/>
      <c r="AJ30" s="43"/>
      <c r="AK30" s="44"/>
      <c r="AL30" s="43"/>
      <c r="AM30" s="43"/>
      <c r="AN30" s="44"/>
      <c r="AO30" s="43"/>
      <c r="AP30" s="43"/>
      <c r="AQ30" s="44"/>
      <c r="AR30" s="43"/>
      <c r="AS30" s="43"/>
      <c r="AT30" s="44"/>
      <c r="AU30" s="43"/>
      <c r="AV30" s="43"/>
      <c r="AW30" s="44"/>
      <c r="AX30" s="43"/>
      <c r="AY30" s="43"/>
      <c r="AZ30" s="44"/>
      <c r="BA30" s="43"/>
      <c r="BB30" s="43"/>
      <c r="BC30" s="44"/>
      <c r="BD30" s="43"/>
      <c r="BE30" s="43"/>
      <c r="BF30" s="44"/>
      <c r="BG30" s="43"/>
      <c r="BH30" s="43"/>
      <c r="BI30" s="44"/>
      <c r="BJ30" s="43"/>
      <c r="BK30" s="43"/>
      <c r="BL30" s="44"/>
      <c r="BM30" s="43"/>
      <c r="BN30" s="43"/>
      <c r="BO30" s="44"/>
      <c r="BP30" s="43"/>
      <c r="BQ30" s="43"/>
      <c r="BR30" s="44"/>
      <c r="BS30" s="43"/>
      <c r="BT30" s="43"/>
      <c r="BU30" s="44"/>
      <c r="BV30" s="43"/>
      <c r="BW30" s="43"/>
      <c r="BX30" s="44"/>
      <c r="BY30" s="43"/>
      <c r="BZ30" s="43"/>
      <c r="CA30" s="44"/>
      <c r="CB30" s="43"/>
      <c r="CC30" s="43"/>
      <c r="CD30" s="44"/>
      <c r="CE30" s="43"/>
      <c r="CF30" s="43"/>
      <c r="CG30" s="44"/>
      <c r="CH30" s="43"/>
      <c r="CI30" s="43"/>
      <c r="CJ30" s="44"/>
      <c r="CK30" s="43"/>
      <c r="CL30" s="43"/>
      <c r="CM30" s="44"/>
      <c r="CN30" s="43"/>
      <c r="CO30" s="43"/>
      <c r="CP30" s="44"/>
      <c r="CQ30" s="43"/>
      <c r="CR30" s="43"/>
      <c r="CS30" s="44"/>
      <c r="CT30" s="43"/>
      <c r="CU30" s="43"/>
      <c r="CV30" s="44"/>
      <c r="CW30" s="43"/>
      <c r="CX30" s="43"/>
      <c r="CY30" s="44"/>
      <c r="CZ30" s="43"/>
      <c r="DA30" s="43"/>
      <c r="DB30" s="44"/>
      <c r="DC30" s="43"/>
      <c r="DD30" s="43"/>
      <c r="DE30" s="44"/>
      <c r="DF30" s="43"/>
      <c r="DG30" s="43"/>
      <c r="DH30" s="44"/>
      <c r="DI30" s="43"/>
      <c r="DJ30" s="43"/>
      <c r="DK30" s="44"/>
      <c r="DL30" s="43"/>
      <c r="DM30" s="43"/>
      <c r="DN30" s="44"/>
      <c r="DO30" s="43"/>
      <c r="DP30" s="43"/>
      <c r="DQ30" s="44"/>
      <c r="DR30" s="43"/>
      <c r="DS30" s="43"/>
      <c r="DT30" s="44"/>
      <c r="DU30" s="43"/>
      <c r="DV30" s="43"/>
      <c r="DW30" s="44"/>
      <c r="DX30" s="43"/>
      <c r="DY30" s="43"/>
      <c r="DZ30" s="44"/>
      <c r="EA30" s="43"/>
      <c r="EB30" s="43"/>
      <c r="EC30" s="44"/>
      <c r="ED30" s="43"/>
      <c r="EE30" s="43"/>
      <c r="EF30" s="44"/>
      <c r="EG30" s="43"/>
      <c r="EH30" s="43"/>
      <c r="EI30" s="44"/>
      <c r="EJ30" s="43"/>
      <c r="EK30" s="43"/>
      <c r="EL30" s="44"/>
      <c r="EM30" s="43"/>
      <c r="EN30" s="43"/>
      <c r="EO30" s="44"/>
      <c r="EP30" s="43"/>
      <c r="EQ30" s="43"/>
      <c r="ER30" s="44"/>
      <c r="ES30" s="43"/>
      <c r="ET30" s="43"/>
      <c r="EU30" s="44"/>
      <c r="EV30" s="43"/>
      <c r="EW30" s="43"/>
      <c r="EX30" s="44"/>
      <c r="EY30" s="43"/>
      <c r="EZ30" s="43"/>
      <c r="FA30" s="44"/>
      <c r="FB30" s="43"/>
      <c r="FC30" s="43"/>
      <c r="FD30" s="44"/>
      <c r="FE30" s="43"/>
      <c r="FF30" s="43"/>
      <c r="FG30" s="44"/>
      <c r="FH30" s="43"/>
      <c r="FI30" s="43"/>
      <c r="FJ30" s="44"/>
    </row>
    <row r="31" spans="1:166" s="38" customFormat="1" ht="15.75" x14ac:dyDescent="0.25">
      <c r="A31" s="3"/>
      <c r="B31" s="6" t="s">
        <v>207</v>
      </c>
      <c r="C31" s="1" t="s">
        <v>203</v>
      </c>
      <c r="D31" s="19" t="s">
        <v>82</v>
      </c>
      <c r="E31" s="43"/>
      <c r="F31" s="43"/>
      <c r="G31" s="44"/>
      <c r="H31" s="43"/>
      <c r="I31" s="43"/>
      <c r="J31" s="44"/>
      <c r="K31" s="43"/>
      <c r="L31" s="43"/>
      <c r="M31" s="44"/>
      <c r="N31" s="43"/>
      <c r="O31" s="43"/>
      <c r="P31" s="44"/>
      <c r="Q31" s="43"/>
      <c r="R31" s="43"/>
      <c r="S31" s="44"/>
      <c r="T31" s="43"/>
      <c r="U31" s="43"/>
      <c r="V31" s="44"/>
      <c r="W31" s="43"/>
      <c r="X31" s="43"/>
      <c r="Y31" s="44"/>
      <c r="Z31" s="43"/>
      <c r="AA31" s="43"/>
      <c r="AB31" s="44"/>
      <c r="AC31" s="43"/>
      <c r="AD31" s="43"/>
      <c r="AE31" s="44"/>
      <c r="AF31" s="43"/>
      <c r="AG31" s="43"/>
      <c r="AH31" s="44"/>
      <c r="AI31" s="43"/>
      <c r="AJ31" s="43"/>
      <c r="AK31" s="44"/>
      <c r="AL31" s="43"/>
      <c r="AM31" s="43"/>
      <c r="AN31" s="44"/>
      <c r="AO31" s="43"/>
      <c r="AP31" s="43"/>
      <c r="AQ31" s="44"/>
      <c r="AR31" s="43"/>
      <c r="AS31" s="43"/>
      <c r="AT31" s="44"/>
      <c r="AU31" s="43"/>
      <c r="AV31" s="43"/>
      <c r="AW31" s="44"/>
      <c r="AX31" s="43"/>
      <c r="AY31" s="43"/>
      <c r="AZ31" s="44"/>
      <c r="BA31" s="43"/>
      <c r="BB31" s="43"/>
      <c r="BC31" s="44"/>
      <c r="BD31" s="43"/>
      <c r="BE31" s="43"/>
      <c r="BF31" s="44"/>
      <c r="BG31" s="43"/>
      <c r="BH31" s="43"/>
      <c r="BI31" s="44"/>
      <c r="BJ31" s="43"/>
      <c r="BK31" s="43"/>
      <c r="BL31" s="44"/>
      <c r="BM31" s="43"/>
      <c r="BN31" s="43"/>
      <c r="BO31" s="44"/>
      <c r="BP31" s="43"/>
      <c r="BQ31" s="43"/>
      <c r="BR31" s="44"/>
      <c r="BS31" s="43"/>
      <c r="BT31" s="43"/>
      <c r="BU31" s="44"/>
      <c r="BV31" s="43"/>
      <c r="BW31" s="43"/>
      <c r="BX31" s="44"/>
      <c r="BY31" s="43"/>
      <c r="BZ31" s="43"/>
      <c r="CA31" s="44"/>
      <c r="CB31" s="43"/>
      <c r="CC31" s="43"/>
      <c r="CD31" s="44"/>
      <c r="CE31" s="43"/>
      <c r="CF31" s="43"/>
      <c r="CG31" s="44"/>
      <c r="CH31" s="43"/>
      <c r="CI31" s="43"/>
      <c r="CJ31" s="44"/>
      <c r="CK31" s="43"/>
      <c r="CL31" s="43"/>
      <c r="CM31" s="44"/>
      <c r="CN31" s="43"/>
      <c r="CO31" s="43"/>
      <c r="CP31" s="44"/>
      <c r="CQ31" s="43"/>
      <c r="CR31" s="43"/>
      <c r="CS31" s="44"/>
      <c r="CT31" s="43"/>
      <c r="CU31" s="43"/>
      <c r="CV31" s="44"/>
      <c r="CW31" s="43"/>
      <c r="CX31" s="43"/>
      <c r="CY31" s="44"/>
      <c r="CZ31" s="43"/>
      <c r="DA31" s="43"/>
      <c r="DB31" s="44"/>
      <c r="DC31" s="43"/>
      <c r="DD31" s="43"/>
      <c r="DE31" s="44"/>
      <c r="DF31" s="43"/>
      <c r="DG31" s="43"/>
      <c r="DH31" s="44"/>
      <c r="DI31" s="43"/>
      <c r="DJ31" s="43"/>
      <c r="DK31" s="44"/>
      <c r="DL31" s="43"/>
      <c r="DM31" s="43"/>
      <c r="DN31" s="44"/>
      <c r="DO31" s="43"/>
      <c r="DP31" s="43"/>
      <c r="DQ31" s="44"/>
      <c r="DR31" s="43"/>
      <c r="DS31" s="43"/>
      <c r="DT31" s="44"/>
      <c r="DU31" s="43"/>
      <c r="DV31" s="43"/>
      <c r="DW31" s="44"/>
      <c r="DX31" s="43"/>
      <c r="DY31" s="43"/>
      <c r="DZ31" s="44"/>
      <c r="EA31" s="43"/>
      <c r="EB31" s="43"/>
      <c r="EC31" s="44"/>
      <c r="ED31" s="43"/>
      <c r="EE31" s="43"/>
      <c r="EF31" s="44"/>
      <c r="EG31" s="43"/>
      <c r="EH31" s="43"/>
      <c r="EI31" s="44"/>
      <c r="EJ31" s="43"/>
      <c r="EK31" s="43"/>
      <c r="EL31" s="44"/>
      <c r="EM31" s="43"/>
      <c r="EN31" s="43"/>
      <c r="EO31" s="44"/>
      <c r="EP31" s="43"/>
      <c r="EQ31" s="43"/>
      <c r="ER31" s="44"/>
      <c r="ES31" s="43"/>
      <c r="ET31" s="43"/>
      <c r="EU31" s="44"/>
      <c r="EV31" s="43"/>
      <c r="EW31" s="43"/>
      <c r="EX31" s="44"/>
      <c r="EY31" s="43"/>
      <c r="EZ31" s="43"/>
      <c r="FA31" s="44"/>
      <c r="FB31" s="43"/>
      <c r="FC31" s="43"/>
      <c r="FD31" s="44"/>
      <c r="FE31" s="43"/>
      <c r="FF31" s="43"/>
      <c r="FG31" s="44"/>
      <c r="FH31" s="43"/>
      <c r="FI31" s="43"/>
      <c r="FJ31" s="44"/>
    </row>
    <row r="32" spans="1:166" ht="15.75" x14ac:dyDescent="0.25">
      <c r="B32" s="404" t="s">
        <v>208</v>
      </c>
      <c r="C32" s="404"/>
      <c r="D32" s="20"/>
      <c r="E32" s="2"/>
      <c r="F32" s="2"/>
      <c r="G32" s="12"/>
      <c r="H32" s="2"/>
      <c r="I32" s="2"/>
      <c r="J32" s="12"/>
      <c r="K32" s="2"/>
      <c r="L32" s="2"/>
      <c r="M32" s="12"/>
      <c r="N32" s="2"/>
      <c r="O32" s="2"/>
      <c r="P32" s="12"/>
      <c r="Q32" s="2"/>
      <c r="R32" s="2"/>
      <c r="S32" s="12"/>
      <c r="T32" s="2"/>
      <c r="U32" s="2"/>
      <c r="V32" s="12"/>
      <c r="W32" s="2"/>
      <c r="X32" s="2"/>
      <c r="Y32" s="12"/>
      <c r="Z32" s="2"/>
      <c r="AA32" s="2"/>
      <c r="AB32" s="12"/>
      <c r="AC32" s="2"/>
      <c r="AD32" s="2"/>
      <c r="AE32" s="12"/>
      <c r="AF32" s="2"/>
      <c r="AG32" s="2"/>
      <c r="AH32" s="12"/>
      <c r="AI32" s="2"/>
      <c r="AJ32" s="2"/>
      <c r="AK32" s="12"/>
      <c r="AL32" s="2"/>
      <c r="AM32" s="2"/>
      <c r="AN32" s="12"/>
      <c r="AO32" s="2"/>
      <c r="AP32" s="2"/>
      <c r="AQ32" s="12"/>
      <c r="AR32" s="2"/>
      <c r="AS32" s="2"/>
      <c r="AT32" s="12"/>
      <c r="AU32" s="2"/>
      <c r="AV32" s="2"/>
      <c r="AW32" s="12"/>
      <c r="AX32" s="2"/>
      <c r="AY32" s="2"/>
      <c r="AZ32" s="12"/>
      <c r="BA32" s="2"/>
      <c r="BB32" s="2"/>
      <c r="BC32" s="12"/>
      <c r="BD32" s="2"/>
      <c r="BE32" s="2"/>
      <c r="BF32" s="12"/>
      <c r="BG32" s="2"/>
      <c r="BH32" s="2"/>
      <c r="BI32" s="12"/>
      <c r="BJ32" s="2"/>
      <c r="BK32" s="2"/>
      <c r="BL32" s="12"/>
      <c r="BM32" s="2"/>
      <c r="BN32" s="2"/>
      <c r="BO32" s="12"/>
      <c r="BP32" s="2"/>
      <c r="BQ32" s="2"/>
      <c r="BR32" s="12"/>
      <c r="BS32" s="2"/>
      <c r="BT32" s="2"/>
      <c r="BU32" s="12"/>
      <c r="BV32" s="2"/>
      <c r="BW32" s="2"/>
      <c r="BX32" s="12"/>
      <c r="BY32" s="2"/>
      <c r="BZ32" s="2"/>
      <c r="CA32" s="12"/>
      <c r="CB32" s="2"/>
      <c r="CC32" s="2"/>
      <c r="CD32" s="12"/>
      <c r="CE32" s="2"/>
      <c r="CF32" s="2"/>
      <c r="CG32" s="12"/>
      <c r="CH32" s="2"/>
      <c r="CI32" s="2"/>
      <c r="CJ32" s="12"/>
      <c r="CK32" s="2"/>
      <c r="CL32" s="2"/>
      <c r="CM32" s="12"/>
      <c r="CN32" s="2"/>
      <c r="CO32" s="2"/>
      <c r="CP32" s="12"/>
      <c r="CQ32" s="2"/>
      <c r="CR32" s="2"/>
      <c r="CS32" s="12"/>
      <c r="CT32" s="2"/>
      <c r="CU32" s="2"/>
      <c r="CV32" s="12"/>
      <c r="CW32" s="2"/>
      <c r="CX32" s="2"/>
      <c r="CY32" s="12"/>
      <c r="CZ32" s="2"/>
      <c r="DA32" s="2"/>
      <c r="DB32" s="12"/>
      <c r="DC32" s="2"/>
      <c r="DD32" s="2"/>
      <c r="DE32" s="12"/>
      <c r="DF32" s="2"/>
      <c r="DG32" s="2"/>
      <c r="DH32" s="12"/>
      <c r="DI32" s="2"/>
      <c r="DJ32" s="2"/>
      <c r="DK32" s="12"/>
      <c r="DL32" s="2"/>
      <c r="DM32" s="2"/>
      <c r="DN32" s="12"/>
      <c r="DO32" s="2"/>
      <c r="DP32" s="2"/>
      <c r="DQ32" s="12"/>
      <c r="DR32" s="2"/>
      <c r="DS32" s="2"/>
      <c r="DT32" s="12"/>
      <c r="DU32" s="2"/>
      <c r="DV32" s="2"/>
      <c r="DW32" s="12"/>
      <c r="DX32" s="2"/>
      <c r="DY32" s="2"/>
      <c r="DZ32" s="12"/>
      <c r="EA32" s="2"/>
      <c r="EB32" s="2"/>
      <c r="EC32" s="12"/>
      <c r="ED32" s="2"/>
      <c r="EE32" s="2"/>
      <c r="EF32" s="12"/>
      <c r="EG32" s="2"/>
      <c r="EH32" s="2"/>
      <c r="EI32" s="12"/>
      <c r="EJ32" s="2"/>
      <c r="EK32" s="2"/>
      <c r="EL32" s="12"/>
      <c r="EM32" s="2"/>
      <c r="EN32" s="2"/>
      <c r="EO32" s="12"/>
      <c r="EP32" s="2"/>
      <c r="EQ32" s="2"/>
      <c r="ER32" s="12"/>
      <c r="ES32" s="2"/>
      <c r="ET32" s="2"/>
      <c r="EU32" s="12"/>
      <c r="EV32" s="2"/>
      <c r="EW32" s="2"/>
      <c r="EX32" s="12"/>
      <c r="EY32" s="2"/>
      <c r="EZ32" s="2"/>
      <c r="FA32" s="12"/>
      <c r="FB32" s="2"/>
      <c r="FC32" s="2"/>
      <c r="FD32" s="12"/>
      <c r="FE32" s="2"/>
      <c r="FF32" s="2"/>
      <c r="FG32" s="12"/>
      <c r="FH32" s="2"/>
      <c r="FI32" s="2"/>
      <c r="FJ32" s="12"/>
    </row>
    <row r="33" spans="1:166" s="38" customFormat="1" ht="15.75" x14ac:dyDescent="0.25">
      <c r="A33" s="3"/>
      <c r="B33" s="6" t="s">
        <v>209</v>
      </c>
      <c r="C33" s="1" t="s">
        <v>210</v>
      </c>
      <c r="D33" s="19">
        <v>13</v>
      </c>
      <c r="E33" s="41"/>
      <c r="F33" s="12"/>
      <c r="G33" s="12"/>
      <c r="H33" s="41"/>
      <c r="I33" s="12"/>
      <c r="J33" s="12"/>
      <c r="K33" s="41"/>
      <c r="L33" s="12"/>
      <c r="M33" s="12"/>
      <c r="N33" s="41"/>
      <c r="O33" s="12"/>
      <c r="P33" s="12"/>
      <c r="Q33" s="41"/>
      <c r="R33" s="12"/>
      <c r="S33" s="12"/>
      <c r="T33" s="41"/>
      <c r="U33" s="12"/>
      <c r="V33" s="12"/>
      <c r="W33" s="41"/>
      <c r="X33" s="12"/>
      <c r="Y33" s="12"/>
      <c r="Z33" s="41"/>
      <c r="AA33" s="12"/>
      <c r="AB33" s="12"/>
      <c r="AC33" s="41"/>
      <c r="AD33" s="12"/>
      <c r="AE33" s="12"/>
      <c r="AF33" s="41"/>
      <c r="AG33" s="12"/>
      <c r="AH33" s="12"/>
      <c r="AI33" s="41"/>
      <c r="AJ33" s="12"/>
      <c r="AK33" s="12"/>
      <c r="AL33" s="41"/>
      <c r="AM33" s="12"/>
      <c r="AN33" s="12"/>
      <c r="AO33" s="41"/>
      <c r="AP33" s="12"/>
      <c r="AQ33" s="12"/>
      <c r="AR33" s="41"/>
      <c r="AS33" s="12"/>
      <c r="AT33" s="12"/>
      <c r="AU33" s="41"/>
      <c r="AV33" s="12"/>
      <c r="AW33" s="12"/>
      <c r="AX33" s="41"/>
      <c r="AY33" s="12"/>
      <c r="AZ33" s="12"/>
      <c r="BA33" s="41"/>
      <c r="BB33" s="12"/>
      <c r="BC33" s="12"/>
      <c r="BD33" s="41"/>
      <c r="BE33" s="12"/>
      <c r="BF33" s="12"/>
      <c r="BG33" s="41"/>
      <c r="BH33" s="12"/>
      <c r="BI33" s="12"/>
      <c r="BJ33" s="41"/>
      <c r="BK33" s="12"/>
      <c r="BL33" s="12"/>
      <c r="BM33" s="41"/>
      <c r="BN33" s="12"/>
      <c r="BO33" s="12"/>
      <c r="BP33" s="41"/>
      <c r="BQ33" s="12"/>
      <c r="BR33" s="12"/>
      <c r="BS33" s="41"/>
      <c r="BT33" s="12"/>
      <c r="BU33" s="12"/>
      <c r="BV33" s="41"/>
      <c r="BW33" s="12"/>
      <c r="BX33" s="12"/>
      <c r="BY33" s="41"/>
      <c r="BZ33" s="12"/>
      <c r="CA33" s="12"/>
      <c r="CB33" s="41"/>
      <c r="CC33" s="12"/>
      <c r="CD33" s="12"/>
      <c r="CE33" s="41"/>
      <c r="CF33" s="12"/>
      <c r="CG33" s="12"/>
      <c r="CH33" s="41"/>
      <c r="CI33" s="12"/>
      <c r="CJ33" s="12"/>
      <c r="CK33" s="41"/>
      <c r="CL33" s="12"/>
      <c r="CM33" s="12"/>
      <c r="CN33" s="41"/>
      <c r="CO33" s="12"/>
      <c r="CP33" s="12"/>
      <c r="CQ33" s="41"/>
      <c r="CR33" s="12"/>
      <c r="CS33" s="12"/>
      <c r="CT33" s="41"/>
      <c r="CU33" s="12"/>
      <c r="CV33" s="12"/>
      <c r="CW33" s="41"/>
      <c r="CX33" s="12"/>
      <c r="CY33" s="12"/>
      <c r="CZ33" s="41"/>
      <c r="DA33" s="12"/>
      <c r="DB33" s="12"/>
      <c r="DC33" s="41"/>
      <c r="DD33" s="12"/>
      <c r="DE33" s="12"/>
      <c r="DF33" s="41"/>
      <c r="DG33" s="12"/>
      <c r="DH33" s="12"/>
      <c r="DI33" s="41"/>
      <c r="DJ33" s="12"/>
      <c r="DK33" s="12"/>
      <c r="DL33" s="41"/>
      <c r="DM33" s="12"/>
      <c r="DN33" s="12"/>
      <c r="DO33" s="41"/>
      <c r="DP33" s="12"/>
      <c r="DQ33" s="12"/>
      <c r="DR33" s="41"/>
      <c r="DS33" s="12"/>
      <c r="DT33" s="12"/>
      <c r="DU33" s="41"/>
      <c r="DV33" s="12"/>
      <c r="DW33" s="12"/>
      <c r="DX33" s="41"/>
      <c r="DY33" s="12"/>
      <c r="DZ33" s="12"/>
      <c r="EA33" s="41"/>
      <c r="EB33" s="12"/>
      <c r="EC33" s="12"/>
      <c r="ED33" s="41"/>
      <c r="EE33" s="12"/>
      <c r="EF33" s="12"/>
      <c r="EG33" s="41"/>
      <c r="EH33" s="12"/>
      <c r="EI33" s="12"/>
      <c r="EJ33" s="41"/>
      <c r="EK33" s="12"/>
      <c r="EL33" s="12"/>
      <c r="EM33" s="41"/>
      <c r="EN33" s="12"/>
      <c r="EO33" s="12"/>
      <c r="EP33" s="41"/>
      <c r="EQ33" s="12"/>
      <c r="ER33" s="12"/>
      <c r="ES33" s="41"/>
      <c r="ET33" s="12"/>
      <c r="EU33" s="12"/>
      <c r="EV33" s="41"/>
      <c r="EW33" s="12"/>
      <c r="EX33" s="12"/>
      <c r="EY33" s="41"/>
      <c r="EZ33" s="12"/>
      <c r="FA33" s="12"/>
      <c r="FB33" s="41"/>
      <c r="FC33" s="12"/>
      <c r="FD33" s="12"/>
      <c r="FE33" s="41"/>
      <c r="FF33" s="12"/>
      <c r="FG33" s="12"/>
      <c r="FH33" s="41"/>
      <c r="FI33" s="12"/>
      <c r="FJ33" s="12"/>
    </row>
    <row r="34" spans="1:166" s="52" customFormat="1" ht="15.75" x14ac:dyDescent="0.25">
      <c r="A34" s="3"/>
      <c r="B34" s="6" t="s">
        <v>211</v>
      </c>
      <c r="C34" s="1" t="s">
        <v>212</v>
      </c>
      <c r="D34" s="19" t="s">
        <v>82</v>
      </c>
      <c r="E34" s="50"/>
      <c r="F34" s="50"/>
      <c r="G34" s="51"/>
      <c r="H34" s="50"/>
      <c r="I34" s="50"/>
      <c r="J34" s="51"/>
      <c r="K34" s="50"/>
      <c r="L34" s="50"/>
      <c r="M34" s="51"/>
      <c r="N34" s="50"/>
      <c r="O34" s="50"/>
      <c r="P34" s="51"/>
      <c r="Q34" s="50"/>
      <c r="R34" s="50"/>
      <c r="S34" s="51"/>
      <c r="T34" s="50"/>
      <c r="U34" s="50"/>
      <c r="V34" s="51"/>
      <c r="W34" s="50"/>
      <c r="X34" s="50"/>
      <c r="Y34" s="51"/>
      <c r="Z34" s="50"/>
      <c r="AA34" s="50"/>
      <c r="AB34" s="51"/>
      <c r="AC34" s="50"/>
      <c r="AD34" s="50"/>
      <c r="AE34" s="51"/>
      <c r="AF34" s="50"/>
      <c r="AG34" s="50"/>
      <c r="AH34" s="51"/>
      <c r="AI34" s="50"/>
      <c r="AJ34" s="50"/>
      <c r="AK34" s="51"/>
      <c r="AL34" s="50"/>
      <c r="AM34" s="50"/>
      <c r="AN34" s="51"/>
      <c r="AO34" s="50"/>
      <c r="AP34" s="50"/>
      <c r="AQ34" s="51"/>
      <c r="AR34" s="50"/>
      <c r="AS34" s="50"/>
      <c r="AT34" s="51"/>
      <c r="AU34" s="50"/>
      <c r="AV34" s="50"/>
      <c r="AW34" s="51"/>
      <c r="AX34" s="50"/>
      <c r="AY34" s="50"/>
      <c r="AZ34" s="51"/>
      <c r="BA34" s="50"/>
      <c r="BB34" s="50"/>
      <c r="BC34" s="51"/>
      <c r="BD34" s="50"/>
      <c r="BE34" s="50"/>
      <c r="BF34" s="51"/>
      <c r="BG34" s="50"/>
      <c r="BH34" s="50"/>
      <c r="BI34" s="51"/>
      <c r="BJ34" s="50"/>
      <c r="BK34" s="50"/>
      <c r="BL34" s="51"/>
      <c r="BM34" s="50"/>
      <c r="BN34" s="50"/>
      <c r="BO34" s="51"/>
      <c r="BP34" s="50"/>
      <c r="BQ34" s="50"/>
      <c r="BR34" s="51"/>
      <c r="BS34" s="50"/>
      <c r="BT34" s="50"/>
      <c r="BU34" s="51"/>
      <c r="BV34" s="50"/>
      <c r="BW34" s="50"/>
      <c r="BX34" s="51"/>
      <c r="BY34" s="50"/>
      <c r="BZ34" s="50"/>
      <c r="CA34" s="51"/>
      <c r="CB34" s="50"/>
      <c r="CC34" s="50"/>
      <c r="CD34" s="51"/>
      <c r="CE34" s="50"/>
      <c r="CF34" s="50"/>
      <c r="CG34" s="51"/>
      <c r="CH34" s="50"/>
      <c r="CI34" s="50"/>
      <c r="CJ34" s="51"/>
      <c r="CK34" s="50"/>
      <c r="CL34" s="50"/>
      <c r="CM34" s="51"/>
      <c r="CN34" s="50"/>
      <c r="CO34" s="50"/>
      <c r="CP34" s="51"/>
      <c r="CQ34" s="50"/>
      <c r="CR34" s="50"/>
      <c r="CS34" s="51"/>
      <c r="CT34" s="50"/>
      <c r="CU34" s="50"/>
      <c r="CV34" s="51"/>
      <c r="CW34" s="50"/>
      <c r="CX34" s="50"/>
      <c r="CY34" s="51"/>
      <c r="CZ34" s="50"/>
      <c r="DA34" s="50"/>
      <c r="DB34" s="51"/>
      <c r="DC34" s="50"/>
      <c r="DD34" s="50"/>
      <c r="DE34" s="51"/>
      <c r="DF34" s="50"/>
      <c r="DG34" s="50"/>
      <c r="DH34" s="51"/>
      <c r="DI34" s="50"/>
      <c r="DJ34" s="50"/>
      <c r="DK34" s="51"/>
      <c r="DL34" s="50"/>
      <c r="DM34" s="50"/>
      <c r="DN34" s="51"/>
      <c r="DO34" s="50"/>
      <c r="DP34" s="50"/>
      <c r="DQ34" s="51"/>
      <c r="DR34" s="50"/>
      <c r="DS34" s="50"/>
      <c r="DT34" s="51"/>
      <c r="DU34" s="50"/>
      <c r="DV34" s="50"/>
      <c r="DW34" s="51"/>
      <c r="DX34" s="50"/>
      <c r="DY34" s="50"/>
      <c r="DZ34" s="51"/>
      <c r="EA34" s="50"/>
      <c r="EB34" s="50"/>
      <c r="EC34" s="51"/>
      <c r="ED34" s="50"/>
      <c r="EE34" s="50"/>
      <c r="EF34" s="51"/>
      <c r="EG34" s="50"/>
      <c r="EH34" s="50"/>
      <c r="EI34" s="51"/>
      <c r="EJ34" s="50"/>
      <c r="EK34" s="50"/>
      <c r="EL34" s="51"/>
      <c r="EM34" s="50"/>
      <c r="EN34" s="50"/>
      <c r="EO34" s="51"/>
      <c r="EP34" s="50"/>
      <c r="EQ34" s="50"/>
      <c r="ER34" s="51"/>
      <c r="ES34" s="50"/>
      <c r="ET34" s="50"/>
      <c r="EU34" s="51"/>
      <c r="EV34" s="50"/>
      <c r="EW34" s="50"/>
      <c r="EX34" s="51"/>
      <c r="EY34" s="50"/>
      <c r="EZ34" s="50"/>
      <c r="FA34" s="51"/>
      <c r="FB34" s="50"/>
      <c r="FC34" s="50"/>
      <c r="FD34" s="51"/>
      <c r="FE34" s="50"/>
      <c r="FF34" s="50"/>
      <c r="FG34" s="51"/>
      <c r="FH34" s="50"/>
      <c r="FI34" s="50"/>
      <c r="FJ34" s="51"/>
    </row>
    <row r="35" spans="1:166" s="52" customFormat="1" ht="15.75" x14ac:dyDescent="0.25">
      <c r="A35" s="3"/>
      <c r="B35" s="6" t="s">
        <v>213</v>
      </c>
      <c r="C35" s="1" t="s">
        <v>214</v>
      </c>
      <c r="D35" s="19" t="s">
        <v>82</v>
      </c>
      <c r="E35" s="50"/>
      <c r="F35" s="50"/>
      <c r="G35" s="51"/>
      <c r="H35" s="50"/>
      <c r="I35" s="50"/>
      <c r="J35" s="51"/>
      <c r="K35" s="50"/>
      <c r="L35" s="50"/>
      <c r="M35" s="51"/>
      <c r="N35" s="50"/>
      <c r="O35" s="50"/>
      <c r="P35" s="51"/>
      <c r="Q35" s="50"/>
      <c r="R35" s="50"/>
      <c r="S35" s="51"/>
      <c r="T35" s="50"/>
      <c r="U35" s="50"/>
      <c r="V35" s="51"/>
      <c r="W35" s="50"/>
      <c r="X35" s="50"/>
      <c r="Y35" s="51"/>
      <c r="Z35" s="50"/>
      <c r="AA35" s="50"/>
      <c r="AB35" s="51"/>
      <c r="AC35" s="50"/>
      <c r="AD35" s="50"/>
      <c r="AE35" s="51"/>
      <c r="AF35" s="50"/>
      <c r="AG35" s="50"/>
      <c r="AH35" s="51"/>
      <c r="AI35" s="50"/>
      <c r="AJ35" s="50"/>
      <c r="AK35" s="51"/>
      <c r="AL35" s="50"/>
      <c r="AM35" s="50"/>
      <c r="AN35" s="51"/>
      <c r="AO35" s="50"/>
      <c r="AP35" s="50"/>
      <c r="AQ35" s="51"/>
      <c r="AR35" s="50"/>
      <c r="AS35" s="50"/>
      <c r="AT35" s="51"/>
      <c r="AU35" s="50"/>
      <c r="AV35" s="50"/>
      <c r="AW35" s="51"/>
      <c r="AX35" s="50"/>
      <c r="AY35" s="50"/>
      <c r="AZ35" s="51"/>
      <c r="BA35" s="50"/>
      <c r="BB35" s="50"/>
      <c r="BC35" s="51"/>
      <c r="BD35" s="50"/>
      <c r="BE35" s="50"/>
      <c r="BF35" s="51"/>
      <c r="BG35" s="50"/>
      <c r="BH35" s="50"/>
      <c r="BI35" s="51"/>
      <c r="BJ35" s="50"/>
      <c r="BK35" s="50"/>
      <c r="BL35" s="51"/>
      <c r="BM35" s="50"/>
      <c r="BN35" s="50"/>
      <c r="BO35" s="51"/>
      <c r="BP35" s="50"/>
      <c r="BQ35" s="50"/>
      <c r="BR35" s="51"/>
      <c r="BS35" s="50"/>
      <c r="BT35" s="50"/>
      <c r="BU35" s="51"/>
      <c r="BV35" s="50"/>
      <c r="BW35" s="50"/>
      <c r="BX35" s="51"/>
      <c r="BY35" s="50"/>
      <c r="BZ35" s="50"/>
      <c r="CA35" s="51"/>
      <c r="CB35" s="50"/>
      <c r="CC35" s="50"/>
      <c r="CD35" s="51"/>
      <c r="CE35" s="50"/>
      <c r="CF35" s="50"/>
      <c r="CG35" s="51"/>
      <c r="CH35" s="50"/>
      <c r="CI35" s="50"/>
      <c r="CJ35" s="51"/>
      <c r="CK35" s="50"/>
      <c r="CL35" s="50"/>
      <c r="CM35" s="51"/>
      <c r="CN35" s="50"/>
      <c r="CO35" s="50"/>
      <c r="CP35" s="51"/>
      <c r="CQ35" s="50"/>
      <c r="CR35" s="50"/>
      <c r="CS35" s="51"/>
      <c r="CT35" s="50"/>
      <c r="CU35" s="50"/>
      <c r="CV35" s="51"/>
      <c r="CW35" s="50"/>
      <c r="CX35" s="50"/>
      <c r="CY35" s="51"/>
      <c r="CZ35" s="50"/>
      <c r="DA35" s="50"/>
      <c r="DB35" s="51"/>
      <c r="DC35" s="50"/>
      <c r="DD35" s="50"/>
      <c r="DE35" s="51"/>
      <c r="DF35" s="50"/>
      <c r="DG35" s="50"/>
      <c r="DH35" s="51"/>
      <c r="DI35" s="50"/>
      <c r="DJ35" s="50"/>
      <c r="DK35" s="51"/>
      <c r="DL35" s="50"/>
      <c r="DM35" s="50"/>
      <c r="DN35" s="51"/>
      <c r="DO35" s="50"/>
      <c r="DP35" s="50"/>
      <c r="DQ35" s="51"/>
      <c r="DR35" s="50"/>
      <c r="DS35" s="50"/>
      <c r="DT35" s="51"/>
      <c r="DU35" s="50"/>
      <c r="DV35" s="50"/>
      <c r="DW35" s="51"/>
      <c r="DX35" s="50"/>
      <c r="DY35" s="50"/>
      <c r="DZ35" s="51"/>
      <c r="EA35" s="50"/>
      <c r="EB35" s="50"/>
      <c r="EC35" s="51"/>
      <c r="ED35" s="50"/>
      <c r="EE35" s="50"/>
      <c r="EF35" s="51"/>
      <c r="EG35" s="50"/>
      <c r="EH35" s="50"/>
      <c r="EI35" s="51"/>
      <c r="EJ35" s="50"/>
      <c r="EK35" s="50"/>
      <c r="EL35" s="51"/>
      <c r="EM35" s="50"/>
      <c r="EN35" s="50"/>
      <c r="EO35" s="51"/>
      <c r="EP35" s="50"/>
      <c r="EQ35" s="50"/>
      <c r="ER35" s="51"/>
      <c r="ES35" s="50"/>
      <c r="ET35" s="50"/>
      <c r="EU35" s="51"/>
      <c r="EV35" s="50"/>
      <c r="EW35" s="50"/>
      <c r="EX35" s="51"/>
      <c r="EY35" s="50"/>
      <c r="EZ35" s="50"/>
      <c r="FA35" s="51"/>
      <c r="FB35" s="50"/>
      <c r="FC35" s="50"/>
      <c r="FD35" s="51"/>
      <c r="FE35" s="50"/>
      <c r="FF35" s="50"/>
      <c r="FG35" s="51"/>
      <c r="FH35" s="50"/>
      <c r="FI35" s="50"/>
      <c r="FJ35" s="51"/>
    </row>
    <row r="36" spans="1:166" s="52" customFormat="1" ht="15.75" x14ac:dyDescent="0.25">
      <c r="A36" s="3"/>
      <c r="B36" s="6" t="s">
        <v>215</v>
      </c>
      <c r="C36" s="1" t="s">
        <v>216</v>
      </c>
      <c r="D36" s="19" t="s">
        <v>82</v>
      </c>
      <c r="E36" s="50"/>
      <c r="F36" s="50"/>
      <c r="G36" s="51"/>
      <c r="H36" s="50"/>
      <c r="I36" s="50"/>
      <c r="J36" s="51"/>
      <c r="K36" s="50"/>
      <c r="L36" s="50"/>
      <c r="M36" s="51"/>
      <c r="N36" s="50"/>
      <c r="O36" s="50"/>
      <c r="P36" s="51"/>
      <c r="Q36" s="50"/>
      <c r="R36" s="50"/>
      <c r="S36" s="51"/>
      <c r="T36" s="50"/>
      <c r="U36" s="50"/>
      <c r="V36" s="51"/>
      <c r="W36" s="50"/>
      <c r="X36" s="50"/>
      <c r="Y36" s="51"/>
      <c r="Z36" s="50"/>
      <c r="AA36" s="50"/>
      <c r="AB36" s="51"/>
      <c r="AC36" s="50"/>
      <c r="AD36" s="50"/>
      <c r="AE36" s="51"/>
      <c r="AF36" s="50"/>
      <c r="AG36" s="50"/>
      <c r="AH36" s="51"/>
      <c r="AI36" s="50"/>
      <c r="AJ36" s="50"/>
      <c r="AK36" s="51"/>
      <c r="AL36" s="50"/>
      <c r="AM36" s="50"/>
      <c r="AN36" s="51"/>
      <c r="AO36" s="50"/>
      <c r="AP36" s="50"/>
      <c r="AQ36" s="51"/>
      <c r="AR36" s="50"/>
      <c r="AS36" s="50"/>
      <c r="AT36" s="51"/>
      <c r="AU36" s="50"/>
      <c r="AV36" s="50"/>
      <c r="AW36" s="51"/>
      <c r="AX36" s="50"/>
      <c r="AY36" s="50"/>
      <c r="AZ36" s="51"/>
      <c r="BA36" s="50"/>
      <c r="BB36" s="50"/>
      <c r="BC36" s="51"/>
      <c r="BD36" s="50"/>
      <c r="BE36" s="50"/>
      <c r="BF36" s="51"/>
      <c r="BG36" s="50"/>
      <c r="BH36" s="50"/>
      <c r="BI36" s="51"/>
      <c r="BJ36" s="50"/>
      <c r="BK36" s="50"/>
      <c r="BL36" s="51"/>
      <c r="BM36" s="50"/>
      <c r="BN36" s="50"/>
      <c r="BO36" s="51"/>
      <c r="BP36" s="50"/>
      <c r="BQ36" s="50"/>
      <c r="BR36" s="51"/>
      <c r="BS36" s="50"/>
      <c r="BT36" s="50"/>
      <c r="BU36" s="51"/>
      <c r="BV36" s="50"/>
      <c r="BW36" s="50"/>
      <c r="BX36" s="51"/>
      <c r="BY36" s="50"/>
      <c r="BZ36" s="50"/>
      <c r="CA36" s="51"/>
      <c r="CB36" s="50"/>
      <c r="CC36" s="50"/>
      <c r="CD36" s="51"/>
      <c r="CE36" s="50"/>
      <c r="CF36" s="50"/>
      <c r="CG36" s="51"/>
      <c r="CH36" s="50"/>
      <c r="CI36" s="50"/>
      <c r="CJ36" s="51"/>
      <c r="CK36" s="50"/>
      <c r="CL36" s="50"/>
      <c r="CM36" s="51"/>
      <c r="CN36" s="50"/>
      <c r="CO36" s="50"/>
      <c r="CP36" s="51"/>
      <c r="CQ36" s="50"/>
      <c r="CR36" s="50"/>
      <c r="CS36" s="51"/>
      <c r="CT36" s="50"/>
      <c r="CU36" s="50"/>
      <c r="CV36" s="51"/>
      <c r="CW36" s="50"/>
      <c r="CX36" s="50"/>
      <c r="CY36" s="51"/>
      <c r="CZ36" s="50"/>
      <c r="DA36" s="50"/>
      <c r="DB36" s="51"/>
      <c r="DC36" s="50"/>
      <c r="DD36" s="50"/>
      <c r="DE36" s="51"/>
      <c r="DF36" s="50"/>
      <c r="DG36" s="50"/>
      <c r="DH36" s="51"/>
      <c r="DI36" s="50"/>
      <c r="DJ36" s="50"/>
      <c r="DK36" s="51"/>
      <c r="DL36" s="50"/>
      <c r="DM36" s="50"/>
      <c r="DN36" s="51"/>
      <c r="DO36" s="50"/>
      <c r="DP36" s="50"/>
      <c r="DQ36" s="51"/>
      <c r="DR36" s="50"/>
      <c r="DS36" s="50"/>
      <c r="DT36" s="51"/>
      <c r="DU36" s="50"/>
      <c r="DV36" s="50"/>
      <c r="DW36" s="51"/>
      <c r="DX36" s="50"/>
      <c r="DY36" s="50"/>
      <c r="DZ36" s="51"/>
      <c r="EA36" s="50"/>
      <c r="EB36" s="50"/>
      <c r="EC36" s="51"/>
      <c r="ED36" s="50"/>
      <c r="EE36" s="50"/>
      <c r="EF36" s="51"/>
      <c r="EG36" s="50"/>
      <c r="EH36" s="50"/>
      <c r="EI36" s="51"/>
      <c r="EJ36" s="50"/>
      <c r="EK36" s="50"/>
      <c r="EL36" s="51"/>
      <c r="EM36" s="50"/>
      <c r="EN36" s="50"/>
      <c r="EO36" s="51"/>
      <c r="EP36" s="50"/>
      <c r="EQ36" s="50"/>
      <c r="ER36" s="51"/>
      <c r="ES36" s="50"/>
      <c r="ET36" s="50"/>
      <c r="EU36" s="51"/>
      <c r="EV36" s="50"/>
      <c r="EW36" s="50"/>
      <c r="EX36" s="51"/>
      <c r="EY36" s="50"/>
      <c r="EZ36" s="50"/>
      <c r="FA36" s="51"/>
      <c r="FB36" s="50"/>
      <c r="FC36" s="50"/>
      <c r="FD36" s="51"/>
      <c r="FE36" s="50"/>
      <c r="FF36" s="50"/>
      <c r="FG36" s="51"/>
      <c r="FH36" s="50"/>
      <c r="FI36" s="50"/>
      <c r="FJ36" s="51"/>
    </row>
    <row r="37" spans="1:166" s="52" customFormat="1" ht="15.75" x14ac:dyDescent="0.25">
      <c r="A37" s="3"/>
      <c r="B37" s="6" t="s">
        <v>215</v>
      </c>
      <c r="C37" s="1" t="s">
        <v>217</v>
      </c>
      <c r="D37" s="53">
        <v>0.9</v>
      </c>
      <c r="E37" s="45" t="e">
        <f>E36/E34</f>
        <v>#DIV/0!</v>
      </c>
      <c r="F37" s="45" t="e">
        <f>F36/F34</f>
        <v>#DIV/0!</v>
      </c>
      <c r="G37" s="12"/>
      <c r="H37" s="45" t="e">
        <f>H36/H34</f>
        <v>#DIV/0!</v>
      </c>
      <c r="I37" s="45" t="e">
        <f>I36/I34</f>
        <v>#DIV/0!</v>
      </c>
      <c r="J37" s="12"/>
      <c r="K37" s="45" t="e">
        <f>K36/K34</f>
        <v>#DIV/0!</v>
      </c>
      <c r="L37" s="45" t="e">
        <f>L36/L34</f>
        <v>#DIV/0!</v>
      </c>
      <c r="M37" s="12"/>
      <c r="N37" s="45" t="e">
        <f>N36/N34</f>
        <v>#DIV/0!</v>
      </c>
      <c r="O37" s="45" t="e">
        <f>O36/O34</f>
        <v>#DIV/0!</v>
      </c>
      <c r="P37" s="12"/>
      <c r="Q37" s="45" t="e">
        <f>Q36/Q34</f>
        <v>#DIV/0!</v>
      </c>
      <c r="R37" s="45" t="e">
        <f>R36/R34</f>
        <v>#DIV/0!</v>
      </c>
      <c r="S37" s="12"/>
      <c r="T37" s="45" t="e">
        <f>T36/T34</f>
        <v>#DIV/0!</v>
      </c>
      <c r="U37" s="45" t="e">
        <f>U36/U34</f>
        <v>#DIV/0!</v>
      </c>
      <c r="V37" s="12"/>
      <c r="W37" s="45" t="e">
        <f>W36/W34</f>
        <v>#DIV/0!</v>
      </c>
      <c r="X37" s="45" t="e">
        <f>X36/X34</f>
        <v>#DIV/0!</v>
      </c>
      <c r="Y37" s="12"/>
      <c r="Z37" s="45" t="e">
        <f>Z36/Z34</f>
        <v>#DIV/0!</v>
      </c>
      <c r="AA37" s="45" t="e">
        <f>AA36/AA34</f>
        <v>#DIV/0!</v>
      </c>
      <c r="AB37" s="12"/>
      <c r="AC37" s="45" t="e">
        <f>AC36/AC34</f>
        <v>#DIV/0!</v>
      </c>
      <c r="AD37" s="45" t="e">
        <f>AD36/AD34</f>
        <v>#DIV/0!</v>
      </c>
      <c r="AE37" s="12"/>
      <c r="AF37" s="45" t="e">
        <f>AF36/AF34</f>
        <v>#DIV/0!</v>
      </c>
      <c r="AG37" s="45" t="e">
        <f>AG36/AG34</f>
        <v>#DIV/0!</v>
      </c>
      <c r="AH37" s="12"/>
      <c r="AI37" s="45" t="e">
        <f>AI36/AI34</f>
        <v>#DIV/0!</v>
      </c>
      <c r="AJ37" s="45" t="e">
        <f>AJ36/AJ34</f>
        <v>#DIV/0!</v>
      </c>
      <c r="AK37" s="12"/>
      <c r="AL37" s="45" t="e">
        <f>AL36/AL34</f>
        <v>#DIV/0!</v>
      </c>
      <c r="AM37" s="45" t="e">
        <f>AM36/AM34</f>
        <v>#DIV/0!</v>
      </c>
      <c r="AN37" s="12"/>
      <c r="AO37" s="45" t="e">
        <f>AO36/AO34</f>
        <v>#DIV/0!</v>
      </c>
      <c r="AP37" s="45" t="e">
        <f>AP36/AP34</f>
        <v>#DIV/0!</v>
      </c>
      <c r="AQ37" s="12"/>
      <c r="AR37" s="45" t="e">
        <f>AR36/AR34</f>
        <v>#DIV/0!</v>
      </c>
      <c r="AS37" s="45" t="e">
        <f>AS36/AS34</f>
        <v>#DIV/0!</v>
      </c>
      <c r="AT37" s="12"/>
      <c r="AU37" s="45" t="e">
        <f>AU36/AU34</f>
        <v>#DIV/0!</v>
      </c>
      <c r="AV37" s="45" t="e">
        <f>AV36/AV34</f>
        <v>#DIV/0!</v>
      </c>
      <c r="AW37" s="12"/>
      <c r="AX37" s="45" t="e">
        <f>AX36/AX34</f>
        <v>#DIV/0!</v>
      </c>
      <c r="AY37" s="45" t="e">
        <f>AY36/AY34</f>
        <v>#DIV/0!</v>
      </c>
      <c r="AZ37" s="12"/>
      <c r="BA37" s="45" t="e">
        <f>BA36/BA34</f>
        <v>#DIV/0!</v>
      </c>
      <c r="BB37" s="45" t="e">
        <f>BB36/BB34</f>
        <v>#DIV/0!</v>
      </c>
      <c r="BC37" s="12"/>
      <c r="BD37" s="45" t="e">
        <f>BD36/BD34</f>
        <v>#DIV/0!</v>
      </c>
      <c r="BE37" s="45" t="e">
        <f>BE36/BE34</f>
        <v>#DIV/0!</v>
      </c>
      <c r="BF37" s="12"/>
      <c r="BG37" s="45" t="e">
        <f>BG36/BG34</f>
        <v>#DIV/0!</v>
      </c>
      <c r="BH37" s="45" t="e">
        <f>BH36/BH34</f>
        <v>#DIV/0!</v>
      </c>
      <c r="BI37" s="12"/>
      <c r="BJ37" s="45" t="e">
        <f>BJ36/BJ34</f>
        <v>#DIV/0!</v>
      </c>
      <c r="BK37" s="45" t="e">
        <f>BK36/BK34</f>
        <v>#DIV/0!</v>
      </c>
      <c r="BL37" s="12"/>
      <c r="BM37" s="45" t="e">
        <f>BM36/BM34</f>
        <v>#DIV/0!</v>
      </c>
      <c r="BN37" s="45" t="e">
        <f>BN36/BN34</f>
        <v>#DIV/0!</v>
      </c>
      <c r="BO37" s="12"/>
      <c r="BP37" s="45" t="e">
        <f>BP36/BP34</f>
        <v>#DIV/0!</v>
      </c>
      <c r="BQ37" s="45" t="e">
        <f>BQ36/BQ34</f>
        <v>#DIV/0!</v>
      </c>
      <c r="BR37" s="12"/>
      <c r="BS37" s="45" t="e">
        <f>BS36/BS34</f>
        <v>#DIV/0!</v>
      </c>
      <c r="BT37" s="45" t="e">
        <f>BT36/BT34</f>
        <v>#DIV/0!</v>
      </c>
      <c r="BU37" s="12"/>
      <c r="BV37" s="45" t="e">
        <f>BV36/BV34</f>
        <v>#DIV/0!</v>
      </c>
      <c r="BW37" s="45" t="e">
        <f>BW36/BW34</f>
        <v>#DIV/0!</v>
      </c>
      <c r="BX37" s="12"/>
      <c r="BY37" s="45" t="e">
        <f>BY36/BY34</f>
        <v>#DIV/0!</v>
      </c>
      <c r="BZ37" s="45" t="e">
        <f>BZ36/BZ34</f>
        <v>#DIV/0!</v>
      </c>
      <c r="CA37" s="12"/>
      <c r="CB37" s="45" t="e">
        <f>CB36/CB34</f>
        <v>#DIV/0!</v>
      </c>
      <c r="CC37" s="45" t="e">
        <f>CC36/CC34</f>
        <v>#DIV/0!</v>
      </c>
      <c r="CD37" s="12"/>
      <c r="CE37" s="45" t="e">
        <f>CE36/CE34</f>
        <v>#DIV/0!</v>
      </c>
      <c r="CF37" s="45" t="e">
        <f>CF36/CF34</f>
        <v>#DIV/0!</v>
      </c>
      <c r="CG37" s="12"/>
      <c r="CH37" s="45" t="e">
        <f>CH36/CH34</f>
        <v>#DIV/0!</v>
      </c>
      <c r="CI37" s="45" t="e">
        <f>CI36/CI34</f>
        <v>#DIV/0!</v>
      </c>
      <c r="CJ37" s="12"/>
      <c r="CK37" s="45" t="e">
        <f>CK36/CK34</f>
        <v>#DIV/0!</v>
      </c>
      <c r="CL37" s="45" t="e">
        <f>CL36/CL34</f>
        <v>#DIV/0!</v>
      </c>
      <c r="CM37" s="12"/>
      <c r="CN37" s="45" t="e">
        <f>CN36/CN34</f>
        <v>#DIV/0!</v>
      </c>
      <c r="CO37" s="45" t="e">
        <f>CO36/CO34</f>
        <v>#DIV/0!</v>
      </c>
      <c r="CP37" s="12"/>
      <c r="CQ37" s="45" t="e">
        <f>CQ36/CQ34</f>
        <v>#DIV/0!</v>
      </c>
      <c r="CR37" s="45" t="e">
        <f>CR36/CR34</f>
        <v>#DIV/0!</v>
      </c>
      <c r="CS37" s="12"/>
      <c r="CT37" s="45" t="e">
        <f>CT36/CT34</f>
        <v>#DIV/0!</v>
      </c>
      <c r="CU37" s="45" t="e">
        <f>CU36/CU34</f>
        <v>#DIV/0!</v>
      </c>
      <c r="CV37" s="12"/>
      <c r="CW37" s="45" t="e">
        <f>CW36/CW34</f>
        <v>#DIV/0!</v>
      </c>
      <c r="CX37" s="45" t="e">
        <f>CX36/CX34</f>
        <v>#DIV/0!</v>
      </c>
      <c r="CY37" s="12"/>
      <c r="CZ37" s="45" t="e">
        <f>CZ36/CZ34</f>
        <v>#DIV/0!</v>
      </c>
      <c r="DA37" s="45" t="e">
        <f>DA36/DA34</f>
        <v>#DIV/0!</v>
      </c>
      <c r="DB37" s="12"/>
      <c r="DC37" s="45" t="e">
        <f>DC36/DC34</f>
        <v>#DIV/0!</v>
      </c>
      <c r="DD37" s="45" t="e">
        <f>DD36/DD34</f>
        <v>#DIV/0!</v>
      </c>
      <c r="DE37" s="12"/>
      <c r="DF37" s="45" t="e">
        <f>DF36/DF34</f>
        <v>#DIV/0!</v>
      </c>
      <c r="DG37" s="45" t="e">
        <f>DG36/DG34</f>
        <v>#DIV/0!</v>
      </c>
      <c r="DH37" s="12"/>
      <c r="DI37" s="45" t="e">
        <f>DI36/DI34</f>
        <v>#DIV/0!</v>
      </c>
      <c r="DJ37" s="45" t="e">
        <f>DJ36/DJ34</f>
        <v>#DIV/0!</v>
      </c>
      <c r="DK37" s="12"/>
      <c r="DL37" s="45" t="e">
        <f>DL36/DL34</f>
        <v>#DIV/0!</v>
      </c>
      <c r="DM37" s="45" t="e">
        <f>DM36/DM34</f>
        <v>#DIV/0!</v>
      </c>
      <c r="DN37" s="12"/>
      <c r="DO37" s="45" t="e">
        <f>DO36/DO34</f>
        <v>#DIV/0!</v>
      </c>
      <c r="DP37" s="45" t="e">
        <f>DP36/DP34</f>
        <v>#DIV/0!</v>
      </c>
      <c r="DQ37" s="12"/>
      <c r="DR37" s="45" t="e">
        <f>DR36/DR34</f>
        <v>#DIV/0!</v>
      </c>
      <c r="DS37" s="45" t="e">
        <f>DS36/DS34</f>
        <v>#DIV/0!</v>
      </c>
      <c r="DT37" s="12"/>
      <c r="DU37" s="45" t="e">
        <f>DU36/DU34</f>
        <v>#DIV/0!</v>
      </c>
      <c r="DV37" s="45" t="e">
        <f>DV36/DV34</f>
        <v>#DIV/0!</v>
      </c>
      <c r="DW37" s="12"/>
      <c r="DX37" s="45" t="e">
        <f>DX36/DX34</f>
        <v>#DIV/0!</v>
      </c>
      <c r="DY37" s="45" t="e">
        <f>DY36/DY34</f>
        <v>#DIV/0!</v>
      </c>
      <c r="DZ37" s="12"/>
      <c r="EA37" s="45" t="e">
        <f>EA36/EA34</f>
        <v>#DIV/0!</v>
      </c>
      <c r="EB37" s="45" t="e">
        <f>EB36/EB34</f>
        <v>#DIV/0!</v>
      </c>
      <c r="EC37" s="12"/>
      <c r="ED37" s="45" t="e">
        <f>ED36/ED34</f>
        <v>#DIV/0!</v>
      </c>
      <c r="EE37" s="45" t="e">
        <f>EE36/EE34</f>
        <v>#DIV/0!</v>
      </c>
      <c r="EF37" s="12"/>
      <c r="EG37" s="45" t="e">
        <f>EG36/EG34</f>
        <v>#DIV/0!</v>
      </c>
      <c r="EH37" s="45" t="e">
        <f>EH36/EH34</f>
        <v>#DIV/0!</v>
      </c>
      <c r="EI37" s="12"/>
      <c r="EJ37" s="45" t="e">
        <f>EJ36/EJ34</f>
        <v>#DIV/0!</v>
      </c>
      <c r="EK37" s="45" t="e">
        <f>EK36/EK34</f>
        <v>#DIV/0!</v>
      </c>
      <c r="EL37" s="12"/>
      <c r="EM37" s="45" t="e">
        <f>EM36/EM34</f>
        <v>#DIV/0!</v>
      </c>
      <c r="EN37" s="45" t="e">
        <f>EN36/EN34</f>
        <v>#DIV/0!</v>
      </c>
      <c r="EO37" s="12"/>
      <c r="EP37" s="45" t="e">
        <f>EP36/EP34</f>
        <v>#DIV/0!</v>
      </c>
      <c r="EQ37" s="45" t="e">
        <f>EQ36/EQ34</f>
        <v>#DIV/0!</v>
      </c>
      <c r="ER37" s="12"/>
      <c r="ES37" s="45" t="e">
        <f>ES36/ES34</f>
        <v>#DIV/0!</v>
      </c>
      <c r="ET37" s="45" t="e">
        <f>ET36/ET34</f>
        <v>#DIV/0!</v>
      </c>
      <c r="EU37" s="12"/>
      <c r="EV37" s="45" t="e">
        <f>EV36/EV34</f>
        <v>#DIV/0!</v>
      </c>
      <c r="EW37" s="45" t="e">
        <f>EW36/EW34</f>
        <v>#DIV/0!</v>
      </c>
      <c r="EX37" s="12"/>
      <c r="EY37" s="45" t="e">
        <f>EY36/EY34</f>
        <v>#DIV/0!</v>
      </c>
      <c r="EZ37" s="45" t="e">
        <f>EZ36/EZ34</f>
        <v>#DIV/0!</v>
      </c>
      <c r="FA37" s="12"/>
      <c r="FB37" s="45" t="e">
        <f>FB36/FB34</f>
        <v>#DIV/0!</v>
      </c>
      <c r="FC37" s="45" t="e">
        <f>FC36/FC34</f>
        <v>#DIV/0!</v>
      </c>
      <c r="FD37" s="12"/>
      <c r="FE37" s="45" t="e">
        <f>FE36/FE34</f>
        <v>#DIV/0!</v>
      </c>
      <c r="FF37" s="45" t="e">
        <f>FF36/FF34</f>
        <v>#DIV/0!</v>
      </c>
      <c r="FG37" s="12"/>
      <c r="FH37" s="45" t="e">
        <f>FH36/FH34</f>
        <v>#DIV/0!</v>
      </c>
      <c r="FI37" s="45" t="e">
        <f>FI36/FI34</f>
        <v>#DIV/0!</v>
      </c>
      <c r="FJ37" s="12"/>
    </row>
    <row r="38" spans="1:166" s="38" customFormat="1" ht="15.75" x14ac:dyDescent="0.25">
      <c r="A38" s="3"/>
      <c r="B38" s="6" t="s">
        <v>218</v>
      </c>
      <c r="C38" s="1" t="s">
        <v>219</v>
      </c>
      <c r="D38" s="19">
        <v>0</v>
      </c>
      <c r="E38" s="41"/>
      <c r="F38" s="41"/>
      <c r="G38" s="12"/>
      <c r="H38" s="41"/>
      <c r="I38" s="41"/>
      <c r="J38" s="12"/>
      <c r="K38" s="41"/>
      <c r="L38" s="41"/>
      <c r="M38" s="12"/>
      <c r="N38" s="41"/>
      <c r="O38" s="41"/>
      <c r="P38" s="12"/>
      <c r="Q38" s="41"/>
      <c r="R38" s="41"/>
      <c r="S38" s="12"/>
      <c r="T38" s="41"/>
      <c r="U38" s="41"/>
      <c r="V38" s="12"/>
      <c r="W38" s="41"/>
      <c r="X38" s="41"/>
      <c r="Y38" s="12"/>
      <c r="Z38" s="41"/>
      <c r="AA38" s="41"/>
      <c r="AB38" s="12"/>
      <c r="AC38" s="41"/>
      <c r="AD38" s="41"/>
      <c r="AE38" s="12"/>
      <c r="AF38" s="41"/>
      <c r="AG38" s="41"/>
      <c r="AH38" s="12"/>
      <c r="AI38" s="41"/>
      <c r="AJ38" s="41"/>
      <c r="AK38" s="12"/>
      <c r="AL38" s="41"/>
      <c r="AM38" s="41"/>
      <c r="AN38" s="12"/>
      <c r="AO38" s="41"/>
      <c r="AP38" s="41"/>
      <c r="AQ38" s="12"/>
      <c r="AR38" s="41"/>
      <c r="AS38" s="41"/>
      <c r="AT38" s="12"/>
      <c r="AU38" s="41"/>
      <c r="AV38" s="41"/>
      <c r="AW38" s="12"/>
      <c r="AX38" s="41"/>
      <c r="AY38" s="41"/>
      <c r="AZ38" s="12"/>
      <c r="BA38" s="41"/>
      <c r="BB38" s="41"/>
      <c r="BC38" s="12"/>
      <c r="BD38" s="41"/>
      <c r="BE38" s="41"/>
      <c r="BF38" s="12"/>
      <c r="BG38" s="41"/>
      <c r="BH38" s="41"/>
      <c r="BI38" s="12"/>
      <c r="BJ38" s="41"/>
      <c r="BK38" s="41"/>
      <c r="BL38" s="12"/>
      <c r="BM38" s="41"/>
      <c r="BN38" s="41"/>
      <c r="BO38" s="12"/>
      <c r="BP38" s="41"/>
      <c r="BQ38" s="41"/>
      <c r="BR38" s="12"/>
      <c r="BS38" s="41"/>
      <c r="BT38" s="41"/>
      <c r="BU38" s="12"/>
      <c r="BV38" s="41"/>
      <c r="BW38" s="41"/>
      <c r="BX38" s="12"/>
      <c r="BY38" s="41"/>
      <c r="BZ38" s="41"/>
      <c r="CA38" s="12"/>
      <c r="CB38" s="41"/>
      <c r="CC38" s="41"/>
      <c r="CD38" s="12"/>
      <c r="CE38" s="41"/>
      <c r="CF38" s="41"/>
      <c r="CG38" s="12"/>
      <c r="CH38" s="41"/>
      <c r="CI38" s="41"/>
      <c r="CJ38" s="12"/>
      <c r="CK38" s="41"/>
      <c r="CL38" s="41"/>
      <c r="CM38" s="12"/>
      <c r="CN38" s="41"/>
      <c r="CO38" s="41"/>
      <c r="CP38" s="12"/>
      <c r="CQ38" s="41"/>
      <c r="CR38" s="41"/>
      <c r="CS38" s="12"/>
      <c r="CT38" s="41"/>
      <c r="CU38" s="41"/>
      <c r="CV38" s="12"/>
      <c r="CW38" s="41"/>
      <c r="CX38" s="41"/>
      <c r="CY38" s="12"/>
      <c r="CZ38" s="41"/>
      <c r="DA38" s="41"/>
      <c r="DB38" s="12"/>
      <c r="DC38" s="41"/>
      <c r="DD38" s="41"/>
      <c r="DE38" s="12"/>
      <c r="DF38" s="41"/>
      <c r="DG38" s="41"/>
      <c r="DH38" s="12"/>
      <c r="DI38" s="41"/>
      <c r="DJ38" s="41"/>
      <c r="DK38" s="12"/>
      <c r="DL38" s="41"/>
      <c r="DM38" s="41"/>
      <c r="DN38" s="12"/>
      <c r="DO38" s="41"/>
      <c r="DP38" s="41"/>
      <c r="DQ38" s="12"/>
      <c r="DR38" s="41"/>
      <c r="DS38" s="41"/>
      <c r="DT38" s="12"/>
      <c r="DU38" s="41"/>
      <c r="DV38" s="41"/>
      <c r="DW38" s="12"/>
      <c r="DX38" s="41"/>
      <c r="DY38" s="41"/>
      <c r="DZ38" s="12"/>
      <c r="EA38" s="41"/>
      <c r="EB38" s="41"/>
      <c r="EC38" s="12"/>
      <c r="ED38" s="41"/>
      <c r="EE38" s="41"/>
      <c r="EF38" s="12"/>
      <c r="EG38" s="41"/>
      <c r="EH38" s="41"/>
      <c r="EI38" s="12"/>
      <c r="EJ38" s="41"/>
      <c r="EK38" s="41"/>
      <c r="EL38" s="12"/>
      <c r="EM38" s="41"/>
      <c r="EN38" s="41"/>
      <c r="EO38" s="12"/>
      <c r="EP38" s="41"/>
      <c r="EQ38" s="41"/>
      <c r="ER38" s="12"/>
      <c r="ES38" s="41"/>
      <c r="ET38" s="41"/>
      <c r="EU38" s="12"/>
      <c r="EV38" s="41"/>
      <c r="EW38" s="41"/>
      <c r="EX38" s="12"/>
      <c r="EY38" s="41"/>
      <c r="EZ38" s="41"/>
      <c r="FA38" s="12"/>
      <c r="FB38" s="41"/>
      <c r="FC38" s="41"/>
      <c r="FD38" s="12"/>
      <c r="FE38" s="41"/>
      <c r="FF38" s="41"/>
      <c r="FG38" s="12"/>
      <c r="FH38" s="41"/>
      <c r="FI38" s="41"/>
      <c r="FJ38" s="12"/>
    </row>
    <row r="39" spans="1:166" s="38" customFormat="1" ht="15.75" x14ac:dyDescent="0.25">
      <c r="A39" s="3"/>
      <c r="B39" s="6" t="s">
        <v>220</v>
      </c>
      <c r="C39" s="1" t="s">
        <v>221</v>
      </c>
      <c r="D39" s="19">
        <v>6</v>
      </c>
      <c r="E39" s="41"/>
      <c r="F39" s="12"/>
      <c r="G39" s="12"/>
      <c r="H39" s="41"/>
      <c r="I39" s="12"/>
      <c r="J39" s="12"/>
      <c r="K39" s="41"/>
      <c r="L39" s="12"/>
      <c r="M39" s="12"/>
      <c r="N39" s="41"/>
      <c r="O39" s="12"/>
      <c r="P39" s="12"/>
      <c r="Q39" s="41"/>
      <c r="R39" s="12"/>
      <c r="S39" s="12"/>
      <c r="T39" s="41"/>
      <c r="U39" s="12"/>
      <c r="V39" s="12"/>
      <c r="W39" s="41"/>
      <c r="X39" s="12"/>
      <c r="Y39" s="12"/>
      <c r="Z39" s="41"/>
      <c r="AA39" s="12"/>
      <c r="AB39" s="12"/>
      <c r="AC39" s="41"/>
      <c r="AD39" s="12"/>
      <c r="AE39" s="12"/>
      <c r="AF39" s="41"/>
      <c r="AG39" s="12"/>
      <c r="AH39" s="12"/>
      <c r="AI39" s="41"/>
      <c r="AJ39" s="12"/>
      <c r="AK39" s="12"/>
      <c r="AL39" s="41"/>
      <c r="AM39" s="12"/>
      <c r="AN39" s="12"/>
      <c r="AO39" s="41"/>
      <c r="AP39" s="12"/>
      <c r="AQ39" s="12"/>
      <c r="AR39" s="41"/>
      <c r="AS39" s="12"/>
      <c r="AT39" s="12"/>
      <c r="AU39" s="41"/>
      <c r="AV39" s="12"/>
      <c r="AW39" s="12"/>
      <c r="AX39" s="41"/>
      <c r="AY39" s="12"/>
      <c r="AZ39" s="12"/>
      <c r="BA39" s="41"/>
      <c r="BB39" s="12"/>
      <c r="BC39" s="12"/>
      <c r="BD39" s="41"/>
      <c r="BE39" s="12"/>
      <c r="BF39" s="12"/>
      <c r="BG39" s="41"/>
      <c r="BH39" s="12"/>
      <c r="BI39" s="12"/>
      <c r="BJ39" s="41"/>
      <c r="BK39" s="12"/>
      <c r="BL39" s="12"/>
      <c r="BM39" s="41"/>
      <c r="BN39" s="12"/>
      <c r="BO39" s="12"/>
      <c r="BP39" s="41"/>
      <c r="BQ39" s="12"/>
      <c r="BR39" s="12"/>
      <c r="BS39" s="41"/>
      <c r="BT39" s="12"/>
      <c r="BU39" s="12"/>
      <c r="BV39" s="41"/>
      <c r="BW39" s="12"/>
      <c r="BX39" s="12"/>
      <c r="BY39" s="41"/>
      <c r="BZ39" s="12"/>
      <c r="CA39" s="12"/>
      <c r="CB39" s="41"/>
      <c r="CC39" s="12"/>
      <c r="CD39" s="12"/>
      <c r="CE39" s="41"/>
      <c r="CF39" s="12"/>
      <c r="CG39" s="12"/>
      <c r="CH39" s="41"/>
      <c r="CI39" s="12"/>
      <c r="CJ39" s="12"/>
      <c r="CK39" s="41"/>
      <c r="CL39" s="12"/>
      <c r="CM39" s="12"/>
      <c r="CN39" s="41"/>
      <c r="CO39" s="12"/>
      <c r="CP39" s="12"/>
      <c r="CQ39" s="41"/>
      <c r="CR39" s="12"/>
      <c r="CS39" s="12"/>
      <c r="CT39" s="41"/>
      <c r="CU39" s="12"/>
      <c r="CV39" s="12"/>
      <c r="CW39" s="41"/>
      <c r="CX39" s="12"/>
      <c r="CY39" s="12"/>
      <c r="CZ39" s="41"/>
      <c r="DA39" s="12"/>
      <c r="DB39" s="12"/>
      <c r="DC39" s="41"/>
      <c r="DD39" s="12"/>
      <c r="DE39" s="12"/>
      <c r="DF39" s="41"/>
      <c r="DG39" s="12"/>
      <c r="DH39" s="12"/>
      <c r="DI39" s="41"/>
      <c r="DJ39" s="12"/>
      <c r="DK39" s="12"/>
      <c r="DL39" s="41"/>
      <c r="DM39" s="12"/>
      <c r="DN39" s="12"/>
      <c r="DO39" s="41"/>
      <c r="DP39" s="12"/>
      <c r="DQ39" s="12"/>
      <c r="DR39" s="41"/>
      <c r="DS39" s="12"/>
      <c r="DT39" s="12"/>
      <c r="DU39" s="41"/>
      <c r="DV39" s="12"/>
      <c r="DW39" s="12"/>
      <c r="DX39" s="41"/>
      <c r="DY39" s="12"/>
      <c r="DZ39" s="12"/>
      <c r="EA39" s="41"/>
      <c r="EB39" s="12"/>
      <c r="EC39" s="12"/>
      <c r="ED39" s="41"/>
      <c r="EE39" s="12"/>
      <c r="EF39" s="12"/>
      <c r="EG39" s="41"/>
      <c r="EH39" s="12"/>
      <c r="EI39" s="12"/>
      <c r="EJ39" s="41"/>
      <c r="EK39" s="12"/>
      <c r="EL39" s="12"/>
      <c r="EM39" s="41"/>
      <c r="EN39" s="12"/>
      <c r="EO39" s="12"/>
      <c r="EP39" s="41"/>
      <c r="EQ39" s="12"/>
      <c r="ER39" s="12"/>
      <c r="ES39" s="41"/>
      <c r="ET39" s="12"/>
      <c r="EU39" s="12"/>
      <c r="EV39" s="41"/>
      <c r="EW39" s="12"/>
      <c r="EX39" s="12"/>
      <c r="EY39" s="41"/>
      <c r="EZ39" s="12"/>
      <c r="FA39" s="12"/>
      <c r="FB39" s="41"/>
      <c r="FC39" s="12"/>
      <c r="FD39" s="12"/>
      <c r="FE39" s="41"/>
      <c r="FF39" s="12"/>
      <c r="FG39" s="12"/>
      <c r="FH39" s="41"/>
      <c r="FI39" s="12"/>
      <c r="FJ39" s="12"/>
    </row>
    <row r="40" spans="1:166" s="52" customFormat="1" ht="15.75" x14ac:dyDescent="0.25">
      <c r="A40" s="3"/>
      <c r="B40" s="6" t="s">
        <v>222</v>
      </c>
      <c r="C40" s="1" t="s">
        <v>212</v>
      </c>
      <c r="D40" s="19" t="s">
        <v>82</v>
      </c>
      <c r="E40" s="50"/>
      <c r="F40" s="50"/>
      <c r="G40" s="51"/>
      <c r="H40" s="50"/>
      <c r="I40" s="50"/>
      <c r="J40" s="51"/>
      <c r="K40" s="50"/>
      <c r="L40" s="50"/>
      <c r="M40" s="51"/>
      <c r="N40" s="50"/>
      <c r="O40" s="50"/>
      <c r="P40" s="51"/>
      <c r="Q40" s="50"/>
      <c r="R40" s="50"/>
      <c r="S40" s="51"/>
      <c r="T40" s="50"/>
      <c r="U40" s="50"/>
      <c r="V40" s="51"/>
      <c r="W40" s="50"/>
      <c r="X40" s="50"/>
      <c r="Y40" s="51"/>
      <c r="Z40" s="50"/>
      <c r="AA40" s="50"/>
      <c r="AB40" s="51"/>
      <c r="AC40" s="50"/>
      <c r="AD40" s="50"/>
      <c r="AE40" s="51"/>
      <c r="AF40" s="50"/>
      <c r="AG40" s="50"/>
      <c r="AH40" s="51"/>
      <c r="AI40" s="50"/>
      <c r="AJ40" s="50"/>
      <c r="AK40" s="51"/>
      <c r="AL40" s="50"/>
      <c r="AM40" s="50"/>
      <c r="AN40" s="51"/>
      <c r="AO40" s="50"/>
      <c r="AP40" s="50"/>
      <c r="AQ40" s="51"/>
      <c r="AR40" s="50"/>
      <c r="AS40" s="50"/>
      <c r="AT40" s="51"/>
      <c r="AU40" s="50"/>
      <c r="AV40" s="50"/>
      <c r="AW40" s="51"/>
      <c r="AX40" s="50"/>
      <c r="AY40" s="50"/>
      <c r="AZ40" s="51"/>
      <c r="BA40" s="50"/>
      <c r="BB40" s="50"/>
      <c r="BC40" s="51"/>
      <c r="BD40" s="50"/>
      <c r="BE40" s="50"/>
      <c r="BF40" s="51"/>
      <c r="BG40" s="50"/>
      <c r="BH40" s="50"/>
      <c r="BI40" s="51"/>
      <c r="BJ40" s="50"/>
      <c r="BK40" s="50"/>
      <c r="BL40" s="51"/>
      <c r="BM40" s="50"/>
      <c r="BN40" s="50"/>
      <c r="BO40" s="51"/>
      <c r="BP40" s="50"/>
      <c r="BQ40" s="50"/>
      <c r="BR40" s="51"/>
      <c r="BS40" s="50"/>
      <c r="BT40" s="50"/>
      <c r="BU40" s="51"/>
      <c r="BV40" s="50"/>
      <c r="BW40" s="50"/>
      <c r="BX40" s="51"/>
      <c r="BY40" s="50"/>
      <c r="BZ40" s="50"/>
      <c r="CA40" s="51"/>
      <c r="CB40" s="50"/>
      <c r="CC40" s="50"/>
      <c r="CD40" s="51"/>
      <c r="CE40" s="50"/>
      <c r="CF40" s="50"/>
      <c r="CG40" s="51"/>
      <c r="CH40" s="50"/>
      <c r="CI40" s="50"/>
      <c r="CJ40" s="51"/>
      <c r="CK40" s="50"/>
      <c r="CL40" s="50"/>
      <c r="CM40" s="51"/>
      <c r="CN40" s="50"/>
      <c r="CO40" s="50"/>
      <c r="CP40" s="51"/>
      <c r="CQ40" s="50"/>
      <c r="CR40" s="50"/>
      <c r="CS40" s="51"/>
      <c r="CT40" s="50"/>
      <c r="CU40" s="50"/>
      <c r="CV40" s="51"/>
      <c r="CW40" s="50"/>
      <c r="CX40" s="50"/>
      <c r="CY40" s="51"/>
      <c r="CZ40" s="50"/>
      <c r="DA40" s="50"/>
      <c r="DB40" s="51"/>
      <c r="DC40" s="50"/>
      <c r="DD40" s="50"/>
      <c r="DE40" s="51"/>
      <c r="DF40" s="50"/>
      <c r="DG40" s="50"/>
      <c r="DH40" s="51"/>
      <c r="DI40" s="50"/>
      <c r="DJ40" s="50"/>
      <c r="DK40" s="51"/>
      <c r="DL40" s="50"/>
      <c r="DM40" s="50"/>
      <c r="DN40" s="51"/>
      <c r="DO40" s="50"/>
      <c r="DP40" s="50"/>
      <c r="DQ40" s="51"/>
      <c r="DR40" s="50"/>
      <c r="DS40" s="50"/>
      <c r="DT40" s="51"/>
      <c r="DU40" s="50"/>
      <c r="DV40" s="50"/>
      <c r="DW40" s="51"/>
      <c r="DX40" s="50"/>
      <c r="DY40" s="50"/>
      <c r="DZ40" s="51"/>
      <c r="EA40" s="50"/>
      <c r="EB40" s="50"/>
      <c r="EC40" s="51"/>
      <c r="ED40" s="50"/>
      <c r="EE40" s="50"/>
      <c r="EF40" s="51"/>
      <c r="EG40" s="50"/>
      <c r="EH40" s="50"/>
      <c r="EI40" s="51"/>
      <c r="EJ40" s="50"/>
      <c r="EK40" s="50"/>
      <c r="EL40" s="51"/>
      <c r="EM40" s="50"/>
      <c r="EN40" s="50"/>
      <c r="EO40" s="51"/>
      <c r="EP40" s="50"/>
      <c r="EQ40" s="50"/>
      <c r="ER40" s="51"/>
      <c r="ES40" s="50"/>
      <c r="ET40" s="50"/>
      <c r="EU40" s="51"/>
      <c r="EV40" s="50"/>
      <c r="EW40" s="50"/>
      <c r="EX40" s="51"/>
      <c r="EY40" s="50"/>
      <c r="EZ40" s="50"/>
      <c r="FA40" s="51"/>
      <c r="FB40" s="50"/>
      <c r="FC40" s="50"/>
      <c r="FD40" s="51"/>
      <c r="FE40" s="50"/>
      <c r="FF40" s="50"/>
      <c r="FG40" s="51"/>
      <c r="FH40" s="50"/>
      <c r="FI40" s="50"/>
      <c r="FJ40" s="51"/>
    </row>
    <row r="41" spans="1:166" s="52" customFormat="1" ht="15.75" x14ac:dyDescent="0.25">
      <c r="A41" s="3"/>
      <c r="B41" s="6" t="s">
        <v>223</v>
      </c>
      <c r="C41" s="1" t="s">
        <v>214</v>
      </c>
      <c r="D41" s="19" t="s">
        <v>82</v>
      </c>
      <c r="E41" s="50"/>
      <c r="F41" s="50"/>
      <c r="G41" s="51"/>
      <c r="H41" s="50"/>
      <c r="I41" s="50"/>
      <c r="J41" s="51"/>
      <c r="K41" s="50"/>
      <c r="L41" s="50"/>
      <c r="M41" s="51"/>
      <c r="N41" s="50"/>
      <c r="O41" s="50"/>
      <c r="P41" s="51"/>
      <c r="Q41" s="50"/>
      <c r="R41" s="50"/>
      <c r="S41" s="51"/>
      <c r="T41" s="50"/>
      <c r="U41" s="50"/>
      <c r="V41" s="51"/>
      <c r="W41" s="50"/>
      <c r="X41" s="50"/>
      <c r="Y41" s="51"/>
      <c r="Z41" s="50"/>
      <c r="AA41" s="50"/>
      <c r="AB41" s="51"/>
      <c r="AC41" s="50"/>
      <c r="AD41" s="50"/>
      <c r="AE41" s="51"/>
      <c r="AF41" s="50"/>
      <c r="AG41" s="50"/>
      <c r="AH41" s="51"/>
      <c r="AI41" s="50"/>
      <c r="AJ41" s="50"/>
      <c r="AK41" s="51"/>
      <c r="AL41" s="50"/>
      <c r="AM41" s="50"/>
      <c r="AN41" s="51"/>
      <c r="AO41" s="50"/>
      <c r="AP41" s="50"/>
      <c r="AQ41" s="51"/>
      <c r="AR41" s="50"/>
      <c r="AS41" s="50"/>
      <c r="AT41" s="51"/>
      <c r="AU41" s="50"/>
      <c r="AV41" s="50"/>
      <c r="AW41" s="51"/>
      <c r="AX41" s="50"/>
      <c r="AY41" s="50"/>
      <c r="AZ41" s="51"/>
      <c r="BA41" s="50"/>
      <c r="BB41" s="50"/>
      <c r="BC41" s="51"/>
      <c r="BD41" s="50"/>
      <c r="BE41" s="50"/>
      <c r="BF41" s="51"/>
      <c r="BG41" s="50"/>
      <c r="BH41" s="50"/>
      <c r="BI41" s="51"/>
      <c r="BJ41" s="50"/>
      <c r="BK41" s="50"/>
      <c r="BL41" s="51"/>
      <c r="BM41" s="50"/>
      <c r="BN41" s="50"/>
      <c r="BO41" s="51"/>
      <c r="BP41" s="50"/>
      <c r="BQ41" s="50"/>
      <c r="BR41" s="51"/>
      <c r="BS41" s="50"/>
      <c r="BT41" s="50"/>
      <c r="BU41" s="51"/>
      <c r="BV41" s="50"/>
      <c r="BW41" s="50"/>
      <c r="BX41" s="51"/>
      <c r="BY41" s="50"/>
      <c r="BZ41" s="50"/>
      <c r="CA41" s="51"/>
      <c r="CB41" s="50"/>
      <c r="CC41" s="50"/>
      <c r="CD41" s="51"/>
      <c r="CE41" s="50"/>
      <c r="CF41" s="50"/>
      <c r="CG41" s="51"/>
      <c r="CH41" s="50"/>
      <c r="CI41" s="50"/>
      <c r="CJ41" s="51"/>
      <c r="CK41" s="50"/>
      <c r="CL41" s="50"/>
      <c r="CM41" s="51"/>
      <c r="CN41" s="50"/>
      <c r="CO41" s="50"/>
      <c r="CP41" s="51"/>
      <c r="CQ41" s="50"/>
      <c r="CR41" s="50"/>
      <c r="CS41" s="51"/>
      <c r="CT41" s="50"/>
      <c r="CU41" s="50"/>
      <c r="CV41" s="51"/>
      <c r="CW41" s="50"/>
      <c r="CX41" s="50"/>
      <c r="CY41" s="51"/>
      <c r="CZ41" s="50"/>
      <c r="DA41" s="50"/>
      <c r="DB41" s="51"/>
      <c r="DC41" s="50"/>
      <c r="DD41" s="50"/>
      <c r="DE41" s="51"/>
      <c r="DF41" s="50"/>
      <c r="DG41" s="50"/>
      <c r="DH41" s="51"/>
      <c r="DI41" s="50"/>
      <c r="DJ41" s="50"/>
      <c r="DK41" s="51"/>
      <c r="DL41" s="50"/>
      <c r="DM41" s="50"/>
      <c r="DN41" s="51"/>
      <c r="DO41" s="50"/>
      <c r="DP41" s="50"/>
      <c r="DQ41" s="51"/>
      <c r="DR41" s="50"/>
      <c r="DS41" s="50"/>
      <c r="DT41" s="51"/>
      <c r="DU41" s="50"/>
      <c r="DV41" s="50"/>
      <c r="DW41" s="51"/>
      <c r="DX41" s="50"/>
      <c r="DY41" s="50"/>
      <c r="DZ41" s="51"/>
      <c r="EA41" s="50"/>
      <c r="EB41" s="50"/>
      <c r="EC41" s="51"/>
      <c r="ED41" s="50"/>
      <c r="EE41" s="50"/>
      <c r="EF41" s="51"/>
      <c r="EG41" s="50"/>
      <c r="EH41" s="50"/>
      <c r="EI41" s="51"/>
      <c r="EJ41" s="50"/>
      <c r="EK41" s="50"/>
      <c r="EL41" s="51"/>
      <c r="EM41" s="50"/>
      <c r="EN41" s="50"/>
      <c r="EO41" s="51"/>
      <c r="EP41" s="50"/>
      <c r="EQ41" s="50"/>
      <c r="ER41" s="51"/>
      <c r="ES41" s="50"/>
      <c r="ET41" s="50"/>
      <c r="EU41" s="51"/>
      <c r="EV41" s="50"/>
      <c r="EW41" s="50"/>
      <c r="EX41" s="51"/>
      <c r="EY41" s="50"/>
      <c r="EZ41" s="50"/>
      <c r="FA41" s="51"/>
      <c r="FB41" s="50"/>
      <c r="FC41" s="50"/>
      <c r="FD41" s="51"/>
      <c r="FE41" s="50"/>
      <c r="FF41" s="50"/>
      <c r="FG41" s="51"/>
      <c r="FH41" s="50"/>
      <c r="FI41" s="50"/>
      <c r="FJ41" s="51"/>
    </row>
    <row r="42" spans="1:166" s="38" customFormat="1" ht="15.75" x14ac:dyDescent="0.25">
      <c r="A42" s="3"/>
      <c r="B42" s="6" t="s">
        <v>224</v>
      </c>
      <c r="C42" s="1" t="s">
        <v>225</v>
      </c>
      <c r="D42" s="19" t="s">
        <v>82</v>
      </c>
      <c r="E42" s="41"/>
      <c r="F42" s="41"/>
      <c r="G42" s="12"/>
      <c r="H42" s="41"/>
      <c r="I42" s="41"/>
      <c r="J42" s="12"/>
      <c r="K42" s="41"/>
      <c r="L42" s="41"/>
      <c r="M42" s="12"/>
      <c r="N42" s="41"/>
      <c r="O42" s="41"/>
      <c r="P42" s="12"/>
      <c r="Q42" s="41"/>
      <c r="R42" s="41"/>
      <c r="S42" s="12"/>
      <c r="T42" s="41"/>
      <c r="U42" s="41"/>
      <c r="V42" s="12"/>
      <c r="W42" s="41"/>
      <c r="X42" s="41"/>
      <c r="Y42" s="12"/>
      <c r="Z42" s="41"/>
      <c r="AA42" s="41"/>
      <c r="AB42" s="12"/>
      <c r="AC42" s="41"/>
      <c r="AD42" s="41"/>
      <c r="AE42" s="12"/>
      <c r="AF42" s="41"/>
      <c r="AG42" s="41"/>
      <c r="AH42" s="12"/>
      <c r="AI42" s="41"/>
      <c r="AJ42" s="41"/>
      <c r="AK42" s="12"/>
      <c r="AL42" s="41"/>
      <c r="AM42" s="41"/>
      <c r="AN42" s="12"/>
      <c r="AO42" s="41"/>
      <c r="AP42" s="41"/>
      <c r="AQ42" s="12"/>
      <c r="AR42" s="41"/>
      <c r="AS42" s="41"/>
      <c r="AT42" s="12"/>
      <c r="AU42" s="41"/>
      <c r="AV42" s="41"/>
      <c r="AW42" s="12"/>
      <c r="AX42" s="41"/>
      <c r="AY42" s="41"/>
      <c r="AZ42" s="12"/>
      <c r="BA42" s="41"/>
      <c r="BB42" s="41"/>
      <c r="BC42" s="12"/>
      <c r="BD42" s="41"/>
      <c r="BE42" s="41"/>
      <c r="BF42" s="12"/>
      <c r="BG42" s="41"/>
      <c r="BH42" s="41"/>
      <c r="BI42" s="12"/>
      <c r="BJ42" s="41"/>
      <c r="BK42" s="41"/>
      <c r="BL42" s="12"/>
      <c r="BM42" s="41"/>
      <c r="BN42" s="41"/>
      <c r="BO42" s="12"/>
      <c r="BP42" s="41"/>
      <c r="BQ42" s="41"/>
      <c r="BR42" s="12"/>
      <c r="BS42" s="41"/>
      <c r="BT42" s="41"/>
      <c r="BU42" s="12"/>
      <c r="BV42" s="41"/>
      <c r="BW42" s="41"/>
      <c r="BX42" s="12"/>
      <c r="BY42" s="41"/>
      <c r="BZ42" s="41"/>
      <c r="CA42" s="12"/>
      <c r="CB42" s="41"/>
      <c r="CC42" s="41"/>
      <c r="CD42" s="12"/>
      <c r="CE42" s="41"/>
      <c r="CF42" s="41"/>
      <c r="CG42" s="12"/>
      <c r="CH42" s="41"/>
      <c r="CI42" s="41"/>
      <c r="CJ42" s="12"/>
      <c r="CK42" s="41"/>
      <c r="CL42" s="41"/>
      <c r="CM42" s="12"/>
      <c r="CN42" s="41"/>
      <c r="CO42" s="41"/>
      <c r="CP42" s="12"/>
      <c r="CQ42" s="41"/>
      <c r="CR42" s="41"/>
      <c r="CS42" s="12"/>
      <c r="CT42" s="41"/>
      <c r="CU42" s="41"/>
      <c r="CV42" s="12"/>
      <c r="CW42" s="41"/>
      <c r="CX42" s="41"/>
      <c r="CY42" s="12"/>
      <c r="CZ42" s="41"/>
      <c r="DA42" s="41"/>
      <c r="DB42" s="12"/>
      <c r="DC42" s="41"/>
      <c r="DD42" s="41"/>
      <c r="DE42" s="12"/>
      <c r="DF42" s="41"/>
      <c r="DG42" s="41"/>
      <c r="DH42" s="12"/>
      <c r="DI42" s="41"/>
      <c r="DJ42" s="41"/>
      <c r="DK42" s="12"/>
      <c r="DL42" s="41"/>
      <c r="DM42" s="41"/>
      <c r="DN42" s="12"/>
      <c r="DO42" s="41"/>
      <c r="DP42" s="41"/>
      <c r="DQ42" s="12"/>
      <c r="DR42" s="41"/>
      <c r="DS42" s="41"/>
      <c r="DT42" s="12"/>
      <c r="DU42" s="41"/>
      <c r="DV42" s="41"/>
      <c r="DW42" s="12"/>
      <c r="DX42" s="41"/>
      <c r="DY42" s="41"/>
      <c r="DZ42" s="12"/>
      <c r="EA42" s="41"/>
      <c r="EB42" s="41"/>
      <c r="EC42" s="12"/>
      <c r="ED42" s="41"/>
      <c r="EE42" s="41"/>
      <c r="EF42" s="12"/>
      <c r="EG42" s="41"/>
      <c r="EH42" s="41"/>
      <c r="EI42" s="12"/>
      <c r="EJ42" s="41"/>
      <c r="EK42" s="41"/>
      <c r="EL42" s="12"/>
      <c r="EM42" s="41"/>
      <c r="EN42" s="41"/>
      <c r="EO42" s="12"/>
      <c r="EP42" s="41"/>
      <c r="EQ42" s="41"/>
      <c r="ER42" s="12"/>
      <c r="ES42" s="41"/>
      <c r="ET42" s="41"/>
      <c r="EU42" s="12"/>
      <c r="EV42" s="41"/>
      <c r="EW42" s="41"/>
      <c r="EX42" s="12"/>
      <c r="EY42" s="41"/>
      <c r="EZ42" s="41"/>
      <c r="FA42" s="12"/>
      <c r="FB42" s="41"/>
      <c r="FC42" s="41"/>
      <c r="FD42" s="12"/>
      <c r="FE42" s="41"/>
      <c r="FF42" s="41"/>
      <c r="FG42" s="12"/>
      <c r="FH42" s="41"/>
      <c r="FI42" s="41"/>
      <c r="FJ42" s="12"/>
    </row>
    <row r="43" spans="1:166" s="38" customFormat="1" ht="15.75" x14ac:dyDescent="0.25">
      <c r="A43" s="3"/>
      <c r="B43" s="6" t="s">
        <v>224</v>
      </c>
      <c r="C43" s="1" t="s">
        <v>226</v>
      </c>
      <c r="D43" s="53">
        <v>0.9</v>
      </c>
      <c r="E43" s="45" t="e">
        <f>E42/E40</f>
        <v>#DIV/0!</v>
      </c>
      <c r="F43" s="45" t="e">
        <f>F42/F40</f>
        <v>#DIV/0!</v>
      </c>
      <c r="G43" s="12"/>
      <c r="H43" s="45" t="e">
        <f>H42/H40</f>
        <v>#DIV/0!</v>
      </c>
      <c r="I43" s="45" t="e">
        <f>I42/I40</f>
        <v>#DIV/0!</v>
      </c>
      <c r="J43" s="12"/>
      <c r="K43" s="45" t="e">
        <f>K42/K40</f>
        <v>#DIV/0!</v>
      </c>
      <c r="L43" s="45" t="e">
        <f>L42/L40</f>
        <v>#DIV/0!</v>
      </c>
      <c r="M43" s="12"/>
      <c r="N43" s="45" t="e">
        <f>N42/N40</f>
        <v>#DIV/0!</v>
      </c>
      <c r="O43" s="45" t="e">
        <f>O42/O40</f>
        <v>#DIV/0!</v>
      </c>
      <c r="P43" s="12"/>
      <c r="Q43" s="45" t="e">
        <f>Q42/Q40</f>
        <v>#DIV/0!</v>
      </c>
      <c r="R43" s="45" t="e">
        <f>R42/R40</f>
        <v>#DIV/0!</v>
      </c>
      <c r="S43" s="12"/>
      <c r="T43" s="45" t="e">
        <f>T42/T40</f>
        <v>#DIV/0!</v>
      </c>
      <c r="U43" s="45" t="e">
        <f>U42/U40</f>
        <v>#DIV/0!</v>
      </c>
      <c r="V43" s="12"/>
      <c r="W43" s="45" t="e">
        <f>W42/W40</f>
        <v>#DIV/0!</v>
      </c>
      <c r="X43" s="45" t="e">
        <f>X42/X40</f>
        <v>#DIV/0!</v>
      </c>
      <c r="Y43" s="12"/>
      <c r="Z43" s="45" t="e">
        <f>Z42/Z40</f>
        <v>#DIV/0!</v>
      </c>
      <c r="AA43" s="45" t="e">
        <f>AA42/AA40</f>
        <v>#DIV/0!</v>
      </c>
      <c r="AB43" s="12"/>
      <c r="AC43" s="45" t="e">
        <f>AC42/AC40</f>
        <v>#DIV/0!</v>
      </c>
      <c r="AD43" s="45" t="e">
        <f>AD42/AD40</f>
        <v>#DIV/0!</v>
      </c>
      <c r="AE43" s="12"/>
      <c r="AF43" s="45" t="e">
        <f>AF42/AF40</f>
        <v>#DIV/0!</v>
      </c>
      <c r="AG43" s="45" t="e">
        <f>AG42/AG40</f>
        <v>#DIV/0!</v>
      </c>
      <c r="AH43" s="12"/>
      <c r="AI43" s="45" t="e">
        <f>AI42/AI40</f>
        <v>#DIV/0!</v>
      </c>
      <c r="AJ43" s="45" t="e">
        <f>AJ42/AJ40</f>
        <v>#DIV/0!</v>
      </c>
      <c r="AK43" s="12"/>
      <c r="AL43" s="45" t="e">
        <f>AL42/AL40</f>
        <v>#DIV/0!</v>
      </c>
      <c r="AM43" s="45" t="e">
        <f>AM42/AM40</f>
        <v>#DIV/0!</v>
      </c>
      <c r="AN43" s="12"/>
      <c r="AO43" s="45" t="e">
        <f>AO42/AO40</f>
        <v>#DIV/0!</v>
      </c>
      <c r="AP43" s="45" t="e">
        <f>AP42/AP40</f>
        <v>#DIV/0!</v>
      </c>
      <c r="AQ43" s="12"/>
      <c r="AR43" s="45" t="e">
        <f>AR42/AR40</f>
        <v>#DIV/0!</v>
      </c>
      <c r="AS43" s="45" t="e">
        <f>AS42/AS40</f>
        <v>#DIV/0!</v>
      </c>
      <c r="AT43" s="12"/>
      <c r="AU43" s="45" t="e">
        <f>AU42/AU40</f>
        <v>#DIV/0!</v>
      </c>
      <c r="AV43" s="45" t="e">
        <f>AV42/AV40</f>
        <v>#DIV/0!</v>
      </c>
      <c r="AW43" s="12"/>
      <c r="AX43" s="45" t="e">
        <f>AX42/AX40</f>
        <v>#DIV/0!</v>
      </c>
      <c r="AY43" s="45" t="e">
        <f>AY42/AY40</f>
        <v>#DIV/0!</v>
      </c>
      <c r="AZ43" s="12"/>
      <c r="BA43" s="45" t="e">
        <f>BA42/BA40</f>
        <v>#DIV/0!</v>
      </c>
      <c r="BB43" s="45" t="e">
        <f>BB42/BB40</f>
        <v>#DIV/0!</v>
      </c>
      <c r="BC43" s="12"/>
      <c r="BD43" s="45" t="e">
        <f>BD42/BD40</f>
        <v>#DIV/0!</v>
      </c>
      <c r="BE43" s="45" t="e">
        <f>BE42/BE40</f>
        <v>#DIV/0!</v>
      </c>
      <c r="BF43" s="12"/>
      <c r="BG43" s="45" t="e">
        <f>BG42/BG40</f>
        <v>#DIV/0!</v>
      </c>
      <c r="BH43" s="45" t="e">
        <f>BH42/BH40</f>
        <v>#DIV/0!</v>
      </c>
      <c r="BI43" s="12"/>
      <c r="BJ43" s="45" t="e">
        <f>BJ42/BJ40</f>
        <v>#DIV/0!</v>
      </c>
      <c r="BK43" s="45" t="e">
        <f>BK42/BK40</f>
        <v>#DIV/0!</v>
      </c>
      <c r="BL43" s="12"/>
      <c r="BM43" s="45" t="e">
        <f>BM42/BM40</f>
        <v>#DIV/0!</v>
      </c>
      <c r="BN43" s="45" t="e">
        <f>BN42/BN40</f>
        <v>#DIV/0!</v>
      </c>
      <c r="BO43" s="12"/>
      <c r="BP43" s="45" t="e">
        <f>BP42/BP40</f>
        <v>#DIV/0!</v>
      </c>
      <c r="BQ43" s="45" t="e">
        <f>BQ42/BQ40</f>
        <v>#DIV/0!</v>
      </c>
      <c r="BR43" s="12"/>
      <c r="BS43" s="45" t="e">
        <f>BS42/BS40</f>
        <v>#DIV/0!</v>
      </c>
      <c r="BT43" s="45" t="e">
        <f>BT42/BT40</f>
        <v>#DIV/0!</v>
      </c>
      <c r="BU43" s="12"/>
      <c r="BV43" s="45" t="e">
        <f>BV42/BV40</f>
        <v>#DIV/0!</v>
      </c>
      <c r="BW43" s="45" t="e">
        <f>BW42/BW40</f>
        <v>#DIV/0!</v>
      </c>
      <c r="BX43" s="12"/>
      <c r="BY43" s="45" t="e">
        <f>BY42/BY40</f>
        <v>#DIV/0!</v>
      </c>
      <c r="BZ43" s="45" t="e">
        <f>BZ42/BZ40</f>
        <v>#DIV/0!</v>
      </c>
      <c r="CA43" s="12"/>
      <c r="CB43" s="45" t="e">
        <f>CB42/CB40</f>
        <v>#DIV/0!</v>
      </c>
      <c r="CC43" s="45" t="e">
        <f>CC42/CC40</f>
        <v>#DIV/0!</v>
      </c>
      <c r="CD43" s="12"/>
      <c r="CE43" s="45" t="e">
        <f>CE42/CE40</f>
        <v>#DIV/0!</v>
      </c>
      <c r="CF43" s="45" t="e">
        <f>CF42/CF40</f>
        <v>#DIV/0!</v>
      </c>
      <c r="CG43" s="12"/>
      <c r="CH43" s="45" t="e">
        <f>CH42/CH40</f>
        <v>#DIV/0!</v>
      </c>
      <c r="CI43" s="45" t="e">
        <f>CI42/CI40</f>
        <v>#DIV/0!</v>
      </c>
      <c r="CJ43" s="12"/>
      <c r="CK43" s="45" t="e">
        <f>CK42/CK40</f>
        <v>#DIV/0!</v>
      </c>
      <c r="CL43" s="45" t="e">
        <f>CL42/CL40</f>
        <v>#DIV/0!</v>
      </c>
      <c r="CM43" s="12"/>
      <c r="CN43" s="45" t="e">
        <f>CN42/CN40</f>
        <v>#DIV/0!</v>
      </c>
      <c r="CO43" s="45" t="e">
        <f>CO42/CO40</f>
        <v>#DIV/0!</v>
      </c>
      <c r="CP43" s="12"/>
      <c r="CQ43" s="45" t="e">
        <f>CQ42/CQ40</f>
        <v>#DIV/0!</v>
      </c>
      <c r="CR43" s="45" t="e">
        <f>CR42/CR40</f>
        <v>#DIV/0!</v>
      </c>
      <c r="CS43" s="12"/>
      <c r="CT43" s="45" t="e">
        <f>CT42/CT40</f>
        <v>#DIV/0!</v>
      </c>
      <c r="CU43" s="45" t="e">
        <f>CU42/CU40</f>
        <v>#DIV/0!</v>
      </c>
      <c r="CV43" s="12"/>
      <c r="CW43" s="45" t="e">
        <f>CW42/CW40</f>
        <v>#DIV/0!</v>
      </c>
      <c r="CX43" s="45" t="e">
        <f>CX42/CX40</f>
        <v>#DIV/0!</v>
      </c>
      <c r="CY43" s="12"/>
      <c r="CZ43" s="45" t="e">
        <f>CZ42/CZ40</f>
        <v>#DIV/0!</v>
      </c>
      <c r="DA43" s="45" t="e">
        <f>DA42/DA40</f>
        <v>#DIV/0!</v>
      </c>
      <c r="DB43" s="12"/>
      <c r="DC43" s="45" t="e">
        <f>DC42/DC40</f>
        <v>#DIV/0!</v>
      </c>
      <c r="DD43" s="45" t="e">
        <f>DD42/DD40</f>
        <v>#DIV/0!</v>
      </c>
      <c r="DE43" s="12"/>
      <c r="DF43" s="45" t="e">
        <f>DF42/DF40</f>
        <v>#DIV/0!</v>
      </c>
      <c r="DG43" s="45" t="e">
        <f>DG42/DG40</f>
        <v>#DIV/0!</v>
      </c>
      <c r="DH43" s="12"/>
      <c r="DI43" s="45" t="e">
        <f>DI42/DI40</f>
        <v>#DIV/0!</v>
      </c>
      <c r="DJ43" s="45" t="e">
        <f>DJ42/DJ40</f>
        <v>#DIV/0!</v>
      </c>
      <c r="DK43" s="12"/>
      <c r="DL43" s="45" t="e">
        <f>DL42/DL40</f>
        <v>#DIV/0!</v>
      </c>
      <c r="DM43" s="45" t="e">
        <f>DM42/DM40</f>
        <v>#DIV/0!</v>
      </c>
      <c r="DN43" s="12"/>
      <c r="DO43" s="45" t="e">
        <f>DO42/DO40</f>
        <v>#DIV/0!</v>
      </c>
      <c r="DP43" s="45" t="e">
        <f>DP42/DP40</f>
        <v>#DIV/0!</v>
      </c>
      <c r="DQ43" s="12"/>
      <c r="DR43" s="45" t="e">
        <f>DR42/DR40</f>
        <v>#DIV/0!</v>
      </c>
      <c r="DS43" s="45" t="e">
        <f>DS42/DS40</f>
        <v>#DIV/0!</v>
      </c>
      <c r="DT43" s="12"/>
      <c r="DU43" s="45" t="e">
        <f>DU42/DU40</f>
        <v>#DIV/0!</v>
      </c>
      <c r="DV43" s="45" t="e">
        <f>DV42/DV40</f>
        <v>#DIV/0!</v>
      </c>
      <c r="DW43" s="12"/>
      <c r="DX43" s="45" t="e">
        <f>DX42/DX40</f>
        <v>#DIV/0!</v>
      </c>
      <c r="DY43" s="45" t="e">
        <f>DY42/DY40</f>
        <v>#DIV/0!</v>
      </c>
      <c r="DZ43" s="12"/>
      <c r="EA43" s="45" t="e">
        <f>EA42/EA40</f>
        <v>#DIV/0!</v>
      </c>
      <c r="EB43" s="45" t="e">
        <f>EB42/EB40</f>
        <v>#DIV/0!</v>
      </c>
      <c r="EC43" s="12"/>
      <c r="ED43" s="45" t="e">
        <f>ED42/ED40</f>
        <v>#DIV/0!</v>
      </c>
      <c r="EE43" s="45" t="e">
        <f>EE42/EE40</f>
        <v>#DIV/0!</v>
      </c>
      <c r="EF43" s="12"/>
      <c r="EG43" s="45" t="e">
        <f>EG42/EG40</f>
        <v>#DIV/0!</v>
      </c>
      <c r="EH43" s="45" t="e">
        <f>EH42/EH40</f>
        <v>#DIV/0!</v>
      </c>
      <c r="EI43" s="12"/>
      <c r="EJ43" s="45" t="e">
        <f>EJ42/EJ40</f>
        <v>#DIV/0!</v>
      </c>
      <c r="EK43" s="45" t="e">
        <f>EK42/EK40</f>
        <v>#DIV/0!</v>
      </c>
      <c r="EL43" s="12"/>
      <c r="EM43" s="45" t="e">
        <f>EM42/EM40</f>
        <v>#DIV/0!</v>
      </c>
      <c r="EN43" s="45" t="e">
        <f>EN42/EN40</f>
        <v>#DIV/0!</v>
      </c>
      <c r="EO43" s="12"/>
      <c r="EP43" s="45" t="e">
        <f>EP42/EP40</f>
        <v>#DIV/0!</v>
      </c>
      <c r="EQ43" s="45" t="e">
        <f>EQ42/EQ40</f>
        <v>#DIV/0!</v>
      </c>
      <c r="ER43" s="12"/>
      <c r="ES43" s="45" t="e">
        <f>ES42/ES40</f>
        <v>#DIV/0!</v>
      </c>
      <c r="ET43" s="45" t="e">
        <f>ET42/ET40</f>
        <v>#DIV/0!</v>
      </c>
      <c r="EU43" s="12"/>
      <c r="EV43" s="45" t="e">
        <f>EV42/EV40</f>
        <v>#DIV/0!</v>
      </c>
      <c r="EW43" s="45" t="e">
        <f>EW42/EW40</f>
        <v>#DIV/0!</v>
      </c>
      <c r="EX43" s="12"/>
      <c r="EY43" s="45" t="e">
        <f>EY42/EY40</f>
        <v>#DIV/0!</v>
      </c>
      <c r="EZ43" s="45" t="e">
        <f>EZ42/EZ40</f>
        <v>#DIV/0!</v>
      </c>
      <c r="FA43" s="12"/>
      <c r="FB43" s="45" t="e">
        <f>FB42/FB40</f>
        <v>#DIV/0!</v>
      </c>
      <c r="FC43" s="45" t="e">
        <f>FC42/FC40</f>
        <v>#DIV/0!</v>
      </c>
      <c r="FD43" s="12"/>
      <c r="FE43" s="45" t="e">
        <f>FE42/FE40</f>
        <v>#DIV/0!</v>
      </c>
      <c r="FF43" s="45" t="e">
        <f>FF42/FF40</f>
        <v>#DIV/0!</v>
      </c>
      <c r="FG43" s="12"/>
      <c r="FH43" s="45" t="e">
        <f>FH42/FH40</f>
        <v>#DIV/0!</v>
      </c>
      <c r="FI43" s="45" t="e">
        <f>FI42/FI40</f>
        <v>#DIV/0!</v>
      </c>
      <c r="FJ43" s="12"/>
    </row>
    <row r="44" spans="1:166" s="52" customFormat="1" ht="15.75" x14ac:dyDescent="0.25">
      <c r="A44" s="3"/>
      <c r="B44" s="6" t="s">
        <v>227</v>
      </c>
      <c r="C44" s="1" t="s">
        <v>228</v>
      </c>
      <c r="D44" s="19" t="s">
        <v>82</v>
      </c>
      <c r="E44" s="54"/>
      <c r="F44" s="54"/>
      <c r="G44" s="55"/>
      <c r="H44" s="54"/>
      <c r="I44" s="54"/>
      <c r="J44" s="55"/>
      <c r="K44" s="54"/>
      <c r="L44" s="54"/>
      <c r="M44" s="55"/>
      <c r="N44" s="54"/>
      <c r="O44" s="54"/>
      <c r="P44" s="55"/>
      <c r="Q44" s="54"/>
      <c r="R44" s="54"/>
      <c r="S44" s="55"/>
      <c r="T44" s="54"/>
      <c r="U44" s="54"/>
      <c r="V44" s="55"/>
      <c r="W44" s="54"/>
      <c r="X44" s="54"/>
      <c r="Y44" s="55"/>
      <c r="Z44" s="54"/>
      <c r="AA44" s="54"/>
      <c r="AB44" s="55"/>
      <c r="AC44" s="54"/>
      <c r="AD44" s="54"/>
      <c r="AE44" s="55"/>
      <c r="AF44" s="54"/>
      <c r="AG44" s="54"/>
      <c r="AH44" s="55"/>
      <c r="AI44" s="54"/>
      <c r="AJ44" s="54"/>
      <c r="AK44" s="55"/>
      <c r="AL44" s="54"/>
      <c r="AM44" s="54"/>
      <c r="AN44" s="55"/>
      <c r="AO44" s="54"/>
      <c r="AP44" s="54"/>
      <c r="AQ44" s="55"/>
      <c r="AR44" s="54"/>
      <c r="AS44" s="54"/>
      <c r="AT44" s="55"/>
      <c r="AU44" s="54"/>
      <c r="AV44" s="54"/>
      <c r="AW44" s="55"/>
      <c r="AX44" s="54"/>
      <c r="AY44" s="54"/>
      <c r="AZ44" s="55"/>
      <c r="BA44" s="54"/>
      <c r="BB44" s="54"/>
      <c r="BC44" s="55"/>
      <c r="BD44" s="54"/>
      <c r="BE44" s="54"/>
      <c r="BF44" s="55"/>
      <c r="BG44" s="54"/>
      <c r="BH44" s="54"/>
      <c r="BI44" s="55"/>
      <c r="BJ44" s="54"/>
      <c r="BK44" s="54"/>
      <c r="BL44" s="55"/>
      <c r="BM44" s="54"/>
      <c r="BN44" s="54"/>
      <c r="BO44" s="55"/>
      <c r="BP44" s="54"/>
      <c r="BQ44" s="54"/>
      <c r="BR44" s="55"/>
      <c r="BS44" s="54"/>
      <c r="BT44" s="54"/>
      <c r="BU44" s="55"/>
      <c r="BV44" s="54"/>
      <c r="BW44" s="54"/>
      <c r="BX44" s="55"/>
      <c r="BY44" s="54"/>
      <c r="BZ44" s="54"/>
      <c r="CA44" s="55"/>
      <c r="CB44" s="54"/>
      <c r="CC44" s="54"/>
      <c r="CD44" s="55"/>
      <c r="CE44" s="54"/>
      <c r="CF44" s="54"/>
      <c r="CG44" s="55"/>
      <c r="CH44" s="54"/>
      <c r="CI44" s="54"/>
      <c r="CJ44" s="55"/>
      <c r="CK44" s="54"/>
      <c r="CL44" s="54"/>
      <c r="CM44" s="55"/>
      <c r="CN44" s="54"/>
      <c r="CO44" s="54"/>
      <c r="CP44" s="55"/>
      <c r="CQ44" s="54"/>
      <c r="CR44" s="54"/>
      <c r="CS44" s="55"/>
      <c r="CT44" s="54"/>
      <c r="CU44" s="54"/>
      <c r="CV44" s="55"/>
      <c r="CW44" s="54"/>
      <c r="CX44" s="54"/>
      <c r="CY44" s="55"/>
      <c r="CZ44" s="54"/>
      <c r="DA44" s="54"/>
      <c r="DB44" s="55"/>
      <c r="DC44" s="54"/>
      <c r="DD44" s="54"/>
      <c r="DE44" s="55"/>
      <c r="DF44" s="54"/>
      <c r="DG44" s="54"/>
      <c r="DH44" s="55"/>
      <c r="DI44" s="54"/>
      <c r="DJ44" s="54"/>
      <c r="DK44" s="55"/>
      <c r="DL44" s="54"/>
      <c r="DM44" s="54"/>
      <c r="DN44" s="55"/>
      <c r="DO44" s="54"/>
      <c r="DP44" s="54"/>
      <c r="DQ44" s="55"/>
      <c r="DR44" s="54"/>
      <c r="DS44" s="54"/>
      <c r="DT44" s="55"/>
      <c r="DU44" s="54"/>
      <c r="DV44" s="54"/>
      <c r="DW44" s="55"/>
      <c r="DX44" s="54"/>
      <c r="DY44" s="54"/>
      <c r="DZ44" s="55"/>
      <c r="EA44" s="54"/>
      <c r="EB44" s="54"/>
      <c r="EC44" s="55"/>
      <c r="ED44" s="54"/>
      <c r="EE44" s="54"/>
      <c r="EF44" s="55"/>
      <c r="EG44" s="54"/>
      <c r="EH44" s="54"/>
      <c r="EI44" s="55"/>
      <c r="EJ44" s="54"/>
      <c r="EK44" s="54"/>
      <c r="EL44" s="55"/>
      <c r="EM44" s="54"/>
      <c r="EN44" s="54"/>
      <c r="EO44" s="55"/>
      <c r="EP44" s="54"/>
      <c r="EQ44" s="54"/>
      <c r="ER44" s="55"/>
      <c r="ES44" s="54"/>
      <c r="ET44" s="54"/>
      <c r="EU44" s="55"/>
      <c r="EV44" s="54"/>
      <c r="EW44" s="54"/>
      <c r="EX44" s="55"/>
      <c r="EY44" s="54"/>
      <c r="EZ44" s="54"/>
      <c r="FA44" s="55"/>
      <c r="FB44" s="54"/>
      <c r="FC44" s="54"/>
      <c r="FD44" s="55"/>
      <c r="FE44" s="54"/>
      <c r="FF44" s="54"/>
      <c r="FG44" s="55"/>
      <c r="FH44" s="54"/>
      <c r="FI44" s="54"/>
      <c r="FJ44" s="55"/>
    </row>
    <row r="45" spans="1:166" s="52" customFormat="1" ht="15.75" x14ac:dyDescent="0.25">
      <c r="A45" s="3"/>
      <c r="B45" s="6" t="s">
        <v>227</v>
      </c>
      <c r="C45" s="1" t="s">
        <v>229</v>
      </c>
      <c r="D45" s="19" t="s">
        <v>82</v>
      </c>
      <c r="E45" s="54"/>
      <c r="F45" s="54"/>
      <c r="G45" s="55"/>
      <c r="H45" s="54"/>
      <c r="I45" s="54"/>
      <c r="J45" s="55"/>
      <c r="K45" s="54"/>
      <c r="L45" s="54"/>
      <c r="M45" s="55"/>
      <c r="N45" s="54"/>
      <c r="O45" s="54"/>
      <c r="P45" s="55"/>
      <c r="Q45" s="54"/>
      <c r="R45" s="54"/>
      <c r="S45" s="55"/>
      <c r="T45" s="54"/>
      <c r="U45" s="54"/>
      <c r="V45" s="55"/>
      <c r="W45" s="54"/>
      <c r="X45" s="54"/>
      <c r="Y45" s="55"/>
      <c r="Z45" s="54"/>
      <c r="AA45" s="54"/>
      <c r="AB45" s="55"/>
      <c r="AC45" s="54"/>
      <c r="AD45" s="54"/>
      <c r="AE45" s="55"/>
      <c r="AF45" s="54"/>
      <c r="AG45" s="54"/>
      <c r="AH45" s="55"/>
      <c r="AI45" s="54"/>
      <c r="AJ45" s="54"/>
      <c r="AK45" s="55"/>
      <c r="AL45" s="54"/>
      <c r="AM45" s="54"/>
      <c r="AN45" s="55"/>
      <c r="AO45" s="54"/>
      <c r="AP45" s="54"/>
      <c r="AQ45" s="55"/>
      <c r="AR45" s="54"/>
      <c r="AS45" s="54"/>
      <c r="AT45" s="55"/>
      <c r="AU45" s="54"/>
      <c r="AV45" s="54"/>
      <c r="AW45" s="55"/>
      <c r="AX45" s="54"/>
      <c r="AY45" s="54"/>
      <c r="AZ45" s="55"/>
      <c r="BA45" s="54"/>
      <c r="BB45" s="54"/>
      <c r="BC45" s="55"/>
      <c r="BD45" s="54"/>
      <c r="BE45" s="54"/>
      <c r="BF45" s="55"/>
      <c r="BG45" s="54"/>
      <c r="BH45" s="54"/>
      <c r="BI45" s="55"/>
      <c r="BJ45" s="54"/>
      <c r="BK45" s="54"/>
      <c r="BL45" s="55"/>
      <c r="BM45" s="54"/>
      <c r="BN45" s="54"/>
      <c r="BO45" s="55"/>
      <c r="BP45" s="54"/>
      <c r="BQ45" s="54"/>
      <c r="BR45" s="55"/>
      <c r="BS45" s="54"/>
      <c r="BT45" s="54"/>
      <c r="BU45" s="55"/>
      <c r="BV45" s="54"/>
      <c r="BW45" s="54"/>
      <c r="BX45" s="55"/>
      <c r="BY45" s="54"/>
      <c r="BZ45" s="54"/>
      <c r="CA45" s="55"/>
      <c r="CB45" s="54"/>
      <c r="CC45" s="54"/>
      <c r="CD45" s="55"/>
      <c r="CE45" s="54"/>
      <c r="CF45" s="54"/>
      <c r="CG45" s="55"/>
      <c r="CH45" s="54"/>
      <c r="CI45" s="54"/>
      <c r="CJ45" s="55"/>
      <c r="CK45" s="54"/>
      <c r="CL45" s="54"/>
      <c r="CM45" s="55"/>
      <c r="CN45" s="54"/>
      <c r="CO45" s="54"/>
      <c r="CP45" s="55"/>
      <c r="CQ45" s="54"/>
      <c r="CR45" s="54"/>
      <c r="CS45" s="55"/>
      <c r="CT45" s="54"/>
      <c r="CU45" s="54"/>
      <c r="CV45" s="55"/>
      <c r="CW45" s="54"/>
      <c r="CX45" s="54"/>
      <c r="CY45" s="55"/>
      <c r="CZ45" s="54"/>
      <c r="DA45" s="54"/>
      <c r="DB45" s="55"/>
      <c r="DC45" s="54"/>
      <c r="DD45" s="54"/>
      <c r="DE45" s="55"/>
      <c r="DF45" s="54"/>
      <c r="DG45" s="54"/>
      <c r="DH45" s="55"/>
      <c r="DI45" s="54"/>
      <c r="DJ45" s="54"/>
      <c r="DK45" s="55"/>
      <c r="DL45" s="54"/>
      <c r="DM45" s="54"/>
      <c r="DN45" s="55"/>
      <c r="DO45" s="54"/>
      <c r="DP45" s="54"/>
      <c r="DQ45" s="55"/>
      <c r="DR45" s="54"/>
      <c r="DS45" s="54"/>
      <c r="DT45" s="55"/>
      <c r="DU45" s="54"/>
      <c r="DV45" s="54"/>
      <c r="DW45" s="55"/>
      <c r="DX45" s="54"/>
      <c r="DY45" s="54"/>
      <c r="DZ45" s="55"/>
      <c r="EA45" s="54"/>
      <c r="EB45" s="54"/>
      <c r="EC45" s="55"/>
      <c r="ED45" s="54"/>
      <c r="EE45" s="54"/>
      <c r="EF45" s="55"/>
      <c r="EG45" s="54"/>
      <c r="EH45" s="54"/>
      <c r="EI45" s="55"/>
      <c r="EJ45" s="54"/>
      <c r="EK45" s="54"/>
      <c r="EL45" s="55"/>
      <c r="EM45" s="54"/>
      <c r="EN45" s="54"/>
      <c r="EO45" s="55"/>
      <c r="EP45" s="54"/>
      <c r="EQ45" s="54"/>
      <c r="ER45" s="55"/>
      <c r="ES45" s="54"/>
      <c r="ET45" s="54"/>
      <c r="EU45" s="55"/>
      <c r="EV45" s="54"/>
      <c r="EW45" s="54"/>
      <c r="EX45" s="55"/>
      <c r="EY45" s="54"/>
      <c r="EZ45" s="54"/>
      <c r="FA45" s="55"/>
      <c r="FB45" s="54"/>
      <c r="FC45" s="54"/>
      <c r="FD45" s="55"/>
      <c r="FE45" s="54"/>
      <c r="FF45" s="54"/>
      <c r="FG45" s="55"/>
      <c r="FH45" s="54"/>
      <c r="FI45" s="54"/>
      <c r="FJ45" s="55"/>
    </row>
    <row r="46" spans="1:166" s="38" customFormat="1" ht="15.75" x14ac:dyDescent="0.25">
      <c r="A46" s="3"/>
      <c r="B46" s="6" t="s">
        <v>230</v>
      </c>
      <c r="C46" s="1" t="s">
        <v>231</v>
      </c>
      <c r="D46" s="19">
        <v>0</v>
      </c>
      <c r="E46" s="41"/>
      <c r="F46" s="41"/>
      <c r="G46" s="12"/>
      <c r="H46" s="41"/>
      <c r="I46" s="41"/>
      <c r="J46" s="12"/>
      <c r="K46" s="41"/>
      <c r="L46" s="41"/>
      <c r="M46" s="12"/>
      <c r="N46" s="41"/>
      <c r="O46" s="41"/>
      <c r="P46" s="12"/>
      <c r="Q46" s="41"/>
      <c r="R46" s="41"/>
      <c r="S46" s="12"/>
      <c r="T46" s="41"/>
      <c r="U46" s="41"/>
      <c r="V46" s="12"/>
      <c r="W46" s="41"/>
      <c r="X46" s="41"/>
      <c r="Y46" s="12"/>
      <c r="Z46" s="41"/>
      <c r="AA46" s="41"/>
      <c r="AB46" s="12"/>
      <c r="AC46" s="41"/>
      <c r="AD46" s="41"/>
      <c r="AE46" s="12"/>
      <c r="AF46" s="41"/>
      <c r="AG46" s="41"/>
      <c r="AH46" s="12"/>
      <c r="AI46" s="41"/>
      <c r="AJ46" s="41"/>
      <c r="AK46" s="12"/>
      <c r="AL46" s="41"/>
      <c r="AM46" s="41"/>
      <c r="AN46" s="12"/>
      <c r="AO46" s="41"/>
      <c r="AP46" s="41"/>
      <c r="AQ46" s="12"/>
      <c r="AR46" s="41"/>
      <c r="AS46" s="41"/>
      <c r="AT46" s="12"/>
      <c r="AU46" s="41"/>
      <c r="AV46" s="41"/>
      <c r="AW46" s="12"/>
      <c r="AX46" s="41"/>
      <c r="AY46" s="41"/>
      <c r="AZ46" s="12"/>
      <c r="BA46" s="41"/>
      <c r="BB46" s="41"/>
      <c r="BC46" s="12"/>
      <c r="BD46" s="41"/>
      <c r="BE46" s="41"/>
      <c r="BF46" s="12"/>
      <c r="BG46" s="41"/>
      <c r="BH46" s="41"/>
      <c r="BI46" s="12"/>
      <c r="BJ46" s="41"/>
      <c r="BK46" s="41"/>
      <c r="BL46" s="12"/>
      <c r="BM46" s="41"/>
      <c r="BN46" s="41"/>
      <c r="BO46" s="12"/>
      <c r="BP46" s="41"/>
      <c r="BQ46" s="41"/>
      <c r="BR46" s="12"/>
      <c r="BS46" s="41"/>
      <c r="BT46" s="41"/>
      <c r="BU46" s="12"/>
      <c r="BV46" s="41"/>
      <c r="BW46" s="41"/>
      <c r="BX46" s="12"/>
      <c r="BY46" s="41"/>
      <c r="BZ46" s="41"/>
      <c r="CA46" s="12"/>
      <c r="CB46" s="41"/>
      <c r="CC46" s="41"/>
      <c r="CD46" s="12"/>
      <c r="CE46" s="41"/>
      <c r="CF46" s="41"/>
      <c r="CG46" s="12"/>
      <c r="CH46" s="41"/>
      <c r="CI46" s="41"/>
      <c r="CJ46" s="12"/>
      <c r="CK46" s="41"/>
      <c r="CL46" s="41"/>
      <c r="CM46" s="12"/>
      <c r="CN46" s="41"/>
      <c r="CO46" s="41"/>
      <c r="CP46" s="12"/>
      <c r="CQ46" s="41"/>
      <c r="CR46" s="41"/>
      <c r="CS46" s="12"/>
      <c r="CT46" s="41"/>
      <c r="CU46" s="41"/>
      <c r="CV46" s="12"/>
      <c r="CW46" s="41"/>
      <c r="CX46" s="41"/>
      <c r="CY46" s="12"/>
      <c r="CZ46" s="41"/>
      <c r="DA46" s="41"/>
      <c r="DB46" s="12"/>
      <c r="DC46" s="41"/>
      <c r="DD46" s="41"/>
      <c r="DE46" s="12"/>
      <c r="DF46" s="41"/>
      <c r="DG46" s="41"/>
      <c r="DH46" s="12"/>
      <c r="DI46" s="41"/>
      <c r="DJ46" s="41"/>
      <c r="DK46" s="12"/>
      <c r="DL46" s="41"/>
      <c r="DM46" s="41"/>
      <c r="DN46" s="12"/>
      <c r="DO46" s="41"/>
      <c r="DP46" s="41"/>
      <c r="DQ46" s="12"/>
      <c r="DR46" s="41"/>
      <c r="DS46" s="41"/>
      <c r="DT46" s="12"/>
      <c r="DU46" s="41"/>
      <c r="DV46" s="41"/>
      <c r="DW46" s="12"/>
      <c r="DX46" s="41"/>
      <c r="DY46" s="41"/>
      <c r="DZ46" s="12"/>
      <c r="EA46" s="41"/>
      <c r="EB46" s="41"/>
      <c r="EC46" s="12"/>
      <c r="ED46" s="41"/>
      <c r="EE46" s="41"/>
      <c r="EF46" s="12"/>
      <c r="EG46" s="41"/>
      <c r="EH46" s="41"/>
      <c r="EI46" s="12"/>
      <c r="EJ46" s="41"/>
      <c r="EK46" s="41"/>
      <c r="EL46" s="12"/>
      <c r="EM46" s="41"/>
      <c r="EN46" s="41"/>
      <c r="EO46" s="12"/>
      <c r="EP46" s="41"/>
      <c r="EQ46" s="41"/>
      <c r="ER46" s="12"/>
      <c r="ES46" s="41"/>
      <c r="ET46" s="41"/>
      <c r="EU46" s="12"/>
      <c r="EV46" s="41"/>
      <c r="EW46" s="41"/>
      <c r="EX46" s="12"/>
      <c r="EY46" s="41"/>
      <c r="EZ46" s="41"/>
      <c r="FA46" s="12"/>
      <c r="FB46" s="41"/>
      <c r="FC46" s="41"/>
      <c r="FD46" s="12"/>
      <c r="FE46" s="41"/>
      <c r="FF46" s="41"/>
      <c r="FG46" s="12"/>
      <c r="FH46" s="41"/>
      <c r="FI46" s="41"/>
      <c r="FJ46" s="12"/>
    </row>
    <row r="47" spans="1:166" s="38" customFormat="1" ht="15.75" x14ac:dyDescent="0.25">
      <c r="A47" s="3"/>
      <c r="B47" s="6" t="s">
        <v>232</v>
      </c>
      <c r="C47" s="1" t="s">
        <v>233</v>
      </c>
      <c r="D47" s="19">
        <v>0</v>
      </c>
      <c r="E47" s="41"/>
      <c r="F47" s="41"/>
      <c r="G47" s="12"/>
      <c r="H47" s="41"/>
      <c r="I47" s="41"/>
      <c r="J47" s="12"/>
      <c r="K47" s="41"/>
      <c r="L47" s="41"/>
      <c r="M47" s="12"/>
      <c r="N47" s="41"/>
      <c r="O47" s="41"/>
      <c r="P47" s="12"/>
      <c r="Q47" s="41"/>
      <c r="R47" s="41"/>
      <c r="S47" s="12"/>
      <c r="T47" s="41"/>
      <c r="U47" s="41"/>
      <c r="V47" s="12"/>
      <c r="W47" s="41"/>
      <c r="X47" s="41"/>
      <c r="Y47" s="12"/>
      <c r="Z47" s="41"/>
      <c r="AA47" s="41"/>
      <c r="AB47" s="12"/>
      <c r="AC47" s="41"/>
      <c r="AD47" s="41"/>
      <c r="AE47" s="12"/>
      <c r="AF47" s="41"/>
      <c r="AG47" s="41"/>
      <c r="AH47" s="12"/>
      <c r="AI47" s="41"/>
      <c r="AJ47" s="41"/>
      <c r="AK47" s="12"/>
      <c r="AL47" s="41"/>
      <c r="AM47" s="41"/>
      <c r="AN47" s="12"/>
      <c r="AO47" s="41"/>
      <c r="AP47" s="41"/>
      <c r="AQ47" s="12"/>
      <c r="AR47" s="41"/>
      <c r="AS47" s="41"/>
      <c r="AT47" s="12"/>
      <c r="AU47" s="41"/>
      <c r="AV47" s="41"/>
      <c r="AW47" s="12"/>
      <c r="AX47" s="41"/>
      <c r="AY47" s="41"/>
      <c r="AZ47" s="12"/>
      <c r="BA47" s="41"/>
      <c r="BB47" s="41"/>
      <c r="BC47" s="12"/>
      <c r="BD47" s="41"/>
      <c r="BE47" s="41"/>
      <c r="BF47" s="12"/>
      <c r="BG47" s="41"/>
      <c r="BH47" s="41"/>
      <c r="BI47" s="12"/>
      <c r="BJ47" s="41"/>
      <c r="BK47" s="41"/>
      <c r="BL47" s="12"/>
      <c r="BM47" s="41"/>
      <c r="BN47" s="41"/>
      <c r="BO47" s="12"/>
      <c r="BP47" s="41"/>
      <c r="BQ47" s="41"/>
      <c r="BR47" s="12"/>
      <c r="BS47" s="41"/>
      <c r="BT47" s="41"/>
      <c r="BU47" s="12"/>
      <c r="BV47" s="41"/>
      <c r="BW47" s="41"/>
      <c r="BX47" s="12"/>
      <c r="BY47" s="41"/>
      <c r="BZ47" s="41"/>
      <c r="CA47" s="12"/>
      <c r="CB47" s="41"/>
      <c r="CC47" s="41"/>
      <c r="CD47" s="12"/>
      <c r="CE47" s="41"/>
      <c r="CF47" s="41"/>
      <c r="CG47" s="12"/>
      <c r="CH47" s="41"/>
      <c r="CI47" s="41"/>
      <c r="CJ47" s="12"/>
      <c r="CK47" s="41"/>
      <c r="CL47" s="41"/>
      <c r="CM47" s="12"/>
      <c r="CN47" s="41"/>
      <c r="CO47" s="41"/>
      <c r="CP47" s="12"/>
      <c r="CQ47" s="41"/>
      <c r="CR47" s="41"/>
      <c r="CS47" s="12"/>
      <c r="CT47" s="41"/>
      <c r="CU47" s="41"/>
      <c r="CV47" s="12"/>
      <c r="CW47" s="41"/>
      <c r="CX47" s="41"/>
      <c r="CY47" s="12"/>
      <c r="CZ47" s="41"/>
      <c r="DA47" s="41"/>
      <c r="DB47" s="12"/>
      <c r="DC47" s="41"/>
      <c r="DD47" s="41"/>
      <c r="DE47" s="12"/>
      <c r="DF47" s="41"/>
      <c r="DG47" s="41"/>
      <c r="DH47" s="12"/>
      <c r="DI47" s="41"/>
      <c r="DJ47" s="41"/>
      <c r="DK47" s="12"/>
      <c r="DL47" s="41"/>
      <c r="DM47" s="41"/>
      <c r="DN47" s="12"/>
      <c r="DO47" s="41"/>
      <c r="DP47" s="41"/>
      <c r="DQ47" s="12"/>
      <c r="DR47" s="41"/>
      <c r="DS47" s="41"/>
      <c r="DT47" s="12"/>
      <c r="DU47" s="41"/>
      <c r="DV47" s="41"/>
      <c r="DW47" s="12"/>
      <c r="DX47" s="41"/>
      <c r="DY47" s="41"/>
      <c r="DZ47" s="12"/>
      <c r="EA47" s="41"/>
      <c r="EB47" s="41"/>
      <c r="EC47" s="12"/>
      <c r="ED47" s="41"/>
      <c r="EE47" s="41"/>
      <c r="EF47" s="12"/>
      <c r="EG47" s="41"/>
      <c r="EH47" s="41"/>
      <c r="EI47" s="12"/>
      <c r="EJ47" s="41"/>
      <c r="EK47" s="41"/>
      <c r="EL47" s="12"/>
      <c r="EM47" s="41"/>
      <c r="EN47" s="41"/>
      <c r="EO47" s="12"/>
      <c r="EP47" s="41"/>
      <c r="EQ47" s="41"/>
      <c r="ER47" s="12"/>
      <c r="ES47" s="41"/>
      <c r="ET47" s="41"/>
      <c r="EU47" s="12"/>
      <c r="EV47" s="41"/>
      <c r="EW47" s="41"/>
      <c r="EX47" s="12"/>
      <c r="EY47" s="41"/>
      <c r="EZ47" s="41"/>
      <c r="FA47" s="12"/>
      <c r="FB47" s="41"/>
      <c r="FC47" s="41"/>
      <c r="FD47" s="12"/>
      <c r="FE47" s="41"/>
      <c r="FF47" s="41"/>
      <c r="FG47" s="12"/>
      <c r="FH47" s="41"/>
      <c r="FI47" s="41"/>
      <c r="FJ47" s="12"/>
    </row>
    <row r="48" spans="1:166" s="38" customFormat="1" ht="15.75" x14ac:dyDescent="0.25">
      <c r="A48" s="3"/>
      <c r="B48" s="6" t="s">
        <v>232</v>
      </c>
      <c r="C48" s="1" t="s">
        <v>234</v>
      </c>
      <c r="D48" s="19">
        <v>0</v>
      </c>
      <c r="E48" s="41"/>
      <c r="F48" s="41"/>
      <c r="G48" s="12"/>
      <c r="H48" s="41"/>
      <c r="I48" s="41"/>
      <c r="J48" s="12"/>
      <c r="K48" s="41"/>
      <c r="L48" s="41"/>
      <c r="M48" s="12"/>
      <c r="N48" s="41"/>
      <c r="O48" s="41"/>
      <c r="P48" s="12"/>
      <c r="Q48" s="41"/>
      <c r="R48" s="41"/>
      <c r="S48" s="12"/>
      <c r="T48" s="41"/>
      <c r="U48" s="41"/>
      <c r="V48" s="12"/>
      <c r="W48" s="41"/>
      <c r="X48" s="41"/>
      <c r="Y48" s="12"/>
      <c r="Z48" s="41"/>
      <c r="AA48" s="41"/>
      <c r="AB48" s="12"/>
      <c r="AC48" s="41"/>
      <c r="AD48" s="41"/>
      <c r="AE48" s="12"/>
      <c r="AF48" s="41"/>
      <c r="AG48" s="41"/>
      <c r="AH48" s="12"/>
      <c r="AI48" s="41"/>
      <c r="AJ48" s="41"/>
      <c r="AK48" s="12"/>
      <c r="AL48" s="41"/>
      <c r="AM48" s="41"/>
      <c r="AN48" s="12"/>
      <c r="AO48" s="41"/>
      <c r="AP48" s="41"/>
      <c r="AQ48" s="12"/>
      <c r="AR48" s="41"/>
      <c r="AS48" s="41"/>
      <c r="AT48" s="12"/>
      <c r="AU48" s="41"/>
      <c r="AV48" s="41"/>
      <c r="AW48" s="12"/>
      <c r="AX48" s="41"/>
      <c r="AY48" s="41"/>
      <c r="AZ48" s="12"/>
      <c r="BA48" s="41"/>
      <c r="BB48" s="41"/>
      <c r="BC48" s="12"/>
      <c r="BD48" s="41"/>
      <c r="BE48" s="41"/>
      <c r="BF48" s="12"/>
      <c r="BG48" s="41"/>
      <c r="BH48" s="41"/>
      <c r="BI48" s="12"/>
      <c r="BJ48" s="41"/>
      <c r="BK48" s="41"/>
      <c r="BL48" s="12"/>
      <c r="BM48" s="41"/>
      <c r="BN48" s="41"/>
      <c r="BO48" s="12"/>
      <c r="BP48" s="41"/>
      <c r="BQ48" s="41"/>
      <c r="BR48" s="12"/>
      <c r="BS48" s="41"/>
      <c r="BT48" s="41"/>
      <c r="BU48" s="12"/>
      <c r="BV48" s="41"/>
      <c r="BW48" s="41"/>
      <c r="BX48" s="12"/>
      <c r="BY48" s="41"/>
      <c r="BZ48" s="41"/>
      <c r="CA48" s="12"/>
      <c r="CB48" s="41"/>
      <c r="CC48" s="41"/>
      <c r="CD48" s="12"/>
      <c r="CE48" s="41"/>
      <c r="CF48" s="41"/>
      <c r="CG48" s="12"/>
      <c r="CH48" s="41"/>
      <c r="CI48" s="41"/>
      <c r="CJ48" s="12"/>
      <c r="CK48" s="41"/>
      <c r="CL48" s="41"/>
      <c r="CM48" s="12"/>
      <c r="CN48" s="41"/>
      <c r="CO48" s="41"/>
      <c r="CP48" s="12"/>
      <c r="CQ48" s="41"/>
      <c r="CR48" s="41"/>
      <c r="CS48" s="12"/>
      <c r="CT48" s="41"/>
      <c r="CU48" s="41"/>
      <c r="CV48" s="12"/>
      <c r="CW48" s="41"/>
      <c r="CX48" s="41"/>
      <c r="CY48" s="12"/>
      <c r="CZ48" s="41"/>
      <c r="DA48" s="41"/>
      <c r="DB48" s="12"/>
      <c r="DC48" s="41"/>
      <c r="DD48" s="41"/>
      <c r="DE48" s="12"/>
      <c r="DF48" s="41"/>
      <c r="DG48" s="41"/>
      <c r="DH48" s="12"/>
      <c r="DI48" s="41"/>
      <c r="DJ48" s="41"/>
      <c r="DK48" s="12"/>
      <c r="DL48" s="41"/>
      <c r="DM48" s="41"/>
      <c r="DN48" s="12"/>
      <c r="DO48" s="41"/>
      <c r="DP48" s="41"/>
      <c r="DQ48" s="12"/>
      <c r="DR48" s="41"/>
      <c r="DS48" s="41"/>
      <c r="DT48" s="12"/>
      <c r="DU48" s="41"/>
      <c r="DV48" s="41"/>
      <c r="DW48" s="12"/>
      <c r="DX48" s="41"/>
      <c r="DY48" s="41"/>
      <c r="DZ48" s="12"/>
      <c r="EA48" s="41"/>
      <c r="EB48" s="41"/>
      <c r="EC48" s="12"/>
      <c r="ED48" s="41"/>
      <c r="EE48" s="41"/>
      <c r="EF48" s="12"/>
      <c r="EG48" s="41"/>
      <c r="EH48" s="41"/>
      <c r="EI48" s="12"/>
      <c r="EJ48" s="41"/>
      <c r="EK48" s="41"/>
      <c r="EL48" s="12"/>
      <c r="EM48" s="41"/>
      <c r="EN48" s="41"/>
      <c r="EO48" s="12"/>
      <c r="EP48" s="41"/>
      <c r="EQ48" s="41"/>
      <c r="ER48" s="12"/>
      <c r="ES48" s="41"/>
      <c r="ET48" s="41"/>
      <c r="EU48" s="12"/>
      <c r="EV48" s="41"/>
      <c r="EW48" s="41"/>
      <c r="EX48" s="12"/>
      <c r="EY48" s="41"/>
      <c r="EZ48" s="41"/>
      <c r="FA48" s="12"/>
      <c r="FB48" s="41"/>
      <c r="FC48" s="41"/>
      <c r="FD48" s="12"/>
      <c r="FE48" s="41"/>
      <c r="FF48" s="41"/>
      <c r="FG48" s="12"/>
      <c r="FH48" s="41"/>
      <c r="FI48" s="41"/>
      <c r="FJ48" s="12"/>
    </row>
    <row r="49" spans="1:166" s="38" customFormat="1" ht="15.75" x14ac:dyDescent="0.25">
      <c r="A49" s="3"/>
      <c r="B49" s="6" t="s">
        <v>235</v>
      </c>
      <c r="C49" s="1" t="s">
        <v>236</v>
      </c>
      <c r="D49" s="19">
        <v>0</v>
      </c>
      <c r="E49" s="41"/>
      <c r="F49" s="41"/>
      <c r="G49" s="12"/>
      <c r="H49" s="41"/>
      <c r="I49" s="41"/>
      <c r="J49" s="12"/>
      <c r="K49" s="41"/>
      <c r="L49" s="41"/>
      <c r="M49" s="12"/>
      <c r="N49" s="41"/>
      <c r="O49" s="41"/>
      <c r="P49" s="12"/>
      <c r="Q49" s="41"/>
      <c r="R49" s="41"/>
      <c r="S49" s="12"/>
      <c r="T49" s="41"/>
      <c r="U49" s="41"/>
      <c r="V49" s="12"/>
      <c r="W49" s="41"/>
      <c r="X49" s="41"/>
      <c r="Y49" s="12"/>
      <c r="Z49" s="41"/>
      <c r="AA49" s="41"/>
      <c r="AB49" s="12"/>
      <c r="AC49" s="41"/>
      <c r="AD49" s="41"/>
      <c r="AE49" s="12"/>
      <c r="AF49" s="41"/>
      <c r="AG49" s="41"/>
      <c r="AH49" s="12"/>
      <c r="AI49" s="41"/>
      <c r="AJ49" s="41"/>
      <c r="AK49" s="12"/>
      <c r="AL49" s="41"/>
      <c r="AM49" s="41"/>
      <c r="AN49" s="12"/>
      <c r="AO49" s="41"/>
      <c r="AP49" s="41"/>
      <c r="AQ49" s="12"/>
      <c r="AR49" s="41"/>
      <c r="AS49" s="41"/>
      <c r="AT49" s="12"/>
      <c r="AU49" s="41"/>
      <c r="AV49" s="41"/>
      <c r="AW49" s="12"/>
      <c r="AX49" s="41"/>
      <c r="AY49" s="41"/>
      <c r="AZ49" s="12"/>
      <c r="BA49" s="41"/>
      <c r="BB49" s="41"/>
      <c r="BC49" s="12"/>
      <c r="BD49" s="41"/>
      <c r="BE49" s="41"/>
      <c r="BF49" s="12"/>
      <c r="BG49" s="41"/>
      <c r="BH49" s="41"/>
      <c r="BI49" s="12"/>
      <c r="BJ49" s="41"/>
      <c r="BK49" s="41"/>
      <c r="BL49" s="12"/>
      <c r="BM49" s="41"/>
      <c r="BN49" s="41"/>
      <c r="BO49" s="12"/>
      <c r="BP49" s="41"/>
      <c r="BQ49" s="41"/>
      <c r="BR49" s="12"/>
      <c r="BS49" s="41"/>
      <c r="BT49" s="41"/>
      <c r="BU49" s="12"/>
      <c r="BV49" s="41"/>
      <c r="BW49" s="41"/>
      <c r="BX49" s="12"/>
      <c r="BY49" s="41"/>
      <c r="BZ49" s="41"/>
      <c r="CA49" s="12"/>
      <c r="CB49" s="41"/>
      <c r="CC49" s="41"/>
      <c r="CD49" s="12"/>
      <c r="CE49" s="41"/>
      <c r="CF49" s="41"/>
      <c r="CG49" s="12"/>
      <c r="CH49" s="41"/>
      <c r="CI49" s="41"/>
      <c r="CJ49" s="12"/>
      <c r="CK49" s="41"/>
      <c r="CL49" s="41"/>
      <c r="CM49" s="12"/>
      <c r="CN49" s="41"/>
      <c r="CO49" s="41"/>
      <c r="CP49" s="12"/>
      <c r="CQ49" s="41"/>
      <c r="CR49" s="41"/>
      <c r="CS49" s="12"/>
      <c r="CT49" s="41"/>
      <c r="CU49" s="41"/>
      <c r="CV49" s="12"/>
      <c r="CW49" s="41"/>
      <c r="CX49" s="41"/>
      <c r="CY49" s="12"/>
      <c r="CZ49" s="41"/>
      <c r="DA49" s="41"/>
      <c r="DB49" s="12"/>
      <c r="DC49" s="41"/>
      <c r="DD49" s="41"/>
      <c r="DE49" s="12"/>
      <c r="DF49" s="41"/>
      <c r="DG49" s="41"/>
      <c r="DH49" s="12"/>
      <c r="DI49" s="41"/>
      <c r="DJ49" s="41"/>
      <c r="DK49" s="12"/>
      <c r="DL49" s="41"/>
      <c r="DM49" s="41"/>
      <c r="DN49" s="12"/>
      <c r="DO49" s="41"/>
      <c r="DP49" s="41"/>
      <c r="DQ49" s="12"/>
      <c r="DR49" s="41"/>
      <c r="DS49" s="41"/>
      <c r="DT49" s="12"/>
      <c r="DU49" s="41"/>
      <c r="DV49" s="41"/>
      <c r="DW49" s="12"/>
      <c r="DX49" s="41"/>
      <c r="DY49" s="41"/>
      <c r="DZ49" s="12"/>
      <c r="EA49" s="41"/>
      <c r="EB49" s="41"/>
      <c r="EC49" s="12"/>
      <c r="ED49" s="41"/>
      <c r="EE49" s="41"/>
      <c r="EF49" s="12"/>
      <c r="EG49" s="41"/>
      <c r="EH49" s="41"/>
      <c r="EI49" s="12"/>
      <c r="EJ49" s="41"/>
      <c r="EK49" s="41"/>
      <c r="EL49" s="12"/>
      <c r="EM49" s="41"/>
      <c r="EN49" s="41"/>
      <c r="EO49" s="12"/>
      <c r="EP49" s="41"/>
      <c r="EQ49" s="41"/>
      <c r="ER49" s="12"/>
      <c r="ES49" s="41"/>
      <c r="ET49" s="41"/>
      <c r="EU49" s="12"/>
      <c r="EV49" s="41"/>
      <c r="EW49" s="41"/>
      <c r="EX49" s="12"/>
      <c r="EY49" s="41"/>
      <c r="EZ49" s="41"/>
      <c r="FA49" s="12"/>
      <c r="FB49" s="41"/>
      <c r="FC49" s="41"/>
      <c r="FD49" s="12"/>
      <c r="FE49" s="41"/>
      <c r="FF49" s="41"/>
      <c r="FG49" s="12"/>
      <c r="FH49" s="41"/>
      <c r="FI49" s="41"/>
      <c r="FJ49" s="12"/>
    </row>
    <row r="50" spans="1:166" s="38" customFormat="1" ht="15.75" x14ac:dyDescent="0.25">
      <c r="A50" s="3"/>
      <c r="B50" s="6" t="s">
        <v>235</v>
      </c>
      <c r="C50" s="1" t="s">
        <v>237</v>
      </c>
      <c r="D50" s="19">
        <v>0</v>
      </c>
      <c r="E50" s="41"/>
      <c r="F50" s="41"/>
      <c r="G50" s="12"/>
      <c r="H50" s="41"/>
      <c r="I50" s="41"/>
      <c r="J50" s="12"/>
      <c r="K50" s="41"/>
      <c r="L50" s="41"/>
      <c r="M50" s="12"/>
      <c r="N50" s="41"/>
      <c r="O50" s="41"/>
      <c r="P50" s="12"/>
      <c r="Q50" s="41"/>
      <c r="R50" s="41"/>
      <c r="S50" s="12"/>
      <c r="T50" s="41"/>
      <c r="U50" s="41"/>
      <c r="V50" s="12"/>
      <c r="W50" s="41"/>
      <c r="X50" s="41"/>
      <c r="Y50" s="12"/>
      <c r="Z50" s="41"/>
      <c r="AA50" s="41"/>
      <c r="AB50" s="12"/>
      <c r="AC50" s="41"/>
      <c r="AD50" s="41"/>
      <c r="AE50" s="12"/>
      <c r="AF50" s="41"/>
      <c r="AG50" s="41"/>
      <c r="AH50" s="12"/>
      <c r="AI50" s="41"/>
      <c r="AJ50" s="41"/>
      <c r="AK50" s="12"/>
      <c r="AL50" s="41"/>
      <c r="AM50" s="41"/>
      <c r="AN50" s="12"/>
      <c r="AO50" s="41"/>
      <c r="AP50" s="41"/>
      <c r="AQ50" s="12"/>
      <c r="AR50" s="41"/>
      <c r="AS50" s="41"/>
      <c r="AT50" s="12"/>
      <c r="AU50" s="41"/>
      <c r="AV50" s="41"/>
      <c r="AW50" s="12"/>
      <c r="AX50" s="41"/>
      <c r="AY50" s="41"/>
      <c r="AZ50" s="12"/>
      <c r="BA50" s="41"/>
      <c r="BB50" s="41"/>
      <c r="BC50" s="12"/>
      <c r="BD50" s="41"/>
      <c r="BE50" s="41"/>
      <c r="BF50" s="12"/>
      <c r="BG50" s="41"/>
      <c r="BH50" s="41"/>
      <c r="BI50" s="12"/>
      <c r="BJ50" s="41"/>
      <c r="BK50" s="41"/>
      <c r="BL50" s="12"/>
      <c r="BM50" s="41"/>
      <c r="BN50" s="41"/>
      <c r="BO50" s="12"/>
      <c r="BP50" s="41"/>
      <c r="BQ50" s="41"/>
      <c r="BR50" s="12"/>
      <c r="BS50" s="41"/>
      <c r="BT50" s="41"/>
      <c r="BU50" s="12"/>
      <c r="BV50" s="41"/>
      <c r="BW50" s="41"/>
      <c r="BX50" s="12"/>
      <c r="BY50" s="41"/>
      <c r="BZ50" s="41"/>
      <c r="CA50" s="12"/>
      <c r="CB50" s="41"/>
      <c r="CC50" s="41"/>
      <c r="CD50" s="12"/>
      <c r="CE50" s="41"/>
      <c r="CF50" s="41"/>
      <c r="CG50" s="12"/>
      <c r="CH50" s="41"/>
      <c r="CI50" s="41"/>
      <c r="CJ50" s="12"/>
      <c r="CK50" s="41"/>
      <c r="CL50" s="41"/>
      <c r="CM50" s="12"/>
      <c r="CN50" s="41"/>
      <c r="CO50" s="41"/>
      <c r="CP50" s="12"/>
      <c r="CQ50" s="41"/>
      <c r="CR50" s="41"/>
      <c r="CS50" s="12"/>
      <c r="CT50" s="41"/>
      <c r="CU50" s="41"/>
      <c r="CV50" s="12"/>
      <c r="CW50" s="41"/>
      <c r="CX50" s="41"/>
      <c r="CY50" s="12"/>
      <c r="CZ50" s="41"/>
      <c r="DA50" s="41"/>
      <c r="DB50" s="12"/>
      <c r="DC50" s="41"/>
      <c r="DD50" s="41"/>
      <c r="DE50" s="12"/>
      <c r="DF50" s="41"/>
      <c r="DG50" s="41"/>
      <c r="DH50" s="12"/>
      <c r="DI50" s="41"/>
      <c r="DJ50" s="41"/>
      <c r="DK50" s="12"/>
      <c r="DL50" s="41"/>
      <c r="DM50" s="41"/>
      <c r="DN50" s="12"/>
      <c r="DO50" s="41"/>
      <c r="DP50" s="41"/>
      <c r="DQ50" s="12"/>
      <c r="DR50" s="41"/>
      <c r="DS50" s="41"/>
      <c r="DT50" s="12"/>
      <c r="DU50" s="41"/>
      <c r="DV50" s="41"/>
      <c r="DW50" s="12"/>
      <c r="DX50" s="41"/>
      <c r="DY50" s="41"/>
      <c r="DZ50" s="12"/>
      <c r="EA50" s="41"/>
      <c r="EB50" s="41"/>
      <c r="EC50" s="12"/>
      <c r="ED50" s="41"/>
      <c r="EE50" s="41"/>
      <c r="EF50" s="12"/>
      <c r="EG50" s="41"/>
      <c r="EH50" s="41"/>
      <c r="EI50" s="12"/>
      <c r="EJ50" s="41"/>
      <c r="EK50" s="41"/>
      <c r="EL50" s="12"/>
      <c r="EM50" s="41"/>
      <c r="EN50" s="41"/>
      <c r="EO50" s="12"/>
      <c r="EP50" s="41"/>
      <c r="EQ50" s="41"/>
      <c r="ER50" s="12"/>
      <c r="ES50" s="41"/>
      <c r="ET50" s="41"/>
      <c r="EU50" s="12"/>
      <c r="EV50" s="41"/>
      <c r="EW50" s="41"/>
      <c r="EX50" s="12"/>
      <c r="EY50" s="41"/>
      <c r="EZ50" s="41"/>
      <c r="FA50" s="12"/>
      <c r="FB50" s="41"/>
      <c r="FC50" s="41"/>
      <c r="FD50" s="12"/>
      <c r="FE50" s="41"/>
      <c r="FF50" s="41"/>
      <c r="FG50" s="12"/>
      <c r="FH50" s="41"/>
      <c r="FI50" s="41"/>
      <c r="FJ50" s="12"/>
    </row>
    <row r="51" spans="1:166" s="38" customFormat="1" ht="15.75" x14ac:dyDescent="0.25">
      <c r="A51" s="3"/>
      <c r="B51" s="60" t="s">
        <v>238</v>
      </c>
      <c r="C51" s="60" t="s">
        <v>239</v>
      </c>
      <c r="D51" s="20"/>
      <c r="E51" s="63"/>
      <c r="F51" s="61"/>
      <c r="G51" s="62"/>
      <c r="H51" s="63"/>
      <c r="I51" s="61"/>
      <c r="J51" s="62"/>
      <c r="K51" s="63"/>
      <c r="L51" s="61"/>
      <c r="M51" s="62"/>
      <c r="N51" s="63"/>
      <c r="O51" s="61"/>
      <c r="P51" s="62"/>
      <c r="Q51" s="63"/>
      <c r="R51" s="61"/>
      <c r="S51" s="62"/>
      <c r="T51" s="63"/>
      <c r="U51" s="61"/>
      <c r="V51" s="62"/>
      <c r="W51" s="63"/>
      <c r="X51" s="61"/>
      <c r="Y51" s="62"/>
      <c r="Z51" s="63"/>
      <c r="AA51" s="61"/>
      <c r="AB51" s="62"/>
      <c r="AC51" s="63"/>
      <c r="AD51" s="61"/>
      <c r="AE51" s="62"/>
      <c r="AF51" s="63"/>
      <c r="AG51" s="61"/>
      <c r="AH51" s="62"/>
      <c r="AI51" s="63"/>
      <c r="AJ51" s="61"/>
      <c r="AK51" s="62"/>
      <c r="AL51" s="63"/>
      <c r="AM51" s="61"/>
      <c r="AN51" s="62"/>
      <c r="AO51" s="63"/>
      <c r="AP51" s="61"/>
      <c r="AQ51" s="62"/>
      <c r="AR51" s="63"/>
      <c r="AS51" s="61"/>
      <c r="AT51" s="62"/>
      <c r="AU51" s="63"/>
      <c r="AV51" s="61"/>
      <c r="AW51" s="62"/>
      <c r="AX51" s="63"/>
      <c r="AY51" s="61"/>
      <c r="AZ51" s="62"/>
      <c r="BA51" s="63"/>
      <c r="BB51" s="61"/>
      <c r="BC51" s="62"/>
      <c r="BD51" s="63"/>
      <c r="BE51" s="61"/>
      <c r="BF51" s="62"/>
      <c r="BG51" s="63"/>
      <c r="BH51" s="61"/>
      <c r="BI51" s="62"/>
      <c r="BJ51" s="63"/>
      <c r="BK51" s="61"/>
      <c r="BL51" s="62"/>
      <c r="BM51" s="63"/>
      <c r="BN51" s="61"/>
      <c r="BO51" s="62"/>
      <c r="BP51" s="63"/>
      <c r="BQ51" s="61"/>
      <c r="BR51" s="62"/>
      <c r="BS51" s="63"/>
      <c r="BT51" s="61"/>
      <c r="BU51" s="62"/>
      <c r="BV51" s="63"/>
      <c r="BW51" s="61"/>
      <c r="BX51" s="62"/>
      <c r="BY51" s="63"/>
      <c r="BZ51" s="61"/>
      <c r="CA51" s="62"/>
      <c r="CB51" s="63"/>
      <c r="CC51" s="61"/>
      <c r="CD51" s="62"/>
      <c r="CE51" s="63"/>
      <c r="CF51" s="61"/>
      <c r="CG51" s="62"/>
      <c r="CH51" s="63"/>
      <c r="CI51" s="61"/>
      <c r="CJ51" s="62"/>
      <c r="CK51" s="63"/>
      <c r="CL51" s="61"/>
      <c r="CM51" s="62"/>
      <c r="CN51" s="63"/>
      <c r="CO51" s="61"/>
      <c r="CP51" s="62"/>
      <c r="CQ51" s="63"/>
      <c r="CR51" s="61"/>
      <c r="CS51" s="62"/>
      <c r="CT51" s="63"/>
      <c r="CU51" s="61"/>
      <c r="CV51" s="62"/>
      <c r="CW51" s="63"/>
      <c r="CX51" s="61"/>
      <c r="CY51" s="62"/>
      <c r="CZ51" s="63"/>
      <c r="DA51" s="61"/>
      <c r="DB51" s="62"/>
      <c r="DC51" s="63"/>
      <c r="DD51" s="61"/>
      <c r="DE51" s="62"/>
      <c r="DF51" s="63"/>
      <c r="DG51" s="61"/>
      <c r="DH51" s="62"/>
      <c r="DI51" s="63"/>
      <c r="DJ51" s="61"/>
      <c r="DK51" s="62"/>
      <c r="DL51" s="63"/>
      <c r="DM51" s="61"/>
      <c r="DN51" s="62"/>
      <c r="DO51" s="63"/>
      <c r="DP51" s="61"/>
      <c r="DQ51" s="62"/>
      <c r="DR51" s="63"/>
      <c r="DS51" s="61"/>
      <c r="DT51" s="62"/>
      <c r="DU51" s="63"/>
      <c r="DV51" s="61"/>
      <c r="DW51" s="62"/>
      <c r="DX51" s="63"/>
      <c r="DY51" s="61"/>
      <c r="DZ51" s="62"/>
      <c r="EA51" s="63"/>
      <c r="EB51" s="61"/>
      <c r="EC51" s="62"/>
      <c r="ED51" s="63"/>
      <c r="EE51" s="61"/>
      <c r="EF51" s="62"/>
      <c r="EG51" s="63"/>
      <c r="EH51" s="61"/>
      <c r="EI51" s="62"/>
      <c r="EJ51" s="63"/>
      <c r="EK51" s="61"/>
      <c r="EL51" s="62"/>
      <c r="EM51" s="63"/>
      <c r="EN51" s="61"/>
      <c r="EO51" s="62"/>
      <c r="EP51" s="63"/>
      <c r="EQ51" s="61"/>
      <c r="ER51" s="62"/>
      <c r="ES51" s="63"/>
      <c r="ET51" s="61"/>
      <c r="EU51" s="62"/>
      <c r="EV51" s="63"/>
      <c r="EW51" s="61"/>
      <c r="EX51" s="62"/>
      <c r="EY51" s="63"/>
      <c r="EZ51" s="61"/>
      <c r="FA51" s="62"/>
      <c r="FB51" s="63"/>
      <c r="FC51" s="61"/>
      <c r="FD51" s="62"/>
      <c r="FE51" s="63"/>
      <c r="FF51" s="61"/>
      <c r="FG51" s="62"/>
      <c r="FH51" s="63"/>
      <c r="FI51" s="61"/>
      <c r="FJ51" s="12"/>
    </row>
    <row r="52" spans="1:166" s="52" customFormat="1" ht="15.75" x14ac:dyDescent="0.25">
      <c r="A52" s="3"/>
      <c r="B52" s="6" t="s">
        <v>240</v>
      </c>
      <c r="C52" s="1" t="s">
        <v>241</v>
      </c>
      <c r="D52" s="19"/>
      <c r="E52" s="50"/>
      <c r="F52" s="51"/>
      <c r="G52" s="51"/>
      <c r="H52" s="50"/>
      <c r="I52" s="51"/>
      <c r="J52" s="51"/>
      <c r="K52" s="50"/>
      <c r="L52" s="51"/>
      <c r="M52" s="51"/>
      <c r="N52" s="50"/>
      <c r="O52" s="51"/>
      <c r="P52" s="51"/>
      <c r="Q52" s="50"/>
      <c r="R52" s="51"/>
      <c r="S52" s="51"/>
      <c r="T52" s="50"/>
      <c r="U52" s="51"/>
      <c r="V52" s="51"/>
      <c r="W52" s="50"/>
      <c r="X52" s="51"/>
      <c r="Y52" s="51"/>
      <c r="Z52" s="50"/>
      <c r="AA52" s="51"/>
      <c r="AB52" s="51"/>
      <c r="AC52" s="50"/>
      <c r="AD52" s="51"/>
      <c r="AE52" s="51"/>
      <c r="AF52" s="50"/>
      <c r="AG52" s="51"/>
      <c r="AH52" s="51"/>
      <c r="AI52" s="50"/>
      <c r="AJ52" s="51"/>
      <c r="AK52" s="51"/>
      <c r="AL52" s="50"/>
      <c r="AM52" s="51"/>
      <c r="AN52" s="51"/>
      <c r="AO52" s="50"/>
      <c r="AP52" s="51"/>
      <c r="AQ52" s="51"/>
      <c r="AR52" s="50"/>
      <c r="AS52" s="51"/>
      <c r="AT52" s="51"/>
      <c r="AU52" s="50"/>
      <c r="AV52" s="51"/>
      <c r="AW52" s="51"/>
      <c r="AX52" s="50"/>
      <c r="AY52" s="51"/>
      <c r="AZ52" s="51"/>
      <c r="BA52" s="50"/>
      <c r="BB52" s="51"/>
      <c r="BC52" s="51"/>
      <c r="BD52" s="50"/>
      <c r="BE52" s="51"/>
      <c r="BF52" s="51"/>
      <c r="BG52" s="50"/>
      <c r="BH52" s="51"/>
      <c r="BI52" s="51"/>
      <c r="BJ52" s="50"/>
      <c r="BK52" s="51"/>
      <c r="BL52" s="51"/>
      <c r="BM52" s="50"/>
      <c r="BN52" s="51"/>
      <c r="BO52" s="51"/>
      <c r="BP52" s="50"/>
      <c r="BQ52" s="51"/>
      <c r="BR52" s="51"/>
      <c r="BS52" s="50"/>
      <c r="BT52" s="51"/>
      <c r="BU52" s="51"/>
      <c r="BV52" s="50"/>
      <c r="BW52" s="51"/>
      <c r="BX52" s="51"/>
      <c r="BY52" s="50"/>
      <c r="BZ52" s="51"/>
      <c r="CA52" s="51"/>
      <c r="CB52" s="50"/>
      <c r="CC52" s="51"/>
      <c r="CD52" s="51"/>
      <c r="CE52" s="50"/>
      <c r="CF52" s="51"/>
      <c r="CG52" s="51"/>
      <c r="CH52" s="50"/>
      <c r="CI52" s="51"/>
      <c r="CJ52" s="51"/>
      <c r="CK52" s="50"/>
      <c r="CL52" s="51"/>
      <c r="CM52" s="51"/>
      <c r="CN52" s="50"/>
      <c r="CO52" s="51"/>
      <c r="CP52" s="51"/>
      <c r="CQ52" s="50"/>
      <c r="CR52" s="51"/>
      <c r="CS52" s="51"/>
      <c r="CT52" s="50"/>
      <c r="CU52" s="51"/>
      <c r="CV52" s="51"/>
      <c r="CW52" s="50"/>
      <c r="CX52" s="51"/>
      <c r="CY52" s="51"/>
      <c r="CZ52" s="50"/>
      <c r="DA52" s="51"/>
      <c r="DB52" s="51"/>
      <c r="DC52" s="50"/>
      <c r="DD52" s="51"/>
      <c r="DE52" s="51"/>
      <c r="DF52" s="50"/>
      <c r="DG52" s="51"/>
      <c r="DH52" s="51"/>
      <c r="DI52" s="50"/>
      <c r="DJ52" s="51"/>
      <c r="DK52" s="51"/>
      <c r="DL52" s="50"/>
      <c r="DM52" s="51"/>
      <c r="DN52" s="51"/>
      <c r="DO52" s="50"/>
      <c r="DP52" s="51"/>
      <c r="DQ52" s="51"/>
      <c r="DR52" s="50"/>
      <c r="DS52" s="51"/>
      <c r="DT52" s="51"/>
      <c r="DU52" s="50"/>
      <c r="DV52" s="51"/>
      <c r="DW52" s="51"/>
      <c r="DX52" s="50"/>
      <c r="DY52" s="51"/>
      <c r="DZ52" s="51"/>
      <c r="EA52" s="50"/>
      <c r="EB52" s="51"/>
      <c r="EC52" s="51"/>
      <c r="ED52" s="50"/>
      <c r="EE52" s="51"/>
      <c r="EF52" s="51"/>
      <c r="EG52" s="50"/>
      <c r="EH52" s="51"/>
      <c r="EI52" s="51"/>
      <c r="EJ52" s="50"/>
      <c r="EK52" s="51"/>
      <c r="EL52" s="51"/>
      <c r="EM52" s="50"/>
      <c r="EN52" s="51"/>
      <c r="EO52" s="51"/>
      <c r="EP52" s="50"/>
      <c r="EQ52" s="51"/>
      <c r="ER52" s="51"/>
      <c r="ES52" s="50"/>
      <c r="ET52" s="51"/>
      <c r="EU52" s="51"/>
      <c r="EV52" s="50"/>
      <c r="EW52" s="51"/>
      <c r="EX52" s="51"/>
      <c r="EY52" s="50"/>
      <c r="EZ52" s="51"/>
      <c r="FA52" s="51"/>
      <c r="FB52" s="50"/>
      <c r="FC52" s="51"/>
      <c r="FD52" s="51"/>
      <c r="FE52" s="50"/>
      <c r="FF52" s="51"/>
      <c r="FG52" s="51"/>
      <c r="FH52" s="50"/>
      <c r="FI52" s="51"/>
      <c r="FJ52" s="51"/>
    </row>
    <row r="53" spans="1:166" s="52" customFormat="1" ht="15.75" x14ac:dyDescent="0.25">
      <c r="A53" s="3"/>
      <c r="B53" s="6" t="s">
        <v>240</v>
      </c>
      <c r="C53" s="1" t="s">
        <v>242</v>
      </c>
      <c r="D53" s="19"/>
      <c r="E53" s="50"/>
      <c r="F53" s="51"/>
      <c r="G53" s="51"/>
      <c r="H53" s="50"/>
      <c r="I53" s="51"/>
      <c r="J53" s="51"/>
      <c r="K53" s="50"/>
      <c r="L53" s="51"/>
      <c r="M53" s="51"/>
      <c r="N53" s="50"/>
      <c r="O53" s="51"/>
      <c r="P53" s="51"/>
      <c r="Q53" s="50"/>
      <c r="R53" s="51"/>
      <c r="S53" s="51"/>
      <c r="T53" s="50"/>
      <c r="U53" s="51"/>
      <c r="V53" s="51"/>
      <c r="W53" s="50"/>
      <c r="X53" s="51"/>
      <c r="Y53" s="51"/>
      <c r="Z53" s="50"/>
      <c r="AA53" s="51"/>
      <c r="AB53" s="51"/>
      <c r="AC53" s="50"/>
      <c r="AD53" s="51"/>
      <c r="AE53" s="51"/>
      <c r="AF53" s="50"/>
      <c r="AG53" s="51"/>
      <c r="AH53" s="51"/>
      <c r="AI53" s="50"/>
      <c r="AJ53" s="51"/>
      <c r="AK53" s="51"/>
      <c r="AL53" s="50"/>
      <c r="AM53" s="51"/>
      <c r="AN53" s="51"/>
      <c r="AO53" s="50"/>
      <c r="AP53" s="51"/>
      <c r="AQ53" s="51"/>
      <c r="AR53" s="50"/>
      <c r="AS53" s="51"/>
      <c r="AT53" s="51"/>
      <c r="AU53" s="50"/>
      <c r="AV53" s="51"/>
      <c r="AW53" s="51"/>
      <c r="AX53" s="50"/>
      <c r="AY53" s="51"/>
      <c r="AZ53" s="51"/>
      <c r="BA53" s="50"/>
      <c r="BB53" s="51"/>
      <c r="BC53" s="51"/>
      <c r="BD53" s="50"/>
      <c r="BE53" s="51"/>
      <c r="BF53" s="51"/>
      <c r="BG53" s="50"/>
      <c r="BH53" s="51"/>
      <c r="BI53" s="51"/>
      <c r="BJ53" s="50"/>
      <c r="BK53" s="51"/>
      <c r="BL53" s="51"/>
      <c r="BM53" s="50"/>
      <c r="BN53" s="51"/>
      <c r="BO53" s="51"/>
      <c r="BP53" s="50"/>
      <c r="BQ53" s="51"/>
      <c r="BR53" s="51"/>
      <c r="BS53" s="50"/>
      <c r="BT53" s="51"/>
      <c r="BU53" s="51"/>
      <c r="BV53" s="50"/>
      <c r="BW53" s="51"/>
      <c r="BX53" s="51"/>
      <c r="BY53" s="50"/>
      <c r="BZ53" s="51"/>
      <c r="CA53" s="51"/>
      <c r="CB53" s="50"/>
      <c r="CC53" s="51"/>
      <c r="CD53" s="51"/>
      <c r="CE53" s="50"/>
      <c r="CF53" s="51"/>
      <c r="CG53" s="51"/>
      <c r="CH53" s="50"/>
      <c r="CI53" s="51"/>
      <c r="CJ53" s="51"/>
      <c r="CK53" s="50"/>
      <c r="CL53" s="51"/>
      <c r="CM53" s="51"/>
      <c r="CN53" s="50"/>
      <c r="CO53" s="51"/>
      <c r="CP53" s="51"/>
      <c r="CQ53" s="50"/>
      <c r="CR53" s="51"/>
      <c r="CS53" s="51"/>
      <c r="CT53" s="50"/>
      <c r="CU53" s="51"/>
      <c r="CV53" s="51"/>
      <c r="CW53" s="50"/>
      <c r="CX53" s="51"/>
      <c r="CY53" s="51"/>
      <c r="CZ53" s="50"/>
      <c r="DA53" s="51"/>
      <c r="DB53" s="51"/>
      <c r="DC53" s="50"/>
      <c r="DD53" s="51"/>
      <c r="DE53" s="51"/>
      <c r="DF53" s="50"/>
      <c r="DG53" s="51"/>
      <c r="DH53" s="51"/>
      <c r="DI53" s="50"/>
      <c r="DJ53" s="51"/>
      <c r="DK53" s="51"/>
      <c r="DL53" s="50"/>
      <c r="DM53" s="51"/>
      <c r="DN53" s="51"/>
      <c r="DO53" s="50"/>
      <c r="DP53" s="51"/>
      <c r="DQ53" s="51"/>
      <c r="DR53" s="50"/>
      <c r="DS53" s="51"/>
      <c r="DT53" s="51"/>
      <c r="DU53" s="50"/>
      <c r="DV53" s="51"/>
      <c r="DW53" s="51"/>
      <c r="DX53" s="50"/>
      <c r="DY53" s="51"/>
      <c r="DZ53" s="51"/>
      <c r="EA53" s="50"/>
      <c r="EB53" s="51"/>
      <c r="EC53" s="51"/>
      <c r="ED53" s="50"/>
      <c r="EE53" s="51"/>
      <c r="EF53" s="51"/>
      <c r="EG53" s="50"/>
      <c r="EH53" s="51"/>
      <c r="EI53" s="51"/>
      <c r="EJ53" s="50"/>
      <c r="EK53" s="51"/>
      <c r="EL53" s="51"/>
      <c r="EM53" s="50"/>
      <c r="EN53" s="51"/>
      <c r="EO53" s="51"/>
      <c r="EP53" s="50"/>
      <c r="EQ53" s="51"/>
      <c r="ER53" s="51"/>
      <c r="ES53" s="50"/>
      <c r="ET53" s="51"/>
      <c r="EU53" s="51"/>
      <c r="EV53" s="50"/>
      <c r="EW53" s="51"/>
      <c r="EX53" s="51"/>
      <c r="EY53" s="50"/>
      <c r="EZ53" s="51"/>
      <c r="FA53" s="51"/>
      <c r="FB53" s="50"/>
      <c r="FC53" s="51"/>
      <c r="FD53" s="51"/>
      <c r="FE53" s="50"/>
      <c r="FF53" s="51"/>
      <c r="FG53" s="51"/>
      <c r="FH53" s="50"/>
      <c r="FI53" s="51"/>
      <c r="FJ53" s="51"/>
    </row>
    <row r="54" spans="1:166" s="52" customFormat="1" ht="15.75" x14ac:dyDescent="0.25">
      <c r="A54" s="3"/>
      <c r="B54" s="6" t="s">
        <v>240</v>
      </c>
      <c r="C54" s="1" t="s">
        <v>243</v>
      </c>
      <c r="D54" s="19"/>
      <c r="E54" s="50"/>
      <c r="F54" s="51"/>
      <c r="G54" s="51"/>
      <c r="H54" s="50"/>
      <c r="I54" s="51"/>
      <c r="J54" s="51"/>
      <c r="K54" s="50"/>
      <c r="L54" s="51"/>
      <c r="M54" s="51"/>
      <c r="N54" s="50"/>
      <c r="O54" s="51"/>
      <c r="P54" s="51"/>
      <c r="Q54" s="50"/>
      <c r="R54" s="51"/>
      <c r="S54" s="51"/>
      <c r="T54" s="50"/>
      <c r="U54" s="51"/>
      <c r="V54" s="51"/>
      <c r="W54" s="50"/>
      <c r="X54" s="51"/>
      <c r="Y54" s="51"/>
      <c r="Z54" s="50"/>
      <c r="AA54" s="51"/>
      <c r="AB54" s="51"/>
      <c r="AC54" s="50"/>
      <c r="AD54" s="51"/>
      <c r="AE54" s="51"/>
      <c r="AF54" s="50"/>
      <c r="AG54" s="51"/>
      <c r="AH54" s="51"/>
      <c r="AI54" s="50"/>
      <c r="AJ54" s="51"/>
      <c r="AK54" s="51"/>
      <c r="AL54" s="50"/>
      <c r="AM54" s="51"/>
      <c r="AN54" s="51"/>
      <c r="AO54" s="50"/>
      <c r="AP54" s="51"/>
      <c r="AQ54" s="51"/>
      <c r="AR54" s="50"/>
      <c r="AS54" s="51"/>
      <c r="AT54" s="51"/>
      <c r="AU54" s="50"/>
      <c r="AV54" s="51"/>
      <c r="AW54" s="51"/>
      <c r="AX54" s="50"/>
      <c r="AY54" s="51"/>
      <c r="AZ54" s="51"/>
      <c r="BA54" s="50"/>
      <c r="BB54" s="51"/>
      <c r="BC54" s="51"/>
      <c r="BD54" s="50"/>
      <c r="BE54" s="51"/>
      <c r="BF54" s="51"/>
      <c r="BG54" s="50"/>
      <c r="BH54" s="51"/>
      <c r="BI54" s="51"/>
      <c r="BJ54" s="50"/>
      <c r="BK54" s="51"/>
      <c r="BL54" s="51"/>
      <c r="BM54" s="50"/>
      <c r="BN54" s="51"/>
      <c r="BO54" s="51"/>
      <c r="BP54" s="50"/>
      <c r="BQ54" s="51"/>
      <c r="BR54" s="51"/>
      <c r="BS54" s="50"/>
      <c r="BT54" s="51"/>
      <c r="BU54" s="51"/>
      <c r="BV54" s="50"/>
      <c r="BW54" s="51"/>
      <c r="BX54" s="51"/>
      <c r="BY54" s="50"/>
      <c r="BZ54" s="51"/>
      <c r="CA54" s="51"/>
      <c r="CB54" s="50"/>
      <c r="CC54" s="51"/>
      <c r="CD54" s="51"/>
      <c r="CE54" s="50"/>
      <c r="CF54" s="51"/>
      <c r="CG54" s="51"/>
      <c r="CH54" s="50"/>
      <c r="CI54" s="51"/>
      <c r="CJ54" s="51"/>
      <c r="CK54" s="50"/>
      <c r="CL54" s="51"/>
      <c r="CM54" s="51"/>
      <c r="CN54" s="50"/>
      <c r="CO54" s="51"/>
      <c r="CP54" s="51"/>
      <c r="CQ54" s="50"/>
      <c r="CR54" s="51"/>
      <c r="CS54" s="51"/>
      <c r="CT54" s="50"/>
      <c r="CU54" s="51"/>
      <c r="CV54" s="51"/>
      <c r="CW54" s="50"/>
      <c r="CX54" s="51"/>
      <c r="CY54" s="51"/>
      <c r="CZ54" s="50"/>
      <c r="DA54" s="51"/>
      <c r="DB54" s="51"/>
      <c r="DC54" s="50"/>
      <c r="DD54" s="51"/>
      <c r="DE54" s="51"/>
      <c r="DF54" s="50"/>
      <c r="DG54" s="51"/>
      <c r="DH54" s="51"/>
      <c r="DI54" s="50"/>
      <c r="DJ54" s="51"/>
      <c r="DK54" s="51"/>
      <c r="DL54" s="50"/>
      <c r="DM54" s="51"/>
      <c r="DN54" s="51"/>
      <c r="DO54" s="50"/>
      <c r="DP54" s="51"/>
      <c r="DQ54" s="51"/>
      <c r="DR54" s="50"/>
      <c r="DS54" s="51"/>
      <c r="DT54" s="51"/>
      <c r="DU54" s="50"/>
      <c r="DV54" s="51"/>
      <c r="DW54" s="51"/>
      <c r="DX54" s="50"/>
      <c r="DY54" s="51"/>
      <c r="DZ54" s="51"/>
      <c r="EA54" s="50"/>
      <c r="EB54" s="51"/>
      <c r="EC54" s="51"/>
      <c r="ED54" s="50"/>
      <c r="EE54" s="51"/>
      <c r="EF54" s="51"/>
      <c r="EG54" s="50"/>
      <c r="EH54" s="51"/>
      <c r="EI54" s="51"/>
      <c r="EJ54" s="50"/>
      <c r="EK54" s="51"/>
      <c r="EL54" s="51"/>
      <c r="EM54" s="50"/>
      <c r="EN54" s="51"/>
      <c r="EO54" s="51"/>
      <c r="EP54" s="50"/>
      <c r="EQ54" s="51"/>
      <c r="ER54" s="51"/>
      <c r="ES54" s="50"/>
      <c r="ET54" s="51"/>
      <c r="EU54" s="51"/>
      <c r="EV54" s="50"/>
      <c r="EW54" s="51"/>
      <c r="EX54" s="51"/>
      <c r="EY54" s="50"/>
      <c r="EZ54" s="51"/>
      <c r="FA54" s="51"/>
      <c r="FB54" s="50"/>
      <c r="FC54" s="51"/>
      <c r="FD54" s="51"/>
      <c r="FE54" s="50"/>
      <c r="FF54" s="51"/>
      <c r="FG54" s="51"/>
      <c r="FH54" s="50"/>
      <c r="FI54" s="51"/>
      <c r="FJ54" s="51"/>
    </row>
    <row r="55" spans="1:166" s="52" customFormat="1" ht="15.75" x14ac:dyDescent="0.25">
      <c r="A55" s="3"/>
      <c r="B55" s="6" t="s">
        <v>240</v>
      </c>
      <c r="C55" s="1" t="s">
        <v>244</v>
      </c>
      <c r="D55" s="19"/>
      <c r="E55" s="50"/>
      <c r="F55" s="51"/>
      <c r="G55" s="51"/>
      <c r="H55" s="50"/>
      <c r="I55" s="51"/>
      <c r="J55" s="51"/>
      <c r="K55" s="50"/>
      <c r="L55" s="51"/>
      <c r="M55" s="51"/>
      <c r="N55" s="50"/>
      <c r="O55" s="51"/>
      <c r="P55" s="51"/>
      <c r="Q55" s="50"/>
      <c r="R55" s="51"/>
      <c r="S55" s="51"/>
      <c r="T55" s="50"/>
      <c r="U55" s="51"/>
      <c r="V55" s="51"/>
      <c r="W55" s="50"/>
      <c r="X55" s="51"/>
      <c r="Y55" s="51"/>
      <c r="Z55" s="50"/>
      <c r="AA55" s="51"/>
      <c r="AB55" s="51"/>
      <c r="AC55" s="50"/>
      <c r="AD55" s="51"/>
      <c r="AE55" s="51"/>
      <c r="AF55" s="50"/>
      <c r="AG55" s="51"/>
      <c r="AH55" s="51"/>
      <c r="AI55" s="50"/>
      <c r="AJ55" s="51"/>
      <c r="AK55" s="51"/>
      <c r="AL55" s="50"/>
      <c r="AM55" s="51"/>
      <c r="AN55" s="51"/>
      <c r="AO55" s="50"/>
      <c r="AP55" s="51"/>
      <c r="AQ55" s="51"/>
      <c r="AR55" s="50"/>
      <c r="AS55" s="51"/>
      <c r="AT55" s="51"/>
      <c r="AU55" s="50"/>
      <c r="AV55" s="51"/>
      <c r="AW55" s="51"/>
      <c r="AX55" s="50"/>
      <c r="AY55" s="51"/>
      <c r="AZ55" s="51"/>
      <c r="BA55" s="50"/>
      <c r="BB55" s="51"/>
      <c r="BC55" s="51"/>
      <c r="BD55" s="50"/>
      <c r="BE55" s="51"/>
      <c r="BF55" s="51"/>
      <c r="BG55" s="50"/>
      <c r="BH55" s="51"/>
      <c r="BI55" s="51"/>
      <c r="BJ55" s="50"/>
      <c r="BK55" s="51"/>
      <c r="BL55" s="51"/>
      <c r="BM55" s="50"/>
      <c r="BN55" s="51"/>
      <c r="BO55" s="51"/>
      <c r="BP55" s="50"/>
      <c r="BQ55" s="51"/>
      <c r="BR55" s="51"/>
      <c r="BS55" s="50"/>
      <c r="BT55" s="51"/>
      <c r="BU55" s="51"/>
      <c r="BV55" s="50"/>
      <c r="BW55" s="51"/>
      <c r="BX55" s="51"/>
      <c r="BY55" s="50"/>
      <c r="BZ55" s="51"/>
      <c r="CA55" s="51"/>
      <c r="CB55" s="50"/>
      <c r="CC55" s="51"/>
      <c r="CD55" s="51"/>
      <c r="CE55" s="50"/>
      <c r="CF55" s="51"/>
      <c r="CG55" s="51"/>
      <c r="CH55" s="50"/>
      <c r="CI55" s="51"/>
      <c r="CJ55" s="51"/>
      <c r="CK55" s="50"/>
      <c r="CL55" s="51"/>
      <c r="CM55" s="51"/>
      <c r="CN55" s="50"/>
      <c r="CO55" s="51"/>
      <c r="CP55" s="51"/>
      <c r="CQ55" s="50"/>
      <c r="CR55" s="51"/>
      <c r="CS55" s="51"/>
      <c r="CT55" s="50"/>
      <c r="CU55" s="51"/>
      <c r="CV55" s="51"/>
      <c r="CW55" s="50"/>
      <c r="CX55" s="51"/>
      <c r="CY55" s="51"/>
      <c r="CZ55" s="50"/>
      <c r="DA55" s="51"/>
      <c r="DB55" s="51"/>
      <c r="DC55" s="50"/>
      <c r="DD55" s="51"/>
      <c r="DE55" s="51"/>
      <c r="DF55" s="50"/>
      <c r="DG55" s="51"/>
      <c r="DH55" s="51"/>
      <c r="DI55" s="50"/>
      <c r="DJ55" s="51"/>
      <c r="DK55" s="51"/>
      <c r="DL55" s="50"/>
      <c r="DM55" s="51"/>
      <c r="DN55" s="51"/>
      <c r="DO55" s="50"/>
      <c r="DP55" s="51"/>
      <c r="DQ55" s="51"/>
      <c r="DR55" s="50"/>
      <c r="DS55" s="51"/>
      <c r="DT55" s="51"/>
      <c r="DU55" s="50"/>
      <c r="DV55" s="51"/>
      <c r="DW55" s="51"/>
      <c r="DX55" s="50"/>
      <c r="DY55" s="51"/>
      <c r="DZ55" s="51"/>
      <c r="EA55" s="50"/>
      <c r="EB55" s="51"/>
      <c r="EC55" s="51"/>
      <c r="ED55" s="50"/>
      <c r="EE55" s="51"/>
      <c r="EF55" s="51"/>
      <c r="EG55" s="50"/>
      <c r="EH55" s="51"/>
      <c r="EI55" s="51"/>
      <c r="EJ55" s="50"/>
      <c r="EK55" s="51"/>
      <c r="EL55" s="51"/>
      <c r="EM55" s="50"/>
      <c r="EN55" s="51"/>
      <c r="EO55" s="51"/>
      <c r="EP55" s="50"/>
      <c r="EQ55" s="51"/>
      <c r="ER55" s="51"/>
      <c r="ES55" s="50"/>
      <c r="ET55" s="51"/>
      <c r="EU55" s="51"/>
      <c r="EV55" s="50"/>
      <c r="EW55" s="51"/>
      <c r="EX55" s="51"/>
      <c r="EY55" s="50"/>
      <c r="EZ55" s="51"/>
      <c r="FA55" s="51"/>
      <c r="FB55" s="50"/>
      <c r="FC55" s="51"/>
      <c r="FD55" s="51"/>
      <c r="FE55" s="50"/>
      <c r="FF55" s="51"/>
      <c r="FG55" s="51"/>
      <c r="FH55" s="50"/>
      <c r="FI55" s="51"/>
      <c r="FJ55" s="51"/>
    </row>
    <row r="56" spans="1:166" s="52" customFormat="1" ht="15.75" x14ac:dyDescent="0.25">
      <c r="A56" s="3"/>
      <c r="B56" s="6" t="s">
        <v>240</v>
      </c>
      <c r="C56" s="1" t="s">
        <v>245</v>
      </c>
      <c r="D56" s="19"/>
      <c r="E56" s="50"/>
      <c r="F56" s="51"/>
      <c r="G56" s="51"/>
      <c r="H56" s="50"/>
      <c r="I56" s="51"/>
      <c r="J56" s="51"/>
      <c r="K56" s="50"/>
      <c r="L56" s="51"/>
      <c r="M56" s="51"/>
      <c r="N56" s="50"/>
      <c r="O56" s="51"/>
      <c r="P56" s="51"/>
      <c r="Q56" s="50"/>
      <c r="R56" s="51"/>
      <c r="S56" s="51"/>
      <c r="T56" s="50"/>
      <c r="U56" s="51"/>
      <c r="V56" s="51"/>
      <c r="W56" s="50"/>
      <c r="X56" s="51"/>
      <c r="Y56" s="51"/>
      <c r="Z56" s="50"/>
      <c r="AA56" s="51"/>
      <c r="AB56" s="51"/>
      <c r="AC56" s="50"/>
      <c r="AD56" s="51"/>
      <c r="AE56" s="51"/>
      <c r="AF56" s="50"/>
      <c r="AG56" s="51"/>
      <c r="AH56" s="51"/>
      <c r="AI56" s="50"/>
      <c r="AJ56" s="51"/>
      <c r="AK56" s="51"/>
      <c r="AL56" s="50"/>
      <c r="AM56" s="51"/>
      <c r="AN56" s="51"/>
      <c r="AO56" s="50"/>
      <c r="AP56" s="51"/>
      <c r="AQ56" s="51"/>
      <c r="AR56" s="50"/>
      <c r="AS56" s="51"/>
      <c r="AT56" s="51"/>
      <c r="AU56" s="50"/>
      <c r="AV56" s="51"/>
      <c r="AW56" s="51"/>
      <c r="AX56" s="50"/>
      <c r="AY56" s="51"/>
      <c r="AZ56" s="51"/>
      <c r="BA56" s="50"/>
      <c r="BB56" s="51"/>
      <c r="BC56" s="51"/>
      <c r="BD56" s="50"/>
      <c r="BE56" s="51"/>
      <c r="BF56" s="51"/>
      <c r="BG56" s="50"/>
      <c r="BH56" s="51"/>
      <c r="BI56" s="51"/>
      <c r="BJ56" s="50"/>
      <c r="BK56" s="51"/>
      <c r="BL56" s="51"/>
      <c r="BM56" s="50"/>
      <c r="BN56" s="51"/>
      <c r="BO56" s="51"/>
      <c r="BP56" s="50"/>
      <c r="BQ56" s="51"/>
      <c r="BR56" s="51"/>
      <c r="BS56" s="50"/>
      <c r="BT56" s="51"/>
      <c r="BU56" s="51"/>
      <c r="BV56" s="50"/>
      <c r="BW56" s="51"/>
      <c r="BX56" s="51"/>
      <c r="BY56" s="50"/>
      <c r="BZ56" s="51"/>
      <c r="CA56" s="51"/>
      <c r="CB56" s="50"/>
      <c r="CC56" s="51"/>
      <c r="CD56" s="51"/>
      <c r="CE56" s="50"/>
      <c r="CF56" s="51"/>
      <c r="CG56" s="51"/>
      <c r="CH56" s="50"/>
      <c r="CI56" s="51"/>
      <c r="CJ56" s="51"/>
      <c r="CK56" s="50"/>
      <c r="CL56" s="51"/>
      <c r="CM56" s="51"/>
      <c r="CN56" s="50"/>
      <c r="CO56" s="51"/>
      <c r="CP56" s="51"/>
      <c r="CQ56" s="50"/>
      <c r="CR56" s="51"/>
      <c r="CS56" s="51"/>
      <c r="CT56" s="50"/>
      <c r="CU56" s="51"/>
      <c r="CV56" s="51"/>
      <c r="CW56" s="50"/>
      <c r="CX56" s="51"/>
      <c r="CY56" s="51"/>
      <c r="CZ56" s="50"/>
      <c r="DA56" s="51"/>
      <c r="DB56" s="51"/>
      <c r="DC56" s="50"/>
      <c r="DD56" s="51"/>
      <c r="DE56" s="51"/>
      <c r="DF56" s="50"/>
      <c r="DG56" s="51"/>
      <c r="DH56" s="51"/>
      <c r="DI56" s="50"/>
      <c r="DJ56" s="51"/>
      <c r="DK56" s="51"/>
      <c r="DL56" s="50"/>
      <c r="DM56" s="51"/>
      <c r="DN56" s="51"/>
      <c r="DO56" s="50"/>
      <c r="DP56" s="51"/>
      <c r="DQ56" s="51"/>
      <c r="DR56" s="50"/>
      <c r="DS56" s="51"/>
      <c r="DT56" s="51"/>
      <c r="DU56" s="50"/>
      <c r="DV56" s="51"/>
      <c r="DW56" s="51"/>
      <c r="DX56" s="50"/>
      <c r="DY56" s="51"/>
      <c r="DZ56" s="51"/>
      <c r="EA56" s="50"/>
      <c r="EB56" s="51"/>
      <c r="EC56" s="51"/>
      <c r="ED56" s="50"/>
      <c r="EE56" s="51"/>
      <c r="EF56" s="51"/>
      <c r="EG56" s="50"/>
      <c r="EH56" s="51"/>
      <c r="EI56" s="51"/>
      <c r="EJ56" s="50"/>
      <c r="EK56" s="51"/>
      <c r="EL56" s="51"/>
      <c r="EM56" s="50"/>
      <c r="EN56" s="51"/>
      <c r="EO56" s="51"/>
      <c r="EP56" s="50"/>
      <c r="EQ56" s="51"/>
      <c r="ER56" s="51"/>
      <c r="ES56" s="50"/>
      <c r="ET56" s="51"/>
      <c r="EU56" s="51"/>
      <c r="EV56" s="50"/>
      <c r="EW56" s="51"/>
      <c r="EX56" s="51"/>
      <c r="EY56" s="50"/>
      <c r="EZ56" s="51"/>
      <c r="FA56" s="51"/>
      <c r="FB56" s="50"/>
      <c r="FC56" s="51"/>
      <c r="FD56" s="51"/>
      <c r="FE56" s="50"/>
      <c r="FF56" s="51"/>
      <c r="FG56" s="51"/>
      <c r="FH56" s="50"/>
      <c r="FI56" s="51"/>
      <c r="FJ56" s="51"/>
    </row>
    <row r="57" spans="1:166" s="52" customFormat="1" ht="15.75" x14ac:dyDescent="0.25">
      <c r="A57" s="3"/>
      <c r="B57" s="6" t="s">
        <v>240</v>
      </c>
      <c r="C57" s="1" t="s">
        <v>246</v>
      </c>
      <c r="D57" s="19"/>
      <c r="E57" s="50"/>
      <c r="F57" s="51"/>
      <c r="G57" s="51"/>
      <c r="H57" s="50"/>
      <c r="I57" s="51"/>
      <c r="J57" s="51"/>
      <c r="K57" s="50"/>
      <c r="L57" s="51"/>
      <c r="M57" s="51"/>
      <c r="N57" s="50"/>
      <c r="O57" s="51"/>
      <c r="P57" s="51"/>
      <c r="Q57" s="50"/>
      <c r="R57" s="51"/>
      <c r="S57" s="51"/>
      <c r="T57" s="50"/>
      <c r="U57" s="51"/>
      <c r="V57" s="51"/>
      <c r="W57" s="50"/>
      <c r="X57" s="51"/>
      <c r="Y57" s="51"/>
      <c r="Z57" s="50"/>
      <c r="AA57" s="51"/>
      <c r="AB57" s="51"/>
      <c r="AC57" s="50"/>
      <c r="AD57" s="51"/>
      <c r="AE57" s="51"/>
      <c r="AF57" s="50"/>
      <c r="AG57" s="51"/>
      <c r="AH57" s="51"/>
      <c r="AI57" s="50"/>
      <c r="AJ57" s="51"/>
      <c r="AK57" s="51"/>
      <c r="AL57" s="50"/>
      <c r="AM57" s="51"/>
      <c r="AN57" s="51"/>
      <c r="AO57" s="50"/>
      <c r="AP57" s="51"/>
      <c r="AQ57" s="51"/>
      <c r="AR57" s="50"/>
      <c r="AS57" s="51"/>
      <c r="AT57" s="51"/>
      <c r="AU57" s="50"/>
      <c r="AV57" s="51"/>
      <c r="AW57" s="51"/>
      <c r="AX57" s="50"/>
      <c r="AY57" s="51"/>
      <c r="AZ57" s="51"/>
      <c r="BA57" s="50"/>
      <c r="BB57" s="51"/>
      <c r="BC57" s="51"/>
      <c r="BD57" s="50"/>
      <c r="BE57" s="51"/>
      <c r="BF57" s="51"/>
      <c r="BG57" s="50"/>
      <c r="BH57" s="51"/>
      <c r="BI57" s="51"/>
      <c r="BJ57" s="50"/>
      <c r="BK57" s="51"/>
      <c r="BL57" s="51"/>
      <c r="BM57" s="50"/>
      <c r="BN57" s="51"/>
      <c r="BO57" s="51"/>
      <c r="BP57" s="50"/>
      <c r="BQ57" s="51"/>
      <c r="BR57" s="51"/>
      <c r="BS57" s="50"/>
      <c r="BT57" s="51"/>
      <c r="BU57" s="51"/>
      <c r="BV57" s="50"/>
      <c r="BW57" s="51"/>
      <c r="BX57" s="51"/>
      <c r="BY57" s="50"/>
      <c r="BZ57" s="51"/>
      <c r="CA57" s="51"/>
      <c r="CB57" s="50"/>
      <c r="CC57" s="51"/>
      <c r="CD57" s="51"/>
      <c r="CE57" s="50"/>
      <c r="CF57" s="51"/>
      <c r="CG57" s="51"/>
      <c r="CH57" s="50"/>
      <c r="CI57" s="51"/>
      <c r="CJ57" s="51"/>
      <c r="CK57" s="50"/>
      <c r="CL57" s="51"/>
      <c r="CM57" s="51"/>
      <c r="CN57" s="50"/>
      <c r="CO57" s="51"/>
      <c r="CP57" s="51"/>
      <c r="CQ57" s="50"/>
      <c r="CR57" s="51"/>
      <c r="CS57" s="51"/>
      <c r="CT57" s="50"/>
      <c r="CU57" s="51"/>
      <c r="CV57" s="51"/>
      <c r="CW57" s="50"/>
      <c r="CX57" s="51"/>
      <c r="CY57" s="51"/>
      <c r="CZ57" s="50"/>
      <c r="DA57" s="51"/>
      <c r="DB57" s="51"/>
      <c r="DC57" s="50"/>
      <c r="DD57" s="51"/>
      <c r="DE57" s="51"/>
      <c r="DF57" s="50"/>
      <c r="DG57" s="51"/>
      <c r="DH57" s="51"/>
      <c r="DI57" s="50"/>
      <c r="DJ57" s="51"/>
      <c r="DK57" s="51"/>
      <c r="DL57" s="50"/>
      <c r="DM57" s="51"/>
      <c r="DN57" s="51"/>
      <c r="DO57" s="50"/>
      <c r="DP57" s="51"/>
      <c r="DQ57" s="51"/>
      <c r="DR57" s="50"/>
      <c r="DS57" s="51"/>
      <c r="DT57" s="51"/>
      <c r="DU57" s="50"/>
      <c r="DV57" s="51"/>
      <c r="DW57" s="51"/>
      <c r="DX57" s="50"/>
      <c r="DY57" s="51"/>
      <c r="DZ57" s="51"/>
      <c r="EA57" s="50"/>
      <c r="EB57" s="51"/>
      <c r="EC57" s="51"/>
      <c r="ED57" s="50"/>
      <c r="EE57" s="51"/>
      <c r="EF57" s="51"/>
      <c r="EG57" s="50"/>
      <c r="EH57" s="51"/>
      <c r="EI57" s="51"/>
      <c r="EJ57" s="50"/>
      <c r="EK57" s="51"/>
      <c r="EL57" s="51"/>
      <c r="EM57" s="50"/>
      <c r="EN57" s="51"/>
      <c r="EO57" s="51"/>
      <c r="EP57" s="50"/>
      <c r="EQ57" s="51"/>
      <c r="ER57" s="51"/>
      <c r="ES57" s="50"/>
      <c r="ET57" s="51"/>
      <c r="EU57" s="51"/>
      <c r="EV57" s="50"/>
      <c r="EW57" s="51"/>
      <c r="EX57" s="51"/>
      <c r="EY57" s="50"/>
      <c r="EZ57" s="51"/>
      <c r="FA57" s="51"/>
      <c r="FB57" s="50"/>
      <c r="FC57" s="51"/>
      <c r="FD57" s="51"/>
      <c r="FE57" s="50"/>
      <c r="FF57" s="51"/>
      <c r="FG57" s="51"/>
      <c r="FH57" s="50"/>
      <c r="FI57" s="51"/>
      <c r="FJ57" s="51"/>
    </row>
    <row r="58" spans="1:166" s="52" customFormat="1" ht="15.75" x14ac:dyDescent="0.25">
      <c r="A58" s="3"/>
      <c r="B58" s="6" t="s">
        <v>240</v>
      </c>
      <c r="C58" s="1" t="s">
        <v>247</v>
      </c>
      <c r="D58" s="19"/>
      <c r="E58" s="50"/>
      <c r="F58" s="51"/>
      <c r="G58" s="51"/>
      <c r="H58" s="50"/>
      <c r="I58" s="51"/>
      <c r="J58" s="51"/>
      <c r="K58" s="50"/>
      <c r="L58" s="51"/>
      <c r="M58" s="51"/>
      <c r="N58" s="50"/>
      <c r="O58" s="51"/>
      <c r="P58" s="51"/>
      <c r="Q58" s="50"/>
      <c r="R58" s="51"/>
      <c r="S58" s="51"/>
      <c r="T58" s="50"/>
      <c r="U58" s="51"/>
      <c r="V58" s="51"/>
      <c r="W58" s="50"/>
      <c r="X58" s="51"/>
      <c r="Y58" s="51"/>
      <c r="Z58" s="50"/>
      <c r="AA58" s="51"/>
      <c r="AB58" s="51"/>
      <c r="AC58" s="50"/>
      <c r="AD58" s="51"/>
      <c r="AE58" s="51"/>
      <c r="AF58" s="50"/>
      <c r="AG58" s="51"/>
      <c r="AH58" s="51"/>
      <c r="AI58" s="50"/>
      <c r="AJ58" s="51"/>
      <c r="AK58" s="51"/>
      <c r="AL58" s="50"/>
      <c r="AM58" s="51"/>
      <c r="AN58" s="51"/>
      <c r="AO58" s="50"/>
      <c r="AP58" s="51"/>
      <c r="AQ58" s="51"/>
      <c r="AR58" s="50"/>
      <c r="AS58" s="51"/>
      <c r="AT58" s="51"/>
      <c r="AU58" s="50"/>
      <c r="AV58" s="51"/>
      <c r="AW58" s="51"/>
      <c r="AX58" s="50"/>
      <c r="AY58" s="51"/>
      <c r="AZ58" s="51"/>
      <c r="BA58" s="50"/>
      <c r="BB58" s="51"/>
      <c r="BC58" s="51"/>
      <c r="BD58" s="50"/>
      <c r="BE58" s="51"/>
      <c r="BF58" s="51"/>
      <c r="BG58" s="50"/>
      <c r="BH58" s="51"/>
      <c r="BI58" s="51"/>
      <c r="BJ58" s="50"/>
      <c r="BK58" s="51"/>
      <c r="BL58" s="51"/>
      <c r="BM58" s="50"/>
      <c r="BN58" s="51"/>
      <c r="BO58" s="51"/>
      <c r="BP58" s="50"/>
      <c r="BQ58" s="51"/>
      <c r="BR58" s="51"/>
      <c r="BS58" s="50"/>
      <c r="BT58" s="51"/>
      <c r="BU58" s="51"/>
      <c r="BV58" s="50"/>
      <c r="BW58" s="51"/>
      <c r="BX58" s="51"/>
      <c r="BY58" s="50"/>
      <c r="BZ58" s="51"/>
      <c r="CA58" s="51"/>
      <c r="CB58" s="50"/>
      <c r="CC58" s="51"/>
      <c r="CD58" s="51"/>
      <c r="CE58" s="50"/>
      <c r="CF58" s="51"/>
      <c r="CG58" s="51"/>
      <c r="CH58" s="50"/>
      <c r="CI58" s="51"/>
      <c r="CJ58" s="51"/>
      <c r="CK58" s="50"/>
      <c r="CL58" s="51"/>
      <c r="CM58" s="51"/>
      <c r="CN58" s="50"/>
      <c r="CO58" s="51"/>
      <c r="CP58" s="51"/>
      <c r="CQ58" s="50"/>
      <c r="CR58" s="51"/>
      <c r="CS58" s="51"/>
      <c r="CT58" s="50"/>
      <c r="CU58" s="51"/>
      <c r="CV58" s="51"/>
      <c r="CW58" s="50"/>
      <c r="CX58" s="51"/>
      <c r="CY58" s="51"/>
      <c r="CZ58" s="50"/>
      <c r="DA58" s="51"/>
      <c r="DB58" s="51"/>
      <c r="DC58" s="50"/>
      <c r="DD58" s="51"/>
      <c r="DE58" s="51"/>
      <c r="DF58" s="50"/>
      <c r="DG58" s="51"/>
      <c r="DH58" s="51"/>
      <c r="DI58" s="50"/>
      <c r="DJ58" s="51"/>
      <c r="DK58" s="51"/>
      <c r="DL58" s="50"/>
      <c r="DM58" s="51"/>
      <c r="DN58" s="51"/>
      <c r="DO58" s="50"/>
      <c r="DP58" s="51"/>
      <c r="DQ58" s="51"/>
      <c r="DR58" s="50"/>
      <c r="DS58" s="51"/>
      <c r="DT58" s="51"/>
      <c r="DU58" s="50"/>
      <c r="DV58" s="51"/>
      <c r="DW58" s="51"/>
      <c r="DX58" s="50"/>
      <c r="DY58" s="51"/>
      <c r="DZ58" s="51"/>
      <c r="EA58" s="50"/>
      <c r="EB58" s="51"/>
      <c r="EC58" s="51"/>
      <c r="ED58" s="50"/>
      <c r="EE58" s="51"/>
      <c r="EF58" s="51"/>
      <c r="EG58" s="50"/>
      <c r="EH58" s="51"/>
      <c r="EI58" s="51"/>
      <c r="EJ58" s="50"/>
      <c r="EK58" s="51"/>
      <c r="EL58" s="51"/>
      <c r="EM58" s="50"/>
      <c r="EN58" s="51"/>
      <c r="EO58" s="51"/>
      <c r="EP58" s="50"/>
      <c r="EQ58" s="51"/>
      <c r="ER58" s="51"/>
      <c r="ES58" s="50"/>
      <c r="ET58" s="51"/>
      <c r="EU58" s="51"/>
      <c r="EV58" s="50"/>
      <c r="EW58" s="51"/>
      <c r="EX58" s="51"/>
      <c r="EY58" s="50"/>
      <c r="EZ58" s="51"/>
      <c r="FA58" s="51"/>
      <c r="FB58" s="50"/>
      <c r="FC58" s="51"/>
      <c r="FD58" s="51"/>
      <c r="FE58" s="50"/>
      <c r="FF58" s="51"/>
      <c r="FG58" s="51"/>
      <c r="FH58" s="50"/>
      <c r="FI58" s="51"/>
      <c r="FJ58" s="51"/>
    </row>
    <row r="59" spans="1:166" s="52" customFormat="1" ht="15.75" x14ac:dyDescent="0.25">
      <c r="A59" s="3"/>
      <c r="B59" s="6" t="s">
        <v>248</v>
      </c>
      <c r="C59" s="1" t="s">
        <v>249</v>
      </c>
      <c r="D59" s="19"/>
      <c r="E59" s="50"/>
      <c r="F59" s="51"/>
      <c r="G59" s="51"/>
      <c r="H59" s="50"/>
      <c r="I59" s="51"/>
      <c r="J59" s="51"/>
      <c r="K59" s="50"/>
      <c r="L59" s="51"/>
      <c r="M59" s="51"/>
      <c r="N59" s="50"/>
      <c r="O59" s="51"/>
      <c r="P59" s="51"/>
      <c r="Q59" s="50"/>
      <c r="R59" s="51"/>
      <c r="S59" s="51"/>
      <c r="T59" s="50"/>
      <c r="U59" s="51"/>
      <c r="V59" s="51"/>
      <c r="W59" s="50"/>
      <c r="X59" s="51"/>
      <c r="Y59" s="51"/>
      <c r="Z59" s="50"/>
      <c r="AA59" s="51"/>
      <c r="AB59" s="51"/>
      <c r="AC59" s="50"/>
      <c r="AD59" s="51"/>
      <c r="AE59" s="51"/>
      <c r="AF59" s="50"/>
      <c r="AG59" s="51"/>
      <c r="AH59" s="51"/>
      <c r="AI59" s="50"/>
      <c r="AJ59" s="51"/>
      <c r="AK59" s="51"/>
      <c r="AL59" s="50"/>
      <c r="AM59" s="51"/>
      <c r="AN59" s="51"/>
      <c r="AO59" s="50"/>
      <c r="AP59" s="51"/>
      <c r="AQ59" s="51"/>
      <c r="AR59" s="50"/>
      <c r="AS59" s="51"/>
      <c r="AT59" s="51"/>
      <c r="AU59" s="50"/>
      <c r="AV59" s="51"/>
      <c r="AW59" s="51"/>
      <c r="AX59" s="50"/>
      <c r="AY59" s="51"/>
      <c r="AZ59" s="51"/>
      <c r="BA59" s="50"/>
      <c r="BB59" s="51"/>
      <c r="BC59" s="51"/>
      <c r="BD59" s="50"/>
      <c r="BE59" s="51"/>
      <c r="BF59" s="51"/>
      <c r="BG59" s="50"/>
      <c r="BH59" s="51"/>
      <c r="BI59" s="51"/>
      <c r="BJ59" s="50"/>
      <c r="BK59" s="51"/>
      <c r="BL59" s="51"/>
      <c r="BM59" s="50"/>
      <c r="BN59" s="51"/>
      <c r="BO59" s="51"/>
      <c r="BP59" s="50"/>
      <c r="BQ59" s="51"/>
      <c r="BR59" s="51"/>
      <c r="BS59" s="50"/>
      <c r="BT59" s="51"/>
      <c r="BU59" s="51"/>
      <c r="BV59" s="50"/>
      <c r="BW59" s="51"/>
      <c r="BX59" s="51"/>
      <c r="BY59" s="50"/>
      <c r="BZ59" s="51"/>
      <c r="CA59" s="51"/>
      <c r="CB59" s="50"/>
      <c r="CC59" s="51"/>
      <c r="CD59" s="51"/>
      <c r="CE59" s="50"/>
      <c r="CF59" s="51"/>
      <c r="CG59" s="51"/>
      <c r="CH59" s="50"/>
      <c r="CI59" s="51"/>
      <c r="CJ59" s="51"/>
      <c r="CK59" s="50"/>
      <c r="CL59" s="51"/>
      <c r="CM59" s="51"/>
      <c r="CN59" s="50"/>
      <c r="CO59" s="51"/>
      <c r="CP59" s="51"/>
      <c r="CQ59" s="50"/>
      <c r="CR59" s="51"/>
      <c r="CS59" s="51"/>
      <c r="CT59" s="50"/>
      <c r="CU59" s="51"/>
      <c r="CV59" s="51"/>
      <c r="CW59" s="50"/>
      <c r="CX59" s="51"/>
      <c r="CY59" s="51"/>
      <c r="CZ59" s="50"/>
      <c r="DA59" s="51"/>
      <c r="DB59" s="51"/>
      <c r="DC59" s="50"/>
      <c r="DD59" s="51"/>
      <c r="DE59" s="51"/>
      <c r="DF59" s="50"/>
      <c r="DG59" s="51"/>
      <c r="DH59" s="51"/>
      <c r="DI59" s="50"/>
      <c r="DJ59" s="51"/>
      <c r="DK59" s="51"/>
      <c r="DL59" s="50"/>
      <c r="DM59" s="51"/>
      <c r="DN59" s="51"/>
      <c r="DO59" s="50"/>
      <c r="DP59" s="51"/>
      <c r="DQ59" s="51"/>
      <c r="DR59" s="50"/>
      <c r="DS59" s="51"/>
      <c r="DT59" s="51"/>
      <c r="DU59" s="50"/>
      <c r="DV59" s="51"/>
      <c r="DW59" s="51"/>
      <c r="DX59" s="50"/>
      <c r="DY59" s="51"/>
      <c r="DZ59" s="51"/>
      <c r="EA59" s="50"/>
      <c r="EB59" s="51"/>
      <c r="EC59" s="51"/>
      <c r="ED59" s="50"/>
      <c r="EE59" s="51"/>
      <c r="EF59" s="51"/>
      <c r="EG59" s="50"/>
      <c r="EH59" s="51"/>
      <c r="EI59" s="51"/>
      <c r="EJ59" s="50"/>
      <c r="EK59" s="51"/>
      <c r="EL59" s="51"/>
      <c r="EM59" s="50"/>
      <c r="EN59" s="51"/>
      <c r="EO59" s="51"/>
      <c r="EP59" s="50"/>
      <c r="EQ59" s="51"/>
      <c r="ER59" s="51"/>
      <c r="ES59" s="50"/>
      <c r="ET59" s="51"/>
      <c r="EU59" s="51"/>
      <c r="EV59" s="50"/>
      <c r="EW59" s="51"/>
      <c r="EX59" s="51"/>
      <c r="EY59" s="50"/>
      <c r="EZ59" s="51"/>
      <c r="FA59" s="51"/>
      <c r="FB59" s="50"/>
      <c r="FC59" s="51"/>
      <c r="FD59" s="51"/>
      <c r="FE59" s="50"/>
      <c r="FF59" s="51"/>
      <c r="FG59" s="51"/>
      <c r="FH59" s="50"/>
      <c r="FI59" s="51"/>
      <c r="FJ59" s="51"/>
    </row>
    <row r="60" spans="1:166" s="52" customFormat="1" ht="15.75" x14ac:dyDescent="0.25">
      <c r="A60" s="3"/>
      <c r="B60" s="6" t="s">
        <v>248</v>
      </c>
      <c r="C60" s="1" t="s">
        <v>250</v>
      </c>
      <c r="D60" s="19"/>
      <c r="E60" s="50"/>
      <c r="F60" s="51"/>
      <c r="G60" s="51"/>
      <c r="H60" s="50"/>
      <c r="I60" s="51"/>
      <c r="J60" s="51"/>
      <c r="K60" s="50"/>
      <c r="L60" s="51"/>
      <c r="M60" s="51"/>
      <c r="N60" s="50"/>
      <c r="O60" s="51"/>
      <c r="P60" s="51"/>
      <c r="Q60" s="50"/>
      <c r="R60" s="51"/>
      <c r="S60" s="51"/>
      <c r="T60" s="50"/>
      <c r="U60" s="51"/>
      <c r="V60" s="51"/>
      <c r="W60" s="50"/>
      <c r="X60" s="51"/>
      <c r="Y60" s="51"/>
      <c r="Z60" s="50"/>
      <c r="AA60" s="51"/>
      <c r="AB60" s="51"/>
      <c r="AC60" s="50"/>
      <c r="AD60" s="51"/>
      <c r="AE60" s="51"/>
      <c r="AF60" s="50"/>
      <c r="AG60" s="51"/>
      <c r="AH60" s="51"/>
      <c r="AI60" s="50"/>
      <c r="AJ60" s="51"/>
      <c r="AK60" s="51"/>
      <c r="AL60" s="50"/>
      <c r="AM60" s="51"/>
      <c r="AN60" s="51"/>
      <c r="AO60" s="50"/>
      <c r="AP60" s="51"/>
      <c r="AQ60" s="51"/>
      <c r="AR60" s="50"/>
      <c r="AS60" s="51"/>
      <c r="AT60" s="51"/>
      <c r="AU60" s="50"/>
      <c r="AV60" s="51"/>
      <c r="AW60" s="51"/>
      <c r="AX60" s="50"/>
      <c r="AY60" s="51"/>
      <c r="AZ60" s="51"/>
      <c r="BA60" s="50"/>
      <c r="BB60" s="51"/>
      <c r="BC60" s="51"/>
      <c r="BD60" s="50"/>
      <c r="BE60" s="51"/>
      <c r="BF60" s="51"/>
      <c r="BG60" s="50"/>
      <c r="BH60" s="51"/>
      <c r="BI60" s="51"/>
      <c r="BJ60" s="50"/>
      <c r="BK60" s="51"/>
      <c r="BL60" s="51"/>
      <c r="BM60" s="50"/>
      <c r="BN60" s="51"/>
      <c r="BO60" s="51"/>
      <c r="BP60" s="50"/>
      <c r="BQ60" s="51"/>
      <c r="BR60" s="51"/>
      <c r="BS60" s="50"/>
      <c r="BT60" s="51"/>
      <c r="BU60" s="51"/>
      <c r="BV60" s="50"/>
      <c r="BW60" s="51"/>
      <c r="BX60" s="51"/>
      <c r="BY60" s="50"/>
      <c r="BZ60" s="51"/>
      <c r="CA60" s="51"/>
      <c r="CB60" s="50"/>
      <c r="CC60" s="51"/>
      <c r="CD60" s="51"/>
      <c r="CE60" s="50"/>
      <c r="CF60" s="51"/>
      <c r="CG60" s="51"/>
      <c r="CH60" s="50"/>
      <c r="CI60" s="51"/>
      <c r="CJ60" s="51"/>
      <c r="CK60" s="50"/>
      <c r="CL60" s="51"/>
      <c r="CM60" s="51"/>
      <c r="CN60" s="50"/>
      <c r="CO60" s="51"/>
      <c r="CP60" s="51"/>
      <c r="CQ60" s="50"/>
      <c r="CR60" s="51"/>
      <c r="CS60" s="51"/>
      <c r="CT60" s="50"/>
      <c r="CU60" s="51"/>
      <c r="CV60" s="51"/>
      <c r="CW60" s="50"/>
      <c r="CX60" s="51"/>
      <c r="CY60" s="51"/>
      <c r="CZ60" s="50"/>
      <c r="DA60" s="51"/>
      <c r="DB60" s="51"/>
      <c r="DC60" s="50"/>
      <c r="DD60" s="51"/>
      <c r="DE60" s="51"/>
      <c r="DF60" s="50"/>
      <c r="DG60" s="51"/>
      <c r="DH60" s="51"/>
      <c r="DI60" s="50"/>
      <c r="DJ60" s="51"/>
      <c r="DK60" s="51"/>
      <c r="DL60" s="50"/>
      <c r="DM60" s="51"/>
      <c r="DN60" s="51"/>
      <c r="DO60" s="50"/>
      <c r="DP60" s="51"/>
      <c r="DQ60" s="51"/>
      <c r="DR60" s="50"/>
      <c r="DS60" s="51"/>
      <c r="DT60" s="51"/>
      <c r="DU60" s="50"/>
      <c r="DV60" s="51"/>
      <c r="DW60" s="51"/>
      <c r="DX60" s="50"/>
      <c r="DY60" s="51"/>
      <c r="DZ60" s="51"/>
      <c r="EA60" s="50"/>
      <c r="EB60" s="51"/>
      <c r="EC60" s="51"/>
      <c r="ED60" s="50"/>
      <c r="EE60" s="51"/>
      <c r="EF60" s="51"/>
      <c r="EG60" s="50"/>
      <c r="EH60" s="51"/>
      <c r="EI60" s="51"/>
      <c r="EJ60" s="50"/>
      <c r="EK60" s="51"/>
      <c r="EL60" s="51"/>
      <c r="EM60" s="50"/>
      <c r="EN60" s="51"/>
      <c r="EO60" s="51"/>
      <c r="EP60" s="50"/>
      <c r="EQ60" s="51"/>
      <c r="ER60" s="51"/>
      <c r="ES60" s="50"/>
      <c r="ET60" s="51"/>
      <c r="EU60" s="51"/>
      <c r="EV60" s="50"/>
      <c r="EW60" s="51"/>
      <c r="EX60" s="51"/>
      <c r="EY60" s="50"/>
      <c r="EZ60" s="51"/>
      <c r="FA60" s="51"/>
      <c r="FB60" s="50"/>
      <c r="FC60" s="51"/>
      <c r="FD60" s="51"/>
      <c r="FE60" s="50"/>
      <c r="FF60" s="51"/>
      <c r="FG60" s="51"/>
      <c r="FH60" s="50"/>
      <c r="FI60" s="51"/>
      <c r="FJ60" s="51"/>
    </row>
    <row r="61" spans="1:166" s="52" customFormat="1" ht="15.75" x14ac:dyDescent="0.25">
      <c r="A61" s="3"/>
      <c r="B61" s="6" t="s">
        <v>248</v>
      </c>
      <c r="C61" s="1" t="s">
        <v>251</v>
      </c>
      <c r="D61" s="19"/>
      <c r="E61" s="50"/>
      <c r="F61" s="51"/>
      <c r="G61" s="51"/>
      <c r="H61" s="50"/>
      <c r="I61" s="51"/>
      <c r="J61" s="51"/>
      <c r="K61" s="50"/>
      <c r="L61" s="51"/>
      <c r="M61" s="51"/>
      <c r="N61" s="50"/>
      <c r="O61" s="51"/>
      <c r="P61" s="51"/>
      <c r="Q61" s="50"/>
      <c r="R61" s="51"/>
      <c r="S61" s="51"/>
      <c r="T61" s="50"/>
      <c r="U61" s="51"/>
      <c r="V61" s="51"/>
      <c r="W61" s="50"/>
      <c r="X61" s="51"/>
      <c r="Y61" s="51"/>
      <c r="Z61" s="50"/>
      <c r="AA61" s="51"/>
      <c r="AB61" s="51"/>
      <c r="AC61" s="50"/>
      <c r="AD61" s="51"/>
      <c r="AE61" s="51"/>
      <c r="AF61" s="50"/>
      <c r="AG61" s="51"/>
      <c r="AH61" s="51"/>
      <c r="AI61" s="50"/>
      <c r="AJ61" s="51"/>
      <c r="AK61" s="51"/>
      <c r="AL61" s="50"/>
      <c r="AM61" s="51"/>
      <c r="AN61" s="51"/>
      <c r="AO61" s="50"/>
      <c r="AP61" s="51"/>
      <c r="AQ61" s="51"/>
      <c r="AR61" s="50"/>
      <c r="AS61" s="51"/>
      <c r="AT61" s="51"/>
      <c r="AU61" s="50"/>
      <c r="AV61" s="51"/>
      <c r="AW61" s="51"/>
      <c r="AX61" s="50"/>
      <c r="AY61" s="51"/>
      <c r="AZ61" s="51"/>
      <c r="BA61" s="50"/>
      <c r="BB61" s="51"/>
      <c r="BC61" s="51"/>
      <c r="BD61" s="50"/>
      <c r="BE61" s="51"/>
      <c r="BF61" s="51"/>
      <c r="BG61" s="50"/>
      <c r="BH61" s="51"/>
      <c r="BI61" s="51"/>
      <c r="BJ61" s="50"/>
      <c r="BK61" s="51"/>
      <c r="BL61" s="51"/>
      <c r="BM61" s="50"/>
      <c r="BN61" s="51"/>
      <c r="BO61" s="51"/>
      <c r="BP61" s="50"/>
      <c r="BQ61" s="51"/>
      <c r="BR61" s="51"/>
      <c r="BS61" s="50"/>
      <c r="BT61" s="51"/>
      <c r="BU61" s="51"/>
      <c r="BV61" s="50"/>
      <c r="BW61" s="51"/>
      <c r="BX61" s="51"/>
      <c r="BY61" s="50"/>
      <c r="BZ61" s="51"/>
      <c r="CA61" s="51"/>
      <c r="CB61" s="50"/>
      <c r="CC61" s="51"/>
      <c r="CD61" s="51"/>
      <c r="CE61" s="50"/>
      <c r="CF61" s="51"/>
      <c r="CG61" s="51"/>
      <c r="CH61" s="50"/>
      <c r="CI61" s="51"/>
      <c r="CJ61" s="51"/>
      <c r="CK61" s="50"/>
      <c r="CL61" s="51"/>
      <c r="CM61" s="51"/>
      <c r="CN61" s="50"/>
      <c r="CO61" s="51"/>
      <c r="CP61" s="51"/>
      <c r="CQ61" s="50"/>
      <c r="CR61" s="51"/>
      <c r="CS61" s="51"/>
      <c r="CT61" s="50"/>
      <c r="CU61" s="51"/>
      <c r="CV61" s="51"/>
      <c r="CW61" s="50"/>
      <c r="CX61" s="51"/>
      <c r="CY61" s="51"/>
      <c r="CZ61" s="50"/>
      <c r="DA61" s="51"/>
      <c r="DB61" s="51"/>
      <c r="DC61" s="50"/>
      <c r="DD61" s="51"/>
      <c r="DE61" s="51"/>
      <c r="DF61" s="50"/>
      <c r="DG61" s="51"/>
      <c r="DH61" s="51"/>
      <c r="DI61" s="50"/>
      <c r="DJ61" s="51"/>
      <c r="DK61" s="51"/>
      <c r="DL61" s="50"/>
      <c r="DM61" s="51"/>
      <c r="DN61" s="51"/>
      <c r="DO61" s="50"/>
      <c r="DP61" s="51"/>
      <c r="DQ61" s="51"/>
      <c r="DR61" s="50"/>
      <c r="DS61" s="51"/>
      <c r="DT61" s="51"/>
      <c r="DU61" s="50"/>
      <c r="DV61" s="51"/>
      <c r="DW61" s="51"/>
      <c r="DX61" s="50"/>
      <c r="DY61" s="51"/>
      <c r="DZ61" s="51"/>
      <c r="EA61" s="50"/>
      <c r="EB61" s="51"/>
      <c r="EC61" s="51"/>
      <c r="ED61" s="50"/>
      <c r="EE61" s="51"/>
      <c r="EF61" s="51"/>
      <c r="EG61" s="50"/>
      <c r="EH61" s="51"/>
      <c r="EI61" s="51"/>
      <c r="EJ61" s="50"/>
      <c r="EK61" s="51"/>
      <c r="EL61" s="51"/>
      <c r="EM61" s="50"/>
      <c r="EN61" s="51"/>
      <c r="EO61" s="51"/>
      <c r="EP61" s="50"/>
      <c r="EQ61" s="51"/>
      <c r="ER61" s="51"/>
      <c r="ES61" s="50"/>
      <c r="ET61" s="51"/>
      <c r="EU61" s="51"/>
      <c r="EV61" s="50"/>
      <c r="EW61" s="51"/>
      <c r="EX61" s="51"/>
      <c r="EY61" s="50"/>
      <c r="EZ61" s="51"/>
      <c r="FA61" s="51"/>
      <c r="FB61" s="50"/>
      <c r="FC61" s="51"/>
      <c r="FD61" s="51"/>
      <c r="FE61" s="50"/>
      <c r="FF61" s="51"/>
      <c r="FG61" s="51"/>
      <c r="FH61" s="50"/>
      <c r="FI61" s="51"/>
      <c r="FJ61" s="51"/>
    </row>
    <row r="62" spans="1:166" s="52" customFormat="1" ht="15.75" x14ac:dyDescent="0.25">
      <c r="A62" s="3"/>
      <c r="B62" s="6" t="s">
        <v>248</v>
      </c>
      <c r="C62" s="1" t="s">
        <v>252</v>
      </c>
      <c r="D62" s="19"/>
      <c r="E62" s="50"/>
      <c r="F62" s="51"/>
      <c r="G62" s="51"/>
      <c r="H62" s="50"/>
      <c r="I62" s="51"/>
      <c r="J62" s="51"/>
      <c r="K62" s="50"/>
      <c r="L62" s="51"/>
      <c r="M62" s="51"/>
      <c r="N62" s="50"/>
      <c r="O62" s="51"/>
      <c r="P62" s="51"/>
      <c r="Q62" s="50"/>
      <c r="R62" s="51"/>
      <c r="S62" s="51"/>
      <c r="T62" s="50"/>
      <c r="U62" s="51"/>
      <c r="V62" s="51"/>
      <c r="W62" s="50"/>
      <c r="X62" s="51"/>
      <c r="Y62" s="51"/>
      <c r="Z62" s="50"/>
      <c r="AA62" s="51"/>
      <c r="AB62" s="51"/>
      <c r="AC62" s="50"/>
      <c r="AD62" s="51"/>
      <c r="AE62" s="51"/>
      <c r="AF62" s="50"/>
      <c r="AG62" s="51"/>
      <c r="AH62" s="51"/>
      <c r="AI62" s="50"/>
      <c r="AJ62" s="51"/>
      <c r="AK62" s="51"/>
      <c r="AL62" s="50"/>
      <c r="AM62" s="51"/>
      <c r="AN62" s="51"/>
      <c r="AO62" s="50"/>
      <c r="AP62" s="51"/>
      <c r="AQ62" s="51"/>
      <c r="AR62" s="50"/>
      <c r="AS62" s="51"/>
      <c r="AT62" s="51"/>
      <c r="AU62" s="50"/>
      <c r="AV62" s="51"/>
      <c r="AW62" s="51"/>
      <c r="AX62" s="50"/>
      <c r="AY62" s="51"/>
      <c r="AZ62" s="51"/>
      <c r="BA62" s="50"/>
      <c r="BB62" s="51"/>
      <c r="BC62" s="51"/>
      <c r="BD62" s="50"/>
      <c r="BE62" s="51"/>
      <c r="BF62" s="51"/>
      <c r="BG62" s="50"/>
      <c r="BH62" s="51"/>
      <c r="BI62" s="51"/>
      <c r="BJ62" s="50"/>
      <c r="BK62" s="51"/>
      <c r="BL62" s="51"/>
      <c r="BM62" s="50"/>
      <c r="BN62" s="51"/>
      <c r="BO62" s="51"/>
      <c r="BP62" s="50"/>
      <c r="BQ62" s="51"/>
      <c r="BR62" s="51"/>
      <c r="BS62" s="50"/>
      <c r="BT62" s="51"/>
      <c r="BU62" s="51"/>
      <c r="BV62" s="50"/>
      <c r="BW62" s="51"/>
      <c r="BX62" s="51"/>
      <c r="BY62" s="50"/>
      <c r="BZ62" s="51"/>
      <c r="CA62" s="51"/>
      <c r="CB62" s="50"/>
      <c r="CC62" s="51"/>
      <c r="CD62" s="51"/>
      <c r="CE62" s="50"/>
      <c r="CF62" s="51"/>
      <c r="CG62" s="51"/>
      <c r="CH62" s="50"/>
      <c r="CI62" s="51"/>
      <c r="CJ62" s="51"/>
      <c r="CK62" s="50"/>
      <c r="CL62" s="51"/>
      <c r="CM62" s="51"/>
      <c r="CN62" s="50"/>
      <c r="CO62" s="51"/>
      <c r="CP62" s="51"/>
      <c r="CQ62" s="50"/>
      <c r="CR62" s="51"/>
      <c r="CS62" s="51"/>
      <c r="CT62" s="50"/>
      <c r="CU62" s="51"/>
      <c r="CV62" s="51"/>
      <c r="CW62" s="50"/>
      <c r="CX62" s="51"/>
      <c r="CY62" s="51"/>
      <c r="CZ62" s="50"/>
      <c r="DA62" s="51"/>
      <c r="DB62" s="51"/>
      <c r="DC62" s="50"/>
      <c r="DD62" s="51"/>
      <c r="DE62" s="51"/>
      <c r="DF62" s="50"/>
      <c r="DG62" s="51"/>
      <c r="DH62" s="51"/>
      <c r="DI62" s="50"/>
      <c r="DJ62" s="51"/>
      <c r="DK62" s="51"/>
      <c r="DL62" s="50"/>
      <c r="DM62" s="51"/>
      <c r="DN62" s="51"/>
      <c r="DO62" s="50"/>
      <c r="DP62" s="51"/>
      <c r="DQ62" s="51"/>
      <c r="DR62" s="50"/>
      <c r="DS62" s="51"/>
      <c r="DT62" s="51"/>
      <c r="DU62" s="50"/>
      <c r="DV62" s="51"/>
      <c r="DW62" s="51"/>
      <c r="DX62" s="50"/>
      <c r="DY62" s="51"/>
      <c r="DZ62" s="51"/>
      <c r="EA62" s="50"/>
      <c r="EB62" s="51"/>
      <c r="EC62" s="51"/>
      <c r="ED62" s="50"/>
      <c r="EE62" s="51"/>
      <c r="EF62" s="51"/>
      <c r="EG62" s="50"/>
      <c r="EH62" s="51"/>
      <c r="EI62" s="51"/>
      <c r="EJ62" s="50"/>
      <c r="EK62" s="51"/>
      <c r="EL62" s="51"/>
      <c r="EM62" s="50"/>
      <c r="EN62" s="51"/>
      <c r="EO62" s="51"/>
      <c r="EP62" s="50"/>
      <c r="EQ62" s="51"/>
      <c r="ER62" s="51"/>
      <c r="ES62" s="50"/>
      <c r="ET62" s="51"/>
      <c r="EU62" s="51"/>
      <c r="EV62" s="50"/>
      <c r="EW62" s="51"/>
      <c r="EX62" s="51"/>
      <c r="EY62" s="50"/>
      <c r="EZ62" s="51"/>
      <c r="FA62" s="51"/>
      <c r="FB62" s="50"/>
      <c r="FC62" s="51"/>
      <c r="FD62" s="51"/>
      <c r="FE62" s="50"/>
      <c r="FF62" s="51"/>
      <c r="FG62" s="51"/>
      <c r="FH62" s="50"/>
      <c r="FI62" s="51"/>
      <c r="FJ62" s="51"/>
    </row>
    <row r="63" spans="1:166" s="52" customFormat="1" ht="15.75" x14ac:dyDescent="0.25">
      <c r="A63" s="3"/>
      <c r="B63" s="6" t="s">
        <v>248</v>
      </c>
      <c r="C63" s="1" t="s">
        <v>253</v>
      </c>
      <c r="D63" s="19"/>
      <c r="E63" s="50"/>
      <c r="F63" s="51"/>
      <c r="G63" s="51"/>
      <c r="H63" s="50"/>
      <c r="I63" s="51"/>
      <c r="J63" s="51"/>
      <c r="K63" s="50"/>
      <c r="L63" s="51"/>
      <c r="M63" s="51"/>
      <c r="N63" s="50"/>
      <c r="O63" s="51"/>
      <c r="P63" s="51"/>
      <c r="Q63" s="50"/>
      <c r="R63" s="51"/>
      <c r="S63" s="51"/>
      <c r="T63" s="50"/>
      <c r="U63" s="51"/>
      <c r="V63" s="51"/>
      <c r="W63" s="50"/>
      <c r="X63" s="51"/>
      <c r="Y63" s="51"/>
      <c r="Z63" s="50"/>
      <c r="AA63" s="51"/>
      <c r="AB63" s="51"/>
      <c r="AC63" s="50"/>
      <c r="AD63" s="51"/>
      <c r="AE63" s="51"/>
      <c r="AF63" s="50"/>
      <c r="AG63" s="51"/>
      <c r="AH63" s="51"/>
      <c r="AI63" s="50"/>
      <c r="AJ63" s="51"/>
      <c r="AK63" s="51"/>
      <c r="AL63" s="50"/>
      <c r="AM63" s="51"/>
      <c r="AN63" s="51"/>
      <c r="AO63" s="50"/>
      <c r="AP63" s="51"/>
      <c r="AQ63" s="51"/>
      <c r="AR63" s="50"/>
      <c r="AS63" s="51"/>
      <c r="AT63" s="51"/>
      <c r="AU63" s="50"/>
      <c r="AV63" s="51"/>
      <c r="AW63" s="51"/>
      <c r="AX63" s="50"/>
      <c r="AY63" s="51"/>
      <c r="AZ63" s="51"/>
      <c r="BA63" s="50"/>
      <c r="BB63" s="51"/>
      <c r="BC63" s="51"/>
      <c r="BD63" s="50"/>
      <c r="BE63" s="51"/>
      <c r="BF63" s="51"/>
      <c r="BG63" s="50"/>
      <c r="BH63" s="51"/>
      <c r="BI63" s="51"/>
      <c r="BJ63" s="50"/>
      <c r="BK63" s="51"/>
      <c r="BL63" s="51"/>
      <c r="BM63" s="50"/>
      <c r="BN63" s="51"/>
      <c r="BO63" s="51"/>
      <c r="BP63" s="50"/>
      <c r="BQ63" s="51"/>
      <c r="BR63" s="51"/>
      <c r="BS63" s="50"/>
      <c r="BT63" s="51"/>
      <c r="BU63" s="51"/>
      <c r="BV63" s="50"/>
      <c r="BW63" s="51"/>
      <c r="BX63" s="51"/>
      <c r="BY63" s="50"/>
      <c r="BZ63" s="51"/>
      <c r="CA63" s="51"/>
      <c r="CB63" s="50"/>
      <c r="CC63" s="51"/>
      <c r="CD63" s="51"/>
      <c r="CE63" s="50"/>
      <c r="CF63" s="51"/>
      <c r="CG63" s="51"/>
      <c r="CH63" s="50"/>
      <c r="CI63" s="51"/>
      <c r="CJ63" s="51"/>
      <c r="CK63" s="50"/>
      <c r="CL63" s="51"/>
      <c r="CM63" s="51"/>
      <c r="CN63" s="50"/>
      <c r="CO63" s="51"/>
      <c r="CP63" s="51"/>
      <c r="CQ63" s="50"/>
      <c r="CR63" s="51"/>
      <c r="CS63" s="51"/>
      <c r="CT63" s="50"/>
      <c r="CU63" s="51"/>
      <c r="CV63" s="51"/>
      <c r="CW63" s="50"/>
      <c r="CX63" s="51"/>
      <c r="CY63" s="51"/>
      <c r="CZ63" s="50"/>
      <c r="DA63" s="51"/>
      <c r="DB63" s="51"/>
      <c r="DC63" s="50"/>
      <c r="DD63" s="51"/>
      <c r="DE63" s="51"/>
      <c r="DF63" s="50"/>
      <c r="DG63" s="51"/>
      <c r="DH63" s="51"/>
      <c r="DI63" s="50"/>
      <c r="DJ63" s="51"/>
      <c r="DK63" s="51"/>
      <c r="DL63" s="50"/>
      <c r="DM63" s="51"/>
      <c r="DN63" s="51"/>
      <c r="DO63" s="50"/>
      <c r="DP63" s="51"/>
      <c r="DQ63" s="51"/>
      <c r="DR63" s="50"/>
      <c r="DS63" s="51"/>
      <c r="DT63" s="51"/>
      <c r="DU63" s="50"/>
      <c r="DV63" s="51"/>
      <c r="DW63" s="51"/>
      <c r="DX63" s="50"/>
      <c r="DY63" s="51"/>
      <c r="DZ63" s="51"/>
      <c r="EA63" s="50"/>
      <c r="EB63" s="51"/>
      <c r="EC63" s="51"/>
      <c r="ED63" s="50"/>
      <c r="EE63" s="51"/>
      <c r="EF63" s="51"/>
      <c r="EG63" s="50"/>
      <c r="EH63" s="51"/>
      <c r="EI63" s="51"/>
      <c r="EJ63" s="50"/>
      <c r="EK63" s="51"/>
      <c r="EL63" s="51"/>
      <c r="EM63" s="50"/>
      <c r="EN63" s="51"/>
      <c r="EO63" s="51"/>
      <c r="EP63" s="50"/>
      <c r="EQ63" s="51"/>
      <c r="ER63" s="51"/>
      <c r="ES63" s="50"/>
      <c r="ET63" s="51"/>
      <c r="EU63" s="51"/>
      <c r="EV63" s="50"/>
      <c r="EW63" s="51"/>
      <c r="EX63" s="51"/>
      <c r="EY63" s="50"/>
      <c r="EZ63" s="51"/>
      <c r="FA63" s="51"/>
      <c r="FB63" s="50"/>
      <c r="FC63" s="51"/>
      <c r="FD63" s="51"/>
      <c r="FE63" s="50"/>
      <c r="FF63" s="51"/>
      <c r="FG63" s="51"/>
      <c r="FH63" s="50"/>
      <c r="FI63" s="51"/>
      <c r="FJ63" s="51"/>
    </row>
    <row r="64" spans="1:166" s="52" customFormat="1" ht="15.75" x14ac:dyDescent="0.25">
      <c r="A64" s="3"/>
      <c r="B64" s="6" t="s">
        <v>248</v>
      </c>
      <c r="C64" s="1" t="s">
        <v>254</v>
      </c>
      <c r="D64" s="19"/>
      <c r="E64" s="50"/>
      <c r="F64" s="51"/>
      <c r="G64" s="51"/>
      <c r="H64" s="50"/>
      <c r="I64" s="51"/>
      <c r="J64" s="51"/>
      <c r="K64" s="50"/>
      <c r="L64" s="51"/>
      <c r="M64" s="51"/>
      <c r="N64" s="50"/>
      <c r="O64" s="51"/>
      <c r="P64" s="51"/>
      <c r="Q64" s="50"/>
      <c r="R64" s="51"/>
      <c r="S64" s="51"/>
      <c r="T64" s="50"/>
      <c r="U64" s="51"/>
      <c r="V64" s="51"/>
      <c r="W64" s="50"/>
      <c r="X64" s="51"/>
      <c r="Y64" s="51"/>
      <c r="Z64" s="50"/>
      <c r="AA64" s="51"/>
      <c r="AB64" s="51"/>
      <c r="AC64" s="50"/>
      <c r="AD64" s="51"/>
      <c r="AE64" s="51"/>
      <c r="AF64" s="50"/>
      <c r="AG64" s="51"/>
      <c r="AH64" s="51"/>
      <c r="AI64" s="50"/>
      <c r="AJ64" s="51"/>
      <c r="AK64" s="51"/>
      <c r="AL64" s="50"/>
      <c r="AM64" s="51"/>
      <c r="AN64" s="51"/>
      <c r="AO64" s="50"/>
      <c r="AP64" s="51"/>
      <c r="AQ64" s="51"/>
      <c r="AR64" s="50"/>
      <c r="AS64" s="51"/>
      <c r="AT64" s="51"/>
      <c r="AU64" s="50"/>
      <c r="AV64" s="51"/>
      <c r="AW64" s="51"/>
      <c r="AX64" s="50"/>
      <c r="AY64" s="51"/>
      <c r="AZ64" s="51"/>
      <c r="BA64" s="50"/>
      <c r="BB64" s="51"/>
      <c r="BC64" s="51"/>
      <c r="BD64" s="50"/>
      <c r="BE64" s="51"/>
      <c r="BF64" s="51"/>
      <c r="BG64" s="50"/>
      <c r="BH64" s="51"/>
      <c r="BI64" s="51"/>
      <c r="BJ64" s="50"/>
      <c r="BK64" s="51"/>
      <c r="BL64" s="51"/>
      <c r="BM64" s="50"/>
      <c r="BN64" s="51"/>
      <c r="BO64" s="51"/>
      <c r="BP64" s="50"/>
      <c r="BQ64" s="51"/>
      <c r="BR64" s="51"/>
      <c r="BS64" s="50"/>
      <c r="BT64" s="51"/>
      <c r="BU64" s="51"/>
      <c r="BV64" s="50"/>
      <c r="BW64" s="51"/>
      <c r="BX64" s="51"/>
      <c r="BY64" s="50"/>
      <c r="BZ64" s="51"/>
      <c r="CA64" s="51"/>
      <c r="CB64" s="50"/>
      <c r="CC64" s="51"/>
      <c r="CD64" s="51"/>
      <c r="CE64" s="50"/>
      <c r="CF64" s="51"/>
      <c r="CG64" s="51"/>
      <c r="CH64" s="50"/>
      <c r="CI64" s="51"/>
      <c r="CJ64" s="51"/>
      <c r="CK64" s="50"/>
      <c r="CL64" s="51"/>
      <c r="CM64" s="51"/>
      <c r="CN64" s="50"/>
      <c r="CO64" s="51"/>
      <c r="CP64" s="51"/>
      <c r="CQ64" s="50"/>
      <c r="CR64" s="51"/>
      <c r="CS64" s="51"/>
      <c r="CT64" s="50"/>
      <c r="CU64" s="51"/>
      <c r="CV64" s="51"/>
      <c r="CW64" s="50"/>
      <c r="CX64" s="51"/>
      <c r="CY64" s="51"/>
      <c r="CZ64" s="50"/>
      <c r="DA64" s="51"/>
      <c r="DB64" s="51"/>
      <c r="DC64" s="50"/>
      <c r="DD64" s="51"/>
      <c r="DE64" s="51"/>
      <c r="DF64" s="50"/>
      <c r="DG64" s="51"/>
      <c r="DH64" s="51"/>
      <c r="DI64" s="50"/>
      <c r="DJ64" s="51"/>
      <c r="DK64" s="51"/>
      <c r="DL64" s="50"/>
      <c r="DM64" s="51"/>
      <c r="DN64" s="51"/>
      <c r="DO64" s="50"/>
      <c r="DP64" s="51"/>
      <c r="DQ64" s="51"/>
      <c r="DR64" s="50"/>
      <c r="DS64" s="51"/>
      <c r="DT64" s="51"/>
      <c r="DU64" s="50"/>
      <c r="DV64" s="51"/>
      <c r="DW64" s="51"/>
      <c r="DX64" s="50"/>
      <c r="DY64" s="51"/>
      <c r="DZ64" s="51"/>
      <c r="EA64" s="50"/>
      <c r="EB64" s="51"/>
      <c r="EC64" s="51"/>
      <c r="ED64" s="50"/>
      <c r="EE64" s="51"/>
      <c r="EF64" s="51"/>
      <c r="EG64" s="50"/>
      <c r="EH64" s="51"/>
      <c r="EI64" s="51"/>
      <c r="EJ64" s="50"/>
      <c r="EK64" s="51"/>
      <c r="EL64" s="51"/>
      <c r="EM64" s="50"/>
      <c r="EN64" s="51"/>
      <c r="EO64" s="51"/>
      <c r="EP64" s="50"/>
      <c r="EQ64" s="51"/>
      <c r="ER64" s="51"/>
      <c r="ES64" s="50"/>
      <c r="ET64" s="51"/>
      <c r="EU64" s="51"/>
      <c r="EV64" s="50"/>
      <c r="EW64" s="51"/>
      <c r="EX64" s="51"/>
      <c r="EY64" s="50"/>
      <c r="EZ64" s="51"/>
      <c r="FA64" s="51"/>
      <c r="FB64" s="50"/>
      <c r="FC64" s="51"/>
      <c r="FD64" s="51"/>
      <c r="FE64" s="50"/>
      <c r="FF64" s="51"/>
      <c r="FG64" s="51"/>
      <c r="FH64" s="50"/>
      <c r="FI64" s="51"/>
      <c r="FJ64" s="51"/>
    </row>
    <row r="65" spans="1:166" s="52" customFormat="1" ht="15.75" x14ac:dyDescent="0.25">
      <c r="A65" s="3"/>
      <c r="B65" s="6" t="s">
        <v>255</v>
      </c>
      <c r="C65" s="1" t="s">
        <v>249</v>
      </c>
      <c r="D65" s="19"/>
      <c r="E65" s="50"/>
      <c r="F65" s="51"/>
      <c r="G65" s="51"/>
      <c r="H65" s="50"/>
      <c r="I65" s="51"/>
      <c r="J65" s="51"/>
      <c r="K65" s="50"/>
      <c r="L65" s="51"/>
      <c r="M65" s="51"/>
      <c r="N65" s="50"/>
      <c r="O65" s="51"/>
      <c r="P65" s="51"/>
      <c r="Q65" s="50"/>
      <c r="R65" s="51"/>
      <c r="S65" s="51"/>
      <c r="T65" s="50"/>
      <c r="U65" s="51"/>
      <c r="V65" s="51"/>
      <c r="W65" s="50"/>
      <c r="X65" s="51"/>
      <c r="Y65" s="51"/>
      <c r="Z65" s="50"/>
      <c r="AA65" s="51"/>
      <c r="AB65" s="51"/>
      <c r="AC65" s="50"/>
      <c r="AD65" s="51"/>
      <c r="AE65" s="51"/>
      <c r="AF65" s="50"/>
      <c r="AG65" s="51"/>
      <c r="AH65" s="51"/>
      <c r="AI65" s="50"/>
      <c r="AJ65" s="51"/>
      <c r="AK65" s="51"/>
      <c r="AL65" s="50"/>
      <c r="AM65" s="51"/>
      <c r="AN65" s="51"/>
      <c r="AO65" s="50"/>
      <c r="AP65" s="51"/>
      <c r="AQ65" s="51"/>
      <c r="AR65" s="50"/>
      <c r="AS65" s="51"/>
      <c r="AT65" s="51"/>
      <c r="AU65" s="50"/>
      <c r="AV65" s="51"/>
      <c r="AW65" s="51"/>
      <c r="AX65" s="50"/>
      <c r="AY65" s="51"/>
      <c r="AZ65" s="51"/>
      <c r="BA65" s="50"/>
      <c r="BB65" s="51"/>
      <c r="BC65" s="51"/>
      <c r="BD65" s="50"/>
      <c r="BE65" s="51"/>
      <c r="BF65" s="51"/>
      <c r="BG65" s="50"/>
      <c r="BH65" s="51"/>
      <c r="BI65" s="51"/>
      <c r="BJ65" s="50"/>
      <c r="BK65" s="51"/>
      <c r="BL65" s="51"/>
      <c r="BM65" s="50"/>
      <c r="BN65" s="51"/>
      <c r="BO65" s="51"/>
      <c r="BP65" s="50"/>
      <c r="BQ65" s="51"/>
      <c r="BR65" s="51"/>
      <c r="BS65" s="50"/>
      <c r="BT65" s="51"/>
      <c r="BU65" s="51"/>
      <c r="BV65" s="50"/>
      <c r="BW65" s="51"/>
      <c r="BX65" s="51"/>
      <c r="BY65" s="50"/>
      <c r="BZ65" s="51"/>
      <c r="CA65" s="51"/>
      <c r="CB65" s="50"/>
      <c r="CC65" s="51"/>
      <c r="CD65" s="51"/>
      <c r="CE65" s="50"/>
      <c r="CF65" s="51"/>
      <c r="CG65" s="51"/>
      <c r="CH65" s="50"/>
      <c r="CI65" s="51"/>
      <c r="CJ65" s="51"/>
      <c r="CK65" s="50"/>
      <c r="CL65" s="51"/>
      <c r="CM65" s="51"/>
      <c r="CN65" s="50"/>
      <c r="CO65" s="51"/>
      <c r="CP65" s="51"/>
      <c r="CQ65" s="50"/>
      <c r="CR65" s="51"/>
      <c r="CS65" s="51"/>
      <c r="CT65" s="50"/>
      <c r="CU65" s="51"/>
      <c r="CV65" s="51"/>
      <c r="CW65" s="50"/>
      <c r="CX65" s="51"/>
      <c r="CY65" s="51"/>
      <c r="CZ65" s="50"/>
      <c r="DA65" s="51"/>
      <c r="DB65" s="51"/>
      <c r="DC65" s="50"/>
      <c r="DD65" s="51"/>
      <c r="DE65" s="51"/>
      <c r="DF65" s="50"/>
      <c r="DG65" s="51"/>
      <c r="DH65" s="51"/>
      <c r="DI65" s="50"/>
      <c r="DJ65" s="51"/>
      <c r="DK65" s="51"/>
      <c r="DL65" s="50"/>
      <c r="DM65" s="51"/>
      <c r="DN65" s="51"/>
      <c r="DO65" s="50"/>
      <c r="DP65" s="51"/>
      <c r="DQ65" s="51"/>
      <c r="DR65" s="50"/>
      <c r="DS65" s="51"/>
      <c r="DT65" s="51"/>
      <c r="DU65" s="50"/>
      <c r="DV65" s="51"/>
      <c r="DW65" s="51"/>
      <c r="DX65" s="50"/>
      <c r="DY65" s="51"/>
      <c r="DZ65" s="51"/>
      <c r="EA65" s="50"/>
      <c r="EB65" s="51"/>
      <c r="EC65" s="51"/>
      <c r="ED65" s="50"/>
      <c r="EE65" s="51"/>
      <c r="EF65" s="51"/>
      <c r="EG65" s="50"/>
      <c r="EH65" s="51"/>
      <c r="EI65" s="51"/>
      <c r="EJ65" s="50"/>
      <c r="EK65" s="51"/>
      <c r="EL65" s="51"/>
      <c r="EM65" s="50"/>
      <c r="EN65" s="51"/>
      <c r="EO65" s="51"/>
      <c r="EP65" s="50"/>
      <c r="EQ65" s="51"/>
      <c r="ER65" s="51"/>
      <c r="ES65" s="50"/>
      <c r="ET65" s="51"/>
      <c r="EU65" s="51"/>
      <c r="EV65" s="50"/>
      <c r="EW65" s="51"/>
      <c r="EX65" s="51"/>
      <c r="EY65" s="50"/>
      <c r="EZ65" s="51"/>
      <c r="FA65" s="51"/>
      <c r="FB65" s="50"/>
      <c r="FC65" s="51"/>
      <c r="FD65" s="51"/>
      <c r="FE65" s="50"/>
      <c r="FF65" s="51"/>
      <c r="FG65" s="51"/>
      <c r="FH65" s="50"/>
      <c r="FI65" s="51"/>
      <c r="FJ65" s="51"/>
    </row>
    <row r="66" spans="1:166" s="52" customFormat="1" ht="15.75" x14ac:dyDescent="0.25">
      <c r="A66" s="3"/>
      <c r="B66" s="6" t="s">
        <v>255</v>
      </c>
      <c r="C66" s="1" t="s">
        <v>250</v>
      </c>
      <c r="D66" s="19"/>
      <c r="E66" s="50"/>
      <c r="F66" s="51"/>
      <c r="G66" s="51"/>
      <c r="H66" s="50"/>
      <c r="I66" s="51"/>
      <c r="J66" s="51"/>
      <c r="K66" s="50"/>
      <c r="L66" s="51"/>
      <c r="M66" s="51"/>
      <c r="N66" s="50"/>
      <c r="O66" s="51"/>
      <c r="P66" s="51"/>
      <c r="Q66" s="50"/>
      <c r="R66" s="51"/>
      <c r="S66" s="51"/>
      <c r="T66" s="50"/>
      <c r="U66" s="51"/>
      <c r="V66" s="51"/>
      <c r="W66" s="50"/>
      <c r="X66" s="51"/>
      <c r="Y66" s="51"/>
      <c r="Z66" s="50"/>
      <c r="AA66" s="51"/>
      <c r="AB66" s="51"/>
      <c r="AC66" s="50"/>
      <c r="AD66" s="51"/>
      <c r="AE66" s="51"/>
      <c r="AF66" s="50"/>
      <c r="AG66" s="51"/>
      <c r="AH66" s="51"/>
      <c r="AI66" s="50"/>
      <c r="AJ66" s="51"/>
      <c r="AK66" s="51"/>
      <c r="AL66" s="50"/>
      <c r="AM66" s="51"/>
      <c r="AN66" s="51"/>
      <c r="AO66" s="50"/>
      <c r="AP66" s="51"/>
      <c r="AQ66" s="51"/>
      <c r="AR66" s="50"/>
      <c r="AS66" s="51"/>
      <c r="AT66" s="51"/>
      <c r="AU66" s="50"/>
      <c r="AV66" s="51"/>
      <c r="AW66" s="51"/>
      <c r="AX66" s="50"/>
      <c r="AY66" s="51"/>
      <c r="AZ66" s="51"/>
      <c r="BA66" s="50"/>
      <c r="BB66" s="51"/>
      <c r="BC66" s="51"/>
      <c r="BD66" s="50"/>
      <c r="BE66" s="51"/>
      <c r="BF66" s="51"/>
      <c r="BG66" s="50"/>
      <c r="BH66" s="51"/>
      <c r="BI66" s="51"/>
      <c r="BJ66" s="50"/>
      <c r="BK66" s="51"/>
      <c r="BL66" s="51"/>
      <c r="BM66" s="50"/>
      <c r="BN66" s="51"/>
      <c r="BO66" s="51"/>
      <c r="BP66" s="50"/>
      <c r="BQ66" s="51"/>
      <c r="BR66" s="51"/>
      <c r="BS66" s="50"/>
      <c r="BT66" s="51"/>
      <c r="BU66" s="51"/>
      <c r="BV66" s="50"/>
      <c r="BW66" s="51"/>
      <c r="BX66" s="51"/>
      <c r="BY66" s="50"/>
      <c r="BZ66" s="51"/>
      <c r="CA66" s="51"/>
      <c r="CB66" s="50"/>
      <c r="CC66" s="51"/>
      <c r="CD66" s="51"/>
      <c r="CE66" s="50"/>
      <c r="CF66" s="51"/>
      <c r="CG66" s="51"/>
      <c r="CH66" s="50"/>
      <c r="CI66" s="51"/>
      <c r="CJ66" s="51"/>
      <c r="CK66" s="50"/>
      <c r="CL66" s="51"/>
      <c r="CM66" s="51"/>
      <c r="CN66" s="50"/>
      <c r="CO66" s="51"/>
      <c r="CP66" s="51"/>
      <c r="CQ66" s="50"/>
      <c r="CR66" s="51"/>
      <c r="CS66" s="51"/>
      <c r="CT66" s="50"/>
      <c r="CU66" s="51"/>
      <c r="CV66" s="51"/>
      <c r="CW66" s="50"/>
      <c r="CX66" s="51"/>
      <c r="CY66" s="51"/>
      <c r="CZ66" s="50"/>
      <c r="DA66" s="51"/>
      <c r="DB66" s="51"/>
      <c r="DC66" s="50"/>
      <c r="DD66" s="51"/>
      <c r="DE66" s="51"/>
      <c r="DF66" s="50"/>
      <c r="DG66" s="51"/>
      <c r="DH66" s="51"/>
      <c r="DI66" s="50"/>
      <c r="DJ66" s="51"/>
      <c r="DK66" s="51"/>
      <c r="DL66" s="50"/>
      <c r="DM66" s="51"/>
      <c r="DN66" s="51"/>
      <c r="DO66" s="50"/>
      <c r="DP66" s="51"/>
      <c r="DQ66" s="51"/>
      <c r="DR66" s="50"/>
      <c r="DS66" s="51"/>
      <c r="DT66" s="51"/>
      <c r="DU66" s="50"/>
      <c r="DV66" s="51"/>
      <c r="DW66" s="51"/>
      <c r="DX66" s="50"/>
      <c r="DY66" s="51"/>
      <c r="DZ66" s="51"/>
      <c r="EA66" s="50"/>
      <c r="EB66" s="51"/>
      <c r="EC66" s="51"/>
      <c r="ED66" s="50"/>
      <c r="EE66" s="51"/>
      <c r="EF66" s="51"/>
      <c r="EG66" s="50"/>
      <c r="EH66" s="51"/>
      <c r="EI66" s="51"/>
      <c r="EJ66" s="50"/>
      <c r="EK66" s="51"/>
      <c r="EL66" s="51"/>
      <c r="EM66" s="50"/>
      <c r="EN66" s="51"/>
      <c r="EO66" s="51"/>
      <c r="EP66" s="50"/>
      <c r="EQ66" s="51"/>
      <c r="ER66" s="51"/>
      <c r="ES66" s="50"/>
      <c r="ET66" s="51"/>
      <c r="EU66" s="51"/>
      <c r="EV66" s="50"/>
      <c r="EW66" s="51"/>
      <c r="EX66" s="51"/>
      <c r="EY66" s="50"/>
      <c r="EZ66" s="51"/>
      <c r="FA66" s="51"/>
      <c r="FB66" s="50"/>
      <c r="FC66" s="51"/>
      <c r="FD66" s="51"/>
      <c r="FE66" s="50"/>
      <c r="FF66" s="51"/>
      <c r="FG66" s="51"/>
      <c r="FH66" s="50"/>
      <c r="FI66" s="51"/>
      <c r="FJ66" s="51"/>
    </row>
    <row r="67" spans="1:166" s="52" customFormat="1" ht="15.75" x14ac:dyDescent="0.25">
      <c r="A67" s="3"/>
      <c r="B67" s="6" t="s">
        <v>255</v>
      </c>
      <c r="C67" s="1" t="s">
        <v>251</v>
      </c>
      <c r="D67" s="19"/>
      <c r="E67" s="50"/>
      <c r="F67" s="51"/>
      <c r="G67" s="51"/>
      <c r="H67" s="50"/>
      <c r="I67" s="51"/>
      <c r="J67" s="51"/>
      <c r="K67" s="50"/>
      <c r="L67" s="51"/>
      <c r="M67" s="51"/>
      <c r="N67" s="50"/>
      <c r="O67" s="51"/>
      <c r="P67" s="51"/>
      <c r="Q67" s="50"/>
      <c r="R67" s="51"/>
      <c r="S67" s="51"/>
      <c r="T67" s="50"/>
      <c r="U67" s="51"/>
      <c r="V67" s="51"/>
      <c r="W67" s="50"/>
      <c r="X67" s="51"/>
      <c r="Y67" s="51"/>
      <c r="Z67" s="50"/>
      <c r="AA67" s="51"/>
      <c r="AB67" s="51"/>
      <c r="AC67" s="50"/>
      <c r="AD67" s="51"/>
      <c r="AE67" s="51"/>
      <c r="AF67" s="50"/>
      <c r="AG67" s="51"/>
      <c r="AH67" s="51"/>
      <c r="AI67" s="50"/>
      <c r="AJ67" s="51"/>
      <c r="AK67" s="51"/>
      <c r="AL67" s="50"/>
      <c r="AM67" s="51"/>
      <c r="AN67" s="51"/>
      <c r="AO67" s="50"/>
      <c r="AP67" s="51"/>
      <c r="AQ67" s="51"/>
      <c r="AR67" s="50"/>
      <c r="AS67" s="51"/>
      <c r="AT67" s="51"/>
      <c r="AU67" s="50"/>
      <c r="AV67" s="51"/>
      <c r="AW67" s="51"/>
      <c r="AX67" s="50"/>
      <c r="AY67" s="51"/>
      <c r="AZ67" s="51"/>
      <c r="BA67" s="50"/>
      <c r="BB67" s="51"/>
      <c r="BC67" s="51"/>
      <c r="BD67" s="50"/>
      <c r="BE67" s="51"/>
      <c r="BF67" s="51"/>
      <c r="BG67" s="50"/>
      <c r="BH67" s="51"/>
      <c r="BI67" s="51"/>
      <c r="BJ67" s="50"/>
      <c r="BK67" s="51"/>
      <c r="BL67" s="51"/>
      <c r="BM67" s="50"/>
      <c r="BN67" s="51"/>
      <c r="BO67" s="51"/>
      <c r="BP67" s="50"/>
      <c r="BQ67" s="51"/>
      <c r="BR67" s="51"/>
      <c r="BS67" s="50"/>
      <c r="BT67" s="51"/>
      <c r="BU67" s="51"/>
      <c r="BV67" s="50"/>
      <c r="BW67" s="51"/>
      <c r="BX67" s="51"/>
      <c r="BY67" s="50"/>
      <c r="BZ67" s="51"/>
      <c r="CA67" s="51"/>
      <c r="CB67" s="50"/>
      <c r="CC67" s="51"/>
      <c r="CD67" s="51"/>
      <c r="CE67" s="50"/>
      <c r="CF67" s="51"/>
      <c r="CG67" s="51"/>
      <c r="CH67" s="50"/>
      <c r="CI67" s="51"/>
      <c r="CJ67" s="51"/>
      <c r="CK67" s="50"/>
      <c r="CL67" s="51"/>
      <c r="CM67" s="51"/>
      <c r="CN67" s="50"/>
      <c r="CO67" s="51"/>
      <c r="CP67" s="51"/>
      <c r="CQ67" s="50"/>
      <c r="CR67" s="51"/>
      <c r="CS67" s="51"/>
      <c r="CT67" s="50"/>
      <c r="CU67" s="51"/>
      <c r="CV67" s="51"/>
      <c r="CW67" s="50"/>
      <c r="CX67" s="51"/>
      <c r="CY67" s="51"/>
      <c r="CZ67" s="50"/>
      <c r="DA67" s="51"/>
      <c r="DB67" s="51"/>
      <c r="DC67" s="50"/>
      <c r="DD67" s="51"/>
      <c r="DE67" s="51"/>
      <c r="DF67" s="50"/>
      <c r="DG67" s="51"/>
      <c r="DH67" s="51"/>
      <c r="DI67" s="50"/>
      <c r="DJ67" s="51"/>
      <c r="DK67" s="51"/>
      <c r="DL67" s="50"/>
      <c r="DM67" s="51"/>
      <c r="DN67" s="51"/>
      <c r="DO67" s="50"/>
      <c r="DP67" s="51"/>
      <c r="DQ67" s="51"/>
      <c r="DR67" s="50"/>
      <c r="DS67" s="51"/>
      <c r="DT67" s="51"/>
      <c r="DU67" s="50"/>
      <c r="DV67" s="51"/>
      <c r="DW67" s="51"/>
      <c r="DX67" s="50"/>
      <c r="DY67" s="51"/>
      <c r="DZ67" s="51"/>
      <c r="EA67" s="50"/>
      <c r="EB67" s="51"/>
      <c r="EC67" s="51"/>
      <c r="ED67" s="50"/>
      <c r="EE67" s="51"/>
      <c r="EF67" s="51"/>
      <c r="EG67" s="50"/>
      <c r="EH67" s="51"/>
      <c r="EI67" s="51"/>
      <c r="EJ67" s="50"/>
      <c r="EK67" s="51"/>
      <c r="EL67" s="51"/>
      <c r="EM67" s="50"/>
      <c r="EN67" s="51"/>
      <c r="EO67" s="51"/>
      <c r="EP67" s="50"/>
      <c r="EQ67" s="51"/>
      <c r="ER67" s="51"/>
      <c r="ES67" s="50"/>
      <c r="ET67" s="51"/>
      <c r="EU67" s="51"/>
      <c r="EV67" s="50"/>
      <c r="EW67" s="51"/>
      <c r="EX67" s="51"/>
      <c r="EY67" s="50"/>
      <c r="EZ67" s="51"/>
      <c r="FA67" s="51"/>
      <c r="FB67" s="50"/>
      <c r="FC67" s="51"/>
      <c r="FD67" s="51"/>
      <c r="FE67" s="50"/>
      <c r="FF67" s="51"/>
      <c r="FG67" s="51"/>
      <c r="FH67" s="50"/>
      <c r="FI67" s="51"/>
      <c r="FJ67" s="51"/>
    </row>
    <row r="68" spans="1:166" s="52" customFormat="1" ht="15.75" x14ac:dyDescent="0.25">
      <c r="A68" s="3"/>
      <c r="B68" s="6" t="s">
        <v>255</v>
      </c>
      <c r="C68" s="1" t="s">
        <v>252</v>
      </c>
      <c r="D68" s="19"/>
      <c r="E68" s="50"/>
      <c r="F68" s="51"/>
      <c r="G68" s="51"/>
      <c r="H68" s="50"/>
      <c r="I68" s="51"/>
      <c r="J68" s="51"/>
      <c r="K68" s="50"/>
      <c r="L68" s="51"/>
      <c r="M68" s="51"/>
      <c r="N68" s="50"/>
      <c r="O68" s="51"/>
      <c r="P68" s="51"/>
      <c r="Q68" s="50"/>
      <c r="R68" s="51"/>
      <c r="S68" s="51"/>
      <c r="T68" s="50"/>
      <c r="U68" s="51"/>
      <c r="V68" s="51"/>
      <c r="W68" s="50"/>
      <c r="X68" s="51"/>
      <c r="Y68" s="51"/>
      <c r="Z68" s="50"/>
      <c r="AA68" s="51"/>
      <c r="AB68" s="51"/>
      <c r="AC68" s="50"/>
      <c r="AD68" s="51"/>
      <c r="AE68" s="51"/>
      <c r="AF68" s="50"/>
      <c r="AG68" s="51"/>
      <c r="AH68" s="51"/>
      <c r="AI68" s="50"/>
      <c r="AJ68" s="51"/>
      <c r="AK68" s="51"/>
      <c r="AL68" s="50"/>
      <c r="AM68" s="51"/>
      <c r="AN68" s="51"/>
      <c r="AO68" s="50"/>
      <c r="AP68" s="51"/>
      <c r="AQ68" s="51"/>
      <c r="AR68" s="50"/>
      <c r="AS68" s="51"/>
      <c r="AT68" s="51"/>
      <c r="AU68" s="50"/>
      <c r="AV68" s="51"/>
      <c r="AW68" s="51"/>
      <c r="AX68" s="50"/>
      <c r="AY68" s="51"/>
      <c r="AZ68" s="51"/>
      <c r="BA68" s="50"/>
      <c r="BB68" s="51"/>
      <c r="BC68" s="51"/>
      <c r="BD68" s="50"/>
      <c r="BE68" s="51"/>
      <c r="BF68" s="51"/>
      <c r="BG68" s="50"/>
      <c r="BH68" s="51"/>
      <c r="BI68" s="51"/>
      <c r="BJ68" s="50"/>
      <c r="BK68" s="51"/>
      <c r="BL68" s="51"/>
      <c r="BM68" s="50"/>
      <c r="BN68" s="51"/>
      <c r="BO68" s="51"/>
      <c r="BP68" s="50"/>
      <c r="BQ68" s="51"/>
      <c r="BR68" s="51"/>
      <c r="BS68" s="50"/>
      <c r="BT68" s="51"/>
      <c r="BU68" s="51"/>
      <c r="BV68" s="50"/>
      <c r="BW68" s="51"/>
      <c r="BX68" s="51"/>
      <c r="BY68" s="50"/>
      <c r="BZ68" s="51"/>
      <c r="CA68" s="51"/>
      <c r="CB68" s="50"/>
      <c r="CC68" s="51"/>
      <c r="CD68" s="51"/>
      <c r="CE68" s="50"/>
      <c r="CF68" s="51"/>
      <c r="CG68" s="51"/>
      <c r="CH68" s="50"/>
      <c r="CI68" s="51"/>
      <c r="CJ68" s="51"/>
      <c r="CK68" s="50"/>
      <c r="CL68" s="51"/>
      <c r="CM68" s="51"/>
      <c r="CN68" s="50"/>
      <c r="CO68" s="51"/>
      <c r="CP68" s="51"/>
      <c r="CQ68" s="50"/>
      <c r="CR68" s="51"/>
      <c r="CS68" s="51"/>
      <c r="CT68" s="50"/>
      <c r="CU68" s="51"/>
      <c r="CV68" s="51"/>
      <c r="CW68" s="50"/>
      <c r="CX68" s="51"/>
      <c r="CY68" s="51"/>
      <c r="CZ68" s="50"/>
      <c r="DA68" s="51"/>
      <c r="DB68" s="51"/>
      <c r="DC68" s="50"/>
      <c r="DD68" s="51"/>
      <c r="DE68" s="51"/>
      <c r="DF68" s="50"/>
      <c r="DG68" s="51"/>
      <c r="DH68" s="51"/>
      <c r="DI68" s="50"/>
      <c r="DJ68" s="51"/>
      <c r="DK68" s="51"/>
      <c r="DL68" s="50"/>
      <c r="DM68" s="51"/>
      <c r="DN68" s="51"/>
      <c r="DO68" s="50"/>
      <c r="DP68" s="51"/>
      <c r="DQ68" s="51"/>
      <c r="DR68" s="50"/>
      <c r="DS68" s="51"/>
      <c r="DT68" s="51"/>
      <c r="DU68" s="50"/>
      <c r="DV68" s="51"/>
      <c r="DW68" s="51"/>
      <c r="DX68" s="50"/>
      <c r="DY68" s="51"/>
      <c r="DZ68" s="51"/>
      <c r="EA68" s="50"/>
      <c r="EB68" s="51"/>
      <c r="EC68" s="51"/>
      <c r="ED68" s="50"/>
      <c r="EE68" s="51"/>
      <c r="EF68" s="51"/>
      <c r="EG68" s="50"/>
      <c r="EH68" s="51"/>
      <c r="EI68" s="51"/>
      <c r="EJ68" s="50"/>
      <c r="EK68" s="51"/>
      <c r="EL68" s="51"/>
      <c r="EM68" s="50"/>
      <c r="EN68" s="51"/>
      <c r="EO68" s="51"/>
      <c r="EP68" s="50"/>
      <c r="EQ68" s="51"/>
      <c r="ER68" s="51"/>
      <c r="ES68" s="50"/>
      <c r="ET68" s="51"/>
      <c r="EU68" s="51"/>
      <c r="EV68" s="50"/>
      <c r="EW68" s="51"/>
      <c r="EX68" s="51"/>
      <c r="EY68" s="50"/>
      <c r="EZ68" s="51"/>
      <c r="FA68" s="51"/>
      <c r="FB68" s="50"/>
      <c r="FC68" s="51"/>
      <c r="FD68" s="51"/>
      <c r="FE68" s="50"/>
      <c r="FF68" s="51"/>
      <c r="FG68" s="51"/>
      <c r="FH68" s="50"/>
      <c r="FI68" s="51"/>
      <c r="FJ68" s="51"/>
    </row>
    <row r="69" spans="1:166" s="52" customFormat="1" ht="15.75" x14ac:dyDescent="0.25">
      <c r="A69" s="3"/>
      <c r="B69" s="6" t="s">
        <v>255</v>
      </c>
      <c r="C69" s="1" t="s">
        <v>253</v>
      </c>
      <c r="D69" s="19"/>
      <c r="E69" s="50"/>
      <c r="F69" s="51"/>
      <c r="G69" s="51"/>
      <c r="H69" s="50"/>
      <c r="I69" s="51"/>
      <c r="J69" s="51"/>
      <c r="K69" s="50"/>
      <c r="L69" s="51"/>
      <c r="M69" s="51"/>
      <c r="N69" s="50"/>
      <c r="O69" s="51"/>
      <c r="P69" s="51"/>
      <c r="Q69" s="50"/>
      <c r="R69" s="51"/>
      <c r="S69" s="51"/>
      <c r="T69" s="50"/>
      <c r="U69" s="51"/>
      <c r="V69" s="51"/>
      <c r="W69" s="50"/>
      <c r="X69" s="51"/>
      <c r="Y69" s="51"/>
      <c r="Z69" s="50"/>
      <c r="AA69" s="51"/>
      <c r="AB69" s="51"/>
      <c r="AC69" s="50"/>
      <c r="AD69" s="51"/>
      <c r="AE69" s="51"/>
      <c r="AF69" s="50"/>
      <c r="AG69" s="51"/>
      <c r="AH69" s="51"/>
      <c r="AI69" s="50"/>
      <c r="AJ69" s="51"/>
      <c r="AK69" s="51"/>
      <c r="AL69" s="50"/>
      <c r="AM69" s="51"/>
      <c r="AN69" s="51"/>
      <c r="AO69" s="50"/>
      <c r="AP69" s="51"/>
      <c r="AQ69" s="51"/>
      <c r="AR69" s="50"/>
      <c r="AS69" s="51"/>
      <c r="AT69" s="51"/>
      <c r="AU69" s="50"/>
      <c r="AV69" s="51"/>
      <c r="AW69" s="51"/>
      <c r="AX69" s="50"/>
      <c r="AY69" s="51"/>
      <c r="AZ69" s="51"/>
      <c r="BA69" s="50"/>
      <c r="BB69" s="51"/>
      <c r="BC69" s="51"/>
      <c r="BD69" s="50"/>
      <c r="BE69" s="51"/>
      <c r="BF69" s="51"/>
      <c r="BG69" s="50"/>
      <c r="BH69" s="51"/>
      <c r="BI69" s="51"/>
      <c r="BJ69" s="50"/>
      <c r="BK69" s="51"/>
      <c r="BL69" s="51"/>
      <c r="BM69" s="50"/>
      <c r="BN69" s="51"/>
      <c r="BO69" s="51"/>
      <c r="BP69" s="50"/>
      <c r="BQ69" s="51"/>
      <c r="BR69" s="51"/>
      <c r="BS69" s="50"/>
      <c r="BT69" s="51"/>
      <c r="BU69" s="51"/>
      <c r="BV69" s="50"/>
      <c r="BW69" s="51"/>
      <c r="BX69" s="51"/>
      <c r="BY69" s="50"/>
      <c r="BZ69" s="51"/>
      <c r="CA69" s="51"/>
      <c r="CB69" s="50"/>
      <c r="CC69" s="51"/>
      <c r="CD69" s="51"/>
      <c r="CE69" s="50"/>
      <c r="CF69" s="51"/>
      <c r="CG69" s="51"/>
      <c r="CH69" s="50"/>
      <c r="CI69" s="51"/>
      <c r="CJ69" s="51"/>
      <c r="CK69" s="50"/>
      <c r="CL69" s="51"/>
      <c r="CM69" s="51"/>
      <c r="CN69" s="50"/>
      <c r="CO69" s="51"/>
      <c r="CP69" s="51"/>
      <c r="CQ69" s="50"/>
      <c r="CR69" s="51"/>
      <c r="CS69" s="51"/>
      <c r="CT69" s="50"/>
      <c r="CU69" s="51"/>
      <c r="CV69" s="51"/>
      <c r="CW69" s="50"/>
      <c r="CX69" s="51"/>
      <c r="CY69" s="51"/>
      <c r="CZ69" s="50"/>
      <c r="DA69" s="51"/>
      <c r="DB69" s="51"/>
      <c r="DC69" s="50"/>
      <c r="DD69" s="51"/>
      <c r="DE69" s="51"/>
      <c r="DF69" s="50"/>
      <c r="DG69" s="51"/>
      <c r="DH69" s="51"/>
      <c r="DI69" s="50"/>
      <c r="DJ69" s="51"/>
      <c r="DK69" s="51"/>
      <c r="DL69" s="50"/>
      <c r="DM69" s="51"/>
      <c r="DN69" s="51"/>
      <c r="DO69" s="50"/>
      <c r="DP69" s="51"/>
      <c r="DQ69" s="51"/>
      <c r="DR69" s="50"/>
      <c r="DS69" s="51"/>
      <c r="DT69" s="51"/>
      <c r="DU69" s="50"/>
      <c r="DV69" s="51"/>
      <c r="DW69" s="51"/>
      <c r="DX69" s="50"/>
      <c r="DY69" s="51"/>
      <c r="DZ69" s="51"/>
      <c r="EA69" s="50"/>
      <c r="EB69" s="51"/>
      <c r="EC69" s="51"/>
      <c r="ED69" s="50"/>
      <c r="EE69" s="51"/>
      <c r="EF69" s="51"/>
      <c r="EG69" s="50"/>
      <c r="EH69" s="51"/>
      <c r="EI69" s="51"/>
      <c r="EJ69" s="50"/>
      <c r="EK69" s="51"/>
      <c r="EL69" s="51"/>
      <c r="EM69" s="50"/>
      <c r="EN69" s="51"/>
      <c r="EO69" s="51"/>
      <c r="EP69" s="50"/>
      <c r="EQ69" s="51"/>
      <c r="ER69" s="51"/>
      <c r="ES69" s="50"/>
      <c r="ET69" s="51"/>
      <c r="EU69" s="51"/>
      <c r="EV69" s="50"/>
      <c r="EW69" s="51"/>
      <c r="EX69" s="51"/>
      <c r="EY69" s="50"/>
      <c r="EZ69" s="51"/>
      <c r="FA69" s="51"/>
      <c r="FB69" s="50"/>
      <c r="FC69" s="51"/>
      <c r="FD69" s="51"/>
      <c r="FE69" s="50"/>
      <c r="FF69" s="51"/>
      <c r="FG69" s="51"/>
      <c r="FH69" s="50"/>
      <c r="FI69" s="51"/>
      <c r="FJ69" s="51"/>
    </row>
    <row r="70" spans="1:166" s="52" customFormat="1" ht="15.75" x14ac:dyDescent="0.25">
      <c r="A70" s="3"/>
      <c r="B70" s="6" t="s">
        <v>255</v>
      </c>
      <c r="C70" s="1" t="s">
        <v>254</v>
      </c>
      <c r="D70" s="19"/>
      <c r="E70" s="50"/>
      <c r="F70" s="51"/>
      <c r="G70" s="51"/>
      <c r="H70" s="50"/>
      <c r="I70" s="51"/>
      <c r="J70" s="51"/>
      <c r="K70" s="50"/>
      <c r="L70" s="51"/>
      <c r="M70" s="51"/>
      <c r="N70" s="50"/>
      <c r="O70" s="51"/>
      <c r="P70" s="51"/>
      <c r="Q70" s="50"/>
      <c r="R70" s="51"/>
      <c r="S70" s="51"/>
      <c r="T70" s="50"/>
      <c r="U70" s="51"/>
      <c r="V70" s="51"/>
      <c r="W70" s="50"/>
      <c r="X70" s="51"/>
      <c r="Y70" s="51"/>
      <c r="Z70" s="50"/>
      <c r="AA70" s="51"/>
      <c r="AB70" s="51"/>
      <c r="AC70" s="50"/>
      <c r="AD70" s="51"/>
      <c r="AE70" s="51"/>
      <c r="AF70" s="50"/>
      <c r="AG70" s="51"/>
      <c r="AH70" s="51"/>
      <c r="AI70" s="50"/>
      <c r="AJ70" s="51"/>
      <c r="AK70" s="51"/>
      <c r="AL70" s="50"/>
      <c r="AM70" s="51"/>
      <c r="AN70" s="51"/>
      <c r="AO70" s="50"/>
      <c r="AP70" s="51"/>
      <c r="AQ70" s="51"/>
      <c r="AR70" s="50"/>
      <c r="AS70" s="51"/>
      <c r="AT70" s="51"/>
      <c r="AU70" s="50"/>
      <c r="AV70" s="51"/>
      <c r="AW70" s="51"/>
      <c r="AX70" s="50"/>
      <c r="AY70" s="51"/>
      <c r="AZ70" s="51"/>
      <c r="BA70" s="50"/>
      <c r="BB70" s="51"/>
      <c r="BC70" s="51"/>
      <c r="BD70" s="50"/>
      <c r="BE70" s="51"/>
      <c r="BF70" s="51"/>
      <c r="BG70" s="50"/>
      <c r="BH70" s="51"/>
      <c r="BI70" s="51"/>
      <c r="BJ70" s="50"/>
      <c r="BK70" s="51"/>
      <c r="BL70" s="51"/>
      <c r="BM70" s="50"/>
      <c r="BN70" s="51"/>
      <c r="BO70" s="51"/>
      <c r="BP70" s="50"/>
      <c r="BQ70" s="51"/>
      <c r="BR70" s="51"/>
      <c r="BS70" s="50"/>
      <c r="BT70" s="51"/>
      <c r="BU70" s="51"/>
      <c r="BV70" s="50"/>
      <c r="BW70" s="51"/>
      <c r="BX70" s="51"/>
      <c r="BY70" s="50"/>
      <c r="BZ70" s="51"/>
      <c r="CA70" s="51"/>
      <c r="CB70" s="50"/>
      <c r="CC70" s="51"/>
      <c r="CD70" s="51"/>
      <c r="CE70" s="50"/>
      <c r="CF70" s="51"/>
      <c r="CG70" s="51"/>
      <c r="CH70" s="50"/>
      <c r="CI70" s="51"/>
      <c r="CJ70" s="51"/>
      <c r="CK70" s="50"/>
      <c r="CL70" s="51"/>
      <c r="CM70" s="51"/>
      <c r="CN70" s="50"/>
      <c r="CO70" s="51"/>
      <c r="CP70" s="51"/>
      <c r="CQ70" s="50"/>
      <c r="CR70" s="51"/>
      <c r="CS70" s="51"/>
      <c r="CT70" s="50"/>
      <c r="CU70" s="51"/>
      <c r="CV70" s="51"/>
      <c r="CW70" s="50"/>
      <c r="CX70" s="51"/>
      <c r="CY70" s="51"/>
      <c r="CZ70" s="50"/>
      <c r="DA70" s="51"/>
      <c r="DB70" s="51"/>
      <c r="DC70" s="50"/>
      <c r="DD70" s="51"/>
      <c r="DE70" s="51"/>
      <c r="DF70" s="50"/>
      <c r="DG70" s="51"/>
      <c r="DH70" s="51"/>
      <c r="DI70" s="50"/>
      <c r="DJ70" s="51"/>
      <c r="DK70" s="51"/>
      <c r="DL70" s="50"/>
      <c r="DM70" s="51"/>
      <c r="DN70" s="51"/>
      <c r="DO70" s="50"/>
      <c r="DP70" s="51"/>
      <c r="DQ70" s="51"/>
      <c r="DR70" s="50"/>
      <c r="DS70" s="51"/>
      <c r="DT70" s="51"/>
      <c r="DU70" s="50"/>
      <c r="DV70" s="51"/>
      <c r="DW70" s="51"/>
      <c r="DX70" s="50"/>
      <c r="DY70" s="51"/>
      <c r="DZ70" s="51"/>
      <c r="EA70" s="50"/>
      <c r="EB70" s="51"/>
      <c r="EC70" s="51"/>
      <c r="ED70" s="50"/>
      <c r="EE70" s="51"/>
      <c r="EF70" s="51"/>
      <c r="EG70" s="50"/>
      <c r="EH70" s="51"/>
      <c r="EI70" s="51"/>
      <c r="EJ70" s="50"/>
      <c r="EK70" s="51"/>
      <c r="EL70" s="51"/>
      <c r="EM70" s="50"/>
      <c r="EN70" s="51"/>
      <c r="EO70" s="51"/>
      <c r="EP70" s="50"/>
      <c r="EQ70" s="51"/>
      <c r="ER70" s="51"/>
      <c r="ES70" s="50"/>
      <c r="ET70" s="51"/>
      <c r="EU70" s="51"/>
      <c r="EV70" s="50"/>
      <c r="EW70" s="51"/>
      <c r="EX70" s="51"/>
      <c r="EY70" s="50"/>
      <c r="EZ70" s="51"/>
      <c r="FA70" s="51"/>
      <c r="FB70" s="50"/>
      <c r="FC70" s="51"/>
      <c r="FD70" s="51"/>
      <c r="FE70" s="50"/>
      <c r="FF70" s="51"/>
      <c r="FG70" s="51"/>
      <c r="FH70" s="50"/>
      <c r="FI70" s="51"/>
      <c r="FJ70" s="51"/>
    </row>
    <row r="71" spans="1:166" s="52" customFormat="1" ht="15.75" x14ac:dyDescent="0.25">
      <c r="A71" s="3"/>
      <c r="B71" s="6" t="s">
        <v>256</v>
      </c>
      <c r="C71" s="1" t="s">
        <v>249</v>
      </c>
      <c r="D71" s="19"/>
      <c r="E71" s="50"/>
      <c r="F71" s="51"/>
      <c r="G71" s="51"/>
      <c r="H71" s="50"/>
      <c r="I71" s="51"/>
      <c r="J71" s="51"/>
      <c r="K71" s="50"/>
      <c r="L71" s="51"/>
      <c r="M71" s="51"/>
      <c r="N71" s="50"/>
      <c r="O71" s="51"/>
      <c r="P71" s="51"/>
      <c r="Q71" s="50"/>
      <c r="R71" s="51"/>
      <c r="S71" s="51"/>
      <c r="T71" s="50"/>
      <c r="U71" s="51"/>
      <c r="V71" s="51"/>
      <c r="W71" s="50"/>
      <c r="X71" s="51"/>
      <c r="Y71" s="51"/>
      <c r="Z71" s="50"/>
      <c r="AA71" s="51"/>
      <c r="AB71" s="51"/>
      <c r="AC71" s="50"/>
      <c r="AD71" s="51"/>
      <c r="AE71" s="51"/>
      <c r="AF71" s="50"/>
      <c r="AG71" s="51"/>
      <c r="AH71" s="51"/>
      <c r="AI71" s="50"/>
      <c r="AJ71" s="51"/>
      <c r="AK71" s="51"/>
      <c r="AL71" s="50"/>
      <c r="AM71" s="51"/>
      <c r="AN71" s="51"/>
      <c r="AO71" s="50"/>
      <c r="AP71" s="51"/>
      <c r="AQ71" s="51"/>
      <c r="AR71" s="50"/>
      <c r="AS71" s="51"/>
      <c r="AT71" s="51"/>
      <c r="AU71" s="50"/>
      <c r="AV71" s="51"/>
      <c r="AW71" s="51"/>
      <c r="AX71" s="50"/>
      <c r="AY71" s="51"/>
      <c r="AZ71" s="51"/>
      <c r="BA71" s="50"/>
      <c r="BB71" s="51"/>
      <c r="BC71" s="51"/>
      <c r="BD71" s="50"/>
      <c r="BE71" s="51"/>
      <c r="BF71" s="51"/>
      <c r="BG71" s="50"/>
      <c r="BH71" s="51"/>
      <c r="BI71" s="51"/>
      <c r="BJ71" s="50"/>
      <c r="BK71" s="51"/>
      <c r="BL71" s="51"/>
      <c r="BM71" s="50"/>
      <c r="BN71" s="51"/>
      <c r="BO71" s="51"/>
      <c r="BP71" s="50"/>
      <c r="BQ71" s="51"/>
      <c r="BR71" s="51"/>
      <c r="BS71" s="50"/>
      <c r="BT71" s="51"/>
      <c r="BU71" s="51"/>
      <c r="BV71" s="50"/>
      <c r="BW71" s="51"/>
      <c r="BX71" s="51"/>
      <c r="BY71" s="50"/>
      <c r="BZ71" s="51"/>
      <c r="CA71" s="51"/>
      <c r="CB71" s="50"/>
      <c r="CC71" s="51"/>
      <c r="CD71" s="51"/>
      <c r="CE71" s="50"/>
      <c r="CF71" s="51"/>
      <c r="CG71" s="51"/>
      <c r="CH71" s="50"/>
      <c r="CI71" s="51"/>
      <c r="CJ71" s="51"/>
      <c r="CK71" s="50"/>
      <c r="CL71" s="51"/>
      <c r="CM71" s="51"/>
      <c r="CN71" s="50"/>
      <c r="CO71" s="51"/>
      <c r="CP71" s="51"/>
      <c r="CQ71" s="50"/>
      <c r="CR71" s="51"/>
      <c r="CS71" s="51"/>
      <c r="CT71" s="50"/>
      <c r="CU71" s="51"/>
      <c r="CV71" s="51"/>
      <c r="CW71" s="50"/>
      <c r="CX71" s="51"/>
      <c r="CY71" s="51"/>
      <c r="CZ71" s="50"/>
      <c r="DA71" s="51"/>
      <c r="DB71" s="51"/>
      <c r="DC71" s="50"/>
      <c r="DD71" s="51"/>
      <c r="DE71" s="51"/>
      <c r="DF71" s="50"/>
      <c r="DG71" s="51"/>
      <c r="DH71" s="51"/>
      <c r="DI71" s="50"/>
      <c r="DJ71" s="51"/>
      <c r="DK71" s="51"/>
      <c r="DL71" s="50"/>
      <c r="DM71" s="51"/>
      <c r="DN71" s="51"/>
      <c r="DO71" s="50"/>
      <c r="DP71" s="51"/>
      <c r="DQ71" s="51"/>
      <c r="DR71" s="50"/>
      <c r="DS71" s="51"/>
      <c r="DT71" s="51"/>
      <c r="DU71" s="50"/>
      <c r="DV71" s="51"/>
      <c r="DW71" s="51"/>
      <c r="DX71" s="50"/>
      <c r="DY71" s="51"/>
      <c r="DZ71" s="51"/>
      <c r="EA71" s="50"/>
      <c r="EB71" s="51"/>
      <c r="EC71" s="51"/>
      <c r="ED71" s="50"/>
      <c r="EE71" s="51"/>
      <c r="EF71" s="51"/>
      <c r="EG71" s="50"/>
      <c r="EH71" s="51"/>
      <c r="EI71" s="51"/>
      <c r="EJ71" s="50"/>
      <c r="EK71" s="51"/>
      <c r="EL71" s="51"/>
      <c r="EM71" s="50"/>
      <c r="EN71" s="51"/>
      <c r="EO71" s="51"/>
      <c r="EP71" s="50"/>
      <c r="EQ71" s="51"/>
      <c r="ER71" s="51"/>
      <c r="ES71" s="50"/>
      <c r="ET71" s="51"/>
      <c r="EU71" s="51"/>
      <c r="EV71" s="50"/>
      <c r="EW71" s="51"/>
      <c r="EX71" s="51"/>
      <c r="EY71" s="50"/>
      <c r="EZ71" s="51"/>
      <c r="FA71" s="51"/>
      <c r="FB71" s="50"/>
      <c r="FC71" s="51"/>
      <c r="FD71" s="51"/>
      <c r="FE71" s="50"/>
      <c r="FF71" s="51"/>
      <c r="FG71" s="51"/>
      <c r="FH71" s="50"/>
      <c r="FI71" s="51"/>
      <c r="FJ71" s="51"/>
    </row>
    <row r="72" spans="1:166" s="52" customFormat="1" ht="15.75" x14ac:dyDescent="0.25">
      <c r="A72" s="3"/>
      <c r="B72" s="6" t="s">
        <v>256</v>
      </c>
      <c r="C72" s="1" t="s">
        <v>250</v>
      </c>
      <c r="D72" s="19"/>
      <c r="E72" s="50"/>
      <c r="F72" s="51"/>
      <c r="G72" s="51"/>
      <c r="H72" s="50"/>
      <c r="I72" s="51"/>
      <c r="J72" s="51"/>
      <c r="K72" s="50"/>
      <c r="L72" s="51"/>
      <c r="M72" s="51"/>
      <c r="N72" s="50"/>
      <c r="O72" s="51"/>
      <c r="P72" s="51"/>
      <c r="Q72" s="50"/>
      <c r="R72" s="51"/>
      <c r="S72" s="51"/>
      <c r="T72" s="50"/>
      <c r="U72" s="51"/>
      <c r="V72" s="51"/>
      <c r="W72" s="50"/>
      <c r="X72" s="51"/>
      <c r="Y72" s="51"/>
      <c r="Z72" s="50"/>
      <c r="AA72" s="51"/>
      <c r="AB72" s="51"/>
      <c r="AC72" s="50"/>
      <c r="AD72" s="51"/>
      <c r="AE72" s="51"/>
      <c r="AF72" s="50"/>
      <c r="AG72" s="51"/>
      <c r="AH72" s="51"/>
      <c r="AI72" s="50"/>
      <c r="AJ72" s="51"/>
      <c r="AK72" s="51"/>
      <c r="AL72" s="50"/>
      <c r="AM72" s="51"/>
      <c r="AN72" s="51"/>
      <c r="AO72" s="50"/>
      <c r="AP72" s="51"/>
      <c r="AQ72" s="51"/>
      <c r="AR72" s="50"/>
      <c r="AS72" s="51"/>
      <c r="AT72" s="51"/>
      <c r="AU72" s="50"/>
      <c r="AV72" s="51"/>
      <c r="AW72" s="51"/>
      <c r="AX72" s="50"/>
      <c r="AY72" s="51"/>
      <c r="AZ72" s="51"/>
      <c r="BA72" s="50"/>
      <c r="BB72" s="51"/>
      <c r="BC72" s="51"/>
      <c r="BD72" s="50"/>
      <c r="BE72" s="51"/>
      <c r="BF72" s="51"/>
      <c r="BG72" s="50"/>
      <c r="BH72" s="51"/>
      <c r="BI72" s="51"/>
      <c r="BJ72" s="50"/>
      <c r="BK72" s="51"/>
      <c r="BL72" s="51"/>
      <c r="BM72" s="50"/>
      <c r="BN72" s="51"/>
      <c r="BO72" s="51"/>
      <c r="BP72" s="50"/>
      <c r="BQ72" s="51"/>
      <c r="BR72" s="51"/>
      <c r="BS72" s="50"/>
      <c r="BT72" s="51"/>
      <c r="BU72" s="51"/>
      <c r="BV72" s="50"/>
      <c r="BW72" s="51"/>
      <c r="BX72" s="51"/>
      <c r="BY72" s="50"/>
      <c r="BZ72" s="51"/>
      <c r="CA72" s="51"/>
      <c r="CB72" s="50"/>
      <c r="CC72" s="51"/>
      <c r="CD72" s="51"/>
      <c r="CE72" s="50"/>
      <c r="CF72" s="51"/>
      <c r="CG72" s="51"/>
      <c r="CH72" s="50"/>
      <c r="CI72" s="51"/>
      <c r="CJ72" s="51"/>
      <c r="CK72" s="50"/>
      <c r="CL72" s="51"/>
      <c r="CM72" s="51"/>
      <c r="CN72" s="50"/>
      <c r="CO72" s="51"/>
      <c r="CP72" s="51"/>
      <c r="CQ72" s="50"/>
      <c r="CR72" s="51"/>
      <c r="CS72" s="51"/>
      <c r="CT72" s="50"/>
      <c r="CU72" s="51"/>
      <c r="CV72" s="51"/>
      <c r="CW72" s="50"/>
      <c r="CX72" s="51"/>
      <c r="CY72" s="51"/>
      <c r="CZ72" s="50"/>
      <c r="DA72" s="51"/>
      <c r="DB72" s="51"/>
      <c r="DC72" s="50"/>
      <c r="DD72" s="51"/>
      <c r="DE72" s="51"/>
      <c r="DF72" s="50"/>
      <c r="DG72" s="51"/>
      <c r="DH72" s="51"/>
      <c r="DI72" s="50"/>
      <c r="DJ72" s="51"/>
      <c r="DK72" s="51"/>
      <c r="DL72" s="50"/>
      <c r="DM72" s="51"/>
      <c r="DN72" s="51"/>
      <c r="DO72" s="50"/>
      <c r="DP72" s="51"/>
      <c r="DQ72" s="51"/>
      <c r="DR72" s="50"/>
      <c r="DS72" s="51"/>
      <c r="DT72" s="51"/>
      <c r="DU72" s="50"/>
      <c r="DV72" s="51"/>
      <c r="DW72" s="51"/>
      <c r="DX72" s="50"/>
      <c r="DY72" s="51"/>
      <c r="DZ72" s="51"/>
      <c r="EA72" s="50"/>
      <c r="EB72" s="51"/>
      <c r="EC72" s="51"/>
      <c r="ED72" s="50"/>
      <c r="EE72" s="51"/>
      <c r="EF72" s="51"/>
      <c r="EG72" s="50"/>
      <c r="EH72" s="51"/>
      <c r="EI72" s="51"/>
      <c r="EJ72" s="50"/>
      <c r="EK72" s="51"/>
      <c r="EL72" s="51"/>
      <c r="EM72" s="50"/>
      <c r="EN72" s="51"/>
      <c r="EO72" s="51"/>
      <c r="EP72" s="50"/>
      <c r="EQ72" s="51"/>
      <c r="ER72" s="51"/>
      <c r="ES72" s="50"/>
      <c r="ET72" s="51"/>
      <c r="EU72" s="51"/>
      <c r="EV72" s="50"/>
      <c r="EW72" s="51"/>
      <c r="EX72" s="51"/>
      <c r="EY72" s="50"/>
      <c r="EZ72" s="51"/>
      <c r="FA72" s="51"/>
      <c r="FB72" s="50"/>
      <c r="FC72" s="51"/>
      <c r="FD72" s="51"/>
      <c r="FE72" s="50"/>
      <c r="FF72" s="51"/>
      <c r="FG72" s="51"/>
      <c r="FH72" s="50"/>
      <c r="FI72" s="51"/>
      <c r="FJ72" s="51"/>
    </row>
    <row r="73" spans="1:166" s="52" customFormat="1" ht="15.75" x14ac:dyDescent="0.25">
      <c r="A73" s="3"/>
      <c r="B73" s="6" t="s">
        <v>256</v>
      </c>
      <c r="C73" s="1" t="s">
        <v>251</v>
      </c>
      <c r="D73" s="19"/>
      <c r="E73" s="50"/>
      <c r="F73" s="51"/>
      <c r="G73" s="51"/>
      <c r="H73" s="50"/>
      <c r="I73" s="51"/>
      <c r="J73" s="51"/>
      <c r="K73" s="50"/>
      <c r="L73" s="51"/>
      <c r="M73" s="51"/>
      <c r="N73" s="50"/>
      <c r="O73" s="51"/>
      <c r="P73" s="51"/>
      <c r="Q73" s="50"/>
      <c r="R73" s="51"/>
      <c r="S73" s="51"/>
      <c r="T73" s="50"/>
      <c r="U73" s="51"/>
      <c r="V73" s="51"/>
      <c r="W73" s="50"/>
      <c r="X73" s="51"/>
      <c r="Y73" s="51"/>
      <c r="Z73" s="50"/>
      <c r="AA73" s="51"/>
      <c r="AB73" s="51"/>
      <c r="AC73" s="50"/>
      <c r="AD73" s="51"/>
      <c r="AE73" s="51"/>
      <c r="AF73" s="50"/>
      <c r="AG73" s="51"/>
      <c r="AH73" s="51"/>
      <c r="AI73" s="50"/>
      <c r="AJ73" s="51"/>
      <c r="AK73" s="51"/>
      <c r="AL73" s="50"/>
      <c r="AM73" s="51"/>
      <c r="AN73" s="51"/>
      <c r="AO73" s="50"/>
      <c r="AP73" s="51"/>
      <c r="AQ73" s="51"/>
      <c r="AR73" s="50"/>
      <c r="AS73" s="51"/>
      <c r="AT73" s="51"/>
      <c r="AU73" s="50"/>
      <c r="AV73" s="51"/>
      <c r="AW73" s="51"/>
      <c r="AX73" s="50"/>
      <c r="AY73" s="51"/>
      <c r="AZ73" s="51"/>
      <c r="BA73" s="50"/>
      <c r="BB73" s="51"/>
      <c r="BC73" s="51"/>
      <c r="BD73" s="50"/>
      <c r="BE73" s="51"/>
      <c r="BF73" s="51"/>
      <c r="BG73" s="50"/>
      <c r="BH73" s="51"/>
      <c r="BI73" s="51"/>
      <c r="BJ73" s="50"/>
      <c r="BK73" s="51"/>
      <c r="BL73" s="51"/>
      <c r="BM73" s="50"/>
      <c r="BN73" s="51"/>
      <c r="BO73" s="51"/>
      <c r="BP73" s="50"/>
      <c r="BQ73" s="51"/>
      <c r="BR73" s="51"/>
      <c r="BS73" s="50"/>
      <c r="BT73" s="51"/>
      <c r="BU73" s="51"/>
      <c r="BV73" s="50"/>
      <c r="BW73" s="51"/>
      <c r="BX73" s="51"/>
      <c r="BY73" s="50"/>
      <c r="BZ73" s="51"/>
      <c r="CA73" s="51"/>
      <c r="CB73" s="50"/>
      <c r="CC73" s="51"/>
      <c r="CD73" s="51"/>
      <c r="CE73" s="50"/>
      <c r="CF73" s="51"/>
      <c r="CG73" s="51"/>
      <c r="CH73" s="50"/>
      <c r="CI73" s="51"/>
      <c r="CJ73" s="51"/>
      <c r="CK73" s="50"/>
      <c r="CL73" s="51"/>
      <c r="CM73" s="51"/>
      <c r="CN73" s="50"/>
      <c r="CO73" s="51"/>
      <c r="CP73" s="51"/>
      <c r="CQ73" s="50"/>
      <c r="CR73" s="51"/>
      <c r="CS73" s="51"/>
      <c r="CT73" s="50"/>
      <c r="CU73" s="51"/>
      <c r="CV73" s="51"/>
      <c r="CW73" s="50"/>
      <c r="CX73" s="51"/>
      <c r="CY73" s="51"/>
      <c r="CZ73" s="50"/>
      <c r="DA73" s="51"/>
      <c r="DB73" s="51"/>
      <c r="DC73" s="50"/>
      <c r="DD73" s="51"/>
      <c r="DE73" s="51"/>
      <c r="DF73" s="50"/>
      <c r="DG73" s="51"/>
      <c r="DH73" s="51"/>
      <c r="DI73" s="50"/>
      <c r="DJ73" s="51"/>
      <c r="DK73" s="51"/>
      <c r="DL73" s="50"/>
      <c r="DM73" s="51"/>
      <c r="DN73" s="51"/>
      <c r="DO73" s="50"/>
      <c r="DP73" s="51"/>
      <c r="DQ73" s="51"/>
      <c r="DR73" s="50"/>
      <c r="DS73" s="51"/>
      <c r="DT73" s="51"/>
      <c r="DU73" s="50"/>
      <c r="DV73" s="51"/>
      <c r="DW73" s="51"/>
      <c r="DX73" s="50"/>
      <c r="DY73" s="51"/>
      <c r="DZ73" s="51"/>
      <c r="EA73" s="50"/>
      <c r="EB73" s="51"/>
      <c r="EC73" s="51"/>
      <c r="ED73" s="50"/>
      <c r="EE73" s="51"/>
      <c r="EF73" s="51"/>
      <c r="EG73" s="50"/>
      <c r="EH73" s="51"/>
      <c r="EI73" s="51"/>
      <c r="EJ73" s="50"/>
      <c r="EK73" s="51"/>
      <c r="EL73" s="51"/>
      <c r="EM73" s="50"/>
      <c r="EN73" s="51"/>
      <c r="EO73" s="51"/>
      <c r="EP73" s="50"/>
      <c r="EQ73" s="51"/>
      <c r="ER73" s="51"/>
      <c r="ES73" s="50"/>
      <c r="ET73" s="51"/>
      <c r="EU73" s="51"/>
      <c r="EV73" s="50"/>
      <c r="EW73" s="51"/>
      <c r="EX73" s="51"/>
      <c r="EY73" s="50"/>
      <c r="EZ73" s="51"/>
      <c r="FA73" s="51"/>
      <c r="FB73" s="50"/>
      <c r="FC73" s="51"/>
      <c r="FD73" s="51"/>
      <c r="FE73" s="50"/>
      <c r="FF73" s="51"/>
      <c r="FG73" s="51"/>
      <c r="FH73" s="50"/>
      <c r="FI73" s="51"/>
      <c r="FJ73" s="51"/>
    </row>
    <row r="74" spans="1:166" s="52" customFormat="1" ht="15.75" x14ac:dyDescent="0.25">
      <c r="A74" s="3"/>
      <c r="B74" s="6" t="s">
        <v>256</v>
      </c>
      <c r="C74" s="1" t="s">
        <v>252</v>
      </c>
      <c r="D74" s="19"/>
      <c r="E74" s="50"/>
      <c r="F74" s="51"/>
      <c r="G74" s="51"/>
      <c r="H74" s="50"/>
      <c r="I74" s="51"/>
      <c r="J74" s="51"/>
      <c r="K74" s="50"/>
      <c r="L74" s="51"/>
      <c r="M74" s="51"/>
      <c r="N74" s="50"/>
      <c r="O74" s="51"/>
      <c r="P74" s="51"/>
      <c r="Q74" s="50"/>
      <c r="R74" s="51"/>
      <c r="S74" s="51"/>
      <c r="T74" s="50"/>
      <c r="U74" s="51"/>
      <c r="V74" s="51"/>
      <c r="W74" s="50"/>
      <c r="X74" s="51"/>
      <c r="Y74" s="51"/>
      <c r="Z74" s="50"/>
      <c r="AA74" s="51"/>
      <c r="AB74" s="51"/>
      <c r="AC74" s="50"/>
      <c r="AD74" s="51"/>
      <c r="AE74" s="51"/>
      <c r="AF74" s="50"/>
      <c r="AG74" s="51"/>
      <c r="AH74" s="51"/>
      <c r="AI74" s="50"/>
      <c r="AJ74" s="51"/>
      <c r="AK74" s="51"/>
      <c r="AL74" s="50"/>
      <c r="AM74" s="51"/>
      <c r="AN74" s="51"/>
      <c r="AO74" s="50"/>
      <c r="AP74" s="51"/>
      <c r="AQ74" s="51"/>
      <c r="AR74" s="50"/>
      <c r="AS74" s="51"/>
      <c r="AT74" s="51"/>
      <c r="AU74" s="50"/>
      <c r="AV74" s="51"/>
      <c r="AW74" s="51"/>
      <c r="AX74" s="50"/>
      <c r="AY74" s="51"/>
      <c r="AZ74" s="51"/>
      <c r="BA74" s="50"/>
      <c r="BB74" s="51"/>
      <c r="BC74" s="51"/>
      <c r="BD74" s="50"/>
      <c r="BE74" s="51"/>
      <c r="BF74" s="51"/>
      <c r="BG74" s="50"/>
      <c r="BH74" s="51"/>
      <c r="BI74" s="51"/>
      <c r="BJ74" s="50"/>
      <c r="BK74" s="51"/>
      <c r="BL74" s="51"/>
      <c r="BM74" s="50"/>
      <c r="BN74" s="51"/>
      <c r="BO74" s="51"/>
      <c r="BP74" s="50"/>
      <c r="BQ74" s="51"/>
      <c r="BR74" s="51"/>
      <c r="BS74" s="50"/>
      <c r="BT74" s="51"/>
      <c r="BU74" s="51"/>
      <c r="BV74" s="50"/>
      <c r="BW74" s="51"/>
      <c r="BX74" s="51"/>
      <c r="BY74" s="50"/>
      <c r="BZ74" s="51"/>
      <c r="CA74" s="51"/>
      <c r="CB74" s="50"/>
      <c r="CC74" s="51"/>
      <c r="CD74" s="51"/>
      <c r="CE74" s="50"/>
      <c r="CF74" s="51"/>
      <c r="CG74" s="51"/>
      <c r="CH74" s="50"/>
      <c r="CI74" s="51"/>
      <c r="CJ74" s="51"/>
      <c r="CK74" s="50"/>
      <c r="CL74" s="51"/>
      <c r="CM74" s="51"/>
      <c r="CN74" s="50"/>
      <c r="CO74" s="51"/>
      <c r="CP74" s="51"/>
      <c r="CQ74" s="50"/>
      <c r="CR74" s="51"/>
      <c r="CS74" s="51"/>
      <c r="CT74" s="50"/>
      <c r="CU74" s="51"/>
      <c r="CV74" s="51"/>
      <c r="CW74" s="50"/>
      <c r="CX74" s="51"/>
      <c r="CY74" s="51"/>
      <c r="CZ74" s="50"/>
      <c r="DA74" s="51"/>
      <c r="DB74" s="51"/>
      <c r="DC74" s="50"/>
      <c r="DD74" s="51"/>
      <c r="DE74" s="51"/>
      <c r="DF74" s="50"/>
      <c r="DG74" s="51"/>
      <c r="DH74" s="51"/>
      <c r="DI74" s="50"/>
      <c r="DJ74" s="51"/>
      <c r="DK74" s="51"/>
      <c r="DL74" s="50"/>
      <c r="DM74" s="51"/>
      <c r="DN74" s="51"/>
      <c r="DO74" s="50"/>
      <c r="DP74" s="51"/>
      <c r="DQ74" s="51"/>
      <c r="DR74" s="50"/>
      <c r="DS74" s="51"/>
      <c r="DT74" s="51"/>
      <c r="DU74" s="50"/>
      <c r="DV74" s="51"/>
      <c r="DW74" s="51"/>
      <c r="DX74" s="50"/>
      <c r="DY74" s="51"/>
      <c r="DZ74" s="51"/>
      <c r="EA74" s="50"/>
      <c r="EB74" s="51"/>
      <c r="EC74" s="51"/>
      <c r="ED74" s="50"/>
      <c r="EE74" s="51"/>
      <c r="EF74" s="51"/>
      <c r="EG74" s="50"/>
      <c r="EH74" s="51"/>
      <c r="EI74" s="51"/>
      <c r="EJ74" s="50"/>
      <c r="EK74" s="51"/>
      <c r="EL74" s="51"/>
      <c r="EM74" s="50"/>
      <c r="EN74" s="51"/>
      <c r="EO74" s="51"/>
      <c r="EP74" s="50"/>
      <c r="EQ74" s="51"/>
      <c r="ER74" s="51"/>
      <c r="ES74" s="50"/>
      <c r="ET74" s="51"/>
      <c r="EU74" s="51"/>
      <c r="EV74" s="50"/>
      <c r="EW74" s="51"/>
      <c r="EX74" s="51"/>
      <c r="EY74" s="50"/>
      <c r="EZ74" s="51"/>
      <c r="FA74" s="51"/>
      <c r="FB74" s="50"/>
      <c r="FC74" s="51"/>
      <c r="FD74" s="51"/>
      <c r="FE74" s="50"/>
      <c r="FF74" s="51"/>
      <c r="FG74" s="51"/>
      <c r="FH74" s="50"/>
      <c r="FI74" s="51"/>
      <c r="FJ74" s="51"/>
    </row>
    <row r="75" spans="1:166" s="52" customFormat="1" ht="15.75" x14ac:dyDescent="0.25">
      <c r="A75" s="3"/>
      <c r="B75" s="6" t="s">
        <v>256</v>
      </c>
      <c r="C75" s="1" t="s">
        <v>253</v>
      </c>
      <c r="D75" s="19"/>
      <c r="E75" s="50"/>
      <c r="F75" s="51"/>
      <c r="G75" s="51"/>
      <c r="H75" s="50"/>
      <c r="I75" s="51"/>
      <c r="J75" s="51"/>
      <c r="K75" s="50"/>
      <c r="L75" s="51"/>
      <c r="M75" s="51"/>
      <c r="N75" s="50"/>
      <c r="O75" s="51"/>
      <c r="P75" s="51"/>
      <c r="Q75" s="50"/>
      <c r="R75" s="51"/>
      <c r="S75" s="51"/>
      <c r="T75" s="50"/>
      <c r="U75" s="51"/>
      <c r="V75" s="51"/>
      <c r="W75" s="50"/>
      <c r="X75" s="51"/>
      <c r="Y75" s="51"/>
      <c r="Z75" s="50"/>
      <c r="AA75" s="51"/>
      <c r="AB75" s="51"/>
      <c r="AC75" s="50"/>
      <c r="AD75" s="51"/>
      <c r="AE75" s="51"/>
      <c r="AF75" s="50"/>
      <c r="AG75" s="51"/>
      <c r="AH75" s="51"/>
      <c r="AI75" s="50"/>
      <c r="AJ75" s="51"/>
      <c r="AK75" s="51"/>
      <c r="AL75" s="50"/>
      <c r="AM75" s="51"/>
      <c r="AN75" s="51"/>
      <c r="AO75" s="50"/>
      <c r="AP75" s="51"/>
      <c r="AQ75" s="51"/>
      <c r="AR75" s="50"/>
      <c r="AS75" s="51"/>
      <c r="AT75" s="51"/>
      <c r="AU75" s="50"/>
      <c r="AV75" s="51"/>
      <c r="AW75" s="51"/>
      <c r="AX75" s="50"/>
      <c r="AY75" s="51"/>
      <c r="AZ75" s="51"/>
      <c r="BA75" s="50"/>
      <c r="BB75" s="51"/>
      <c r="BC75" s="51"/>
      <c r="BD75" s="50"/>
      <c r="BE75" s="51"/>
      <c r="BF75" s="51"/>
      <c r="BG75" s="50"/>
      <c r="BH75" s="51"/>
      <c r="BI75" s="51"/>
      <c r="BJ75" s="50"/>
      <c r="BK75" s="51"/>
      <c r="BL75" s="51"/>
      <c r="BM75" s="50"/>
      <c r="BN75" s="51"/>
      <c r="BO75" s="51"/>
      <c r="BP75" s="50"/>
      <c r="BQ75" s="51"/>
      <c r="BR75" s="51"/>
      <c r="BS75" s="50"/>
      <c r="BT75" s="51"/>
      <c r="BU75" s="51"/>
      <c r="BV75" s="50"/>
      <c r="BW75" s="51"/>
      <c r="BX75" s="51"/>
      <c r="BY75" s="50"/>
      <c r="BZ75" s="51"/>
      <c r="CA75" s="51"/>
      <c r="CB75" s="50"/>
      <c r="CC75" s="51"/>
      <c r="CD75" s="51"/>
      <c r="CE75" s="50"/>
      <c r="CF75" s="51"/>
      <c r="CG75" s="51"/>
      <c r="CH75" s="50"/>
      <c r="CI75" s="51"/>
      <c r="CJ75" s="51"/>
      <c r="CK75" s="50"/>
      <c r="CL75" s="51"/>
      <c r="CM75" s="51"/>
      <c r="CN75" s="50"/>
      <c r="CO75" s="51"/>
      <c r="CP75" s="51"/>
      <c r="CQ75" s="50"/>
      <c r="CR75" s="51"/>
      <c r="CS75" s="51"/>
      <c r="CT75" s="50"/>
      <c r="CU75" s="51"/>
      <c r="CV75" s="51"/>
      <c r="CW75" s="50"/>
      <c r="CX75" s="51"/>
      <c r="CY75" s="51"/>
      <c r="CZ75" s="50"/>
      <c r="DA75" s="51"/>
      <c r="DB75" s="51"/>
      <c r="DC75" s="50"/>
      <c r="DD75" s="51"/>
      <c r="DE75" s="51"/>
      <c r="DF75" s="50"/>
      <c r="DG75" s="51"/>
      <c r="DH75" s="51"/>
      <c r="DI75" s="50"/>
      <c r="DJ75" s="51"/>
      <c r="DK75" s="51"/>
      <c r="DL75" s="50"/>
      <c r="DM75" s="51"/>
      <c r="DN75" s="51"/>
      <c r="DO75" s="50"/>
      <c r="DP75" s="51"/>
      <c r="DQ75" s="51"/>
      <c r="DR75" s="50"/>
      <c r="DS75" s="51"/>
      <c r="DT75" s="51"/>
      <c r="DU75" s="50"/>
      <c r="DV75" s="51"/>
      <c r="DW75" s="51"/>
      <c r="DX75" s="50"/>
      <c r="DY75" s="51"/>
      <c r="DZ75" s="51"/>
      <c r="EA75" s="50"/>
      <c r="EB75" s="51"/>
      <c r="EC75" s="51"/>
      <c r="ED75" s="50"/>
      <c r="EE75" s="51"/>
      <c r="EF75" s="51"/>
      <c r="EG75" s="50"/>
      <c r="EH75" s="51"/>
      <c r="EI75" s="51"/>
      <c r="EJ75" s="50"/>
      <c r="EK75" s="51"/>
      <c r="EL75" s="51"/>
      <c r="EM75" s="50"/>
      <c r="EN75" s="51"/>
      <c r="EO75" s="51"/>
      <c r="EP75" s="50"/>
      <c r="EQ75" s="51"/>
      <c r="ER75" s="51"/>
      <c r="ES75" s="50"/>
      <c r="ET75" s="51"/>
      <c r="EU75" s="51"/>
      <c r="EV75" s="50"/>
      <c r="EW75" s="51"/>
      <c r="EX75" s="51"/>
      <c r="EY75" s="50"/>
      <c r="EZ75" s="51"/>
      <c r="FA75" s="51"/>
      <c r="FB75" s="50"/>
      <c r="FC75" s="51"/>
      <c r="FD75" s="51"/>
      <c r="FE75" s="50"/>
      <c r="FF75" s="51"/>
      <c r="FG75" s="51"/>
      <c r="FH75" s="50"/>
      <c r="FI75" s="51"/>
      <c r="FJ75" s="51"/>
    </row>
    <row r="76" spans="1:166" s="52" customFormat="1" ht="15.75" x14ac:dyDescent="0.25">
      <c r="A76" s="3"/>
      <c r="B76" s="6" t="s">
        <v>256</v>
      </c>
      <c r="C76" s="1" t="s">
        <v>254</v>
      </c>
      <c r="D76" s="19"/>
      <c r="E76" s="50"/>
      <c r="F76" s="51"/>
      <c r="G76" s="51"/>
      <c r="H76" s="50"/>
      <c r="I76" s="51"/>
      <c r="J76" s="51"/>
      <c r="K76" s="50"/>
      <c r="L76" s="51"/>
      <c r="M76" s="51"/>
      <c r="N76" s="50"/>
      <c r="O76" s="51"/>
      <c r="P76" s="51"/>
      <c r="Q76" s="50"/>
      <c r="R76" s="51"/>
      <c r="S76" s="51"/>
      <c r="T76" s="50"/>
      <c r="U76" s="51"/>
      <c r="V76" s="51"/>
      <c r="W76" s="50"/>
      <c r="X76" s="51"/>
      <c r="Y76" s="51"/>
      <c r="Z76" s="50"/>
      <c r="AA76" s="51"/>
      <c r="AB76" s="51"/>
      <c r="AC76" s="50"/>
      <c r="AD76" s="51"/>
      <c r="AE76" s="51"/>
      <c r="AF76" s="50"/>
      <c r="AG76" s="51"/>
      <c r="AH76" s="51"/>
      <c r="AI76" s="50"/>
      <c r="AJ76" s="51"/>
      <c r="AK76" s="51"/>
      <c r="AL76" s="50"/>
      <c r="AM76" s="51"/>
      <c r="AN76" s="51"/>
      <c r="AO76" s="50"/>
      <c r="AP76" s="51"/>
      <c r="AQ76" s="51"/>
      <c r="AR76" s="50"/>
      <c r="AS76" s="51"/>
      <c r="AT76" s="51"/>
      <c r="AU76" s="50"/>
      <c r="AV76" s="51"/>
      <c r="AW76" s="51"/>
      <c r="AX76" s="50"/>
      <c r="AY76" s="51"/>
      <c r="AZ76" s="51"/>
      <c r="BA76" s="50"/>
      <c r="BB76" s="51"/>
      <c r="BC76" s="51"/>
      <c r="BD76" s="50"/>
      <c r="BE76" s="51"/>
      <c r="BF76" s="51"/>
      <c r="BG76" s="50"/>
      <c r="BH76" s="51"/>
      <c r="BI76" s="51"/>
      <c r="BJ76" s="50"/>
      <c r="BK76" s="51"/>
      <c r="BL76" s="51"/>
      <c r="BM76" s="50"/>
      <c r="BN76" s="51"/>
      <c r="BO76" s="51"/>
      <c r="BP76" s="50"/>
      <c r="BQ76" s="51"/>
      <c r="BR76" s="51"/>
      <c r="BS76" s="50"/>
      <c r="BT76" s="51"/>
      <c r="BU76" s="51"/>
      <c r="BV76" s="50"/>
      <c r="BW76" s="51"/>
      <c r="BX76" s="51"/>
      <c r="BY76" s="50"/>
      <c r="BZ76" s="51"/>
      <c r="CA76" s="51"/>
      <c r="CB76" s="50"/>
      <c r="CC76" s="51"/>
      <c r="CD76" s="51"/>
      <c r="CE76" s="50"/>
      <c r="CF76" s="51"/>
      <c r="CG76" s="51"/>
      <c r="CH76" s="50"/>
      <c r="CI76" s="51"/>
      <c r="CJ76" s="51"/>
      <c r="CK76" s="50"/>
      <c r="CL76" s="51"/>
      <c r="CM76" s="51"/>
      <c r="CN76" s="50"/>
      <c r="CO76" s="51"/>
      <c r="CP76" s="51"/>
      <c r="CQ76" s="50"/>
      <c r="CR76" s="51"/>
      <c r="CS76" s="51"/>
      <c r="CT76" s="50"/>
      <c r="CU76" s="51"/>
      <c r="CV76" s="51"/>
      <c r="CW76" s="50"/>
      <c r="CX76" s="51"/>
      <c r="CY76" s="51"/>
      <c r="CZ76" s="50"/>
      <c r="DA76" s="51"/>
      <c r="DB76" s="51"/>
      <c r="DC76" s="50"/>
      <c r="DD76" s="51"/>
      <c r="DE76" s="51"/>
      <c r="DF76" s="50"/>
      <c r="DG76" s="51"/>
      <c r="DH76" s="51"/>
      <c r="DI76" s="50"/>
      <c r="DJ76" s="51"/>
      <c r="DK76" s="51"/>
      <c r="DL76" s="50"/>
      <c r="DM76" s="51"/>
      <c r="DN76" s="51"/>
      <c r="DO76" s="50"/>
      <c r="DP76" s="51"/>
      <c r="DQ76" s="51"/>
      <c r="DR76" s="50"/>
      <c r="DS76" s="51"/>
      <c r="DT76" s="51"/>
      <c r="DU76" s="50"/>
      <c r="DV76" s="51"/>
      <c r="DW76" s="51"/>
      <c r="DX76" s="50"/>
      <c r="DY76" s="51"/>
      <c r="DZ76" s="51"/>
      <c r="EA76" s="50"/>
      <c r="EB76" s="51"/>
      <c r="EC76" s="51"/>
      <c r="ED76" s="50"/>
      <c r="EE76" s="51"/>
      <c r="EF76" s="51"/>
      <c r="EG76" s="50"/>
      <c r="EH76" s="51"/>
      <c r="EI76" s="51"/>
      <c r="EJ76" s="50"/>
      <c r="EK76" s="51"/>
      <c r="EL76" s="51"/>
      <c r="EM76" s="50"/>
      <c r="EN76" s="51"/>
      <c r="EO76" s="51"/>
      <c r="EP76" s="50"/>
      <c r="EQ76" s="51"/>
      <c r="ER76" s="51"/>
      <c r="ES76" s="50"/>
      <c r="ET76" s="51"/>
      <c r="EU76" s="51"/>
      <c r="EV76" s="50"/>
      <c r="EW76" s="51"/>
      <c r="EX76" s="51"/>
      <c r="EY76" s="50"/>
      <c r="EZ76" s="51"/>
      <c r="FA76" s="51"/>
      <c r="FB76" s="50"/>
      <c r="FC76" s="51"/>
      <c r="FD76" s="51"/>
      <c r="FE76" s="50"/>
      <c r="FF76" s="51"/>
      <c r="FG76" s="51"/>
      <c r="FH76" s="50"/>
      <c r="FI76" s="51"/>
      <c r="FJ76" s="51"/>
    </row>
    <row r="77" spans="1:166" s="52" customFormat="1" ht="15.75" x14ac:dyDescent="0.25">
      <c r="A77" s="3"/>
      <c r="B77" s="6" t="s">
        <v>257</v>
      </c>
      <c r="C77" s="1" t="s">
        <v>249</v>
      </c>
      <c r="D77" s="19"/>
      <c r="E77" s="50"/>
      <c r="F77" s="51"/>
      <c r="G77" s="51"/>
      <c r="H77" s="50"/>
      <c r="I77" s="51"/>
      <c r="J77" s="51"/>
      <c r="K77" s="50"/>
      <c r="L77" s="51"/>
      <c r="M77" s="51"/>
      <c r="N77" s="50"/>
      <c r="O77" s="51"/>
      <c r="P77" s="51"/>
      <c r="Q77" s="50"/>
      <c r="R77" s="51"/>
      <c r="S77" s="51"/>
      <c r="T77" s="50"/>
      <c r="U77" s="51"/>
      <c r="V77" s="51"/>
      <c r="W77" s="50"/>
      <c r="X77" s="51"/>
      <c r="Y77" s="51"/>
      <c r="Z77" s="50"/>
      <c r="AA77" s="51"/>
      <c r="AB77" s="51"/>
      <c r="AC77" s="50"/>
      <c r="AD77" s="51"/>
      <c r="AE77" s="51"/>
      <c r="AF77" s="50"/>
      <c r="AG77" s="51"/>
      <c r="AH77" s="51"/>
      <c r="AI77" s="50"/>
      <c r="AJ77" s="51"/>
      <c r="AK77" s="51"/>
      <c r="AL77" s="50"/>
      <c r="AM77" s="51"/>
      <c r="AN77" s="51"/>
      <c r="AO77" s="50"/>
      <c r="AP77" s="51"/>
      <c r="AQ77" s="51"/>
      <c r="AR77" s="50"/>
      <c r="AS77" s="51"/>
      <c r="AT77" s="51"/>
      <c r="AU77" s="50"/>
      <c r="AV77" s="51"/>
      <c r="AW77" s="51"/>
      <c r="AX77" s="50"/>
      <c r="AY77" s="51"/>
      <c r="AZ77" s="51"/>
      <c r="BA77" s="50"/>
      <c r="BB77" s="51"/>
      <c r="BC77" s="51"/>
      <c r="BD77" s="50"/>
      <c r="BE77" s="51"/>
      <c r="BF77" s="51"/>
      <c r="BG77" s="50"/>
      <c r="BH77" s="51"/>
      <c r="BI77" s="51"/>
      <c r="BJ77" s="50"/>
      <c r="BK77" s="51"/>
      <c r="BL77" s="51"/>
      <c r="BM77" s="50"/>
      <c r="BN77" s="51"/>
      <c r="BO77" s="51"/>
      <c r="BP77" s="50"/>
      <c r="BQ77" s="51"/>
      <c r="BR77" s="51"/>
      <c r="BS77" s="50"/>
      <c r="BT77" s="51"/>
      <c r="BU77" s="51"/>
      <c r="BV77" s="50"/>
      <c r="BW77" s="51"/>
      <c r="BX77" s="51"/>
      <c r="BY77" s="50"/>
      <c r="BZ77" s="51"/>
      <c r="CA77" s="51"/>
      <c r="CB77" s="50"/>
      <c r="CC77" s="51"/>
      <c r="CD77" s="51"/>
      <c r="CE77" s="50"/>
      <c r="CF77" s="51"/>
      <c r="CG77" s="51"/>
      <c r="CH77" s="50"/>
      <c r="CI77" s="51"/>
      <c r="CJ77" s="51"/>
      <c r="CK77" s="50"/>
      <c r="CL77" s="51"/>
      <c r="CM77" s="51"/>
      <c r="CN77" s="50"/>
      <c r="CO77" s="51"/>
      <c r="CP77" s="51"/>
      <c r="CQ77" s="50"/>
      <c r="CR77" s="51"/>
      <c r="CS77" s="51"/>
      <c r="CT77" s="50"/>
      <c r="CU77" s="51"/>
      <c r="CV77" s="51"/>
      <c r="CW77" s="50"/>
      <c r="CX77" s="51"/>
      <c r="CY77" s="51"/>
      <c r="CZ77" s="50"/>
      <c r="DA77" s="51"/>
      <c r="DB77" s="51"/>
      <c r="DC77" s="50"/>
      <c r="DD77" s="51"/>
      <c r="DE77" s="51"/>
      <c r="DF77" s="50"/>
      <c r="DG77" s="51"/>
      <c r="DH77" s="51"/>
      <c r="DI77" s="50"/>
      <c r="DJ77" s="51"/>
      <c r="DK77" s="51"/>
      <c r="DL77" s="50"/>
      <c r="DM77" s="51"/>
      <c r="DN77" s="51"/>
      <c r="DO77" s="50"/>
      <c r="DP77" s="51"/>
      <c r="DQ77" s="51"/>
      <c r="DR77" s="50"/>
      <c r="DS77" s="51"/>
      <c r="DT77" s="51"/>
      <c r="DU77" s="50"/>
      <c r="DV77" s="51"/>
      <c r="DW77" s="51"/>
      <c r="DX77" s="50"/>
      <c r="DY77" s="51"/>
      <c r="DZ77" s="51"/>
      <c r="EA77" s="50"/>
      <c r="EB77" s="51"/>
      <c r="EC77" s="51"/>
      <c r="ED77" s="50"/>
      <c r="EE77" s="51"/>
      <c r="EF77" s="51"/>
      <c r="EG77" s="50"/>
      <c r="EH77" s="51"/>
      <c r="EI77" s="51"/>
      <c r="EJ77" s="50"/>
      <c r="EK77" s="51"/>
      <c r="EL77" s="51"/>
      <c r="EM77" s="50"/>
      <c r="EN77" s="51"/>
      <c r="EO77" s="51"/>
      <c r="EP77" s="50"/>
      <c r="EQ77" s="51"/>
      <c r="ER77" s="51"/>
      <c r="ES77" s="50"/>
      <c r="ET77" s="51"/>
      <c r="EU77" s="51"/>
      <c r="EV77" s="50"/>
      <c r="EW77" s="51"/>
      <c r="EX77" s="51"/>
      <c r="EY77" s="50"/>
      <c r="EZ77" s="51"/>
      <c r="FA77" s="51"/>
      <c r="FB77" s="50"/>
      <c r="FC77" s="51"/>
      <c r="FD77" s="51"/>
      <c r="FE77" s="50"/>
      <c r="FF77" s="51"/>
      <c r="FG77" s="51"/>
      <c r="FH77" s="50"/>
      <c r="FI77" s="51"/>
      <c r="FJ77" s="51"/>
    </row>
    <row r="78" spans="1:166" s="52" customFormat="1" ht="15.75" x14ac:dyDescent="0.25">
      <c r="A78" s="3"/>
      <c r="B78" s="6" t="s">
        <v>258</v>
      </c>
      <c r="C78" s="1" t="s">
        <v>259</v>
      </c>
      <c r="D78" s="19"/>
      <c r="E78" s="50"/>
      <c r="F78" s="64"/>
      <c r="G78" s="51"/>
      <c r="H78" s="50"/>
      <c r="I78" s="64"/>
      <c r="J78" s="51"/>
      <c r="K78" s="50"/>
      <c r="L78" s="64"/>
      <c r="M78" s="51"/>
      <c r="N78" s="50"/>
      <c r="O78" s="64"/>
      <c r="P78" s="51"/>
      <c r="Q78" s="50"/>
      <c r="R78" s="64"/>
      <c r="S78" s="51"/>
      <c r="T78" s="50"/>
      <c r="U78" s="64"/>
      <c r="V78" s="51"/>
      <c r="W78" s="50"/>
      <c r="X78" s="64"/>
      <c r="Y78" s="51"/>
      <c r="Z78" s="50"/>
      <c r="AA78" s="64"/>
      <c r="AB78" s="51"/>
      <c r="AC78" s="50"/>
      <c r="AD78" s="64"/>
      <c r="AE78" s="51"/>
      <c r="AF78" s="50"/>
      <c r="AG78" s="64"/>
      <c r="AH78" s="51"/>
      <c r="AI78" s="50"/>
      <c r="AJ78" s="64"/>
      <c r="AK78" s="51"/>
      <c r="AL78" s="50"/>
      <c r="AM78" s="64"/>
      <c r="AN78" s="51"/>
      <c r="AO78" s="50"/>
      <c r="AP78" s="64"/>
      <c r="AQ78" s="51"/>
      <c r="AR78" s="50"/>
      <c r="AS78" s="64"/>
      <c r="AT78" s="51"/>
      <c r="AU78" s="50"/>
      <c r="AV78" s="64"/>
      <c r="AW78" s="51"/>
      <c r="AX78" s="50"/>
      <c r="AY78" s="64"/>
      <c r="AZ78" s="51"/>
      <c r="BA78" s="50"/>
      <c r="BB78" s="64"/>
      <c r="BC78" s="51"/>
      <c r="BD78" s="50"/>
      <c r="BE78" s="64"/>
      <c r="BF78" s="51"/>
      <c r="BG78" s="50"/>
      <c r="BH78" s="64"/>
      <c r="BI78" s="51"/>
      <c r="BJ78" s="50"/>
      <c r="BK78" s="64"/>
      <c r="BL78" s="51"/>
      <c r="BM78" s="50"/>
      <c r="BN78" s="64"/>
      <c r="BO78" s="51"/>
      <c r="BP78" s="50"/>
      <c r="BQ78" s="64"/>
      <c r="BR78" s="51"/>
      <c r="BS78" s="50"/>
      <c r="BT78" s="64"/>
      <c r="BU78" s="51"/>
      <c r="BV78" s="50"/>
      <c r="BW78" s="64"/>
      <c r="BX78" s="51"/>
      <c r="BY78" s="50"/>
      <c r="BZ78" s="64"/>
      <c r="CA78" s="51"/>
      <c r="CB78" s="50"/>
      <c r="CC78" s="64"/>
      <c r="CD78" s="51"/>
      <c r="CE78" s="50"/>
      <c r="CF78" s="64"/>
      <c r="CG78" s="51"/>
      <c r="CH78" s="50"/>
      <c r="CI78" s="64"/>
      <c r="CJ78" s="51"/>
      <c r="CK78" s="50"/>
      <c r="CL78" s="64"/>
      <c r="CM78" s="51"/>
      <c r="CN78" s="50"/>
      <c r="CO78" s="64"/>
      <c r="CP78" s="51"/>
      <c r="CQ78" s="50"/>
      <c r="CR78" s="64"/>
      <c r="CS78" s="51"/>
      <c r="CT78" s="50"/>
      <c r="CU78" s="64"/>
      <c r="CV78" s="51"/>
      <c r="CW78" s="50"/>
      <c r="CX78" s="64"/>
      <c r="CY78" s="51"/>
      <c r="CZ78" s="50"/>
      <c r="DA78" s="64"/>
      <c r="DB78" s="51"/>
      <c r="DC78" s="50"/>
      <c r="DD78" s="64"/>
      <c r="DE78" s="51"/>
      <c r="DF78" s="50"/>
      <c r="DG78" s="64"/>
      <c r="DH78" s="51"/>
      <c r="DI78" s="50"/>
      <c r="DJ78" s="64"/>
      <c r="DK78" s="51"/>
      <c r="DL78" s="50"/>
      <c r="DM78" s="64"/>
      <c r="DN78" s="51"/>
      <c r="DO78" s="50"/>
      <c r="DP78" s="64"/>
      <c r="DQ78" s="51"/>
      <c r="DR78" s="50"/>
      <c r="DS78" s="64"/>
      <c r="DT78" s="51"/>
      <c r="DU78" s="50"/>
      <c r="DV78" s="64"/>
      <c r="DW78" s="51"/>
      <c r="DX78" s="50"/>
      <c r="DY78" s="64"/>
      <c r="DZ78" s="51"/>
      <c r="EA78" s="50"/>
      <c r="EB78" s="64"/>
      <c r="EC78" s="51"/>
      <c r="ED78" s="50"/>
      <c r="EE78" s="64"/>
      <c r="EF78" s="51"/>
      <c r="EG78" s="50"/>
      <c r="EH78" s="64"/>
      <c r="EI78" s="51"/>
      <c r="EJ78" s="50"/>
      <c r="EK78" s="64"/>
      <c r="EL78" s="51"/>
      <c r="EM78" s="50"/>
      <c r="EN78" s="64"/>
      <c r="EO78" s="51"/>
      <c r="EP78" s="50"/>
      <c r="EQ78" s="64"/>
      <c r="ER78" s="51"/>
      <c r="ES78" s="50"/>
      <c r="ET78" s="64"/>
      <c r="EU78" s="51"/>
      <c r="EV78" s="50"/>
      <c r="EW78" s="64"/>
      <c r="EX78" s="51"/>
      <c r="EY78" s="50"/>
      <c r="EZ78" s="64"/>
      <c r="FA78" s="51"/>
      <c r="FB78" s="50"/>
      <c r="FC78" s="64"/>
      <c r="FD78" s="51"/>
      <c r="FE78" s="50"/>
      <c r="FF78" s="64"/>
      <c r="FG78" s="51"/>
      <c r="FH78" s="50"/>
      <c r="FI78" s="64"/>
      <c r="FJ78" s="51"/>
    </row>
    <row r="79" spans="1:166" ht="15.75" x14ac:dyDescent="0.25">
      <c r="B79" s="404" t="s">
        <v>260</v>
      </c>
      <c r="C79" s="404"/>
      <c r="D79" s="20"/>
      <c r="E79" s="2"/>
      <c r="F79" s="2"/>
      <c r="G79" s="12"/>
      <c r="H79" s="2"/>
      <c r="I79" s="2"/>
      <c r="J79" s="12"/>
      <c r="K79" s="2"/>
      <c r="L79" s="2"/>
      <c r="M79" s="12"/>
      <c r="N79" s="2"/>
      <c r="O79" s="2"/>
      <c r="P79" s="12"/>
      <c r="Q79" s="2"/>
      <c r="R79" s="2"/>
      <c r="S79" s="12"/>
      <c r="T79" s="2"/>
      <c r="U79" s="2"/>
      <c r="V79" s="12"/>
      <c r="W79" s="2"/>
      <c r="X79" s="2"/>
      <c r="Y79" s="12"/>
      <c r="Z79" s="2"/>
      <c r="AA79" s="2"/>
      <c r="AB79" s="12"/>
      <c r="AC79" s="2"/>
      <c r="AD79" s="2"/>
      <c r="AE79" s="12"/>
      <c r="AF79" s="2"/>
      <c r="AG79" s="2"/>
      <c r="AH79" s="12"/>
      <c r="AI79" s="2"/>
      <c r="AJ79" s="2"/>
      <c r="AK79" s="12"/>
      <c r="AL79" s="2"/>
      <c r="AM79" s="2"/>
      <c r="AN79" s="12"/>
      <c r="AO79" s="2"/>
      <c r="AP79" s="2"/>
      <c r="AQ79" s="12"/>
      <c r="AR79" s="2"/>
      <c r="AS79" s="2"/>
      <c r="AT79" s="12"/>
      <c r="AU79" s="2"/>
      <c r="AV79" s="2"/>
      <c r="AW79" s="12"/>
      <c r="AX79" s="2"/>
      <c r="AY79" s="2"/>
      <c r="AZ79" s="12"/>
      <c r="BA79" s="2"/>
      <c r="BB79" s="2"/>
      <c r="BC79" s="12"/>
      <c r="BD79" s="2"/>
      <c r="BE79" s="2"/>
      <c r="BF79" s="12"/>
      <c r="BG79" s="2"/>
      <c r="BH79" s="2"/>
      <c r="BI79" s="12"/>
      <c r="BJ79" s="2"/>
      <c r="BK79" s="2"/>
      <c r="BL79" s="12"/>
      <c r="BM79" s="2"/>
      <c r="BN79" s="2"/>
      <c r="BO79" s="12"/>
      <c r="BP79" s="2"/>
      <c r="BQ79" s="2"/>
      <c r="BR79" s="12"/>
      <c r="BS79" s="2"/>
      <c r="BT79" s="2"/>
      <c r="BU79" s="12"/>
      <c r="BV79" s="2"/>
      <c r="BW79" s="2"/>
      <c r="BX79" s="12"/>
      <c r="BY79" s="2"/>
      <c r="BZ79" s="2"/>
      <c r="CA79" s="12"/>
      <c r="CB79" s="2"/>
      <c r="CC79" s="2"/>
      <c r="CD79" s="12"/>
      <c r="CE79" s="2"/>
      <c r="CF79" s="2"/>
      <c r="CG79" s="12"/>
      <c r="CH79" s="2"/>
      <c r="CI79" s="2"/>
      <c r="CJ79" s="12"/>
      <c r="CK79" s="2"/>
      <c r="CL79" s="2"/>
      <c r="CM79" s="12"/>
      <c r="CN79" s="2"/>
      <c r="CO79" s="2"/>
      <c r="CP79" s="12"/>
      <c r="CQ79" s="2"/>
      <c r="CR79" s="2"/>
      <c r="CS79" s="12"/>
      <c r="CT79" s="2"/>
      <c r="CU79" s="2"/>
      <c r="CV79" s="12"/>
      <c r="CW79" s="2"/>
      <c r="CX79" s="2"/>
      <c r="CY79" s="12"/>
      <c r="CZ79" s="2"/>
      <c r="DA79" s="2"/>
      <c r="DB79" s="12"/>
      <c r="DC79" s="2"/>
      <c r="DD79" s="2"/>
      <c r="DE79" s="12"/>
      <c r="DF79" s="2"/>
      <c r="DG79" s="2"/>
      <c r="DH79" s="12"/>
      <c r="DI79" s="2"/>
      <c r="DJ79" s="2"/>
      <c r="DK79" s="12"/>
      <c r="DL79" s="2"/>
      <c r="DM79" s="2"/>
      <c r="DN79" s="12"/>
      <c r="DO79" s="2"/>
      <c r="DP79" s="2"/>
      <c r="DQ79" s="12"/>
      <c r="DR79" s="2"/>
      <c r="DS79" s="2"/>
      <c r="DT79" s="12"/>
      <c r="DU79" s="2"/>
      <c r="DV79" s="2"/>
      <c r="DW79" s="12"/>
      <c r="DX79" s="2"/>
      <c r="DY79" s="2"/>
      <c r="DZ79" s="12"/>
      <c r="EA79" s="2"/>
      <c r="EB79" s="2"/>
      <c r="EC79" s="12"/>
      <c r="ED79" s="2"/>
      <c r="EE79" s="2"/>
      <c r="EF79" s="12"/>
      <c r="EG79" s="2"/>
      <c r="EH79" s="2"/>
      <c r="EI79" s="12"/>
      <c r="EJ79" s="2"/>
      <c r="EK79" s="2"/>
      <c r="EL79" s="12"/>
      <c r="EM79" s="2"/>
      <c r="EN79" s="2"/>
      <c r="EO79" s="12"/>
      <c r="EP79" s="2"/>
      <c r="EQ79" s="2"/>
      <c r="ER79" s="12"/>
      <c r="ES79" s="2"/>
      <c r="ET79" s="2"/>
      <c r="EU79" s="12"/>
      <c r="EV79" s="2"/>
      <c r="EW79" s="2"/>
      <c r="EX79" s="12"/>
      <c r="EY79" s="2"/>
      <c r="EZ79" s="2"/>
      <c r="FA79" s="12"/>
      <c r="FB79" s="2"/>
      <c r="FC79" s="2"/>
      <c r="FD79" s="12"/>
      <c r="FE79" s="2"/>
      <c r="FF79" s="2"/>
      <c r="FG79" s="12"/>
      <c r="FH79" s="2"/>
      <c r="FI79" s="2"/>
      <c r="FJ79" s="12"/>
    </row>
    <row r="80" spans="1:166" s="38" customFormat="1" ht="15.75" x14ac:dyDescent="0.25">
      <c r="A80" s="3"/>
      <c r="B80" s="6" t="s">
        <v>261</v>
      </c>
      <c r="C80" s="1" t="s">
        <v>262</v>
      </c>
      <c r="D80" s="19">
        <f>SUM(D83,D86)</f>
        <v>15</v>
      </c>
      <c r="E80" s="41"/>
      <c r="F80" s="46"/>
      <c r="G80" s="47"/>
      <c r="H80" s="41"/>
      <c r="I80" s="46"/>
      <c r="J80" s="47"/>
      <c r="K80" s="41"/>
      <c r="L80" s="46"/>
      <c r="M80" s="47"/>
      <c r="N80" s="41"/>
      <c r="O80" s="46"/>
      <c r="P80" s="47"/>
      <c r="Q80" s="41"/>
      <c r="R80" s="46"/>
      <c r="S80" s="47"/>
      <c r="T80" s="41"/>
      <c r="U80" s="46"/>
      <c r="V80" s="47"/>
      <c r="W80" s="41"/>
      <c r="X80" s="46"/>
      <c r="Y80" s="47"/>
      <c r="Z80" s="41"/>
      <c r="AA80" s="46"/>
      <c r="AB80" s="47"/>
      <c r="AC80" s="41"/>
      <c r="AD80" s="46"/>
      <c r="AE80" s="47"/>
      <c r="AF80" s="41"/>
      <c r="AG80" s="46"/>
      <c r="AH80" s="47"/>
      <c r="AI80" s="41"/>
      <c r="AJ80" s="46"/>
      <c r="AK80" s="47"/>
      <c r="AL80" s="41"/>
      <c r="AM80" s="46"/>
      <c r="AN80" s="47"/>
      <c r="AO80" s="41"/>
      <c r="AP80" s="46"/>
      <c r="AQ80" s="47"/>
      <c r="AR80" s="41"/>
      <c r="AS80" s="46"/>
      <c r="AT80" s="47"/>
      <c r="AU80" s="41"/>
      <c r="AV80" s="46"/>
      <c r="AW80" s="47"/>
      <c r="AX80" s="41"/>
      <c r="AY80" s="46"/>
      <c r="AZ80" s="47"/>
      <c r="BA80" s="41"/>
      <c r="BB80" s="46"/>
      <c r="BC80" s="47"/>
      <c r="BD80" s="41"/>
      <c r="BE80" s="46"/>
      <c r="BF80" s="47"/>
      <c r="BG80" s="41"/>
      <c r="BH80" s="46"/>
      <c r="BI80" s="47"/>
      <c r="BJ80" s="41"/>
      <c r="BK80" s="46"/>
      <c r="BL80" s="47"/>
      <c r="BM80" s="41"/>
      <c r="BN80" s="46"/>
      <c r="BO80" s="47"/>
      <c r="BP80" s="41"/>
      <c r="BQ80" s="46"/>
      <c r="BR80" s="47"/>
      <c r="BS80" s="41"/>
      <c r="BT80" s="46"/>
      <c r="BU80" s="47"/>
      <c r="BV80" s="41"/>
      <c r="BW80" s="46"/>
      <c r="BX80" s="47"/>
      <c r="BY80" s="41"/>
      <c r="BZ80" s="46"/>
      <c r="CA80" s="47"/>
      <c r="CB80" s="41"/>
      <c r="CC80" s="46"/>
      <c r="CD80" s="47"/>
      <c r="CE80" s="41"/>
      <c r="CF80" s="46"/>
      <c r="CG80" s="47"/>
      <c r="CH80" s="41"/>
      <c r="CI80" s="46"/>
      <c r="CJ80" s="47"/>
      <c r="CK80" s="41"/>
      <c r="CL80" s="46"/>
      <c r="CM80" s="47"/>
      <c r="CN80" s="41"/>
      <c r="CO80" s="46"/>
      <c r="CP80" s="47"/>
      <c r="CQ80" s="41"/>
      <c r="CR80" s="46"/>
      <c r="CS80" s="47"/>
      <c r="CT80" s="41"/>
      <c r="CU80" s="46"/>
      <c r="CV80" s="47"/>
      <c r="CW80" s="41"/>
      <c r="CX80" s="46"/>
      <c r="CY80" s="47"/>
      <c r="CZ80" s="41"/>
      <c r="DA80" s="46"/>
      <c r="DB80" s="47"/>
      <c r="DC80" s="41"/>
      <c r="DD80" s="46"/>
      <c r="DE80" s="47"/>
      <c r="DF80" s="41"/>
      <c r="DG80" s="46"/>
      <c r="DH80" s="47"/>
      <c r="DI80" s="41"/>
      <c r="DJ80" s="46"/>
      <c r="DK80" s="47"/>
      <c r="DL80" s="41"/>
      <c r="DM80" s="46"/>
      <c r="DN80" s="47"/>
      <c r="DO80" s="41"/>
      <c r="DP80" s="46"/>
      <c r="DQ80" s="47"/>
      <c r="DR80" s="41"/>
      <c r="DS80" s="46"/>
      <c r="DT80" s="47"/>
      <c r="DU80" s="41"/>
      <c r="DV80" s="46"/>
      <c r="DW80" s="47"/>
      <c r="DX80" s="41"/>
      <c r="DY80" s="46"/>
      <c r="DZ80" s="47"/>
      <c r="EA80" s="41"/>
      <c r="EB80" s="46"/>
      <c r="EC80" s="47"/>
      <c r="ED80" s="41"/>
      <c r="EE80" s="46"/>
      <c r="EF80" s="47"/>
      <c r="EG80" s="41"/>
      <c r="EH80" s="46"/>
      <c r="EI80" s="47"/>
      <c r="EJ80" s="41"/>
      <c r="EK80" s="46"/>
      <c r="EL80" s="47"/>
      <c r="EM80" s="41"/>
      <c r="EN80" s="46"/>
      <c r="EO80" s="47"/>
      <c r="EP80" s="41"/>
      <c r="EQ80" s="46"/>
      <c r="ER80" s="47"/>
      <c r="ES80" s="41"/>
      <c r="ET80" s="46"/>
      <c r="EU80" s="47"/>
      <c r="EV80" s="41"/>
      <c r="EW80" s="46"/>
      <c r="EX80" s="47"/>
      <c r="EY80" s="41"/>
      <c r="EZ80" s="46"/>
      <c r="FA80" s="47"/>
      <c r="FB80" s="41"/>
      <c r="FC80" s="46"/>
      <c r="FD80" s="47"/>
      <c r="FE80" s="41"/>
      <c r="FF80" s="46"/>
      <c r="FG80" s="47"/>
      <c r="FH80" s="41"/>
      <c r="FI80" s="46"/>
      <c r="FJ80" s="47"/>
    </row>
    <row r="81" spans="1:166" s="52" customFormat="1" ht="15.75" x14ac:dyDescent="0.25">
      <c r="A81" s="3"/>
      <c r="B81" s="6" t="s">
        <v>263</v>
      </c>
      <c r="C81" s="1" t="s">
        <v>264</v>
      </c>
      <c r="D81" s="19" t="s">
        <v>82</v>
      </c>
      <c r="E81" s="50"/>
      <c r="F81" s="50"/>
      <c r="G81" s="56"/>
      <c r="H81" s="50"/>
      <c r="I81" s="50"/>
      <c r="J81" s="56"/>
      <c r="K81" s="50"/>
      <c r="L81" s="50"/>
      <c r="M81" s="56"/>
      <c r="N81" s="50"/>
      <c r="O81" s="50"/>
      <c r="P81" s="56"/>
      <c r="Q81" s="50"/>
      <c r="R81" s="50"/>
      <c r="S81" s="56"/>
      <c r="T81" s="50"/>
      <c r="U81" s="50"/>
      <c r="V81" s="56"/>
      <c r="W81" s="50"/>
      <c r="X81" s="50"/>
      <c r="Y81" s="56"/>
      <c r="Z81" s="50"/>
      <c r="AA81" s="50"/>
      <c r="AB81" s="56"/>
      <c r="AC81" s="50"/>
      <c r="AD81" s="50"/>
      <c r="AE81" s="56"/>
      <c r="AF81" s="50"/>
      <c r="AG81" s="50"/>
      <c r="AH81" s="56"/>
      <c r="AI81" s="50"/>
      <c r="AJ81" s="50"/>
      <c r="AK81" s="56"/>
      <c r="AL81" s="50"/>
      <c r="AM81" s="50"/>
      <c r="AN81" s="56"/>
      <c r="AO81" s="50"/>
      <c r="AP81" s="50"/>
      <c r="AQ81" s="56"/>
      <c r="AR81" s="50"/>
      <c r="AS81" s="50"/>
      <c r="AT81" s="56"/>
      <c r="AU81" s="50"/>
      <c r="AV81" s="50"/>
      <c r="AW81" s="56"/>
      <c r="AX81" s="50"/>
      <c r="AY81" s="50"/>
      <c r="AZ81" s="56"/>
      <c r="BA81" s="50"/>
      <c r="BB81" s="50"/>
      <c r="BC81" s="56"/>
      <c r="BD81" s="50"/>
      <c r="BE81" s="50"/>
      <c r="BF81" s="56"/>
      <c r="BG81" s="50"/>
      <c r="BH81" s="50"/>
      <c r="BI81" s="56"/>
      <c r="BJ81" s="50"/>
      <c r="BK81" s="50"/>
      <c r="BL81" s="56"/>
      <c r="BM81" s="50"/>
      <c r="BN81" s="50"/>
      <c r="BO81" s="56"/>
      <c r="BP81" s="50"/>
      <c r="BQ81" s="50"/>
      <c r="BR81" s="56"/>
      <c r="BS81" s="50"/>
      <c r="BT81" s="50"/>
      <c r="BU81" s="56"/>
      <c r="BV81" s="50"/>
      <c r="BW81" s="50"/>
      <c r="BX81" s="56"/>
      <c r="BY81" s="50"/>
      <c r="BZ81" s="50"/>
      <c r="CA81" s="56"/>
      <c r="CB81" s="50"/>
      <c r="CC81" s="50"/>
      <c r="CD81" s="56"/>
      <c r="CE81" s="50"/>
      <c r="CF81" s="50"/>
      <c r="CG81" s="56"/>
      <c r="CH81" s="50"/>
      <c r="CI81" s="50"/>
      <c r="CJ81" s="56"/>
      <c r="CK81" s="50"/>
      <c r="CL81" s="50"/>
      <c r="CM81" s="56"/>
      <c r="CN81" s="50"/>
      <c r="CO81" s="50"/>
      <c r="CP81" s="56"/>
      <c r="CQ81" s="50"/>
      <c r="CR81" s="50"/>
      <c r="CS81" s="56"/>
      <c r="CT81" s="50"/>
      <c r="CU81" s="50"/>
      <c r="CV81" s="56"/>
      <c r="CW81" s="50"/>
      <c r="CX81" s="50"/>
      <c r="CY81" s="56"/>
      <c r="CZ81" s="50"/>
      <c r="DA81" s="50"/>
      <c r="DB81" s="56"/>
      <c r="DC81" s="50"/>
      <c r="DD81" s="50"/>
      <c r="DE81" s="56"/>
      <c r="DF81" s="50"/>
      <c r="DG81" s="50"/>
      <c r="DH81" s="56"/>
      <c r="DI81" s="50"/>
      <c r="DJ81" s="50"/>
      <c r="DK81" s="56"/>
      <c r="DL81" s="50"/>
      <c r="DM81" s="50"/>
      <c r="DN81" s="56"/>
      <c r="DO81" s="50"/>
      <c r="DP81" s="50"/>
      <c r="DQ81" s="56"/>
      <c r="DR81" s="50"/>
      <c r="DS81" s="50"/>
      <c r="DT81" s="56"/>
      <c r="DU81" s="50"/>
      <c r="DV81" s="50"/>
      <c r="DW81" s="56"/>
      <c r="DX81" s="50"/>
      <c r="DY81" s="50"/>
      <c r="DZ81" s="56"/>
      <c r="EA81" s="50"/>
      <c r="EB81" s="50"/>
      <c r="EC81" s="56"/>
      <c r="ED81" s="50"/>
      <c r="EE81" s="50"/>
      <c r="EF81" s="56"/>
      <c r="EG81" s="50"/>
      <c r="EH81" s="50"/>
      <c r="EI81" s="56"/>
      <c r="EJ81" s="50"/>
      <c r="EK81" s="50"/>
      <c r="EL81" s="56"/>
      <c r="EM81" s="50"/>
      <c r="EN81" s="50"/>
      <c r="EO81" s="56"/>
      <c r="EP81" s="50"/>
      <c r="EQ81" s="50"/>
      <c r="ER81" s="56"/>
      <c r="ES81" s="50"/>
      <c r="ET81" s="50"/>
      <c r="EU81" s="56"/>
      <c r="EV81" s="50"/>
      <c r="EW81" s="50"/>
      <c r="EX81" s="56"/>
      <c r="EY81" s="50"/>
      <c r="EZ81" s="50"/>
      <c r="FA81" s="56"/>
      <c r="FB81" s="50"/>
      <c r="FC81" s="50"/>
      <c r="FD81" s="56"/>
      <c r="FE81" s="50"/>
      <c r="FF81" s="50"/>
      <c r="FG81" s="56"/>
      <c r="FH81" s="50"/>
      <c r="FI81" s="50"/>
      <c r="FJ81" s="56"/>
    </row>
    <row r="82" spans="1:166" s="58" customFormat="1" ht="15.75" x14ac:dyDescent="0.25">
      <c r="A82" s="3"/>
      <c r="B82" s="6" t="s">
        <v>265</v>
      </c>
      <c r="C82" s="1" t="s">
        <v>266</v>
      </c>
      <c r="D82" s="19" t="s">
        <v>82</v>
      </c>
      <c r="E82" s="54"/>
      <c r="F82" s="54"/>
      <c r="G82" s="57"/>
      <c r="H82" s="54"/>
      <c r="I82" s="54"/>
      <c r="J82" s="57"/>
      <c r="K82" s="54"/>
      <c r="L82" s="54"/>
      <c r="M82" s="57"/>
      <c r="N82" s="54"/>
      <c r="O82" s="54"/>
      <c r="P82" s="57"/>
      <c r="Q82" s="54"/>
      <c r="R82" s="54"/>
      <c r="S82" s="57"/>
      <c r="T82" s="54"/>
      <c r="U82" s="54"/>
      <c r="V82" s="57"/>
      <c r="W82" s="54"/>
      <c r="X82" s="54"/>
      <c r="Y82" s="57"/>
      <c r="Z82" s="54"/>
      <c r="AA82" s="54"/>
      <c r="AB82" s="57"/>
      <c r="AC82" s="54"/>
      <c r="AD82" s="54"/>
      <c r="AE82" s="57"/>
      <c r="AF82" s="54"/>
      <c r="AG82" s="54"/>
      <c r="AH82" s="57"/>
      <c r="AI82" s="54"/>
      <c r="AJ82" s="54"/>
      <c r="AK82" s="57"/>
      <c r="AL82" s="54"/>
      <c r="AM82" s="54"/>
      <c r="AN82" s="57"/>
      <c r="AO82" s="54"/>
      <c r="AP82" s="54"/>
      <c r="AQ82" s="57"/>
      <c r="AR82" s="54"/>
      <c r="AS82" s="54"/>
      <c r="AT82" s="57"/>
      <c r="AU82" s="54"/>
      <c r="AV82" s="54"/>
      <c r="AW82" s="57"/>
      <c r="AX82" s="54"/>
      <c r="AY82" s="54"/>
      <c r="AZ82" s="57"/>
      <c r="BA82" s="54"/>
      <c r="BB82" s="54"/>
      <c r="BC82" s="57"/>
      <c r="BD82" s="54"/>
      <c r="BE82" s="54"/>
      <c r="BF82" s="57"/>
      <c r="BG82" s="54"/>
      <c r="BH82" s="54"/>
      <c r="BI82" s="57"/>
      <c r="BJ82" s="54"/>
      <c r="BK82" s="54"/>
      <c r="BL82" s="57"/>
      <c r="BM82" s="54"/>
      <c r="BN82" s="54"/>
      <c r="BO82" s="57"/>
      <c r="BP82" s="54"/>
      <c r="BQ82" s="54"/>
      <c r="BR82" s="57"/>
      <c r="BS82" s="54"/>
      <c r="BT82" s="54"/>
      <c r="BU82" s="57"/>
      <c r="BV82" s="54"/>
      <c r="BW82" s="54"/>
      <c r="BX82" s="57"/>
      <c r="BY82" s="54"/>
      <c r="BZ82" s="54"/>
      <c r="CA82" s="57"/>
      <c r="CB82" s="54"/>
      <c r="CC82" s="54"/>
      <c r="CD82" s="57"/>
      <c r="CE82" s="54"/>
      <c r="CF82" s="54"/>
      <c r="CG82" s="57"/>
      <c r="CH82" s="54"/>
      <c r="CI82" s="54"/>
      <c r="CJ82" s="57"/>
      <c r="CK82" s="54"/>
      <c r="CL82" s="54"/>
      <c r="CM82" s="57"/>
      <c r="CN82" s="54"/>
      <c r="CO82" s="54"/>
      <c r="CP82" s="57"/>
      <c r="CQ82" s="54"/>
      <c r="CR82" s="54"/>
      <c r="CS82" s="57"/>
      <c r="CT82" s="54"/>
      <c r="CU82" s="54"/>
      <c r="CV82" s="57"/>
      <c r="CW82" s="54"/>
      <c r="CX82" s="54"/>
      <c r="CY82" s="57"/>
      <c r="CZ82" s="54"/>
      <c r="DA82" s="54"/>
      <c r="DB82" s="57"/>
      <c r="DC82" s="54"/>
      <c r="DD82" s="54"/>
      <c r="DE82" s="57"/>
      <c r="DF82" s="54"/>
      <c r="DG82" s="54"/>
      <c r="DH82" s="57"/>
      <c r="DI82" s="54"/>
      <c r="DJ82" s="54"/>
      <c r="DK82" s="57"/>
      <c r="DL82" s="54"/>
      <c r="DM82" s="54"/>
      <c r="DN82" s="57"/>
      <c r="DO82" s="54"/>
      <c r="DP82" s="54"/>
      <c r="DQ82" s="57"/>
      <c r="DR82" s="54"/>
      <c r="DS82" s="54"/>
      <c r="DT82" s="57"/>
      <c r="DU82" s="54"/>
      <c r="DV82" s="54"/>
      <c r="DW82" s="57"/>
      <c r="DX82" s="54"/>
      <c r="DY82" s="54"/>
      <c r="DZ82" s="57"/>
      <c r="EA82" s="54"/>
      <c r="EB82" s="54"/>
      <c r="EC82" s="57"/>
      <c r="ED82" s="54"/>
      <c r="EE82" s="54"/>
      <c r="EF82" s="57"/>
      <c r="EG82" s="54"/>
      <c r="EH82" s="54"/>
      <c r="EI82" s="57"/>
      <c r="EJ82" s="54"/>
      <c r="EK82" s="54"/>
      <c r="EL82" s="57"/>
      <c r="EM82" s="54"/>
      <c r="EN82" s="54"/>
      <c r="EO82" s="57"/>
      <c r="EP82" s="54"/>
      <c r="EQ82" s="54"/>
      <c r="ER82" s="57"/>
      <c r="ES82" s="54"/>
      <c r="ET82" s="54"/>
      <c r="EU82" s="57"/>
      <c r="EV82" s="54"/>
      <c r="EW82" s="54"/>
      <c r="EX82" s="57"/>
      <c r="EY82" s="54"/>
      <c r="EZ82" s="54"/>
      <c r="FA82" s="57"/>
      <c r="FB82" s="54"/>
      <c r="FC82" s="54"/>
      <c r="FD82" s="57"/>
      <c r="FE82" s="54"/>
      <c r="FF82" s="54"/>
      <c r="FG82" s="57"/>
      <c r="FH82" s="54"/>
      <c r="FI82" s="54"/>
      <c r="FJ82" s="57"/>
    </row>
    <row r="83" spans="1:166" s="38" customFormat="1" ht="15.75" x14ac:dyDescent="0.25">
      <c r="A83" s="3"/>
      <c r="B83" s="6" t="s">
        <v>267</v>
      </c>
      <c r="C83" s="1" t="s">
        <v>268</v>
      </c>
      <c r="D83" s="19">
        <v>9</v>
      </c>
      <c r="E83" s="41"/>
      <c r="F83" s="46"/>
      <c r="G83" s="47"/>
      <c r="H83" s="41"/>
      <c r="I83" s="46"/>
      <c r="J83" s="47"/>
      <c r="K83" s="41"/>
      <c r="L83" s="46"/>
      <c r="M83" s="47"/>
      <c r="N83" s="41"/>
      <c r="O83" s="46"/>
      <c r="P83" s="47"/>
      <c r="Q83" s="41"/>
      <c r="R83" s="46"/>
      <c r="S83" s="47"/>
      <c r="T83" s="41"/>
      <c r="U83" s="46"/>
      <c r="V83" s="47"/>
      <c r="W83" s="41"/>
      <c r="X83" s="46"/>
      <c r="Y83" s="47"/>
      <c r="Z83" s="41"/>
      <c r="AA83" s="46"/>
      <c r="AB83" s="47"/>
      <c r="AC83" s="41"/>
      <c r="AD83" s="46"/>
      <c r="AE83" s="47"/>
      <c r="AF83" s="41"/>
      <c r="AG83" s="46"/>
      <c r="AH83" s="47"/>
      <c r="AI83" s="41"/>
      <c r="AJ83" s="46"/>
      <c r="AK83" s="47"/>
      <c r="AL83" s="41"/>
      <c r="AM83" s="46"/>
      <c r="AN83" s="47"/>
      <c r="AO83" s="41"/>
      <c r="AP83" s="46"/>
      <c r="AQ83" s="47"/>
      <c r="AR83" s="41"/>
      <c r="AS83" s="46"/>
      <c r="AT83" s="47"/>
      <c r="AU83" s="41"/>
      <c r="AV83" s="46"/>
      <c r="AW83" s="47"/>
      <c r="AX83" s="41"/>
      <c r="AY83" s="46"/>
      <c r="AZ83" s="47"/>
      <c r="BA83" s="41"/>
      <c r="BB83" s="46"/>
      <c r="BC83" s="47"/>
      <c r="BD83" s="41"/>
      <c r="BE83" s="46"/>
      <c r="BF83" s="47"/>
      <c r="BG83" s="41"/>
      <c r="BH83" s="46"/>
      <c r="BI83" s="47"/>
      <c r="BJ83" s="41"/>
      <c r="BK83" s="46"/>
      <c r="BL83" s="47"/>
      <c r="BM83" s="41"/>
      <c r="BN83" s="46"/>
      <c r="BO83" s="47"/>
      <c r="BP83" s="41"/>
      <c r="BQ83" s="46"/>
      <c r="BR83" s="47"/>
      <c r="BS83" s="41"/>
      <c r="BT83" s="46"/>
      <c r="BU83" s="47"/>
      <c r="BV83" s="41"/>
      <c r="BW83" s="46"/>
      <c r="BX83" s="47"/>
      <c r="BY83" s="41"/>
      <c r="BZ83" s="46"/>
      <c r="CA83" s="47"/>
      <c r="CB83" s="41"/>
      <c r="CC83" s="46"/>
      <c r="CD83" s="47"/>
      <c r="CE83" s="41"/>
      <c r="CF83" s="46"/>
      <c r="CG83" s="47"/>
      <c r="CH83" s="41"/>
      <c r="CI83" s="46"/>
      <c r="CJ83" s="47"/>
      <c r="CK83" s="41"/>
      <c r="CL83" s="46"/>
      <c r="CM83" s="47"/>
      <c r="CN83" s="41"/>
      <c r="CO83" s="46"/>
      <c r="CP83" s="47"/>
      <c r="CQ83" s="41"/>
      <c r="CR83" s="46"/>
      <c r="CS83" s="47"/>
      <c r="CT83" s="41"/>
      <c r="CU83" s="46"/>
      <c r="CV83" s="47"/>
      <c r="CW83" s="41"/>
      <c r="CX83" s="46"/>
      <c r="CY83" s="47"/>
      <c r="CZ83" s="41"/>
      <c r="DA83" s="46"/>
      <c r="DB83" s="47"/>
      <c r="DC83" s="41"/>
      <c r="DD83" s="46"/>
      <c r="DE83" s="47"/>
      <c r="DF83" s="41"/>
      <c r="DG83" s="46"/>
      <c r="DH83" s="47"/>
      <c r="DI83" s="41"/>
      <c r="DJ83" s="46"/>
      <c r="DK83" s="47"/>
      <c r="DL83" s="41"/>
      <c r="DM83" s="46"/>
      <c r="DN83" s="47"/>
      <c r="DO83" s="41"/>
      <c r="DP83" s="46"/>
      <c r="DQ83" s="47"/>
      <c r="DR83" s="41"/>
      <c r="DS83" s="46"/>
      <c r="DT83" s="47"/>
      <c r="DU83" s="41"/>
      <c r="DV83" s="46"/>
      <c r="DW83" s="47"/>
      <c r="DX83" s="41"/>
      <c r="DY83" s="46"/>
      <c r="DZ83" s="47"/>
      <c r="EA83" s="41"/>
      <c r="EB83" s="46"/>
      <c r="EC83" s="47"/>
      <c r="ED83" s="41"/>
      <c r="EE83" s="46"/>
      <c r="EF83" s="47"/>
      <c r="EG83" s="41"/>
      <c r="EH83" s="46"/>
      <c r="EI83" s="47"/>
      <c r="EJ83" s="41"/>
      <c r="EK83" s="46"/>
      <c r="EL83" s="47"/>
      <c r="EM83" s="41"/>
      <c r="EN83" s="46"/>
      <c r="EO83" s="47"/>
      <c r="EP83" s="41"/>
      <c r="EQ83" s="46"/>
      <c r="ER83" s="47"/>
      <c r="ES83" s="41"/>
      <c r="ET83" s="46"/>
      <c r="EU83" s="47"/>
      <c r="EV83" s="41"/>
      <c r="EW83" s="46"/>
      <c r="EX83" s="47"/>
      <c r="EY83" s="41"/>
      <c r="EZ83" s="46"/>
      <c r="FA83" s="47"/>
      <c r="FB83" s="41"/>
      <c r="FC83" s="46"/>
      <c r="FD83" s="47"/>
      <c r="FE83" s="41"/>
      <c r="FF83" s="46"/>
      <c r="FG83" s="47"/>
      <c r="FH83" s="41"/>
      <c r="FI83" s="46"/>
      <c r="FJ83" s="47"/>
    </row>
    <row r="84" spans="1:166" s="52" customFormat="1" ht="15.75" x14ac:dyDescent="0.25">
      <c r="A84" s="3"/>
      <c r="B84" s="6" t="s">
        <v>269</v>
      </c>
      <c r="C84" s="1" t="s">
        <v>270</v>
      </c>
      <c r="D84" s="19" t="s">
        <v>82</v>
      </c>
      <c r="E84" s="50"/>
      <c r="F84" s="50"/>
      <c r="G84" s="56"/>
      <c r="H84" s="50"/>
      <c r="I84" s="50"/>
      <c r="J84" s="56"/>
      <c r="K84" s="50"/>
      <c r="L84" s="50"/>
      <c r="M84" s="56"/>
      <c r="N84" s="50"/>
      <c r="O84" s="50"/>
      <c r="P84" s="56"/>
      <c r="Q84" s="50"/>
      <c r="R84" s="50"/>
      <c r="S84" s="56"/>
      <c r="T84" s="50"/>
      <c r="U84" s="50"/>
      <c r="V84" s="56"/>
      <c r="W84" s="50"/>
      <c r="X84" s="50"/>
      <c r="Y84" s="56"/>
      <c r="Z84" s="50"/>
      <c r="AA84" s="50"/>
      <c r="AB84" s="56"/>
      <c r="AC84" s="50"/>
      <c r="AD84" s="50"/>
      <c r="AE84" s="56"/>
      <c r="AF84" s="50"/>
      <c r="AG84" s="50"/>
      <c r="AH84" s="56"/>
      <c r="AI84" s="50"/>
      <c r="AJ84" s="50"/>
      <c r="AK84" s="56"/>
      <c r="AL84" s="50"/>
      <c r="AM84" s="50"/>
      <c r="AN84" s="56"/>
      <c r="AO84" s="50"/>
      <c r="AP84" s="50"/>
      <c r="AQ84" s="56"/>
      <c r="AR84" s="50"/>
      <c r="AS84" s="50"/>
      <c r="AT84" s="56"/>
      <c r="AU84" s="50"/>
      <c r="AV84" s="50"/>
      <c r="AW84" s="56"/>
      <c r="AX84" s="50"/>
      <c r="AY84" s="50"/>
      <c r="AZ84" s="56"/>
      <c r="BA84" s="50"/>
      <c r="BB84" s="50"/>
      <c r="BC84" s="56"/>
      <c r="BD84" s="50"/>
      <c r="BE84" s="50"/>
      <c r="BF84" s="56"/>
      <c r="BG84" s="50"/>
      <c r="BH84" s="50"/>
      <c r="BI84" s="56"/>
      <c r="BJ84" s="50"/>
      <c r="BK84" s="50"/>
      <c r="BL84" s="56"/>
      <c r="BM84" s="50"/>
      <c r="BN84" s="50"/>
      <c r="BO84" s="56"/>
      <c r="BP84" s="50"/>
      <c r="BQ84" s="50"/>
      <c r="BR84" s="56"/>
      <c r="BS84" s="50"/>
      <c r="BT84" s="50"/>
      <c r="BU84" s="56"/>
      <c r="BV84" s="50"/>
      <c r="BW84" s="50"/>
      <c r="BX84" s="56"/>
      <c r="BY84" s="50"/>
      <c r="BZ84" s="50"/>
      <c r="CA84" s="56"/>
      <c r="CB84" s="50"/>
      <c r="CC84" s="50"/>
      <c r="CD84" s="56"/>
      <c r="CE84" s="50"/>
      <c r="CF84" s="50"/>
      <c r="CG84" s="56"/>
      <c r="CH84" s="50"/>
      <c r="CI84" s="50"/>
      <c r="CJ84" s="56"/>
      <c r="CK84" s="50"/>
      <c r="CL84" s="50"/>
      <c r="CM84" s="56"/>
      <c r="CN84" s="50"/>
      <c r="CO84" s="50"/>
      <c r="CP84" s="56"/>
      <c r="CQ84" s="50"/>
      <c r="CR84" s="50"/>
      <c r="CS84" s="56"/>
      <c r="CT84" s="50"/>
      <c r="CU84" s="50"/>
      <c r="CV84" s="56"/>
      <c r="CW84" s="50"/>
      <c r="CX84" s="50"/>
      <c r="CY84" s="56"/>
      <c r="CZ84" s="50"/>
      <c r="DA84" s="50"/>
      <c r="DB84" s="56"/>
      <c r="DC84" s="50"/>
      <c r="DD84" s="50"/>
      <c r="DE84" s="56"/>
      <c r="DF84" s="50"/>
      <c r="DG84" s="50"/>
      <c r="DH84" s="56"/>
      <c r="DI84" s="50"/>
      <c r="DJ84" s="50"/>
      <c r="DK84" s="56"/>
      <c r="DL84" s="50"/>
      <c r="DM84" s="50"/>
      <c r="DN84" s="56"/>
      <c r="DO84" s="50"/>
      <c r="DP84" s="50"/>
      <c r="DQ84" s="56"/>
      <c r="DR84" s="50"/>
      <c r="DS84" s="50"/>
      <c r="DT84" s="56"/>
      <c r="DU84" s="50"/>
      <c r="DV84" s="50"/>
      <c r="DW84" s="56"/>
      <c r="DX84" s="50"/>
      <c r="DY84" s="50"/>
      <c r="DZ84" s="56"/>
      <c r="EA84" s="50"/>
      <c r="EB84" s="50"/>
      <c r="EC84" s="56"/>
      <c r="ED84" s="50"/>
      <c r="EE84" s="50"/>
      <c r="EF84" s="56"/>
      <c r="EG84" s="50"/>
      <c r="EH84" s="50"/>
      <c r="EI84" s="56"/>
      <c r="EJ84" s="50"/>
      <c r="EK84" s="50"/>
      <c r="EL84" s="56"/>
      <c r="EM84" s="50"/>
      <c r="EN84" s="50"/>
      <c r="EO84" s="56"/>
      <c r="EP84" s="50"/>
      <c r="EQ84" s="50"/>
      <c r="ER84" s="56"/>
      <c r="ES84" s="50"/>
      <c r="ET84" s="50"/>
      <c r="EU84" s="56"/>
      <c r="EV84" s="50"/>
      <c r="EW84" s="50"/>
      <c r="EX84" s="56"/>
      <c r="EY84" s="50"/>
      <c r="EZ84" s="50"/>
      <c r="FA84" s="56"/>
      <c r="FB84" s="50"/>
      <c r="FC84" s="50"/>
      <c r="FD84" s="56"/>
      <c r="FE84" s="50"/>
      <c r="FF84" s="50"/>
      <c r="FG84" s="56"/>
      <c r="FH84" s="50"/>
      <c r="FI84" s="50"/>
      <c r="FJ84" s="56"/>
    </row>
    <row r="85" spans="1:166" s="52" customFormat="1" ht="15.75" x14ac:dyDescent="0.25">
      <c r="A85" s="3"/>
      <c r="B85" s="6" t="s">
        <v>271</v>
      </c>
      <c r="C85" s="1" t="s">
        <v>272</v>
      </c>
      <c r="D85" s="19" t="s">
        <v>82</v>
      </c>
      <c r="E85" s="50"/>
      <c r="F85" s="50"/>
      <c r="G85" s="56"/>
      <c r="H85" s="50"/>
      <c r="I85" s="50"/>
      <c r="J85" s="56"/>
      <c r="K85" s="50"/>
      <c r="L85" s="50"/>
      <c r="M85" s="56"/>
      <c r="N85" s="50"/>
      <c r="O85" s="50"/>
      <c r="P85" s="56"/>
      <c r="Q85" s="50"/>
      <c r="R85" s="50"/>
      <c r="S85" s="56"/>
      <c r="T85" s="50"/>
      <c r="U85" s="50"/>
      <c r="V85" s="56"/>
      <c r="W85" s="50"/>
      <c r="X85" s="50"/>
      <c r="Y85" s="56"/>
      <c r="Z85" s="50"/>
      <c r="AA85" s="50"/>
      <c r="AB85" s="56"/>
      <c r="AC85" s="50"/>
      <c r="AD85" s="50"/>
      <c r="AE85" s="56"/>
      <c r="AF85" s="50"/>
      <c r="AG85" s="50"/>
      <c r="AH85" s="56"/>
      <c r="AI85" s="50"/>
      <c r="AJ85" s="50"/>
      <c r="AK85" s="56"/>
      <c r="AL85" s="50"/>
      <c r="AM85" s="50"/>
      <c r="AN85" s="56"/>
      <c r="AO85" s="50"/>
      <c r="AP85" s="50"/>
      <c r="AQ85" s="56"/>
      <c r="AR85" s="50"/>
      <c r="AS85" s="50"/>
      <c r="AT85" s="56"/>
      <c r="AU85" s="50"/>
      <c r="AV85" s="50"/>
      <c r="AW85" s="56"/>
      <c r="AX85" s="50"/>
      <c r="AY85" s="50"/>
      <c r="AZ85" s="56"/>
      <c r="BA85" s="50"/>
      <c r="BB85" s="50"/>
      <c r="BC85" s="56"/>
      <c r="BD85" s="50"/>
      <c r="BE85" s="50"/>
      <c r="BF85" s="56"/>
      <c r="BG85" s="50"/>
      <c r="BH85" s="50"/>
      <c r="BI85" s="56"/>
      <c r="BJ85" s="50"/>
      <c r="BK85" s="50"/>
      <c r="BL85" s="56"/>
      <c r="BM85" s="50"/>
      <c r="BN85" s="50"/>
      <c r="BO85" s="56"/>
      <c r="BP85" s="50"/>
      <c r="BQ85" s="50"/>
      <c r="BR85" s="56"/>
      <c r="BS85" s="50"/>
      <c r="BT85" s="50"/>
      <c r="BU85" s="56"/>
      <c r="BV85" s="50"/>
      <c r="BW85" s="50"/>
      <c r="BX85" s="56"/>
      <c r="BY85" s="50"/>
      <c r="BZ85" s="50"/>
      <c r="CA85" s="56"/>
      <c r="CB85" s="50"/>
      <c r="CC85" s="50"/>
      <c r="CD85" s="56"/>
      <c r="CE85" s="50"/>
      <c r="CF85" s="50"/>
      <c r="CG85" s="56"/>
      <c r="CH85" s="50"/>
      <c r="CI85" s="50"/>
      <c r="CJ85" s="56"/>
      <c r="CK85" s="50"/>
      <c r="CL85" s="50"/>
      <c r="CM85" s="56"/>
      <c r="CN85" s="50"/>
      <c r="CO85" s="50"/>
      <c r="CP85" s="56"/>
      <c r="CQ85" s="50"/>
      <c r="CR85" s="50"/>
      <c r="CS85" s="56"/>
      <c r="CT85" s="50"/>
      <c r="CU85" s="50"/>
      <c r="CV85" s="56"/>
      <c r="CW85" s="50"/>
      <c r="CX85" s="50"/>
      <c r="CY85" s="56"/>
      <c r="CZ85" s="50"/>
      <c r="DA85" s="50"/>
      <c r="DB85" s="56"/>
      <c r="DC85" s="50"/>
      <c r="DD85" s="50"/>
      <c r="DE85" s="56"/>
      <c r="DF85" s="50"/>
      <c r="DG85" s="50"/>
      <c r="DH85" s="56"/>
      <c r="DI85" s="50"/>
      <c r="DJ85" s="50"/>
      <c r="DK85" s="56"/>
      <c r="DL85" s="50"/>
      <c r="DM85" s="50"/>
      <c r="DN85" s="56"/>
      <c r="DO85" s="50"/>
      <c r="DP85" s="50"/>
      <c r="DQ85" s="56"/>
      <c r="DR85" s="50"/>
      <c r="DS85" s="50"/>
      <c r="DT85" s="56"/>
      <c r="DU85" s="50"/>
      <c r="DV85" s="50"/>
      <c r="DW85" s="56"/>
      <c r="DX85" s="50"/>
      <c r="DY85" s="50"/>
      <c r="DZ85" s="56"/>
      <c r="EA85" s="50"/>
      <c r="EB85" s="50"/>
      <c r="EC85" s="56"/>
      <c r="ED85" s="50"/>
      <c r="EE85" s="50"/>
      <c r="EF85" s="56"/>
      <c r="EG85" s="50"/>
      <c r="EH85" s="50"/>
      <c r="EI85" s="56"/>
      <c r="EJ85" s="50"/>
      <c r="EK85" s="50"/>
      <c r="EL85" s="56"/>
      <c r="EM85" s="50"/>
      <c r="EN85" s="50"/>
      <c r="EO85" s="56"/>
      <c r="EP85" s="50"/>
      <c r="EQ85" s="50"/>
      <c r="ER85" s="56"/>
      <c r="ES85" s="50"/>
      <c r="ET85" s="50"/>
      <c r="EU85" s="56"/>
      <c r="EV85" s="50"/>
      <c r="EW85" s="50"/>
      <c r="EX85" s="56"/>
      <c r="EY85" s="50"/>
      <c r="EZ85" s="50"/>
      <c r="FA85" s="56"/>
      <c r="FB85" s="50"/>
      <c r="FC85" s="50"/>
      <c r="FD85" s="56"/>
      <c r="FE85" s="50"/>
      <c r="FF85" s="50"/>
      <c r="FG85" s="56"/>
      <c r="FH85" s="50"/>
      <c r="FI85" s="50"/>
      <c r="FJ85" s="56"/>
    </row>
    <row r="86" spans="1:166" s="38" customFormat="1" ht="15.75" x14ac:dyDescent="0.25">
      <c r="A86" s="3"/>
      <c r="B86" s="6" t="s">
        <v>273</v>
      </c>
      <c r="C86" s="1" t="s">
        <v>268</v>
      </c>
      <c r="D86" s="19">
        <v>6</v>
      </c>
      <c r="E86" s="41"/>
      <c r="F86" s="46"/>
      <c r="G86" s="47"/>
      <c r="H86" s="41"/>
      <c r="I86" s="46"/>
      <c r="J86" s="47"/>
      <c r="K86" s="41"/>
      <c r="L86" s="46"/>
      <c r="M86" s="47"/>
      <c r="N86" s="41"/>
      <c r="O86" s="46"/>
      <c r="P86" s="47"/>
      <c r="Q86" s="41"/>
      <c r="R86" s="46"/>
      <c r="S86" s="47"/>
      <c r="T86" s="41"/>
      <c r="U86" s="46"/>
      <c r="V86" s="47"/>
      <c r="W86" s="41"/>
      <c r="X86" s="46"/>
      <c r="Y86" s="47"/>
      <c r="Z86" s="41"/>
      <c r="AA86" s="46"/>
      <c r="AB86" s="47"/>
      <c r="AC86" s="41"/>
      <c r="AD86" s="46"/>
      <c r="AE86" s="47"/>
      <c r="AF86" s="41"/>
      <c r="AG86" s="46"/>
      <c r="AH86" s="47"/>
      <c r="AI86" s="41"/>
      <c r="AJ86" s="46"/>
      <c r="AK86" s="47"/>
      <c r="AL86" s="41"/>
      <c r="AM86" s="46"/>
      <c r="AN86" s="47"/>
      <c r="AO86" s="41"/>
      <c r="AP86" s="46"/>
      <c r="AQ86" s="47"/>
      <c r="AR86" s="41"/>
      <c r="AS86" s="46"/>
      <c r="AT86" s="47"/>
      <c r="AU86" s="41"/>
      <c r="AV86" s="46"/>
      <c r="AW86" s="47"/>
      <c r="AX86" s="41"/>
      <c r="AY86" s="46"/>
      <c r="AZ86" s="47"/>
      <c r="BA86" s="41"/>
      <c r="BB86" s="46"/>
      <c r="BC86" s="47"/>
      <c r="BD86" s="41"/>
      <c r="BE86" s="46"/>
      <c r="BF86" s="47"/>
      <c r="BG86" s="41"/>
      <c r="BH86" s="46"/>
      <c r="BI86" s="47"/>
      <c r="BJ86" s="41"/>
      <c r="BK86" s="46"/>
      <c r="BL86" s="47"/>
      <c r="BM86" s="41"/>
      <c r="BN86" s="46"/>
      <c r="BO86" s="47"/>
      <c r="BP86" s="41"/>
      <c r="BQ86" s="46"/>
      <c r="BR86" s="47"/>
      <c r="BS86" s="41"/>
      <c r="BT86" s="46"/>
      <c r="BU86" s="47"/>
      <c r="BV86" s="41"/>
      <c r="BW86" s="46"/>
      <c r="BX86" s="47"/>
      <c r="BY86" s="41"/>
      <c r="BZ86" s="46"/>
      <c r="CA86" s="47"/>
      <c r="CB86" s="41"/>
      <c r="CC86" s="46"/>
      <c r="CD86" s="47"/>
      <c r="CE86" s="41"/>
      <c r="CF86" s="46"/>
      <c r="CG86" s="47"/>
      <c r="CH86" s="41"/>
      <c r="CI86" s="46"/>
      <c r="CJ86" s="47"/>
      <c r="CK86" s="41"/>
      <c r="CL86" s="46"/>
      <c r="CM86" s="47"/>
      <c r="CN86" s="41"/>
      <c r="CO86" s="46"/>
      <c r="CP86" s="47"/>
      <c r="CQ86" s="41"/>
      <c r="CR86" s="46"/>
      <c r="CS86" s="47"/>
      <c r="CT86" s="41"/>
      <c r="CU86" s="46"/>
      <c r="CV86" s="47"/>
      <c r="CW86" s="41"/>
      <c r="CX86" s="46"/>
      <c r="CY86" s="47"/>
      <c r="CZ86" s="41"/>
      <c r="DA86" s="46"/>
      <c r="DB86" s="47"/>
      <c r="DC86" s="41"/>
      <c r="DD86" s="46"/>
      <c r="DE86" s="47"/>
      <c r="DF86" s="41"/>
      <c r="DG86" s="46"/>
      <c r="DH86" s="47"/>
      <c r="DI86" s="41"/>
      <c r="DJ86" s="46"/>
      <c r="DK86" s="47"/>
      <c r="DL86" s="41"/>
      <c r="DM86" s="46"/>
      <c r="DN86" s="47"/>
      <c r="DO86" s="41"/>
      <c r="DP86" s="46"/>
      <c r="DQ86" s="47"/>
      <c r="DR86" s="41"/>
      <c r="DS86" s="46"/>
      <c r="DT86" s="47"/>
      <c r="DU86" s="41"/>
      <c r="DV86" s="46"/>
      <c r="DW86" s="47"/>
      <c r="DX86" s="41"/>
      <c r="DY86" s="46"/>
      <c r="DZ86" s="47"/>
      <c r="EA86" s="41"/>
      <c r="EB86" s="46"/>
      <c r="EC86" s="47"/>
      <c r="ED86" s="41"/>
      <c r="EE86" s="46"/>
      <c r="EF86" s="47"/>
      <c r="EG86" s="41"/>
      <c r="EH86" s="46"/>
      <c r="EI86" s="47"/>
      <c r="EJ86" s="41"/>
      <c r="EK86" s="46"/>
      <c r="EL86" s="47"/>
      <c r="EM86" s="41"/>
      <c r="EN86" s="46"/>
      <c r="EO86" s="47"/>
      <c r="EP86" s="41"/>
      <c r="EQ86" s="46"/>
      <c r="ER86" s="47"/>
      <c r="ES86" s="41"/>
      <c r="ET86" s="46"/>
      <c r="EU86" s="47"/>
      <c r="EV86" s="41"/>
      <c r="EW86" s="46"/>
      <c r="EX86" s="47"/>
      <c r="EY86" s="41"/>
      <c r="EZ86" s="46"/>
      <c r="FA86" s="47"/>
      <c r="FB86" s="41"/>
      <c r="FC86" s="46"/>
      <c r="FD86" s="47"/>
      <c r="FE86" s="41"/>
      <c r="FF86" s="46"/>
      <c r="FG86" s="47"/>
      <c r="FH86" s="41"/>
      <c r="FI86" s="46"/>
      <c r="FJ86" s="47"/>
    </row>
    <row r="87" spans="1:166" s="52" customFormat="1" ht="15.75" x14ac:dyDescent="0.25">
      <c r="A87" s="3"/>
      <c r="B87" s="6" t="s">
        <v>274</v>
      </c>
      <c r="C87" s="1" t="s">
        <v>270</v>
      </c>
      <c r="D87" s="19" t="s">
        <v>82</v>
      </c>
      <c r="E87" s="50"/>
      <c r="F87" s="50"/>
      <c r="G87" s="56"/>
      <c r="H87" s="50"/>
      <c r="I87" s="50"/>
      <c r="J87" s="56"/>
      <c r="K87" s="50"/>
      <c r="L87" s="50"/>
      <c r="M87" s="56"/>
      <c r="N87" s="50"/>
      <c r="O87" s="50"/>
      <c r="P87" s="56"/>
      <c r="Q87" s="50"/>
      <c r="R87" s="50"/>
      <c r="S87" s="56"/>
      <c r="T87" s="50"/>
      <c r="U87" s="50"/>
      <c r="V87" s="56"/>
      <c r="W87" s="50"/>
      <c r="X87" s="50"/>
      <c r="Y87" s="56"/>
      <c r="Z87" s="50"/>
      <c r="AA87" s="50"/>
      <c r="AB87" s="56"/>
      <c r="AC87" s="50"/>
      <c r="AD87" s="50"/>
      <c r="AE87" s="56"/>
      <c r="AF87" s="50"/>
      <c r="AG87" s="50"/>
      <c r="AH87" s="56"/>
      <c r="AI87" s="50"/>
      <c r="AJ87" s="50"/>
      <c r="AK87" s="56"/>
      <c r="AL87" s="50"/>
      <c r="AM87" s="50"/>
      <c r="AN87" s="56"/>
      <c r="AO87" s="50"/>
      <c r="AP87" s="50"/>
      <c r="AQ87" s="56"/>
      <c r="AR87" s="50"/>
      <c r="AS87" s="50"/>
      <c r="AT87" s="56"/>
      <c r="AU87" s="50"/>
      <c r="AV87" s="50"/>
      <c r="AW87" s="56"/>
      <c r="AX87" s="50"/>
      <c r="AY87" s="50"/>
      <c r="AZ87" s="56"/>
      <c r="BA87" s="50"/>
      <c r="BB87" s="50"/>
      <c r="BC87" s="56"/>
      <c r="BD87" s="50"/>
      <c r="BE87" s="50"/>
      <c r="BF87" s="56"/>
      <c r="BG87" s="50"/>
      <c r="BH87" s="50"/>
      <c r="BI87" s="56"/>
      <c r="BJ87" s="50"/>
      <c r="BK87" s="50"/>
      <c r="BL87" s="56"/>
      <c r="BM87" s="50"/>
      <c r="BN87" s="50"/>
      <c r="BO87" s="56"/>
      <c r="BP87" s="50"/>
      <c r="BQ87" s="50"/>
      <c r="BR87" s="56"/>
      <c r="BS87" s="50"/>
      <c r="BT87" s="50"/>
      <c r="BU87" s="56"/>
      <c r="BV87" s="50"/>
      <c r="BW87" s="50"/>
      <c r="BX87" s="56"/>
      <c r="BY87" s="50"/>
      <c r="BZ87" s="50"/>
      <c r="CA87" s="56"/>
      <c r="CB87" s="50"/>
      <c r="CC87" s="50"/>
      <c r="CD87" s="56"/>
      <c r="CE87" s="50"/>
      <c r="CF87" s="50"/>
      <c r="CG87" s="56"/>
      <c r="CH87" s="50"/>
      <c r="CI87" s="50"/>
      <c r="CJ87" s="56"/>
      <c r="CK87" s="50"/>
      <c r="CL87" s="50"/>
      <c r="CM87" s="56"/>
      <c r="CN87" s="50"/>
      <c r="CO87" s="50"/>
      <c r="CP87" s="56"/>
      <c r="CQ87" s="50"/>
      <c r="CR87" s="50"/>
      <c r="CS87" s="56"/>
      <c r="CT87" s="50"/>
      <c r="CU87" s="50"/>
      <c r="CV87" s="56"/>
      <c r="CW87" s="50"/>
      <c r="CX87" s="50"/>
      <c r="CY87" s="56"/>
      <c r="CZ87" s="50"/>
      <c r="DA87" s="50"/>
      <c r="DB87" s="56"/>
      <c r="DC87" s="50"/>
      <c r="DD87" s="50"/>
      <c r="DE87" s="56"/>
      <c r="DF87" s="50"/>
      <c r="DG87" s="50"/>
      <c r="DH87" s="56"/>
      <c r="DI87" s="50"/>
      <c r="DJ87" s="50"/>
      <c r="DK87" s="56"/>
      <c r="DL87" s="50"/>
      <c r="DM87" s="50"/>
      <c r="DN87" s="56"/>
      <c r="DO87" s="50"/>
      <c r="DP87" s="50"/>
      <c r="DQ87" s="56"/>
      <c r="DR87" s="50"/>
      <c r="DS87" s="50"/>
      <c r="DT87" s="56"/>
      <c r="DU87" s="50"/>
      <c r="DV87" s="50"/>
      <c r="DW87" s="56"/>
      <c r="DX87" s="50"/>
      <c r="DY87" s="50"/>
      <c r="DZ87" s="56"/>
      <c r="EA87" s="50"/>
      <c r="EB87" s="50"/>
      <c r="EC87" s="56"/>
      <c r="ED87" s="50"/>
      <c r="EE87" s="50"/>
      <c r="EF87" s="56"/>
      <c r="EG87" s="50"/>
      <c r="EH87" s="50"/>
      <c r="EI87" s="56"/>
      <c r="EJ87" s="50"/>
      <c r="EK87" s="50"/>
      <c r="EL87" s="56"/>
      <c r="EM87" s="50"/>
      <c r="EN87" s="50"/>
      <c r="EO87" s="56"/>
      <c r="EP87" s="50"/>
      <c r="EQ87" s="50"/>
      <c r="ER87" s="56"/>
      <c r="ES87" s="50"/>
      <c r="ET87" s="50"/>
      <c r="EU87" s="56"/>
      <c r="EV87" s="50"/>
      <c r="EW87" s="50"/>
      <c r="EX87" s="56"/>
      <c r="EY87" s="50"/>
      <c r="EZ87" s="50"/>
      <c r="FA87" s="56"/>
      <c r="FB87" s="50"/>
      <c r="FC87" s="50"/>
      <c r="FD87" s="56"/>
      <c r="FE87" s="50"/>
      <c r="FF87" s="50"/>
      <c r="FG87" s="56"/>
      <c r="FH87" s="50"/>
      <c r="FI87" s="50"/>
      <c r="FJ87" s="56"/>
    </row>
    <row r="88" spans="1:166" s="52" customFormat="1" ht="15.75" x14ac:dyDescent="0.25">
      <c r="A88" s="3"/>
      <c r="B88" s="6" t="s">
        <v>275</v>
      </c>
      <c r="C88" s="1" t="s">
        <v>276</v>
      </c>
      <c r="D88" s="19" t="s">
        <v>82</v>
      </c>
      <c r="E88" s="50"/>
      <c r="F88" s="50"/>
      <c r="G88" s="56"/>
      <c r="H88" s="50"/>
      <c r="I88" s="50"/>
      <c r="J88" s="56"/>
      <c r="K88" s="50"/>
      <c r="L88" s="50"/>
      <c r="M88" s="56"/>
      <c r="N88" s="50"/>
      <c r="O88" s="50"/>
      <c r="P88" s="56"/>
      <c r="Q88" s="50"/>
      <c r="R88" s="50"/>
      <c r="S88" s="56"/>
      <c r="T88" s="50"/>
      <c r="U88" s="50"/>
      <c r="V88" s="56"/>
      <c r="W88" s="50"/>
      <c r="X88" s="50"/>
      <c r="Y88" s="56"/>
      <c r="Z88" s="50"/>
      <c r="AA88" s="50"/>
      <c r="AB88" s="56"/>
      <c r="AC88" s="50"/>
      <c r="AD88" s="50"/>
      <c r="AE88" s="56"/>
      <c r="AF88" s="50"/>
      <c r="AG88" s="50"/>
      <c r="AH88" s="56"/>
      <c r="AI88" s="50"/>
      <c r="AJ88" s="50"/>
      <c r="AK88" s="56"/>
      <c r="AL88" s="50"/>
      <c r="AM88" s="50"/>
      <c r="AN88" s="56"/>
      <c r="AO88" s="50"/>
      <c r="AP88" s="50"/>
      <c r="AQ88" s="56"/>
      <c r="AR88" s="50"/>
      <c r="AS88" s="50"/>
      <c r="AT88" s="56"/>
      <c r="AU88" s="50"/>
      <c r="AV88" s="50"/>
      <c r="AW88" s="56"/>
      <c r="AX88" s="50"/>
      <c r="AY88" s="50"/>
      <c r="AZ88" s="56"/>
      <c r="BA88" s="50"/>
      <c r="BB88" s="50"/>
      <c r="BC88" s="56"/>
      <c r="BD88" s="50"/>
      <c r="BE88" s="50"/>
      <c r="BF88" s="56"/>
      <c r="BG88" s="50"/>
      <c r="BH88" s="50"/>
      <c r="BI88" s="56"/>
      <c r="BJ88" s="50"/>
      <c r="BK88" s="50"/>
      <c r="BL88" s="56"/>
      <c r="BM88" s="50"/>
      <c r="BN88" s="50"/>
      <c r="BO88" s="56"/>
      <c r="BP88" s="50"/>
      <c r="BQ88" s="50"/>
      <c r="BR88" s="56"/>
      <c r="BS88" s="50"/>
      <c r="BT88" s="50"/>
      <c r="BU88" s="56"/>
      <c r="BV88" s="50"/>
      <c r="BW88" s="50"/>
      <c r="BX88" s="56"/>
      <c r="BY88" s="50"/>
      <c r="BZ88" s="50"/>
      <c r="CA88" s="56"/>
      <c r="CB88" s="50"/>
      <c r="CC88" s="50"/>
      <c r="CD88" s="56"/>
      <c r="CE88" s="50"/>
      <c r="CF88" s="50"/>
      <c r="CG88" s="56"/>
      <c r="CH88" s="50"/>
      <c r="CI88" s="50"/>
      <c r="CJ88" s="56"/>
      <c r="CK88" s="50"/>
      <c r="CL88" s="50"/>
      <c r="CM88" s="56"/>
      <c r="CN88" s="50"/>
      <c r="CO88" s="50"/>
      <c r="CP88" s="56"/>
      <c r="CQ88" s="50"/>
      <c r="CR88" s="50"/>
      <c r="CS88" s="56"/>
      <c r="CT88" s="50"/>
      <c r="CU88" s="50"/>
      <c r="CV88" s="56"/>
      <c r="CW88" s="50"/>
      <c r="CX88" s="50"/>
      <c r="CY88" s="56"/>
      <c r="CZ88" s="50"/>
      <c r="DA88" s="50"/>
      <c r="DB88" s="56"/>
      <c r="DC88" s="50"/>
      <c r="DD88" s="50"/>
      <c r="DE88" s="56"/>
      <c r="DF88" s="50"/>
      <c r="DG88" s="50"/>
      <c r="DH88" s="56"/>
      <c r="DI88" s="50"/>
      <c r="DJ88" s="50"/>
      <c r="DK88" s="56"/>
      <c r="DL88" s="50"/>
      <c r="DM88" s="50"/>
      <c r="DN88" s="56"/>
      <c r="DO88" s="50"/>
      <c r="DP88" s="50"/>
      <c r="DQ88" s="56"/>
      <c r="DR88" s="50"/>
      <c r="DS88" s="50"/>
      <c r="DT88" s="56"/>
      <c r="DU88" s="50"/>
      <c r="DV88" s="50"/>
      <c r="DW88" s="56"/>
      <c r="DX88" s="50"/>
      <c r="DY88" s="50"/>
      <c r="DZ88" s="56"/>
      <c r="EA88" s="50"/>
      <c r="EB88" s="50"/>
      <c r="EC88" s="56"/>
      <c r="ED88" s="50"/>
      <c r="EE88" s="50"/>
      <c r="EF88" s="56"/>
      <c r="EG88" s="50"/>
      <c r="EH88" s="50"/>
      <c r="EI88" s="56"/>
      <c r="EJ88" s="50"/>
      <c r="EK88" s="50"/>
      <c r="EL88" s="56"/>
      <c r="EM88" s="50"/>
      <c r="EN88" s="50"/>
      <c r="EO88" s="56"/>
      <c r="EP88" s="50"/>
      <c r="EQ88" s="50"/>
      <c r="ER88" s="56"/>
      <c r="ES88" s="50"/>
      <c r="ET88" s="50"/>
      <c r="EU88" s="56"/>
      <c r="EV88" s="50"/>
      <c r="EW88" s="50"/>
      <c r="EX88" s="56"/>
      <c r="EY88" s="50"/>
      <c r="EZ88" s="50"/>
      <c r="FA88" s="56"/>
      <c r="FB88" s="50"/>
      <c r="FC88" s="50"/>
      <c r="FD88" s="56"/>
      <c r="FE88" s="50"/>
      <c r="FF88" s="50"/>
      <c r="FG88" s="56"/>
      <c r="FH88" s="50"/>
      <c r="FI88" s="50"/>
      <c r="FJ88" s="56"/>
    </row>
    <row r="89" spans="1:166" s="52" customFormat="1" ht="15.75" x14ac:dyDescent="0.25">
      <c r="A89" s="3"/>
      <c r="B89" s="6" t="s">
        <v>277</v>
      </c>
      <c r="C89" s="1" t="s">
        <v>270</v>
      </c>
      <c r="D89" s="19" t="s">
        <v>82</v>
      </c>
      <c r="E89" s="50"/>
      <c r="F89" s="50"/>
      <c r="G89" s="56"/>
      <c r="H89" s="50"/>
      <c r="I89" s="50"/>
      <c r="J89" s="56"/>
      <c r="K89" s="50"/>
      <c r="L89" s="50"/>
      <c r="M89" s="56"/>
      <c r="N89" s="50"/>
      <c r="O89" s="50"/>
      <c r="P89" s="56"/>
      <c r="Q89" s="50"/>
      <c r="R89" s="50"/>
      <c r="S89" s="56"/>
      <c r="T89" s="50"/>
      <c r="U89" s="50"/>
      <c r="V89" s="56"/>
      <c r="W89" s="50"/>
      <c r="X89" s="50"/>
      <c r="Y89" s="56"/>
      <c r="Z89" s="50"/>
      <c r="AA89" s="50"/>
      <c r="AB89" s="56"/>
      <c r="AC89" s="50"/>
      <c r="AD89" s="50"/>
      <c r="AE89" s="56"/>
      <c r="AF89" s="50"/>
      <c r="AG89" s="50"/>
      <c r="AH89" s="56"/>
      <c r="AI89" s="50"/>
      <c r="AJ89" s="50"/>
      <c r="AK89" s="56"/>
      <c r="AL89" s="50"/>
      <c r="AM89" s="50"/>
      <c r="AN89" s="56"/>
      <c r="AO89" s="50"/>
      <c r="AP89" s="50"/>
      <c r="AQ89" s="56"/>
      <c r="AR89" s="50"/>
      <c r="AS89" s="50"/>
      <c r="AT89" s="56"/>
      <c r="AU89" s="50"/>
      <c r="AV89" s="50"/>
      <c r="AW89" s="56"/>
      <c r="AX89" s="50"/>
      <c r="AY89" s="50"/>
      <c r="AZ89" s="56"/>
      <c r="BA89" s="50"/>
      <c r="BB89" s="50"/>
      <c r="BC89" s="56"/>
      <c r="BD89" s="50"/>
      <c r="BE89" s="50"/>
      <c r="BF89" s="56"/>
      <c r="BG89" s="50"/>
      <c r="BH89" s="50"/>
      <c r="BI89" s="56"/>
      <c r="BJ89" s="50"/>
      <c r="BK89" s="50"/>
      <c r="BL89" s="56"/>
      <c r="BM89" s="50"/>
      <c r="BN89" s="50"/>
      <c r="BO89" s="56"/>
      <c r="BP89" s="50"/>
      <c r="BQ89" s="50"/>
      <c r="BR89" s="56"/>
      <c r="BS89" s="50"/>
      <c r="BT89" s="50"/>
      <c r="BU89" s="56"/>
      <c r="BV89" s="50"/>
      <c r="BW89" s="50"/>
      <c r="BX89" s="56"/>
      <c r="BY89" s="50"/>
      <c r="BZ89" s="50"/>
      <c r="CA89" s="56"/>
      <c r="CB89" s="50"/>
      <c r="CC89" s="50"/>
      <c r="CD89" s="56"/>
      <c r="CE89" s="50"/>
      <c r="CF89" s="50"/>
      <c r="CG89" s="56"/>
      <c r="CH89" s="50"/>
      <c r="CI89" s="50"/>
      <c r="CJ89" s="56"/>
      <c r="CK89" s="50"/>
      <c r="CL89" s="50"/>
      <c r="CM89" s="56"/>
      <c r="CN89" s="50"/>
      <c r="CO89" s="50"/>
      <c r="CP89" s="56"/>
      <c r="CQ89" s="50"/>
      <c r="CR89" s="50"/>
      <c r="CS89" s="56"/>
      <c r="CT89" s="50"/>
      <c r="CU89" s="50"/>
      <c r="CV89" s="56"/>
      <c r="CW89" s="50"/>
      <c r="CX89" s="50"/>
      <c r="CY89" s="56"/>
      <c r="CZ89" s="50"/>
      <c r="DA89" s="50"/>
      <c r="DB89" s="56"/>
      <c r="DC89" s="50"/>
      <c r="DD89" s="50"/>
      <c r="DE89" s="56"/>
      <c r="DF89" s="50"/>
      <c r="DG89" s="50"/>
      <c r="DH89" s="56"/>
      <c r="DI89" s="50"/>
      <c r="DJ89" s="50"/>
      <c r="DK89" s="56"/>
      <c r="DL89" s="50"/>
      <c r="DM89" s="50"/>
      <c r="DN89" s="56"/>
      <c r="DO89" s="50"/>
      <c r="DP89" s="50"/>
      <c r="DQ89" s="56"/>
      <c r="DR89" s="50"/>
      <c r="DS89" s="50"/>
      <c r="DT89" s="56"/>
      <c r="DU89" s="50"/>
      <c r="DV89" s="50"/>
      <c r="DW89" s="56"/>
      <c r="DX89" s="50"/>
      <c r="DY89" s="50"/>
      <c r="DZ89" s="56"/>
      <c r="EA89" s="50"/>
      <c r="EB89" s="50"/>
      <c r="EC89" s="56"/>
      <c r="ED89" s="50"/>
      <c r="EE89" s="50"/>
      <c r="EF89" s="56"/>
      <c r="EG89" s="50"/>
      <c r="EH89" s="50"/>
      <c r="EI89" s="56"/>
      <c r="EJ89" s="50"/>
      <c r="EK89" s="50"/>
      <c r="EL89" s="56"/>
      <c r="EM89" s="50"/>
      <c r="EN89" s="50"/>
      <c r="EO89" s="56"/>
      <c r="EP89" s="50"/>
      <c r="EQ89" s="50"/>
      <c r="ER89" s="56"/>
      <c r="ES89" s="50"/>
      <c r="ET89" s="50"/>
      <c r="EU89" s="56"/>
      <c r="EV89" s="50"/>
      <c r="EW89" s="50"/>
      <c r="EX89" s="56"/>
      <c r="EY89" s="50"/>
      <c r="EZ89" s="50"/>
      <c r="FA89" s="56"/>
      <c r="FB89" s="50"/>
      <c r="FC89" s="50"/>
      <c r="FD89" s="56"/>
      <c r="FE89" s="50"/>
      <c r="FF89" s="50"/>
      <c r="FG89" s="56"/>
      <c r="FH89" s="50"/>
      <c r="FI89" s="50"/>
      <c r="FJ89" s="56"/>
    </row>
    <row r="90" spans="1:166" s="38" customFormat="1" ht="15.75" x14ac:dyDescent="0.25">
      <c r="A90" s="3"/>
      <c r="B90" s="6" t="s">
        <v>278</v>
      </c>
      <c r="C90" s="1" t="s">
        <v>279</v>
      </c>
      <c r="D90" s="19">
        <v>0</v>
      </c>
      <c r="E90" s="41"/>
      <c r="F90" s="41"/>
      <c r="G90" s="42"/>
      <c r="H90" s="41"/>
      <c r="I90" s="41"/>
      <c r="J90" s="42"/>
      <c r="K90" s="41"/>
      <c r="L90" s="41"/>
      <c r="M90" s="42"/>
      <c r="N90" s="41"/>
      <c r="O90" s="41"/>
      <c r="P90" s="42"/>
      <c r="Q90" s="41"/>
      <c r="R90" s="41"/>
      <c r="S90" s="42"/>
      <c r="T90" s="41"/>
      <c r="U90" s="41"/>
      <c r="V90" s="42"/>
      <c r="W90" s="41"/>
      <c r="X90" s="41"/>
      <c r="Y90" s="42"/>
      <c r="Z90" s="41"/>
      <c r="AA90" s="41"/>
      <c r="AB90" s="42"/>
      <c r="AC90" s="41"/>
      <c r="AD90" s="41"/>
      <c r="AE90" s="42"/>
      <c r="AF90" s="41"/>
      <c r="AG90" s="41"/>
      <c r="AH90" s="42"/>
      <c r="AI90" s="41"/>
      <c r="AJ90" s="41"/>
      <c r="AK90" s="42"/>
      <c r="AL90" s="41"/>
      <c r="AM90" s="41"/>
      <c r="AN90" s="42"/>
      <c r="AO90" s="41"/>
      <c r="AP90" s="41"/>
      <c r="AQ90" s="42"/>
      <c r="AR90" s="41"/>
      <c r="AS90" s="41"/>
      <c r="AT90" s="42"/>
      <c r="AU90" s="41"/>
      <c r="AV90" s="41"/>
      <c r="AW90" s="42"/>
      <c r="AX90" s="41"/>
      <c r="AY90" s="41"/>
      <c r="AZ90" s="42"/>
      <c r="BA90" s="41"/>
      <c r="BB90" s="41"/>
      <c r="BC90" s="42"/>
      <c r="BD90" s="41"/>
      <c r="BE90" s="41"/>
      <c r="BF90" s="42"/>
      <c r="BG90" s="41"/>
      <c r="BH90" s="41"/>
      <c r="BI90" s="42"/>
      <c r="BJ90" s="41"/>
      <c r="BK90" s="41"/>
      <c r="BL90" s="42"/>
      <c r="BM90" s="41"/>
      <c r="BN90" s="41"/>
      <c r="BO90" s="42"/>
      <c r="BP90" s="41"/>
      <c r="BQ90" s="41"/>
      <c r="BR90" s="42"/>
      <c r="BS90" s="41"/>
      <c r="BT90" s="41"/>
      <c r="BU90" s="42"/>
      <c r="BV90" s="41"/>
      <c r="BW90" s="41"/>
      <c r="BX90" s="42"/>
      <c r="BY90" s="41"/>
      <c r="BZ90" s="41"/>
      <c r="CA90" s="42"/>
      <c r="CB90" s="41"/>
      <c r="CC90" s="41"/>
      <c r="CD90" s="42"/>
      <c r="CE90" s="41"/>
      <c r="CF90" s="41"/>
      <c r="CG90" s="42"/>
      <c r="CH90" s="41"/>
      <c r="CI90" s="41"/>
      <c r="CJ90" s="42"/>
      <c r="CK90" s="41"/>
      <c r="CL90" s="41"/>
      <c r="CM90" s="42"/>
      <c r="CN90" s="41"/>
      <c r="CO90" s="41"/>
      <c r="CP90" s="42"/>
      <c r="CQ90" s="41"/>
      <c r="CR90" s="41"/>
      <c r="CS90" s="42"/>
      <c r="CT90" s="41"/>
      <c r="CU90" s="41"/>
      <c r="CV90" s="42"/>
      <c r="CW90" s="41"/>
      <c r="CX90" s="41"/>
      <c r="CY90" s="42"/>
      <c r="CZ90" s="41"/>
      <c r="DA90" s="41"/>
      <c r="DB90" s="42"/>
      <c r="DC90" s="41"/>
      <c r="DD90" s="41"/>
      <c r="DE90" s="42"/>
      <c r="DF90" s="41"/>
      <c r="DG90" s="41"/>
      <c r="DH90" s="42"/>
      <c r="DI90" s="41"/>
      <c r="DJ90" s="41"/>
      <c r="DK90" s="42"/>
      <c r="DL90" s="41"/>
      <c r="DM90" s="41"/>
      <c r="DN90" s="42"/>
      <c r="DO90" s="41"/>
      <c r="DP90" s="41"/>
      <c r="DQ90" s="42"/>
      <c r="DR90" s="41"/>
      <c r="DS90" s="41"/>
      <c r="DT90" s="42"/>
      <c r="DU90" s="41"/>
      <c r="DV90" s="41"/>
      <c r="DW90" s="42"/>
      <c r="DX90" s="41"/>
      <c r="DY90" s="41"/>
      <c r="DZ90" s="42"/>
      <c r="EA90" s="41"/>
      <c r="EB90" s="41"/>
      <c r="EC90" s="42"/>
      <c r="ED90" s="41"/>
      <c r="EE90" s="41"/>
      <c r="EF90" s="42"/>
      <c r="EG90" s="41"/>
      <c r="EH90" s="41"/>
      <c r="EI90" s="42"/>
      <c r="EJ90" s="41"/>
      <c r="EK90" s="41"/>
      <c r="EL90" s="42"/>
      <c r="EM90" s="41"/>
      <c r="EN90" s="41"/>
      <c r="EO90" s="42"/>
      <c r="EP90" s="41"/>
      <c r="EQ90" s="41"/>
      <c r="ER90" s="42"/>
      <c r="ES90" s="41"/>
      <c r="ET90" s="41"/>
      <c r="EU90" s="42"/>
      <c r="EV90" s="41"/>
      <c r="EW90" s="41"/>
      <c r="EX90" s="42"/>
      <c r="EY90" s="41"/>
      <c r="EZ90" s="41"/>
      <c r="FA90" s="42"/>
      <c r="FB90" s="41"/>
      <c r="FC90" s="41"/>
      <c r="FD90" s="42"/>
      <c r="FE90" s="41"/>
      <c r="FF90" s="41"/>
      <c r="FG90" s="42"/>
      <c r="FH90" s="41"/>
      <c r="FI90" s="41"/>
      <c r="FJ90" s="42"/>
    </row>
    <row r="91" spans="1:166" s="52" customFormat="1" ht="15.75" x14ac:dyDescent="0.25">
      <c r="A91" s="3"/>
      <c r="B91" s="6" t="s">
        <v>43</v>
      </c>
      <c r="C91" s="1" t="s">
        <v>280</v>
      </c>
      <c r="D91" s="19" t="s">
        <v>82</v>
      </c>
      <c r="E91" s="54"/>
      <c r="F91" s="54"/>
      <c r="G91" s="57"/>
      <c r="H91" s="54"/>
      <c r="I91" s="54"/>
      <c r="J91" s="57"/>
      <c r="K91" s="54"/>
      <c r="L91" s="54"/>
      <c r="M91" s="57"/>
      <c r="N91" s="54"/>
      <c r="O91" s="54"/>
      <c r="P91" s="57"/>
      <c r="Q91" s="54"/>
      <c r="R91" s="54"/>
      <c r="S91" s="57"/>
      <c r="T91" s="54"/>
      <c r="U91" s="54"/>
      <c r="V91" s="57"/>
      <c r="W91" s="54"/>
      <c r="X91" s="54"/>
      <c r="Y91" s="57"/>
      <c r="Z91" s="54"/>
      <c r="AA91" s="54"/>
      <c r="AB91" s="57"/>
      <c r="AC91" s="54"/>
      <c r="AD91" s="54"/>
      <c r="AE91" s="57"/>
      <c r="AF91" s="54"/>
      <c r="AG91" s="54"/>
      <c r="AH91" s="57"/>
      <c r="AI91" s="54"/>
      <c r="AJ91" s="54"/>
      <c r="AK91" s="57"/>
      <c r="AL91" s="54"/>
      <c r="AM91" s="54"/>
      <c r="AN91" s="57"/>
      <c r="AO91" s="54"/>
      <c r="AP91" s="54"/>
      <c r="AQ91" s="57"/>
      <c r="AR91" s="54"/>
      <c r="AS91" s="54"/>
      <c r="AT91" s="57"/>
      <c r="AU91" s="54"/>
      <c r="AV91" s="54"/>
      <c r="AW91" s="57"/>
      <c r="AX91" s="54"/>
      <c r="AY91" s="54"/>
      <c r="AZ91" s="57"/>
      <c r="BA91" s="54"/>
      <c r="BB91" s="54"/>
      <c r="BC91" s="57"/>
      <c r="BD91" s="54"/>
      <c r="BE91" s="54"/>
      <c r="BF91" s="57"/>
      <c r="BG91" s="54"/>
      <c r="BH91" s="54"/>
      <c r="BI91" s="57"/>
      <c r="BJ91" s="54"/>
      <c r="BK91" s="54"/>
      <c r="BL91" s="57"/>
      <c r="BM91" s="54"/>
      <c r="BN91" s="54"/>
      <c r="BO91" s="57"/>
      <c r="BP91" s="54"/>
      <c r="BQ91" s="54"/>
      <c r="BR91" s="57"/>
      <c r="BS91" s="54"/>
      <c r="BT91" s="54"/>
      <c r="BU91" s="57"/>
      <c r="BV91" s="54"/>
      <c r="BW91" s="54"/>
      <c r="BX91" s="57"/>
      <c r="BY91" s="54"/>
      <c r="BZ91" s="54"/>
      <c r="CA91" s="57"/>
      <c r="CB91" s="54"/>
      <c r="CC91" s="54"/>
      <c r="CD91" s="57"/>
      <c r="CE91" s="54"/>
      <c r="CF91" s="54"/>
      <c r="CG91" s="57"/>
      <c r="CH91" s="54"/>
      <c r="CI91" s="54"/>
      <c r="CJ91" s="57"/>
      <c r="CK91" s="54"/>
      <c r="CL91" s="54"/>
      <c r="CM91" s="57"/>
      <c r="CN91" s="54"/>
      <c r="CO91" s="54"/>
      <c r="CP91" s="57"/>
      <c r="CQ91" s="54"/>
      <c r="CR91" s="54"/>
      <c r="CS91" s="57"/>
      <c r="CT91" s="54"/>
      <c r="CU91" s="54"/>
      <c r="CV91" s="57"/>
      <c r="CW91" s="54"/>
      <c r="CX91" s="54"/>
      <c r="CY91" s="57"/>
      <c r="CZ91" s="54"/>
      <c r="DA91" s="54"/>
      <c r="DB91" s="57"/>
      <c r="DC91" s="54"/>
      <c r="DD91" s="54"/>
      <c r="DE91" s="57"/>
      <c r="DF91" s="54"/>
      <c r="DG91" s="54"/>
      <c r="DH91" s="57"/>
      <c r="DI91" s="54"/>
      <c r="DJ91" s="54"/>
      <c r="DK91" s="57"/>
      <c r="DL91" s="54"/>
      <c r="DM91" s="54"/>
      <c r="DN91" s="57"/>
      <c r="DO91" s="54"/>
      <c r="DP91" s="54"/>
      <c r="DQ91" s="57"/>
      <c r="DR91" s="54"/>
      <c r="DS91" s="54"/>
      <c r="DT91" s="57"/>
      <c r="DU91" s="54"/>
      <c r="DV91" s="54"/>
      <c r="DW91" s="57"/>
      <c r="DX91" s="54"/>
      <c r="DY91" s="54"/>
      <c r="DZ91" s="57"/>
      <c r="EA91" s="54"/>
      <c r="EB91" s="54"/>
      <c r="EC91" s="57"/>
      <c r="ED91" s="54"/>
      <c r="EE91" s="54"/>
      <c r="EF91" s="57"/>
      <c r="EG91" s="54"/>
      <c r="EH91" s="54"/>
      <c r="EI91" s="57"/>
      <c r="EJ91" s="54"/>
      <c r="EK91" s="54"/>
      <c r="EL91" s="57"/>
      <c r="EM91" s="54"/>
      <c r="EN91" s="54"/>
      <c r="EO91" s="57"/>
      <c r="EP91" s="54"/>
      <c r="EQ91" s="54"/>
      <c r="ER91" s="57"/>
      <c r="ES91" s="54"/>
      <c r="ET91" s="54"/>
      <c r="EU91" s="57"/>
      <c r="EV91" s="54"/>
      <c r="EW91" s="54"/>
      <c r="EX91" s="57"/>
      <c r="EY91" s="54"/>
      <c r="EZ91" s="54"/>
      <c r="FA91" s="57"/>
      <c r="FB91" s="54"/>
      <c r="FC91" s="54"/>
      <c r="FD91" s="57"/>
      <c r="FE91" s="54"/>
      <c r="FF91" s="54"/>
      <c r="FG91" s="57"/>
      <c r="FH91" s="54"/>
      <c r="FI91" s="54"/>
      <c r="FJ91" s="57"/>
    </row>
    <row r="92" spans="1:166" s="52" customFormat="1" ht="15.75" x14ac:dyDescent="0.25">
      <c r="A92" s="3"/>
      <c r="B92" s="6" t="s">
        <v>43</v>
      </c>
      <c r="C92" s="1" t="s">
        <v>281</v>
      </c>
      <c r="D92" s="19" t="s">
        <v>82</v>
      </c>
      <c r="E92" s="54"/>
      <c r="F92" s="54"/>
      <c r="G92" s="57"/>
      <c r="H92" s="54"/>
      <c r="I92" s="54"/>
      <c r="J92" s="57"/>
      <c r="K92" s="54"/>
      <c r="L92" s="54"/>
      <c r="M92" s="57"/>
      <c r="N92" s="54"/>
      <c r="O92" s="54"/>
      <c r="P92" s="57"/>
      <c r="Q92" s="54"/>
      <c r="R92" s="54"/>
      <c r="S92" s="57"/>
      <c r="T92" s="54"/>
      <c r="U92" s="54"/>
      <c r="V92" s="57"/>
      <c r="W92" s="54"/>
      <c r="X92" s="54"/>
      <c r="Y92" s="57"/>
      <c r="Z92" s="54"/>
      <c r="AA92" s="54"/>
      <c r="AB92" s="57"/>
      <c r="AC92" s="54"/>
      <c r="AD92" s="54"/>
      <c r="AE92" s="57"/>
      <c r="AF92" s="54"/>
      <c r="AG92" s="54"/>
      <c r="AH92" s="57"/>
      <c r="AI92" s="54"/>
      <c r="AJ92" s="54"/>
      <c r="AK92" s="57"/>
      <c r="AL92" s="54"/>
      <c r="AM92" s="54"/>
      <c r="AN92" s="57"/>
      <c r="AO92" s="54"/>
      <c r="AP92" s="54"/>
      <c r="AQ92" s="57"/>
      <c r="AR92" s="54"/>
      <c r="AS92" s="54"/>
      <c r="AT92" s="57"/>
      <c r="AU92" s="54"/>
      <c r="AV92" s="54"/>
      <c r="AW92" s="57"/>
      <c r="AX92" s="54"/>
      <c r="AY92" s="54"/>
      <c r="AZ92" s="57"/>
      <c r="BA92" s="54"/>
      <c r="BB92" s="54"/>
      <c r="BC92" s="57"/>
      <c r="BD92" s="54"/>
      <c r="BE92" s="54"/>
      <c r="BF92" s="57"/>
      <c r="BG92" s="54"/>
      <c r="BH92" s="54"/>
      <c r="BI92" s="57"/>
      <c r="BJ92" s="54"/>
      <c r="BK92" s="54"/>
      <c r="BL92" s="57"/>
      <c r="BM92" s="54"/>
      <c r="BN92" s="54"/>
      <c r="BO92" s="57"/>
      <c r="BP92" s="54"/>
      <c r="BQ92" s="54"/>
      <c r="BR92" s="57"/>
      <c r="BS92" s="54"/>
      <c r="BT92" s="54"/>
      <c r="BU92" s="57"/>
      <c r="BV92" s="54"/>
      <c r="BW92" s="54"/>
      <c r="BX92" s="57"/>
      <c r="BY92" s="54"/>
      <c r="BZ92" s="54"/>
      <c r="CA92" s="57"/>
      <c r="CB92" s="54"/>
      <c r="CC92" s="54"/>
      <c r="CD92" s="57"/>
      <c r="CE92" s="54"/>
      <c r="CF92" s="54"/>
      <c r="CG92" s="57"/>
      <c r="CH92" s="54"/>
      <c r="CI92" s="54"/>
      <c r="CJ92" s="57"/>
      <c r="CK92" s="54"/>
      <c r="CL92" s="54"/>
      <c r="CM92" s="57"/>
      <c r="CN92" s="54"/>
      <c r="CO92" s="54"/>
      <c r="CP92" s="57"/>
      <c r="CQ92" s="54"/>
      <c r="CR92" s="54"/>
      <c r="CS92" s="57"/>
      <c r="CT92" s="54"/>
      <c r="CU92" s="54"/>
      <c r="CV92" s="57"/>
      <c r="CW92" s="54"/>
      <c r="CX92" s="54"/>
      <c r="CY92" s="57"/>
      <c r="CZ92" s="54"/>
      <c r="DA92" s="54"/>
      <c r="DB92" s="57"/>
      <c r="DC92" s="54"/>
      <c r="DD92" s="54"/>
      <c r="DE92" s="57"/>
      <c r="DF92" s="54"/>
      <c r="DG92" s="54"/>
      <c r="DH92" s="57"/>
      <c r="DI92" s="54"/>
      <c r="DJ92" s="54"/>
      <c r="DK92" s="57"/>
      <c r="DL92" s="54"/>
      <c r="DM92" s="54"/>
      <c r="DN92" s="57"/>
      <c r="DO92" s="54"/>
      <c r="DP92" s="54"/>
      <c r="DQ92" s="57"/>
      <c r="DR92" s="54"/>
      <c r="DS92" s="54"/>
      <c r="DT92" s="57"/>
      <c r="DU92" s="54"/>
      <c r="DV92" s="54"/>
      <c r="DW92" s="57"/>
      <c r="DX92" s="54"/>
      <c r="DY92" s="54"/>
      <c r="DZ92" s="57"/>
      <c r="EA92" s="54"/>
      <c r="EB92" s="54"/>
      <c r="EC92" s="57"/>
      <c r="ED92" s="54"/>
      <c r="EE92" s="54"/>
      <c r="EF92" s="57"/>
      <c r="EG92" s="54"/>
      <c r="EH92" s="54"/>
      <c r="EI92" s="57"/>
      <c r="EJ92" s="54"/>
      <c r="EK92" s="54"/>
      <c r="EL92" s="57"/>
      <c r="EM92" s="54"/>
      <c r="EN92" s="54"/>
      <c r="EO92" s="57"/>
      <c r="EP92" s="54"/>
      <c r="EQ92" s="54"/>
      <c r="ER92" s="57"/>
      <c r="ES92" s="54"/>
      <c r="ET92" s="54"/>
      <c r="EU92" s="57"/>
      <c r="EV92" s="54"/>
      <c r="EW92" s="54"/>
      <c r="EX92" s="57"/>
      <c r="EY92" s="54"/>
      <c r="EZ92" s="54"/>
      <c r="FA92" s="57"/>
      <c r="FB92" s="54"/>
      <c r="FC92" s="54"/>
      <c r="FD92" s="57"/>
      <c r="FE92" s="54"/>
      <c r="FF92" s="54"/>
      <c r="FG92" s="57"/>
      <c r="FH92" s="54"/>
      <c r="FI92" s="54"/>
      <c r="FJ92" s="57"/>
    </row>
    <row r="93" spans="1:166" s="38" customFormat="1" ht="15.75" x14ac:dyDescent="0.25">
      <c r="A93" s="3"/>
      <c r="B93" s="6" t="s">
        <v>282</v>
      </c>
      <c r="C93" s="1" t="s">
        <v>283</v>
      </c>
      <c r="D93" s="19">
        <v>0</v>
      </c>
      <c r="E93" s="41"/>
      <c r="F93" s="41"/>
      <c r="G93" s="42"/>
      <c r="H93" s="41"/>
      <c r="I93" s="41"/>
      <c r="J93" s="42"/>
      <c r="K93" s="41"/>
      <c r="L93" s="41"/>
      <c r="M93" s="42"/>
      <c r="N93" s="41"/>
      <c r="O93" s="41"/>
      <c r="P93" s="42"/>
      <c r="Q93" s="41"/>
      <c r="R93" s="41"/>
      <c r="S93" s="42"/>
      <c r="T93" s="41"/>
      <c r="U93" s="41"/>
      <c r="V93" s="42"/>
      <c r="W93" s="41"/>
      <c r="X93" s="41"/>
      <c r="Y93" s="42"/>
      <c r="Z93" s="41"/>
      <c r="AA93" s="41"/>
      <c r="AB93" s="42"/>
      <c r="AC93" s="41"/>
      <c r="AD93" s="41"/>
      <c r="AE93" s="42"/>
      <c r="AF93" s="41"/>
      <c r="AG93" s="41"/>
      <c r="AH93" s="42"/>
      <c r="AI93" s="41"/>
      <c r="AJ93" s="41"/>
      <c r="AK93" s="42"/>
      <c r="AL93" s="41"/>
      <c r="AM93" s="41"/>
      <c r="AN93" s="42"/>
      <c r="AO93" s="41"/>
      <c r="AP93" s="41"/>
      <c r="AQ93" s="42"/>
      <c r="AR93" s="41"/>
      <c r="AS93" s="41"/>
      <c r="AT93" s="42"/>
      <c r="AU93" s="41"/>
      <c r="AV93" s="41"/>
      <c r="AW93" s="42"/>
      <c r="AX93" s="41"/>
      <c r="AY93" s="41"/>
      <c r="AZ93" s="42"/>
      <c r="BA93" s="41"/>
      <c r="BB93" s="41"/>
      <c r="BC93" s="42"/>
      <c r="BD93" s="41"/>
      <c r="BE93" s="41"/>
      <c r="BF93" s="42"/>
      <c r="BG93" s="41"/>
      <c r="BH93" s="41"/>
      <c r="BI93" s="42"/>
      <c r="BJ93" s="41"/>
      <c r="BK93" s="41"/>
      <c r="BL93" s="42"/>
      <c r="BM93" s="41"/>
      <c r="BN93" s="41"/>
      <c r="BO93" s="42"/>
      <c r="BP93" s="41"/>
      <c r="BQ93" s="41"/>
      <c r="BR93" s="42"/>
      <c r="BS93" s="41"/>
      <c r="BT93" s="41"/>
      <c r="BU93" s="42"/>
      <c r="BV93" s="41"/>
      <c r="BW93" s="41"/>
      <c r="BX93" s="42"/>
      <c r="BY93" s="41"/>
      <c r="BZ93" s="41"/>
      <c r="CA93" s="42"/>
      <c r="CB93" s="41"/>
      <c r="CC93" s="41"/>
      <c r="CD93" s="42"/>
      <c r="CE93" s="41"/>
      <c r="CF93" s="41"/>
      <c r="CG93" s="42"/>
      <c r="CH93" s="41"/>
      <c r="CI93" s="41"/>
      <c r="CJ93" s="42"/>
      <c r="CK93" s="41"/>
      <c r="CL93" s="41"/>
      <c r="CM93" s="42"/>
      <c r="CN93" s="41"/>
      <c r="CO93" s="41"/>
      <c r="CP93" s="42"/>
      <c r="CQ93" s="41"/>
      <c r="CR93" s="41"/>
      <c r="CS93" s="42"/>
      <c r="CT93" s="41"/>
      <c r="CU93" s="41"/>
      <c r="CV93" s="42"/>
      <c r="CW93" s="41"/>
      <c r="CX93" s="41"/>
      <c r="CY93" s="42"/>
      <c r="CZ93" s="41"/>
      <c r="DA93" s="41"/>
      <c r="DB93" s="42"/>
      <c r="DC93" s="41"/>
      <c r="DD93" s="41"/>
      <c r="DE93" s="42"/>
      <c r="DF93" s="41"/>
      <c r="DG93" s="41"/>
      <c r="DH93" s="42"/>
      <c r="DI93" s="41"/>
      <c r="DJ93" s="41"/>
      <c r="DK93" s="42"/>
      <c r="DL93" s="41"/>
      <c r="DM93" s="41"/>
      <c r="DN93" s="42"/>
      <c r="DO93" s="41"/>
      <c r="DP93" s="41"/>
      <c r="DQ93" s="42"/>
      <c r="DR93" s="41"/>
      <c r="DS93" s="41"/>
      <c r="DT93" s="42"/>
      <c r="DU93" s="41"/>
      <c r="DV93" s="41"/>
      <c r="DW93" s="42"/>
      <c r="DX93" s="41"/>
      <c r="DY93" s="41"/>
      <c r="DZ93" s="42"/>
      <c r="EA93" s="41"/>
      <c r="EB93" s="41"/>
      <c r="EC93" s="42"/>
      <c r="ED93" s="41"/>
      <c r="EE93" s="41"/>
      <c r="EF93" s="42"/>
      <c r="EG93" s="41"/>
      <c r="EH93" s="41"/>
      <c r="EI93" s="42"/>
      <c r="EJ93" s="41"/>
      <c r="EK93" s="41"/>
      <c r="EL93" s="42"/>
      <c r="EM93" s="41"/>
      <c r="EN93" s="41"/>
      <c r="EO93" s="42"/>
      <c r="EP93" s="41"/>
      <c r="EQ93" s="41"/>
      <c r="ER93" s="42"/>
      <c r="ES93" s="41"/>
      <c r="ET93" s="41"/>
      <c r="EU93" s="42"/>
      <c r="EV93" s="41"/>
      <c r="EW93" s="41"/>
      <c r="EX93" s="42"/>
      <c r="EY93" s="41"/>
      <c r="EZ93" s="41"/>
      <c r="FA93" s="42"/>
      <c r="FB93" s="41"/>
      <c r="FC93" s="41"/>
      <c r="FD93" s="42"/>
      <c r="FE93" s="41"/>
      <c r="FF93" s="41"/>
      <c r="FG93" s="42"/>
      <c r="FH93" s="41"/>
      <c r="FI93" s="41"/>
      <c r="FJ93" s="42"/>
    </row>
    <row r="94" spans="1:166" s="38" customFormat="1" ht="15.75" x14ac:dyDescent="0.25">
      <c r="A94" s="3"/>
      <c r="B94" s="6" t="s">
        <v>284</v>
      </c>
      <c r="C94" s="1" t="s">
        <v>233</v>
      </c>
      <c r="D94" s="19">
        <v>0</v>
      </c>
      <c r="E94" s="41"/>
      <c r="F94" s="41"/>
      <c r="G94" s="42"/>
      <c r="H94" s="41"/>
      <c r="I94" s="41"/>
      <c r="J94" s="42"/>
      <c r="K94" s="41"/>
      <c r="L94" s="41"/>
      <c r="M94" s="42"/>
      <c r="N94" s="41"/>
      <c r="O94" s="41"/>
      <c r="P94" s="42"/>
      <c r="Q94" s="41"/>
      <c r="R94" s="41"/>
      <c r="S94" s="42"/>
      <c r="T94" s="41"/>
      <c r="U94" s="41"/>
      <c r="V94" s="42"/>
      <c r="W94" s="41"/>
      <c r="X94" s="41"/>
      <c r="Y94" s="42"/>
      <c r="Z94" s="41"/>
      <c r="AA94" s="41"/>
      <c r="AB94" s="42"/>
      <c r="AC94" s="41"/>
      <c r="AD94" s="41"/>
      <c r="AE94" s="42"/>
      <c r="AF94" s="41"/>
      <c r="AG94" s="41"/>
      <c r="AH94" s="42"/>
      <c r="AI94" s="41"/>
      <c r="AJ94" s="41"/>
      <c r="AK94" s="42"/>
      <c r="AL94" s="41"/>
      <c r="AM94" s="41"/>
      <c r="AN94" s="42"/>
      <c r="AO94" s="41"/>
      <c r="AP94" s="41"/>
      <c r="AQ94" s="42"/>
      <c r="AR94" s="41"/>
      <c r="AS94" s="41"/>
      <c r="AT94" s="42"/>
      <c r="AU94" s="41"/>
      <c r="AV94" s="41"/>
      <c r="AW94" s="42"/>
      <c r="AX94" s="41"/>
      <c r="AY94" s="41"/>
      <c r="AZ94" s="42"/>
      <c r="BA94" s="41"/>
      <c r="BB94" s="41"/>
      <c r="BC94" s="42"/>
      <c r="BD94" s="41"/>
      <c r="BE94" s="41"/>
      <c r="BF94" s="42"/>
      <c r="BG94" s="41"/>
      <c r="BH94" s="41"/>
      <c r="BI94" s="42"/>
      <c r="BJ94" s="41"/>
      <c r="BK94" s="41"/>
      <c r="BL94" s="42"/>
      <c r="BM94" s="41"/>
      <c r="BN94" s="41"/>
      <c r="BO94" s="42"/>
      <c r="BP94" s="41"/>
      <c r="BQ94" s="41"/>
      <c r="BR94" s="42"/>
      <c r="BS94" s="41"/>
      <c r="BT94" s="41"/>
      <c r="BU94" s="42"/>
      <c r="BV94" s="41"/>
      <c r="BW94" s="41"/>
      <c r="BX94" s="42"/>
      <c r="BY94" s="41"/>
      <c r="BZ94" s="41"/>
      <c r="CA94" s="42"/>
      <c r="CB94" s="41"/>
      <c r="CC94" s="41"/>
      <c r="CD94" s="42"/>
      <c r="CE94" s="41"/>
      <c r="CF94" s="41"/>
      <c r="CG94" s="42"/>
      <c r="CH94" s="41"/>
      <c r="CI94" s="41"/>
      <c r="CJ94" s="42"/>
      <c r="CK94" s="41"/>
      <c r="CL94" s="41"/>
      <c r="CM94" s="42"/>
      <c r="CN94" s="41"/>
      <c r="CO94" s="41"/>
      <c r="CP94" s="42"/>
      <c r="CQ94" s="41"/>
      <c r="CR94" s="41"/>
      <c r="CS94" s="42"/>
      <c r="CT94" s="41"/>
      <c r="CU94" s="41"/>
      <c r="CV94" s="42"/>
      <c r="CW94" s="41"/>
      <c r="CX94" s="41"/>
      <c r="CY94" s="42"/>
      <c r="CZ94" s="41"/>
      <c r="DA94" s="41"/>
      <c r="DB94" s="42"/>
      <c r="DC94" s="41"/>
      <c r="DD94" s="41"/>
      <c r="DE94" s="42"/>
      <c r="DF94" s="41"/>
      <c r="DG94" s="41"/>
      <c r="DH94" s="42"/>
      <c r="DI94" s="41"/>
      <c r="DJ94" s="41"/>
      <c r="DK94" s="42"/>
      <c r="DL94" s="41"/>
      <c r="DM94" s="41"/>
      <c r="DN94" s="42"/>
      <c r="DO94" s="41"/>
      <c r="DP94" s="41"/>
      <c r="DQ94" s="42"/>
      <c r="DR94" s="41"/>
      <c r="DS94" s="41"/>
      <c r="DT94" s="42"/>
      <c r="DU94" s="41"/>
      <c r="DV94" s="41"/>
      <c r="DW94" s="42"/>
      <c r="DX94" s="41"/>
      <c r="DY94" s="41"/>
      <c r="DZ94" s="42"/>
      <c r="EA94" s="41"/>
      <c r="EB94" s="41"/>
      <c r="EC94" s="42"/>
      <c r="ED94" s="41"/>
      <c r="EE94" s="41"/>
      <c r="EF94" s="42"/>
      <c r="EG94" s="41"/>
      <c r="EH94" s="41"/>
      <c r="EI94" s="42"/>
      <c r="EJ94" s="41"/>
      <c r="EK94" s="41"/>
      <c r="EL94" s="42"/>
      <c r="EM94" s="41"/>
      <c r="EN94" s="41"/>
      <c r="EO94" s="42"/>
      <c r="EP94" s="41"/>
      <c r="EQ94" s="41"/>
      <c r="ER94" s="42"/>
      <c r="ES94" s="41"/>
      <c r="ET94" s="41"/>
      <c r="EU94" s="42"/>
      <c r="EV94" s="41"/>
      <c r="EW94" s="41"/>
      <c r="EX94" s="42"/>
      <c r="EY94" s="41"/>
      <c r="EZ94" s="41"/>
      <c r="FA94" s="42"/>
      <c r="FB94" s="41"/>
      <c r="FC94" s="41"/>
      <c r="FD94" s="42"/>
      <c r="FE94" s="41"/>
      <c r="FF94" s="41"/>
      <c r="FG94" s="42"/>
      <c r="FH94" s="41"/>
      <c r="FI94" s="41"/>
      <c r="FJ94" s="42"/>
    </row>
    <row r="95" spans="1:166" s="38" customFormat="1" ht="15.75" x14ac:dyDescent="0.25">
      <c r="A95" s="3"/>
      <c r="B95" s="6" t="s">
        <v>284</v>
      </c>
      <c r="C95" s="1" t="s">
        <v>234</v>
      </c>
      <c r="D95" s="19">
        <v>0</v>
      </c>
      <c r="E95" s="41"/>
      <c r="F95" s="41"/>
      <c r="G95" s="42"/>
      <c r="H95" s="41"/>
      <c r="I95" s="41"/>
      <c r="J95" s="42"/>
      <c r="K95" s="41"/>
      <c r="L95" s="41"/>
      <c r="M95" s="42"/>
      <c r="N95" s="41"/>
      <c r="O95" s="41"/>
      <c r="P95" s="42"/>
      <c r="Q95" s="41"/>
      <c r="R95" s="41"/>
      <c r="S95" s="42"/>
      <c r="T95" s="41"/>
      <c r="U95" s="41"/>
      <c r="V95" s="42"/>
      <c r="W95" s="41"/>
      <c r="X95" s="41"/>
      <c r="Y95" s="42"/>
      <c r="Z95" s="41"/>
      <c r="AA95" s="41"/>
      <c r="AB95" s="42"/>
      <c r="AC95" s="41"/>
      <c r="AD95" s="41"/>
      <c r="AE95" s="42"/>
      <c r="AF95" s="41"/>
      <c r="AG95" s="41"/>
      <c r="AH95" s="42"/>
      <c r="AI95" s="41"/>
      <c r="AJ95" s="41"/>
      <c r="AK95" s="42"/>
      <c r="AL95" s="41"/>
      <c r="AM95" s="41"/>
      <c r="AN95" s="42"/>
      <c r="AO95" s="41"/>
      <c r="AP95" s="41"/>
      <c r="AQ95" s="42"/>
      <c r="AR95" s="41"/>
      <c r="AS95" s="41"/>
      <c r="AT95" s="42"/>
      <c r="AU95" s="41"/>
      <c r="AV95" s="41"/>
      <c r="AW95" s="42"/>
      <c r="AX95" s="41"/>
      <c r="AY95" s="41"/>
      <c r="AZ95" s="42"/>
      <c r="BA95" s="41"/>
      <c r="BB95" s="41"/>
      <c r="BC95" s="42"/>
      <c r="BD95" s="41"/>
      <c r="BE95" s="41"/>
      <c r="BF95" s="42"/>
      <c r="BG95" s="41"/>
      <c r="BH95" s="41"/>
      <c r="BI95" s="42"/>
      <c r="BJ95" s="41"/>
      <c r="BK95" s="41"/>
      <c r="BL95" s="42"/>
      <c r="BM95" s="41"/>
      <c r="BN95" s="41"/>
      <c r="BO95" s="42"/>
      <c r="BP95" s="41"/>
      <c r="BQ95" s="41"/>
      <c r="BR95" s="42"/>
      <c r="BS95" s="41"/>
      <c r="BT95" s="41"/>
      <c r="BU95" s="42"/>
      <c r="BV95" s="41"/>
      <c r="BW95" s="41"/>
      <c r="BX95" s="42"/>
      <c r="BY95" s="41"/>
      <c r="BZ95" s="41"/>
      <c r="CA95" s="42"/>
      <c r="CB95" s="41"/>
      <c r="CC95" s="41"/>
      <c r="CD95" s="42"/>
      <c r="CE95" s="41"/>
      <c r="CF95" s="41"/>
      <c r="CG95" s="42"/>
      <c r="CH95" s="41"/>
      <c r="CI95" s="41"/>
      <c r="CJ95" s="42"/>
      <c r="CK95" s="41"/>
      <c r="CL95" s="41"/>
      <c r="CM95" s="42"/>
      <c r="CN95" s="41"/>
      <c r="CO95" s="41"/>
      <c r="CP95" s="42"/>
      <c r="CQ95" s="41"/>
      <c r="CR95" s="41"/>
      <c r="CS95" s="42"/>
      <c r="CT95" s="41"/>
      <c r="CU95" s="41"/>
      <c r="CV95" s="42"/>
      <c r="CW95" s="41"/>
      <c r="CX95" s="41"/>
      <c r="CY95" s="42"/>
      <c r="CZ95" s="41"/>
      <c r="DA95" s="41"/>
      <c r="DB95" s="42"/>
      <c r="DC95" s="41"/>
      <c r="DD95" s="41"/>
      <c r="DE95" s="42"/>
      <c r="DF95" s="41"/>
      <c r="DG95" s="41"/>
      <c r="DH95" s="42"/>
      <c r="DI95" s="41"/>
      <c r="DJ95" s="41"/>
      <c r="DK95" s="42"/>
      <c r="DL95" s="41"/>
      <c r="DM95" s="41"/>
      <c r="DN95" s="42"/>
      <c r="DO95" s="41"/>
      <c r="DP95" s="41"/>
      <c r="DQ95" s="42"/>
      <c r="DR95" s="41"/>
      <c r="DS95" s="41"/>
      <c r="DT95" s="42"/>
      <c r="DU95" s="41"/>
      <c r="DV95" s="41"/>
      <c r="DW95" s="42"/>
      <c r="DX95" s="41"/>
      <c r="DY95" s="41"/>
      <c r="DZ95" s="42"/>
      <c r="EA95" s="41"/>
      <c r="EB95" s="41"/>
      <c r="EC95" s="42"/>
      <c r="ED95" s="41"/>
      <c r="EE95" s="41"/>
      <c r="EF95" s="42"/>
      <c r="EG95" s="41"/>
      <c r="EH95" s="41"/>
      <c r="EI95" s="42"/>
      <c r="EJ95" s="41"/>
      <c r="EK95" s="41"/>
      <c r="EL95" s="42"/>
      <c r="EM95" s="41"/>
      <c r="EN95" s="41"/>
      <c r="EO95" s="42"/>
      <c r="EP95" s="41"/>
      <c r="EQ95" s="41"/>
      <c r="ER95" s="42"/>
      <c r="ES95" s="41"/>
      <c r="ET95" s="41"/>
      <c r="EU95" s="42"/>
      <c r="EV95" s="41"/>
      <c r="EW95" s="41"/>
      <c r="EX95" s="42"/>
      <c r="EY95" s="41"/>
      <c r="EZ95" s="41"/>
      <c r="FA95" s="42"/>
      <c r="FB95" s="41"/>
      <c r="FC95" s="41"/>
      <c r="FD95" s="42"/>
      <c r="FE95" s="41"/>
      <c r="FF95" s="41"/>
      <c r="FG95" s="42"/>
      <c r="FH95" s="41"/>
      <c r="FI95" s="41"/>
      <c r="FJ95" s="42"/>
    </row>
    <row r="96" spans="1:166" s="38" customFormat="1" ht="15.75" x14ac:dyDescent="0.25">
      <c r="A96" s="3"/>
      <c r="B96" s="6" t="s">
        <v>230</v>
      </c>
      <c r="C96" s="1" t="s">
        <v>285</v>
      </c>
      <c r="D96" s="19">
        <v>0</v>
      </c>
      <c r="E96" s="41"/>
      <c r="F96" s="41"/>
      <c r="G96" s="42"/>
      <c r="H96" s="41"/>
      <c r="I96" s="41"/>
      <c r="J96" s="42"/>
      <c r="K96" s="41"/>
      <c r="L96" s="41"/>
      <c r="M96" s="42"/>
      <c r="N96" s="41"/>
      <c r="O96" s="41"/>
      <c r="P96" s="42"/>
      <c r="Q96" s="41"/>
      <c r="R96" s="41"/>
      <c r="S96" s="42"/>
      <c r="T96" s="41"/>
      <c r="U96" s="41"/>
      <c r="V96" s="42"/>
      <c r="W96" s="41"/>
      <c r="X96" s="41"/>
      <c r="Y96" s="42"/>
      <c r="Z96" s="41"/>
      <c r="AA96" s="41"/>
      <c r="AB96" s="42"/>
      <c r="AC96" s="41"/>
      <c r="AD96" s="41"/>
      <c r="AE96" s="42"/>
      <c r="AF96" s="41"/>
      <c r="AG96" s="41"/>
      <c r="AH96" s="42"/>
      <c r="AI96" s="41"/>
      <c r="AJ96" s="41"/>
      <c r="AK96" s="42"/>
      <c r="AL96" s="41"/>
      <c r="AM96" s="41"/>
      <c r="AN96" s="42"/>
      <c r="AO96" s="41"/>
      <c r="AP96" s="41"/>
      <c r="AQ96" s="42"/>
      <c r="AR96" s="41"/>
      <c r="AS96" s="41"/>
      <c r="AT96" s="42"/>
      <c r="AU96" s="41"/>
      <c r="AV96" s="41"/>
      <c r="AW96" s="42"/>
      <c r="AX96" s="41"/>
      <c r="AY96" s="41"/>
      <c r="AZ96" s="42"/>
      <c r="BA96" s="41"/>
      <c r="BB96" s="41"/>
      <c r="BC96" s="42"/>
      <c r="BD96" s="41"/>
      <c r="BE96" s="41"/>
      <c r="BF96" s="42"/>
      <c r="BG96" s="41"/>
      <c r="BH96" s="41"/>
      <c r="BI96" s="42"/>
      <c r="BJ96" s="41"/>
      <c r="BK96" s="41"/>
      <c r="BL96" s="42"/>
      <c r="BM96" s="41"/>
      <c r="BN96" s="41"/>
      <c r="BO96" s="42"/>
      <c r="BP96" s="41"/>
      <c r="BQ96" s="41"/>
      <c r="BR96" s="42"/>
      <c r="BS96" s="41"/>
      <c r="BT96" s="41"/>
      <c r="BU96" s="42"/>
      <c r="BV96" s="41"/>
      <c r="BW96" s="41"/>
      <c r="BX96" s="42"/>
      <c r="BY96" s="41"/>
      <c r="BZ96" s="41"/>
      <c r="CA96" s="42"/>
      <c r="CB96" s="41"/>
      <c r="CC96" s="41"/>
      <c r="CD96" s="42"/>
      <c r="CE96" s="41"/>
      <c r="CF96" s="41"/>
      <c r="CG96" s="42"/>
      <c r="CH96" s="41"/>
      <c r="CI96" s="41"/>
      <c r="CJ96" s="42"/>
      <c r="CK96" s="41"/>
      <c r="CL96" s="41"/>
      <c r="CM96" s="42"/>
      <c r="CN96" s="41"/>
      <c r="CO96" s="41"/>
      <c r="CP96" s="42"/>
      <c r="CQ96" s="41"/>
      <c r="CR96" s="41"/>
      <c r="CS96" s="42"/>
      <c r="CT96" s="41"/>
      <c r="CU96" s="41"/>
      <c r="CV96" s="42"/>
      <c r="CW96" s="41"/>
      <c r="CX96" s="41"/>
      <c r="CY96" s="42"/>
      <c r="CZ96" s="41"/>
      <c r="DA96" s="41"/>
      <c r="DB96" s="42"/>
      <c r="DC96" s="41"/>
      <c r="DD96" s="41"/>
      <c r="DE96" s="42"/>
      <c r="DF96" s="41"/>
      <c r="DG96" s="41"/>
      <c r="DH96" s="42"/>
      <c r="DI96" s="41"/>
      <c r="DJ96" s="41"/>
      <c r="DK96" s="42"/>
      <c r="DL96" s="41"/>
      <c r="DM96" s="41"/>
      <c r="DN96" s="42"/>
      <c r="DO96" s="41"/>
      <c r="DP96" s="41"/>
      <c r="DQ96" s="42"/>
      <c r="DR96" s="41"/>
      <c r="DS96" s="41"/>
      <c r="DT96" s="42"/>
      <c r="DU96" s="41"/>
      <c r="DV96" s="41"/>
      <c r="DW96" s="42"/>
      <c r="DX96" s="41"/>
      <c r="DY96" s="41"/>
      <c r="DZ96" s="42"/>
      <c r="EA96" s="41"/>
      <c r="EB96" s="41"/>
      <c r="EC96" s="42"/>
      <c r="ED96" s="41"/>
      <c r="EE96" s="41"/>
      <c r="EF96" s="42"/>
      <c r="EG96" s="41"/>
      <c r="EH96" s="41"/>
      <c r="EI96" s="42"/>
      <c r="EJ96" s="41"/>
      <c r="EK96" s="41"/>
      <c r="EL96" s="42"/>
      <c r="EM96" s="41"/>
      <c r="EN96" s="41"/>
      <c r="EO96" s="42"/>
      <c r="EP96" s="41"/>
      <c r="EQ96" s="41"/>
      <c r="ER96" s="42"/>
      <c r="ES96" s="41"/>
      <c r="ET96" s="41"/>
      <c r="EU96" s="42"/>
      <c r="EV96" s="41"/>
      <c r="EW96" s="41"/>
      <c r="EX96" s="42"/>
      <c r="EY96" s="41"/>
      <c r="EZ96" s="41"/>
      <c r="FA96" s="42"/>
      <c r="FB96" s="41"/>
      <c r="FC96" s="41"/>
      <c r="FD96" s="42"/>
      <c r="FE96" s="41"/>
      <c r="FF96" s="41"/>
      <c r="FG96" s="42"/>
      <c r="FH96" s="41"/>
      <c r="FI96" s="41"/>
      <c r="FJ96" s="42"/>
    </row>
    <row r="97" spans="1:166" s="38" customFormat="1" ht="15.75" x14ac:dyDescent="0.25">
      <c r="A97" s="3"/>
      <c r="B97" s="6" t="s">
        <v>286</v>
      </c>
      <c r="C97" s="1" t="s">
        <v>236</v>
      </c>
      <c r="D97" s="19">
        <v>0</v>
      </c>
      <c r="E97" s="41"/>
      <c r="F97" s="41"/>
      <c r="G97" s="42"/>
      <c r="H97" s="41"/>
      <c r="I97" s="41"/>
      <c r="J97" s="42"/>
      <c r="K97" s="41"/>
      <c r="L97" s="41"/>
      <c r="M97" s="42"/>
      <c r="N97" s="41"/>
      <c r="O97" s="41"/>
      <c r="P97" s="42"/>
      <c r="Q97" s="41"/>
      <c r="R97" s="41"/>
      <c r="S97" s="42"/>
      <c r="T97" s="41"/>
      <c r="U97" s="41"/>
      <c r="V97" s="42"/>
      <c r="W97" s="41"/>
      <c r="X97" s="41"/>
      <c r="Y97" s="42"/>
      <c r="Z97" s="41"/>
      <c r="AA97" s="41"/>
      <c r="AB97" s="42"/>
      <c r="AC97" s="41"/>
      <c r="AD97" s="41"/>
      <c r="AE97" s="42"/>
      <c r="AF97" s="41"/>
      <c r="AG97" s="41"/>
      <c r="AH97" s="42"/>
      <c r="AI97" s="41"/>
      <c r="AJ97" s="41"/>
      <c r="AK97" s="42"/>
      <c r="AL97" s="41"/>
      <c r="AM97" s="41"/>
      <c r="AN97" s="42"/>
      <c r="AO97" s="41"/>
      <c r="AP97" s="41"/>
      <c r="AQ97" s="42"/>
      <c r="AR97" s="41"/>
      <c r="AS97" s="41"/>
      <c r="AT97" s="42"/>
      <c r="AU97" s="41"/>
      <c r="AV97" s="41"/>
      <c r="AW97" s="42"/>
      <c r="AX97" s="41"/>
      <c r="AY97" s="41"/>
      <c r="AZ97" s="42"/>
      <c r="BA97" s="41"/>
      <c r="BB97" s="41"/>
      <c r="BC97" s="42"/>
      <c r="BD97" s="41"/>
      <c r="BE97" s="41"/>
      <c r="BF97" s="42"/>
      <c r="BG97" s="41"/>
      <c r="BH97" s="41"/>
      <c r="BI97" s="42"/>
      <c r="BJ97" s="41"/>
      <c r="BK97" s="41"/>
      <c r="BL97" s="42"/>
      <c r="BM97" s="41"/>
      <c r="BN97" s="41"/>
      <c r="BO97" s="42"/>
      <c r="BP97" s="41"/>
      <c r="BQ97" s="41"/>
      <c r="BR97" s="42"/>
      <c r="BS97" s="41"/>
      <c r="BT97" s="41"/>
      <c r="BU97" s="42"/>
      <c r="BV97" s="41"/>
      <c r="BW97" s="41"/>
      <c r="BX97" s="42"/>
      <c r="BY97" s="41"/>
      <c r="BZ97" s="41"/>
      <c r="CA97" s="42"/>
      <c r="CB97" s="41"/>
      <c r="CC97" s="41"/>
      <c r="CD97" s="42"/>
      <c r="CE97" s="41"/>
      <c r="CF97" s="41"/>
      <c r="CG97" s="42"/>
      <c r="CH97" s="41"/>
      <c r="CI97" s="41"/>
      <c r="CJ97" s="42"/>
      <c r="CK97" s="41"/>
      <c r="CL97" s="41"/>
      <c r="CM97" s="42"/>
      <c r="CN97" s="41"/>
      <c r="CO97" s="41"/>
      <c r="CP97" s="42"/>
      <c r="CQ97" s="41"/>
      <c r="CR97" s="41"/>
      <c r="CS97" s="42"/>
      <c r="CT97" s="41"/>
      <c r="CU97" s="41"/>
      <c r="CV97" s="42"/>
      <c r="CW97" s="41"/>
      <c r="CX97" s="41"/>
      <c r="CY97" s="42"/>
      <c r="CZ97" s="41"/>
      <c r="DA97" s="41"/>
      <c r="DB97" s="42"/>
      <c r="DC97" s="41"/>
      <c r="DD97" s="41"/>
      <c r="DE97" s="42"/>
      <c r="DF97" s="41"/>
      <c r="DG97" s="41"/>
      <c r="DH97" s="42"/>
      <c r="DI97" s="41"/>
      <c r="DJ97" s="41"/>
      <c r="DK97" s="42"/>
      <c r="DL97" s="41"/>
      <c r="DM97" s="41"/>
      <c r="DN97" s="42"/>
      <c r="DO97" s="41"/>
      <c r="DP97" s="41"/>
      <c r="DQ97" s="42"/>
      <c r="DR97" s="41"/>
      <c r="DS97" s="41"/>
      <c r="DT97" s="42"/>
      <c r="DU97" s="41"/>
      <c r="DV97" s="41"/>
      <c r="DW97" s="42"/>
      <c r="DX97" s="41"/>
      <c r="DY97" s="41"/>
      <c r="DZ97" s="42"/>
      <c r="EA97" s="41"/>
      <c r="EB97" s="41"/>
      <c r="EC97" s="42"/>
      <c r="ED97" s="41"/>
      <c r="EE97" s="41"/>
      <c r="EF97" s="42"/>
      <c r="EG97" s="41"/>
      <c r="EH97" s="41"/>
      <c r="EI97" s="42"/>
      <c r="EJ97" s="41"/>
      <c r="EK97" s="41"/>
      <c r="EL97" s="42"/>
      <c r="EM97" s="41"/>
      <c r="EN97" s="41"/>
      <c r="EO97" s="42"/>
      <c r="EP97" s="41"/>
      <c r="EQ97" s="41"/>
      <c r="ER97" s="42"/>
      <c r="ES97" s="41"/>
      <c r="ET97" s="41"/>
      <c r="EU97" s="42"/>
      <c r="EV97" s="41"/>
      <c r="EW97" s="41"/>
      <c r="EX97" s="42"/>
      <c r="EY97" s="41"/>
      <c r="EZ97" s="41"/>
      <c r="FA97" s="42"/>
      <c r="FB97" s="41"/>
      <c r="FC97" s="41"/>
      <c r="FD97" s="42"/>
      <c r="FE97" s="41"/>
      <c r="FF97" s="41"/>
      <c r="FG97" s="42"/>
      <c r="FH97" s="41"/>
      <c r="FI97" s="41"/>
      <c r="FJ97" s="42"/>
    </row>
    <row r="98" spans="1:166" s="38" customFormat="1" ht="15.75" x14ac:dyDescent="0.25">
      <c r="A98" s="3"/>
      <c r="B98" s="6" t="s">
        <v>286</v>
      </c>
      <c r="C98" s="1" t="s">
        <v>287</v>
      </c>
      <c r="D98" s="19">
        <v>0</v>
      </c>
      <c r="E98" s="41"/>
      <c r="F98" s="41"/>
      <c r="G98" s="42"/>
      <c r="H98" s="41"/>
      <c r="I98" s="41"/>
      <c r="J98" s="42"/>
      <c r="K98" s="41"/>
      <c r="L98" s="41"/>
      <c r="M98" s="42"/>
      <c r="N98" s="41"/>
      <c r="O98" s="41"/>
      <c r="P98" s="42"/>
      <c r="Q98" s="41"/>
      <c r="R98" s="41"/>
      <c r="S98" s="42"/>
      <c r="T98" s="41"/>
      <c r="U98" s="41"/>
      <c r="V98" s="42"/>
      <c r="W98" s="41"/>
      <c r="X98" s="41"/>
      <c r="Y98" s="42"/>
      <c r="Z98" s="41"/>
      <c r="AA98" s="41"/>
      <c r="AB98" s="42"/>
      <c r="AC98" s="41"/>
      <c r="AD98" s="41"/>
      <c r="AE98" s="42"/>
      <c r="AF98" s="41"/>
      <c r="AG98" s="41"/>
      <c r="AH98" s="42"/>
      <c r="AI98" s="41"/>
      <c r="AJ98" s="41"/>
      <c r="AK98" s="42"/>
      <c r="AL98" s="41"/>
      <c r="AM98" s="41"/>
      <c r="AN98" s="42"/>
      <c r="AO98" s="41"/>
      <c r="AP98" s="41"/>
      <c r="AQ98" s="42"/>
      <c r="AR98" s="41"/>
      <c r="AS98" s="41"/>
      <c r="AT98" s="42"/>
      <c r="AU98" s="41"/>
      <c r="AV98" s="41"/>
      <c r="AW98" s="42"/>
      <c r="AX98" s="41"/>
      <c r="AY98" s="41"/>
      <c r="AZ98" s="42"/>
      <c r="BA98" s="41"/>
      <c r="BB98" s="41"/>
      <c r="BC98" s="42"/>
      <c r="BD98" s="41"/>
      <c r="BE98" s="41"/>
      <c r="BF98" s="42"/>
      <c r="BG98" s="41"/>
      <c r="BH98" s="41"/>
      <c r="BI98" s="42"/>
      <c r="BJ98" s="41"/>
      <c r="BK98" s="41"/>
      <c r="BL98" s="42"/>
      <c r="BM98" s="41"/>
      <c r="BN98" s="41"/>
      <c r="BO98" s="42"/>
      <c r="BP98" s="41"/>
      <c r="BQ98" s="41"/>
      <c r="BR98" s="42"/>
      <c r="BS98" s="41"/>
      <c r="BT98" s="41"/>
      <c r="BU98" s="42"/>
      <c r="BV98" s="41"/>
      <c r="BW98" s="41"/>
      <c r="BX98" s="42"/>
      <c r="BY98" s="41"/>
      <c r="BZ98" s="41"/>
      <c r="CA98" s="42"/>
      <c r="CB98" s="41"/>
      <c r="CC98" s="41"/>
      <c r="CD98" s="42"/>
      <c r="CE98" s="41"/>
      <c r="CF98" s="41"/>
      <c r="CG98" s="42"/>
      <c r="CH98" s="41"/>
      <c r="CI98" s="41"/>
      <c r="CJ98" s="42"/>
      <c r="CK98" s="41"/>
      <c r="CL98" s="41"/>
      <c r="CM98" s="42"/>
      <c r="CN98" s="41"/>
      <c r="CO98" s="41"/>
      <c r="CP98" s="42"/>
      <c r="CQ98" s="41"/>
      <c r="CR98" s="41"/>
      <c r="CS98" s="42"/>
      <c r="CT98" s="41"/>
      <c r="CU98" s="41"/>
      <c r="CV98" s="42"/>
      <c r="CW98" s="41"/>
      <c r="CX98" s="41"/>
      <c r="CY98" s="42"/>
      <c r="CZ98" s="41"/>
      <c r="DA98" s="41"/>
      <c r="DB98" s="42"/>
      <c r="DC98" s="41"/>
      <c r="DD98" s="41"/>
      <c r="DE98" s="42"/>
      <c r="DF98" s="41"/>
      <c r="DG98" s="41"/>
      <c r="DH98" s="42"/>
      <c r="DI98" s="41"/>
      <c r="DJ98" s="41"/>
      <c r="DK98" s="42"/>
      <c r="DL98" s="41"/>
      <c r="DM98" s="41"/>
      <c r="DN98" s="42"/>
      <c r="DO98" s="41"/>
      <c r="DP98" s="41"/>
      <c r="DQ98" s="42"/>
      <c r="DR98" s="41"/>
      <c r="DS98" s="41"/>
      <c r="DT98" s="42"/>
      <c r="DU98" s="41"/>
      <c r="DV98" s="41"/>
      <c r="DW98" s="42"/>
      <c r="DX98" s="41"/>
      <c r="DY98" s="41"/>
      <c r="DZ98" s="42"/>
      <c r="EA98" s="41"/>
      <c r="EB98" s="41"/>
      <c r="EC98" s="42"/>
      <c r="ED98" s="41"/>
      <c r="EE98" s="41"/>
      <c r="EF98" s="42"/>
      <c r="EG98" s="41"/>
      <c r="EH98" s="41"/>
      <c r="EI98" s="42"/>
      <c r="EJ98" s="41"/>
      <c r="EK98" s="41"/>
      <c r="EL98" s="42"/>
      <c r="EM98" s="41"/>
      <c r="EN98" s="41"/>
      <c r="EO98" s="42"/>
      <c r="EP98" s="41"/>
      <c r="EQ98" s="41"/>
      <c r="ER98" s="42"/>
      <c r="ES98" s="41"/>
      <c r="ET98" s="41"/>
      <c r="EU98" s="42"/>
      <c r="EV98" s="41"/>
      <c r="EW98" s="41"/>
      <c r="EX98" s="42"/>
      <c r="EY98" s="41"/>
      <c r="EZ98" s="41"/>
      <c r="FA98" s="42"/>
      <c r="FB98" s="41"/>
      <c r="FC98" s="41"/>
      <c r="FD98" s="42"/>
      <c r="FE98" s="41"/>
      <c r="FF98" s="41"/>
      <c r="FG98" s="42"/>
      <c r="FH98" s="41"/>
      <c r="FI98" s="41"/>
      <c r="FJ98" s="42"/>
    </row>
    <row r="99" spans="1:166" s="38" customFormat="1" ht="15.75" x14ac:dyDescent="0.25">
      <c r="A99" s="3"/>
      <c r="B99" s="6" t="s">
        <v>286</v>
      </c>
      <c r="C99" s="1" t="s">
        <v>288</v>
      </c>
      <c r="D99" s="19">
        <v>0</v>
      </c>
      <c r="E99" s="41"/>
      <c r="F99" s="41"/>
      <c r="G99" s="42"/>
      <c r="H99" s="41"/>
      <c r="I99" s="41"/>
      <c r="J99" s="42"/>
      <c r="K99" s="41"/>
      <c r="L99" s="41"/>
      <c r="M99" s="42"/>
      <c r="N99" s="41"/>
      <c r="O99" s="41"/>
      <c r="P99" s="42"/>
      <c r="Q99" s="41"/>
      <c r="R99" s="41"/>
      <c r="S99" s="42"/>
      <c r="T99" s="41"/>
      <c r="U99" s="41"/>
      <c r="V99" s="42"/>
      <c r="W99" s="41"/>
      <c r="X99" s="41"/>
      <c r="Y99" s="42"/>
      <c r="Z99" s="41"/>
      <c r="AA99" s="41"/>
      <c r="AB99" s="42"/>
      <c r="AC99" s="41"/>
      <c r="AD99" s="41"/>
      <c r="AE99" s="42"/>
      <c r="AF99" s="41"/>
      <c r="AG99" s="41"/>
      <c r="AH99" s="42"/>
      <c r="AI99" s="41"/>
      <c r="AJ99" s="41"/>
      <c r="AK99" s="42"/>
      <c r="AL99" s="41"/>
      <c r="AM99" s="41"/>
      <c r="AN99" s="42"/>
      <c r="AO99" s="41"/>
      <c r="AP99" s="41"/>
      <c r="AQ99" s="42"/>
      <c r="AR99" s="41"/>
      <c r="AS99" s="41"/>
      <c r="AT99" s="42"/>
      <c r="AU99" s="41"/>
      <c r="AV99" s="41"/>
      <c r="AW99" s="42"/>
      <c r="AX99" s="41"/>
      <c r="AY99" s="41"/>
      <c r="AZ99" s="42"/>
      <c r="BA99" s="41"/>
      <c r="BB99" s="41"/>
      <c r="BC99" s="42"/>
      <c r="BD99" s="41"/>
      <c r="BE99" s="41"/>
      <c r="BF99" s="42"/>
      <c r="BG99" s="41"/>
      <c r="BH99" s="41"/>
      <c r="BI99" s="42"/>
      <c r="BJ99" s="41"/>
      <c r="BK99" s="41"/>
      <c r="BL99" s="42"/>
      <c r="BM99" s="41"/>
      <c r="BN99" s="41"/>
      <c r="BO99" s="42"/>
      <c r="BP99" s="41"/>
      <c r="BQ99" s="41"/>
      <c r="BR99" s="42"/>
      <c r="BS99" s="41"/>
      <c r="BT99" s="41"/>
      <c r="BU99" s="42"/>
      <c r="BV99" s="41"/>
      <c r="BW99" s="41"/>
      <c r="BX99" s="42"/>
      <c r="BY99" s="41"/>
      <c r="BZ99" s="41"/>
      <c r="CA99" s="42"/>
      <c r="CB99" s="41"/>
      <c r="CC99" s="41"/>
      <c r="CD99" s="42"/>
      <c r="CE99" s="41"/>
      <c r="CF99" s="41"/>
      <c r="CG99" s="42"/>
      <c r="CH99" s="41"/>
      <c r="CI99" s="41"/>
      <c r="CJ99" s="42"/>
      <c r="CK99" s="41"/>
      <c r="CL99" s="41"/>
      <c r="CM99" s="42"/>
      <c r="CN99" s="41"/>
      <c r="CO99" s="41"/>
      <c r="CP99" s="42"/>
      <c r="CQ99" s="41"/>
      <c r="CR99" s="41"/>
      <c r="CS99" s="42"/>
      <c r="CT99" s="41"/>
      <c r="CU99" s="41"/>
      <c r="CV99" s="42"/>
      <c r="CW99" s="41"/>
      <c r="CX99" s="41"/>
      <c r="CY99" s="42"/>
      <c r="CZ99" s="41"/>
      <c r="DA99" s="41"/>
      <c r="DB99" s="42"/>
      <c r="DC99" s="41"/>
      <c r="DD99" s="41"/>
      <c r="DE99" s="42"/>
      <c r="DF99" s="41"/>
      <c r="DG99" s="41"/>
      <c r="DH99" s="42"/>
      <c r="DI99" s="41"/>
      <c r="DJ99" s="41"/>
      <c r="DK99" s="42"/>
      <c r="DL99" s="41"/>
      <c r="DM99" s="41"/>
      <c r="DN99" s="42"/>
      <c r="DO99" s="41"/>
      <c r="DP99" s="41"/>
      <c r="DQ99" s="42"/>
      <c r="DR99" s="41"/>
      <c r="DS99" s="41"/>
      <c r="DT99" s="42"/>
      <c r="DU99" s="41"/>
      <c r="DV99" s="41"/>
      <c r="DW99" s="42"/>
      <c r="DX99" s="41"/>
      <c r="DY99" s="41"/>
      <c r="DZ99" s="42"/>
      <c r="EA99" s="41"/>
      <c r="EB99" s="41"/>
      <c r="EC99" s="42"/>
      <c r="ED99" s="41"/>
      <c r="EE99" s="41"/>
      <c r="EF99" s="42"/>
      <c r="EG99" s="41"/>
      <c r="EH99" s="41"/>
      <c r="EI99" s="42"/>
      <c r="EJ99" s="41"/>
      <c r="EK99" s="41"/>
      <c r="EL99" s="42"/>
      <c r="EM99" s="41"/>
      <c r="EN99" s="41"/>
      <c r="EO99" s="42"/>
      <c r="EP99" s="41"/>
      <c r="EQ99" s="41"/>
      <c r="ER99" s="42"/>
      <c r="ES99" s="41"/>
      <c r="ET99" s="41"/>
      <c r="EU99" s="42"/>
      <c r="EV99" s="41"/>
      <c r="EW99" s="41"/>
      <c r="EX99" s="42"/>
      <c r="EY99" s="41"/>
      <c r="EZ99" s="41"/>
      <c r="FA99" s="42"/>
      <c r="FB99" s="41"/>
      <c r="FC99" s="41"/>
      <c r="FD99" s="42"/>
      <c r="FE99" s="41"/>
      <c r="FF99" s="41"/>
      <c r="FG99" s="42"/>
      <c r="FH99" s="41"/>
      <c r="FI99" s="41"/>
      <c r="FJ99" s="42"/>
    </row>
    <row r="100" spans="1:166" s="38" customFormat="1" ht="15.75" x14ac:dyDescent="0.25">
      <c r="A100" s="3"/>
      <c r="B100" s="6" t="s">
        <v>289</v>
      </c>
      <c r="C100" s="1" t="s">
        <v>290</v>
      </c>
      <c r="D100" s="19">
        <v>0</v>
      </c>
      <c r="E100" s="41"/>
      <c r="F100" s="41"/>
      <c r="G100" s="42"/>
      <c r="H100" s="41"/>
      <c r="I100" s="41"/>
      <c r="J100" s="42"/>
      <c r="K100" s="41"/>
      <c r="L100" s="41"/>
      <c r="M100" s="42"/>
      <c r="N100" s="41"/>
      <c r="O100" s="41"/>
      <c r="P100" s="42"/>
      <c r="Q100" s="41"/>
      <c r="R100" s="41"/>
      <c r="S100" s="42"/>
      <c r="T100" s="41"/>
      <c r="U100" s="41"/>
      <c r="V100" s="42"/>
      <c r="W100" s="41"/>
      <c r="X100" s="41"/>
      <c r="Y100" s="42"/>
      <c r="Z100" s="41"/>
      <c r="AA100" s="41"/>
      <c r="AB100" s="42"/>
      <c r="AC100" s="41"/>
      <c r="AD100" s="41"/>
      <c r="AE100" s="42"/>
      <c r="AF100" s="41"/>
      <c r="AG100" s="41"/>
      <c r="AH100" s="42"/>
      <c r="AI100" s="41"/>
      <c r="AJ100" s="41"/>
      <c r="AK100" s="42"/>
      <c r="AL100" s="41"/>
      <c r="AM100" s="41"/>
      <c r="AN100" s="42"/>
      <c r="AO100" s="41"/>
      <c r="AP100" s="41"/>
      <c r="AQ100" s="42"/>
      <c r="AR100" s="41"/>
      <c r="AS100" s="41"/>
      <c r="AT100" s="42"/>
      <c r="AU100" s="41"/>
      <c r="AV100" s="41"/>
      <c r="AW100" s="42"/>
      <c r="AX100" s="41"/>
      <c r="AY100" s="41"/>
      <c r="AZ100" s="42"/>
      <c r="BA100" s="41"/>
      <c r="BB100" s="41"/>
      <c r="BC100" s="42"/>
      <c r="BD100" s="41"/>
      <c r="BE100" s="41"/>
      <c r="BF100" s="42"/>
      <c r="BG100" s="41"/>
      <c r="BH100" s="41"/>
      <c r="BI100" s="42"/>
      <c r="BJ100" s="41"/>
      <c r="BK100" s="41"/>
      <c r="BL100" s="42"/>
      <c r="BM100" s="41"/>
      <c r="BN100" s="41"/>
      <c r="BO100" s="42"/>
      <c r="BP100" s="41"/>
      <c r="BQ100" s="41"/>
      <c r="BR100" s="42"/>
      <c r="BS100" s="41"/>
      <c r="BT100" s="41"/>
      <c r="BU100" s="42"/>
      <c r="BV100" s="41"/>
      <c r="BW100" s="41"/>
      <c r="BX100" s="42"/>
      <c r="BY100" s="41"/>
      <c r="BZ100" s="41"/>
      <c r="CA100" s="42"/>
      <c r="CB100" s="41"/>
      <c r="CC100" s="41"/>
      <c r="CD100" s="42"/>
      <c r="CE100" s="41"/>
      <c r="CF100" s="41"/>
      <c r="CG100" s="42"/>
      <c r="CH100" s="41"/>
      <c r="CI100" s="41"/>
      <c r="CJ100" s="42"/>
      <c r="CK100" s="41"/>
      <c r="CL100" s="41"/>
      <c r="CM100" s="42"/>
      <c r="CN100" s="41"/>
      <c r="CO100" s="41"/>
      <c r="CP100" s="42"/>
      <c r="CQ100" s="41"/>
      <c r="CR100" s="41"/>
      <c r="CS100" s="42"/>
      <c r="CT100" s="41"/>
      <c r="CU100" s="41"/>
      <c r="CV100" s="42"/>
      <c r="CW100" s="41"/>
      <c r="CX100" s="41"/>
      <c r="CY100" s="42"/>
      <c r="CZ100" s="41"/>
      <c r="DA100" s="41"/>
      <c r="DB100" s="42"/>
      <c r="DC100" s="41"/>
      <c r="DD100" s="41"/>
      <c r="DE100" s="42"/>
      <c r="DF100" s="41"/>
      <c r="DG100" s="41"/>
      <c r="DH100" s="42"/>
      <c r="DI100" s="41"/>
      <c r="DJ100" s="41"/>
      <c r="DK100" s="42"/>
      <c r="DL100" s="41"/>
      <c r="DM100" s="41"/>
      <c r="DN100" s="42"/>
      <c r="DO100" s="41"/>
      <c r="DP100" s="41"/>
      <c r="DQ100" s="42"/>
      <c r="DR100" s="41"/>
      <c r="DS100" s="41"/>
      <c r="DT100" s="42"/>
      <c r="DU100" s="41"/>
      <c r="DV100" s="41"/>
      <c r="DW100" s="42"/>
      <c r="DX100" s="41"/>
      <c r="DY100" s="41"/>
      <c r="DZ100" s="42"/>
      <c r="EA100" s="41"/>
      <c r="EB100" s="41"/>
      <c r="EC100" s="42"/>
      <c r="ED100" s="41"/>
      <c r="EE100" s="41"/>
      <c r="EF100" s="42"/>
      <c r="EG100" s="41"/>
      <c r="EH100" s="41"/>
      <c r="EI100" s="42"/>
      <c r="EJ100" s="41"/>
      <c r="EK100" s="41"/>
      <c r="EL100" s="42"/>
      <c r="EM100" s="41"/>
      <c r="EN100" s="41"/>
      <c r="EO100" s="42"/>
      <c r="EP100" s="41"/>
      <c r="EQ100" s="41"/>
      <c r="ER100" s="42"/>
      <c r="ES100" s="41"/>
      <c r="ET100" s="41"/>
      <c r="EU100" s="42"/>
      <c r="EV100" s="41"/>
      <c r="EW100" s="41"/>
      <c r="EX100" s="42"/>
      <c r="EY100" s="41"/>
      <c r="EZ100" s="41"/>
      <c r="FA100" s="42"/>
      <c r="FB100" s="41"/>
      <c r="FC100" s="41"/>
      <c r="FD100" s="42"/>
      <c r="FE100" s="41"/>
      <c r="FF100" s="41"/>
      <c r="FG100" s="42"/>
      <c r="FH100" s="41"/>
      <c r="FI100" s="41"/>
      <c r="FJ100" s="42"/>
    </row>
    <row r="101" spans="1:166" ht="15.75" x14ac:dyDescent="0.25">
      <c r="B101" s="404" t="s">
        <v>291</v>
      </c>
      <c r="C101" s="404"/>
      <c r="D101" s="20"/>
      <c r="E101" s="2"/>
      <c r="F101" s="2"/>
      <c r="G101" s="12"/>
      <c r="H101" s="2"/>
      <c r="I101" s="2"/>
      <c r="J101" s="12"/>
      <c r="K101" s="2"/>
      <c r="L101" s="2"/>
      <c r="M101" s="12"/>
      <c r="N101" s="2"/>
      <c r="O101" s="2"/>
      <c r="P101" s="12"/>
      <c r="Q101" s="2"/>
      <c r="R101" s="2"/>
      <c r="S101" s="12"/>
      <c r="T101" s="2"/>
      <c r="U101" s="2"/>
      <c r="V101" s="12"/>
      <c r="W101" s="2"/>
      <c r="X101" s="2"/>
      <c r="Y101" s="12"/>
      <c r="Z101" s="2"/>
      <c r="AA101" s="2"/>
      <c r="AB101" s="12"/>
      <c r="AC101" s="2"/>
      <c r="AD101" s="2"/>
      <c r="AE101" s="12"/>
      <c r="AF101" s="2"/>
      <c r="AG101" s="2"/>
      <c r="AH101" s="12"/>
      <c r="AI101" s="2"/>
      <c r="AJ101" s="2"/>
      <c r="AK101" s="12"/>
      <c r="AL101" s="2"/>
      <c r="AM101" s="2"/>
      <c r="AN101" s="12"/>
      <c r="AO101" s="2"/>
      <c r="AP101" s="2"/>
      <c r="AQ101" s="12"/>
      <c r="AR101" s="2"/>
      <c r="AS101" s="2"/>
      <c r="AT101" s="12"/>
      <c r="AU101" s="2"/>
      <c r="AV101" s="2"/>
      <c r="AW101" s="12"/>
      <c r="AX101" s="2"/>
      <c r="AY101" s="2"/>
      <c r="AZ101" s="12"/>
      <c r="BA101" s="2"/>
      <c r="BB101" s="2"/>
      <c r="BC101" s="12"/>
      <c r="BD101" s="2"/>
      <c r="BE101" s="2"/>
      <c r="BF101" s="12"/>
      <c r="BG101" s="2"/>
      <c r="BH101" s="2"/>
      <c r="BI101" s="12"/>
      <c r="BJ101" s="2"/>
      <c r="BK101" s="2"/>
      <c r="BL101" s="12"/>
      <c r="BM101" s="2"/>
      <c r="BN101" s="2"/>
      <c r="BO101" s="12"/>
      <c r="BP101" s="2"/>
      <c r="BQ101" s="2"/>
      <c r="BR101" s="12"/>
      <c r="BS101" s="2"/>
      <c r="BT101" s="2"/>
      <c r="BU101" s="12"/>
      <c r="BV101" s="2"/>
      <c r="BW101" s="2"/>
      <c r="BX101" s="12"/>
      <c r="BY101" s="2"/>
      <c r="BZ101" s="2"/>
      <c r="CA101" s="12"/>
      <c r="CB101" s="2"/>
      <c r="CC101" s="2"/>
      <c r="CD101" s="12"/>
      <c r="CE101" s="2"/>
      <c r="CF101" s="2"/>
      <c r="CG101" s="12"/>
      <c r="CH101" s="2"/>
      <c r="CI101" s="2"/>
      <c r="CJ101" s="12"/>
      <c r="CK101" s="2"/>
      <c r="CL101" s="2"/>
      <c r="CM101" s="12"/>
      <c r="CN101" s="2"/>
      <c r="CO101" s="2"/>
      <c r="CP101" s="12"/>
      <c r="CQ101" s="2"/>
      <c r="CR101" s="2"/>
      <c r="CS101" s="12"/>
      <c r="CT101" s="2"/>
      <c r="CU101" s="2"/>
      <c r="CV101" s="12"/>
      <c r="CW101" s="2"/>
      <c r="CX101" s="2"/>
      <c r="CY101" s="12"/>
      <c r="CZ101" s="2"/>
      <c r="DA101" s="2"/>
      <c r="DB101" s="12"/>
      <c r="DC101" s="2"/>
      <c r="DD101" s="2"/>
      <c r="DE101" s="12"/>
      <c r="DF101" s="2"/>
      <c r="DG101" s="2"/>
      <c r="DH101" s="12"/>
      <c r="DI101" s="2"/>
      <c r="DJ101" s="2"/>
      <c r="DK101" s="12"/>
      <c r="DL101" s="2"/>
      <c r="DM101" s="2"/>
      <c r="DN101" s="12"/>
      <c r="DO101" s="2"/>
      <c r="DP101" s="2"/>
      <c r="DQ101" s="12"/>
      <c r="DR101" s="2"/>
      <c r="DS101" s="2"/>
      <c r="DT101" s="12"/>
      <c r="DU101" s="2"/>
      <c r="DV101" s="2"/>
      <c r="DW101" s="12"/>
      <c r="DX101" s="2"/>
      <c r="DY101" s="2"/>
      <c r="DZ101" s="12"/>
      <c r="EA101" s="2"/>
      <c r="EB101" s="2"/>
      <c r="EC101" s="12"/>
      <c r="ED101" s="2"/>
      <c r="EE101" s="2"/>
      <c r="EF101" s="12"/>
      <c r="EG101" s="2"/>
      <c r="EH101" s="2"/>
      <c r="EI101" s="12"/>
      <c r="EJ101" s="2"/>
      <c r="EK101" s="2"/>
      <c r="EL101" s="12"/>
      <c r="EM101" s="2"/>
      <c r="EN101" s="2"/>
      <c r="EO101" s="12"/>
      <c r="EP101" s="2"/>
      <c r="EQ101" s="2"/>
      <c r="ER101" s="12"/>
      <c r="ES101" s="2"/>
      <c r="ET101" s="2"/>
      <c r="EU101" s="12"/>
      <c r="EV101" s="2"/>
      <c r="EW101" s="2"/>
      <c r="EX101" s="12"/>
      <c r="EY101" s="2"/>
      <c r="EZ101" s="2"/>
      <c r="FA101" s="12"/>
      <c r="FB101" s="2"/>
      <c r="FC101" s="2"/>
      <c r="FD101" s="12"/>
      <c r="FE101" s="2"/>
      <c r="FF101" s="2"/>
      <c r="FG101" s="12"/>
      <c r="FH101" s="2"/>
      <c r="FI101" s="2"/>
      <c r="FJ101" s="12"/>
    </row>
    <row r="102" spans="1:166" s="52" customFormat="1" ht="13.5" customHeight="1" x14ac:dyDescent="0.25">
      <c r="A102" s="3"/>
      <c r="B102" s="6" t="s">
        <v>292</v>
      </c>
      <c r="C102" s="1" t="s">
        <v>293</v>
      </c>
      <c r="D102" s="19">
        <v>0</v>
      </c>
      <c r="E102" s="50"/>
      <c r="F102" s="50"/>
      <c r="G102" s="56"/>
      <c r="H102" s="50"/>
      <c r="I102" s="50"/>
      <c r="J102" s="56"/>
      <c r="K102" s="50"/>
      <c r="L102" s="50"/>
      <c r="M102" s="56"/>
      <c r="N102" s="50"/>
      <c r="O102" s="50"/>
      <c r="P102" s="56"/>
      <c r="Q102" s="50"/>
      <c r="R102" s="50"/>
      <c r="S102" s="56"/>
      <c r="T102" s="50"/>
      <c r="U102" s="50"/>
      <c r="V102" s="56"/>
      <c r="W102" s="50"/>
      <c r="X102" s="50"/>
      <c r="Y102" s="56"/>
      <c r="Z102" s="50"/>
      <c r="AA102" s="50"/>
      <c r="AB102" s="56"/>
      <c r="AC102" s="50"/>
      <c r="AD102" s="50"/>
      <c r="AE102" s="56"/>
      <c r="AF102" s="50"/>
      <c r="AG102" s="50"/>
      <c r="AH102" s="56"/>
      <c r="AI102" s="50"/>
      <c r="AJ102" s="50"/>
      <c r="AK102" s="56"/>
      <c r="AL102" s="50"/>
      <c r="AM102" s="50"/>
      <c r="AN102" s="56"/>
      <c r="AO102" s="50"/>
      <c r="AP102" s="50"/>
      <c r="AQ102" s="56"/>
      <c r="AR102" s="50"/>
      <c r="AS102" s="50"/>
      <c r="AT102" s="56"/>
      <c r="AU102" s="50"/>
      <c r="AV102" s="50"/>
      <c r="AW102" s="56"/>
      <c r="AX102" s="50"/>
      <c r="AY102" s="50"/>
      <c r="AZ102" s="56"/>
      <c r="BA102" s="50"/>
      <c r="BB102" s="50"/>
      <c r="BC102" s="56"/>
      <c r="BD102" s="50"/>
      <c r="BE102" s="50"/>
      <c r="BF102" s="56"/>
      <c r="BG102" s="50"/>
      <c r="BH102" s="50"/>
      <c r="BI102" s="56"/>
      <c r="BJ102" s="50"/>
      <c r="BK102" s="50"/>
      <c r="BL102" s="56"/>
      <c r="BM102" s="50"/>
      <c r="BN102" s="50"/>
      <c r="BO102" s="56"/>
      <c r="BP102" s="50"/>
      <c r="BQ102" s="50"/>
      <c r="BR102" s="56"/>
      <c r="BS102" s="50"/>
      <c r="BT102" s="50"/>
      <c r="BU102" s="56"/>
      <c r="BV102" s="50"/>
      <c r="BW102" s="50"/>
      <c r="BX102" s="56"/>
      <c r="BY102" s="50"/>
      <c r="BZ102" s="50"/>
      <c r="CA102" s="56"/>
      <c r="CB102" s="50"/>
      <c r="CC102" s="50"/>
      <c r="CD102" s="56"/>
      <c r="CE102" s="50"/>
      <c r="CF102" s="50"/>
      <c r="CG102" s="56"/>
      <c r="CH102" s="50"/>
      <c r="CI102" s="50"/>
      <c r="CJ102" s="56"/>
      <c r="CK102" s="50"/>
      <c r="CL102" s="50"/>
      <c r="CM102" s="56"/>
      <c r="CN102" s="50"/>
      <c r="CO102" s="50"/>
      <c r="CP102" s="56"/>
      <c r="CQ102" s="50"/>
      <c r="CR102" s="50"/>
      <c r="CS102" s="56"/>
      <c r="CT102" s="50"/>
      <c r="CU102" s="50"/>
      <c r="CV102" s="56"/>
      <c r="CW102" s="50"/>
      <c r="CX102" s="50"/>
      <c r="CY102" s="56"/>
      <c r="CZ102" s="50"/>
      <c r="DA102" s="50"/>
      <c r="DB102" s="56"/>
      <c r="DC102" s="50"/>
      <c r="DD102" s="50"/>
      <c r="DE102" s="56"/>
      <c r="DF102" s="50"/>
      <c r="DG102" s="50"/>
      <c r="DH102" s="56"/>
      <c r="DI102" s="50"/>
      <c r="DJ102" s="50"/>
      <c r="DK102" s="56"/>
      <c r="DL102" s="50"/>
      <c r="DM102" s="50"/>
      <c r="DN102" s="56"/>
      <c r="DO102" s="50"/>
      <c r="DP102" s="50"/>
      <c r="DQ102" s="56"/>
      <c r="DR102" s="50"/>
      <c r="DS102" s="50"/>
      <c r="DT102" s="56"/>
      <c r="DU102" s="50"/>
      <c r="DV102" s="50"/>
      <c r="DW102" s="56"/>
      <c r="DX102" s="50"/>
      <c r="DY102" s="50"/>
      <c r="DZ102" s="56"/>
      <c r="EA102" s="50"/>
      <c r="EB102" s="50"/>
      <c r="EC102" s="56"/>
      <c r="ED102" s="50"/>
      <c r="EE102" s="50"/>
      <c r="EF102" s="56"/>
      <c r="EG102" s="50"/>
      <c r="EH102" s="50"/>
      <c r="EI102" s="56"/>
      <c r="EJ102" s="50"/>
      <c r="EK102" s="50"/>
      <c r="EL102" s="56"/>
      <c r="EM102" s="50"/>
      <c r="EN102" s="50"/>
      <c r="EO102" s="56"/>
      <c r="EP102" s="50"/>
      <c r="EQ102" s="50"/>
      <c r="ER102" s="56"/>
      <c r="ES102" s="50"/>
      <c r="ET102" s="50"/>
      <c r="EU102" s="56"/>
      <c r="EV102" s="50"/>
      <c r="EW102" s="50"/>
      <c r="EX102" s="56"/>
      <c r="EY102" s="50"/>
      <c r="EZ102" s="50"/>
      <c r="FA102" s="56"/>
      <c r="FB102" s="50"/>
      <c r="FC102" s="50"/>
      <c r="FD102" s="56"/>
      <c r="FE102" s="50"/>
      <c r="FF102" s="50"/>
      <c r="FG102" s="56"/>
      <c r="FH102" s="50"/>
      <c r="FI102" s="50"/>
      <c r="FJ102" s="56"/>
    </row>
    <row r="103" spans="1:166" s="52" customFormat="1" ht="13.5" customHeight="1" x14ac:dyDescent="0.25">
      <c r="A103" s="3"/>
      <c r="B103" s="6" t="s">
        <v>294</v>
      </c>
      <c r="C103" s="1" t="s">
        <v>295</v>
      </c>
      <c r="D103" s="19">
        <v>0</v>
      </c>
      <c r="E103" s="50"/>
      <c r="F103" s="50"/>
      <c r="G103" s="56"/>
      <c r="H103" s="50"/>
      <c r="I103" s="50"/>
      <c r="J103" s="56"/>
      <c r="K103" s="50"/>
      <c r="L103" s="50"/>
      <c r="M103" s="56"/>
      <c r="N103" s="50"/>
      <c r="O103" s="50"/>
      <c r="P103" s="56"/>
      <c r="Q103" s="50"/>
      <c r="R103" s="50"/>
      <c r="S103" s="56"/>
      <c r="T103" s="50"/>
      <c r="U103" s="50"/>
      <c r="V103" s="56"/>
      <c r="W103" s="50"/>
      <c r="X103" s="50"/>
      <c r="Y103" s="56"/>
      <c r="Z103" s="50"/>
      <c r="AA103" s="50"/>
      <c r="AB103" s="56"/>
      <c r="AC103" s="50"/>
      <c r="AD103" s="50"/>
      <c r="AE103" s="56"/>
      <c r="AF103" s="50"/>
      <c r="AG103" s="50"/>
      <c r="AH103" s="56"/>
      <c r="AI103" s="50"/>
      <c r="AJ103" s="50"/>
      <c r="AK103" s="56"/>
      <c r="AL103" s="50"/>
      <c r="AM103" s="50"/>
      <c r="AN103" s="56"/>
      <c r="AO103" s="50"/>
      <c r="AP103" s="50"/>
      <c r="AQ103" s="56"/>
      <c r="AR103" s="50"/>
      <c r="AS103" s="50"/>
      <c r="AT103" s="56"/>
      <c r="AU103" s="50"/>
      <c r="AV103" s="50"/>
      <c r="AW103" s="56"/>
      <c r="AX103" s="50"/>
      <c r="AY103" s="50"/>
      <c r="AZ103" s="56"/>
      <c r="BA103" s="50"/>
      <c r="BB103" s="50"/>
      <c r="BC103" s="56"/>
      <c r="BD103" s="50"/>
      <c r="BE103" s="50"/>
      <c r="BF103" s="56"/>
      <c r="BG103" s="50"/>
      <c r="BH103" s="50"/>
      <c r="BI103" s="56"/>
      <c r="BJ103" s="50"/>
      <c r="BK103" s="50"/>
      <c r="BL103" s="56"/>
      <c r="BM103" s="50"/>
      <c r="BN103" s="50"/>
      <c r="BO103" s="56"/>
      <c r="BP103" s="50"/>
      <c r="BQ103" s="50"/>
      <c r="BR103" s="56"/>
      <c r="BS103" s="50"/>
      <c r="BT103" s="50"/>
      <c r="BU103" s="56"/>
      <c r="BV103" s="50"/>
      <c r="BW103" s="50"/>
      <c r="BX103" s="56"/>
      <c r="BY103" s="50"/>
      <c r="BZ103" s="50"/>
      <c r="CA103" s="56"/>
      <c r="CB103" s="50"/>
      <c r="CC103" s="50"/>
      <c r="CD103" s="56"/>
      <c r="CE103" s="50"/>
      <c r="CF103" s="50"/>
      <c r="CG103" s="56"/>
      <c r="CH103" s="50"/>
      <c r="CI103" s="50"/>
      <c r="CJ103" s="56"/>
      <c r="CK103" s="50"/>
      <c r="CL103" s="50"/>
      <c r="CM103" s="56"/>
      <c r="CN103" s="50"/>
      <c r="CO103" s="50"/>
      <c r="CP103" s="56"/>
      <c r="CQ103" s="50"/>
      <c r="CR103" s="50"/>
      <c r="CS103" s="56"/>
      <c r="CT103" s="50"/>
      <c r="CU103" s="50"/>
      <c r="CV103" s="56"/>
      <c r="CW103" s="50"/>
      <c r="CX103" s="50"/>
      <c r="CY103" s="56"/>
      <c r="CZ103" s="50"/>
      <c r="DA103" s="50"/>
      <c r="DB103" s="56"/>
      <c r="DC103" s="50"/>
      <c r="DD103" s="50"/>
      <c r="DE103" s="56"/>
      <c r="DF103" s="50"/>
      <c r="DG103" s="50"/>
      <c r="DH103" s="56"/>
      <c r="DI103" s="50"/>
      <c r="DJ103" s="50"/>
      <c r="DK103" s="56"/>
      <c r="DL103" s="50"/>
      <c r="DM103" s="50"/>
      <c r="DN103" s="56"/>
      <c r="DO103" s="50"/>
      <c r="DP103" s="50"/>
      <c r="DQ103" s="56"/>
      <c r="DR103" s="50"/>
      <c r="DS103" s="50"/>
      <c r="DT103" s="56"/>
      <c r="DU103" s="50"/>
      <c r="DV103" s="50"/>
      <c r="DW103" s="56"/>
      <c r="DX103" s="50"/>
      <c r="DY103" s="50"/>
      <c r="DZ103" s="56"/>
      <c r="EA103" s="50"/>
      <c r="EB103" s="50"/>
      <c r="EC103" s="56"/>
      <c r="ED103" s="50"/>
      <c r="EE103" s="50"/>
      <c r="EF103" s="56"/>
      <c r="EG103" s="50"/>
      <c r="EH103" s="50"/>
      <c r="EI103" s="56"/>
      <c r="EJ103" s="50"/>
      <c r="EK103" s="50"/>
      <c r="EL103" s="56"/>
      <c r="EM103" s="50"/>
      <c r="EN103" s="50"/>
      <c r="EO103" s="56"/>
      <c r="EP103" s="50"/>
      <c r="EQ103" s="50"/>
      <c r="ER103" s="56"/>
      <c r="ES103" s="50"/>
      <c r="ET103" s="50"/>
      <c r="EU103" s="56"/>
      <c r="EV103" s="50"/>
      <c r="EW103" s="50"/>
      <c r="EX103" s="56"/>
      <c r="EY103" s="50"/>
      <c r="EZ103" s="50"/>
      <c r="FA103" s="56"/>
      <c r="FB103" s="50"/>
      <c r="FC103" s="50"/>
      <c r="FD103" s="56"/>
      <c r="FE103" s="50"/>
      <c r="FF103" s="50"/>
      <c r="FG103" s="56"/>
      <c r="FH103" s="50"/>
      <c r="FI103" s="50"/>
      <c r="FJ103" s="56"/>
    </row>
    <row r="104" spans="1:166" s="52" customFormat="1" ht="15.75" x14ac:dyDescent="0.25">
      <c r="A104" s="3"/>
      <c r="B104" s="6" t="s">
        <v>296</v>
      </c>
      <c r="C104" s="1" t="s">
        <v>293</v>
      </c>
      <c r="D104" s="19">
        <v>0</v>
      </c>
      <c r="E104" s="50"/>
      <c r="F104" s="50"/>
      <c r="G104" s="56"/>
      <c r="H104" s="50"/>
      <c r="I104" s="50"/>
      <c r="J104" s="56"/>
      <c r="K104" s="50"/>
      <c r="L104" s="50"/>
      <c r="M104" s="56"/>
      <c r="N104" s="50"/>
      <c r="O104" s="50"/>
      <c r="P104" s="56"/>
      <c r="Q104" s="50"/>
      <c r="R104" s="50"/>
      <c r="S104" s="56"/>
      <c r="T104" s="50"/>
      <c r="U104" s="50"/>
      <c r="V104" s="56"/>
      <c r="W104" s="50"/>
      <c r="X104" s="50"/>
      <c r="Y104" s="56"/>
      <c r="Z104" s="50"/>
      <c r="AA104" s="50"/>
      <c r="AB104" s="56"/>
      <c r="AC104" s="50"/>
      <c r="AD104" s="50"/>
      <c r="AE104" s="56"/>
      <c r="AF104" s="50"/>
      <c r="AG104" s="50"/>
      <c r="AH104" s="56"/>
      <c r="AI104" s="50"/>
      <c r="AJ104" s="50"/>
      <c r="AK104" s="56"/>
      <c r="AL104" s="50"/>
      <c r="AM104" s="50"/>
      <c r="AN104" s="56"/>
      <c r="AO104" s="50"/>
      <c r="AP104" s="50"/>
      <c r="AQ104" s="56"/>
      <c r="AR104" s="50"/>
      <c r="AS104" s="50"/>
      <c r="AT104" s="56"/>
      <c r="AU104" s="50"/>
      <c r="AV104" s="50"/>
      <c r="AW104" s="56"/>
      <c r="AX104" s="50"/>
      <c r="AY104" s="50"/>
      <c r="AZ104" s="56"/>
      <c r="BA104" s="50"/>
      <c r="BB104" s="50"/>
      <c r="BC104" s="56"/>
      <c r="BD104" s="50"/>
      <c r="BE104" s="50"/>
      <c r="BF104" s="56"/>
      <c r="BG104" s="50"/>
      <c r="BH104" s="50"/>
      <c r="BI104" s="56"/>
      <c r="BJ104" s="50"/>
      <c r="BK104" s="50"/>
      <c r="BL104" s="56"/>
      <c r="BM104" s="50"/>
      <c r="BN104" s="50"/>
      <c r="BO104" s="56"/>
      <c r="BP104" s="50"/>
      <c r="BQ104" s="50"/>
      <c r="BR104" s="56"/>
      <c r="BS104" s="50"/>
      <c r="BT104" s="50"/>
      <c r="BU104" s="56"/>
      <c r="BV104" s="50"/>
      <c r="BW104" s="50"/>
      <c r="BX104" s="56"/>
      <c r="BY104" s="50"/>
      <c r="BZ104" s="50"/>
      <c r="CA104" s="56"/>
      <c r="CB104" s="50"/>
      <c r="CC104" s="50"/>
      <c r="CD104" s="56"/>
      <c r="CE104" s="50"/>
      <c r="CF104" s="50"/>
      <c r="CG104" s="56"/>
      <c r="CH104" s="50"/>
      <c r="CI104" s="50"/>
      <c r="CJ104" s="56"/>
      <c r="CK104" s="50"/>
      <c r="CL104" s="50"/>
      <c r="CM104" s="56"/>
      <c r="CN104" s="50"/>
      <c r="CO104" s="50"/>
      <c r="CP104" s="56"/>
      <c r="CQ104" s="50"/>
      <c r="CR104" s="50"/>
      <c r="CS104" s="56"/>
      <c r="CT104" s="50"/>
      <c r="CU104" s="50"/>
      <c r="CV104" s="56"/>
      <c r="CW104" s="50"/>
      <c r="CX104" s="50"/>
      <c r="CY104" s="56"/>
      <c r="CZ104" s="50"/>
      <c r="DA104" s="50"/>
      <c r="DB104" s="56"/>
      <c r="DC104" s="50"/>
      <c r="DD104" s="50"/>
      <c r="DE104" s="56"/>
      <c r="DF104" s="50"/>
      <c r="DG104" s="50"/>
      <c r="DH104" s="56"/>
      <c r="DI104" s="50"/>
      <c r="DJ104" s="50"/>
      <c r="DK104" s="56"/>
      <c r="DL104" s="50"/>
      <c r="DM104" s="50"/>
      <c r="DN104" s="56"/>
      <c r="DO104" s="50"/>
      <c r="DP104" s="50"/>
      <c r="DQ104" s="56"/>
      <c r="DR104" s="50"/>
      <c r="DS104" s="50"/>
      <c r="DT104" s="56"/>
      <c r="DU104" s="50"/>
      <c r="DV104" s="50"/>
      <c r="DW104" s="56"/>
      <c r="DX104" s="50"/>
      <c r="DY104" s="50"/>
      <c r="DZ104" s="56"/>
      <c r="EA104" s="50"/>
      <c r="EB104" s="50"/>
      <c r="EC104" s="56"/>
      <c r="ED104" s="50"/>
      <c r="EE104" s="50"/>
      <c r="EF104" s="56"/>
      <c r="EG104" s="50"/>
      <c r="EH104" s="50"/>
      <c r="EI104" s="56"/>
      <c r="EJ104" s="50"/>
      <c r="EK104" s="50"/>
      <c r="EL104" s="56"/>
      <c r="EM104" s="50"/>
      <c r="EN104" s="50"/>
      <c r="EO104" s="56"/>
      <c r="EP104" s="50"/>
      <c r="EQ104" s="50"/>
      <c r="ER104" s="56"/>
      <c r="ES104" s="50"/>
      <c r="ET104" s="50"/>
      <c r="EU104" s="56"/>
      <c r="EV104" s="50"/>
      <c r="EW104" s="50"/>
      <c r="EX104" s="56"/>
      <c r="EY104" s="50"/>
      <c r="EZ104" s="50"/>
      <c r="FA104" s="56"/>
      <c r="FB104" s="50"/>
      <c r="FC104" s="50"/>
      <c r="FD104" s="56"/>
      <c r="FE104" s="50"/>
      <c r="FF104" s="50"/>
      <c r="FG104" s="56"/>
      <c r="FH104" s="50"/>
      <c r="FI104" s="50"/>
      <c r="FJ104" s="56"/>
    </row>
    <row r="105" spans="1:166" s="52" customFormat="1" ht="15.75" x14ac:dyDescent="0.25">
      <c r="A105" s="3"/>
      <c r="B105" s="6" t="s">
        <v>297</v>
      </c>
      <c r="C105" s="1" t="s">
        <v>295</v>
      </c>
      <c r="D105" s="19">
        <v>0</v>
      </c>
      <c r="E105" s="50"/>
      <c r="F105" s="50"/>
      <c r="G105" s="56"/>
      <c r="H105" s="50"/>
      <c r="I105" s="50"/>
      <c r="J105" s="56"/>
      <c r="K105" s="50"/>
      <c r="L105" s="50"/>
      <c r="M105" s="56"/>
      <c r="N105" s="50"/>
      <c r="O105" s="50"/>
      <c r="P105" s="56"/>
      <c r="Q105" s="50"/>
      <c r="R105" s="50"/>
      <c r="S105" s="56"/>
      <c r="T105" s="50"/>
      <c r="U105" s="50"/>
      <c r="V105" s="56"/>
      <c r="W105" s="50"/>
      <c r="X105" s="50"/>
      <c r="Y105" s="56"/>
      <c r="Z105" s="50"/>
      <c r="AA105" s="50"/>
      <c r="AB105" s="56"/>
      <c r="AC105" s="50"/>
      <c r="AD105" s="50"/>
      <c r="AE105" s="56"/>
      <c r="AF105" s="50"/>
      <c r="AG105" s="50"/>
      <c r="AH105" s="56"/>
      <c r="AI105" s="50"/>
      <c r="AJ105" s="50"/>
      <c r="AK105" s="56"/>
      <c r="AL105" s="50"/>
      <c r="AM105" s="50"/>
      <c r="AN105" s="56"/>
      <c r="AO105" s="50"/>
      <c r="AP105" s="50"/>
      <c r="AQ105" s="56"/>
      <c r="AR105" s="50"/>
      <c r="AS105" s="50"/>
      <c r="AT105" s="56"/>
      <c r="AU105" s="50"/>
      <c r="AV105" s="50"/>
      <c r="AW105" s="56"/>
      <c r="AX105" s="50"/>
      <c r="AY105" s="50"/>
      <c r="AZ105" s="56"/>
      <c r="BA105" s="50"/>
      <c r="BB105" s="50"/>
      <c r="BC105" s="56"/>
      <c r="BD105" s="50"/>
      <c r="BE105" s="50"/>
      <c r="BF105" s="56"/>
      <c r="BG105" s="50"/>
      <c r="BH105" s="50"/>
      <c r="BI105" s="56"/>
      <c r="BJ105" s="50"/>
      <c r="BK105" s="50"/>
      <c r="BL105" s="56"/>
      <c r="BM105" s="50"/>
      <c r="BN105" s="50"/>
      <c r="BO105" s="56"/>
      <c r="BP105" s="50"/>
      <c r="BQ105" s="50"/>
      <c r="BR105" s="56"/>
      <c r="BS105" s="50"/>
      <c r="BT105" s="50"/>
      <c r="BU105" s="56"/>
      <c r="BV105" s="50"/>
      <c r="BW105" s="50"/>
      <c r="BX105" s="56"/>
      <c r="BY105" s="50"/>
      <c r="BZ105" s="50"/>
      <c r="CA105" s="56"/>
      <c r="CB105" s="50"/>
      <c r="CC105" s="50"/>
      <c r="CD105" s="56"/>
      <c r="CE105" s="50"/>
      <c r="CF105" s="50"/>
      <c r="CG105" s="56"/>
      <c r="CH105" s="50"/>
      <c r="CI105" s="50"/>
      <c r="CJ105" s="56"/>
      <c r="CK105" s="50"/>
      <c r="CL105" s="50"/>
      <c r="CM105" s="56"/>
      <c r="CN105" s="50"/>
      <c r="CO105" s="50"/>
      <c r="CP105" s="56"/>
      <c r="CQ105" s="50"/>
      <c r="CR105" s="50"/>
      <c r="CS105" s="56"/>
      <c r="CT105" s="50"/>
      <c r="CU105" s="50"/>
      <c r="CV105" s="56"/>
      <c r="CW105" s="50"/>
      <c r="CX105" s="50"/>
      <c r="CY105" s="56"/>
      <c r="CZ105" s="50"/>
      <c r="DA105" s="50"/>
      <c r="DB105" s="56"/>
      <c r="DC105" s="50"/>
      <c r="DD105" s="50"/>
      <c r="DE105" s="56"/>
      <c r="DF105" s="50"/>
      <c r="DG105" s="50"/>
      <c r="DH105" s="56"/>
      <c r="DI105" s="50"/>
      <c r="DJ105" s="50"/>
      <c r="DK105" s="56"/>
      <c r="DL105" s="50"/>
      <c r="DM105" s="50"/>
      <c r="DN105" s="56"/>
      <c r="DO105" s="50"/>
      <c r="DP105" s="50"/>
      <c r="DQ105" s="56"/>
      <c r="DR105" s="50"/>
      <c r="DS105" s="50"/>
      <c r="DT105" s="56"/>
      <c r="DU105" s="50"/>
      <c r="DV105" s="50"/>
      <c r="DW105" s="56"/>
      <c r="DX105" s="50"/>
      <c r="DY105" s="50"/>
      <c r="DZ105" s="56"/>
      <c r="EA105" s="50"/>
      <c r="EB105" s="50"/>
      <c r="EC105" s="56"/>
      <c r="ED105" s="50"/>
      <c r="EE105" s="50"/>
      <c r="EF105" s="56"/>
      <c r="EG105" s="50"/>
      <c r="EH105" s="50"/>
      <c r="EI105" s="56"/>
      <c r="EJ105" s="50"/>
      <c r="EK105" s="50"/>
      <c r="EL105" s="56"/>
      <c r="EM105" s="50"/>
      <c r="EN105" s="50"/>
      <c r="EO105" s="56"/>
      <c r="EP105" s="50"/>
      <c r="EQ105" s="50"/>
      <c r="ER105" s="56"/>
      <c r="ES105" s="50"/>
      <c r="ET105" s="50"/>
      <c r="EU105" s="56"/>
      <c r="EV105" s="50"/>
      <c r="EW105" s="50"/>
      <c r="EX105" s="56"/>
      <c r="EY105" s="50"/>
      <c r="EZ105" s="50"/>
      <c r="FA105" s="56"/>
      <c r="FB105" s="50"/>
      <c r="FC105" s="50"/>
      <c r="FD105" s="56"/>
      <c r="FE105" s="50"/>
      <c r="FF105" s="50"/>
      <c r="FG105" s="56"/>
      <c r="FH105" s="50"/>
      <c r="FI105" s="50"/>
      <c r="FJ105" s="56"/>
    </row>
    <row r="106" spans="1:166" s="52" customFormat="1" ht="15.75" x14ac:dyDescent="0.25">
      <c r="A106" s="3"/>
      <c r="B106" s="6" t="s">
        <v>298</v>
      </c>
      <c r="C106" s="1" t="s">
        <v>293</v>
      </c>
      <c r="D106" s="19">
        <v>0</v>
      </c>
      <c r="E106" s="50"/>
      <c r="F106" s="50"/>
      <c r="G106" s="56"/>
      <c r="H106" s="50"/>
      <c r="I106" s="50"/>
      <c r="J106" s="56"/>
      <c r="K106" s="50"/>
      <c r="L106" s="50"/>
      <c r="M106" s="56"/>
      <c r="N106" s="50"/>
      <c r="O106" s="50"/>
      <c r="P106" s="56"/>
      <c r="Q106" s="50"/>
      <c r="R106" s="50"/>
      <c r="S106" s="56"/>
      <c r="T106" s="50"/>
      <c r="U106" s="50"/>
      <c r="V106" s="56"/>
      <c r="W106" s="50"/>
      <c r="X106" s="50"/>
      <c r="Y106" s="56"/>
      <c r="Z106" s="50"/>
      <c r="AA106" s="50"/>
      <c r="AB106" s="56"/>
      <c r="AC106" s="50"/>
      <c r="AD106" s="50"/>
      <c r="AE106" s="56"/>
      <c r="AF106" s="50"/>
      <c r="AG106" s="50"/>
      <c r="AH106" s="56"/>
      <c r="AI106" s="50"/>
      <c r="AJ106" s="50"/>
      <c r="AK106" s="56"/>
      <c r="AL106" s="50"/>
      <c r="AM106" s="50"/>
      <c r="AN106" s="56"/>
      <c r="AO106" s="50"/>
      <c r="AP106" s="50"/>
      <c r="AQ106" s="56"/>
      <c r="AR106" s="50"/>
      <c r="AS106" s="50"/>
      <c r="AT106" s="56"/>
      <c r="AU106" s="50"/>
      <c r="AV106" s="50"/>
      <c r="AW106" s="56"/>
      <c r="AX106" s="50"/>
      <c r="AY106" s="50"/>
      <c r="AZ106" s="56"/>
      <c r="BA106" s="50"/>
      <c r="BB106" s="50"/>
      <c r="BC106" s="56"/>
      <c r="BD106" s="50"/>
      <c r="BE106" s="50"/>
      <c r="BF106" s="56"/>
      <c r="BG106" s="50"/>
      <c r="BH106" s="50"/>
      <c r="BI106" s="56"/>
      <c r="BJ106" s="50"/>
      <c r="BK106" s="50"/>
      <c r="BL106" s="56"/>
      <c r="BM106" s="50"/>
      <c r="BN106" s="50"/>
      <c r="BO106" s="56"/>
      <c r="BP106" s="50"/>
      <c r="BQ106" s="50"/>
      <c r="BR106" s="56"/>
      <c r="BS106" s="50"/>
      <c r="BT106" s="50"/>
      <c r="BU106" s="56"/>
      <c r="BV106" s="50"/>
      <c r="BW106" s="50"/>
      <c r="BX106" s="56"/>
      <c r="BY106" s="50"/>
      <c r="BZ106" s="50"/>
      <c r="CA106" s="56"/>
      <c r="CB106" s="50"/>
      <c r="CC106" s="50"/>
      <c r="CD106" s="56"/>
      <c r="CE106" s="50"/>
      <c r="CF106" s="50"/>
      <c r="CG106" s="56"/>
      <c r="CH106" s="50"/>
      <c r="CI106" s="50"/>
      <c r="CJ106" s="56"/>
      <c r="CK106" s="50"/>
      <c r="CL106" s="50"/>
      <c r="CM106" s="56"/>
      <c r="CN106" s="50"/>
      <c r="CO106" s="50"/>
      <c r="CP106" s="56"/>
      <c r="CQ106" s="50"/>
      <c r="CR106" s="50"/>
      <c r="CS106" s="56"/>
      <c r="CT106" s="50"/>
      <c r="CU106" s="50"/>
      <c r="CV106" s="56"/>
      <c r="CW106" s="50"/>
      <c r="CX106" s="50"/>
      <c r="CY106" s="56"/>
      <c r="CZ106" s="50"/>
      <c r="DA106" s="50"/>
      <c r="DB106" s="56"/>
      <c r="DC106" s="50"/>
      <c r="DD106" s="50"/>
      <c r="DE106" s="56"/>
      <c r="DF106" s="50"/>
      <c r="DG106" s="50"/>
      <c r="DH106" s="56"/>
      <c r="DI106" s="50"/>
      <c r="DJ106" s="50"/>
      <c r="DK106" s="56"/>
      <c r="DL106" s="50"/>
      <c r="DM106" s="50"/>
      <c r="DN106" s="56"/>
      <c r="DO106" s="50"/>
      <c r="DP106" s="50"/>
      <c r="DQ106" s="56"/>
      <c r="DR106" s="50"/>
      <c r="DS106" s="50"/>
      <c r="DT106" s="56"/>
      <c r="DU106" s="50"/>
      <c r="DV106" s="50"/>
      <c r="DW106" s="56"/>
      <c r="DX106" s="50"/>
      <c r="DY106" s="50"/>
      <c r="DZ106" s="56"/>
      <c r="EA106" s="50"/>
      <c r="EB106" s="50"/>
      <c r="EC106" s="56"/>
      <c r="ED106" s="50"/>
      <c r="EE106" s="50"/>
      <c r="EF106" s="56"/>
      <c r="EG106" s="50"/>
      <c r="EH106" s="50"/>
      <c r="EI106" s="56"/>
      <c r="EJ106" s="50"/>
      <c r="EK106" s="50"/>
      <c r="EL106" s="56"/>
      <c r="EM106" s="50"/>
      <c r="EN106" s="50"/>
      <c r="EO106" s="56"/>
      <c r="EP106" s="50"/>
      <c r="EQ106" s="50"/>
      <c r="ER106" s="56"/>
      <c r="ES106" s="50"/>
      <c r="ET106" s="50"/>
      <c r="EU106" s="56"/>
      <c r="EV106" s="50"/>
      <c r="EW106" s="50"/>
      <c r="EX106" s="56"/>
      <c r="EY106" s="50"/>
      <c r="EZ106" s="50"/>
      <c r="FA106" s="56"/>
      <c r="FB106" s="50"/>
      <c r="FC106" s="50"/>
      <c r="FD106" s="56"/>
      <c r="FE106" s="50"/>
      <c r="FF106" s="50"/>
      <c r="FG106" s="56"/>
      <c r="FH106" s="50"/>
      <c r="FI106" s="50"/>
      <c r="FJ106" s="56"/>
    </row>
    <row r="107" spans="1:166" s="52" customFormat="1" ht="15.75" x14ac:dyDescent="0.25">
      <c r="A107" s="3"/>
      <c r="B107" s="6" t="s">
        <v>299</v>
      </c>
      <c r="C107" s="1" t="s">
        <v>295</v>
      </c>
      <c r="D107" s="19">
        <v>0</v>
      </c>
      <c r="E107" s="50"/>
      <c r="F107" s="50"/>
      <c r="G107" s="56"/>
      <c r="H107" s="50"/>
      <c r="I107" s="50"/>
      <c r="J107" s="56"/>
      <c r="K107" s="50"/>
      <c r="L107" s="50"/>
      <c r="M107" s="56"/>
      <c r="N107" s="50"/>
      <c r="O107" s="50"/>
      <c r="P107" s="56"/>
      <c r="Q107" s="50"/>
      <c r="R107" s="50"/>
      <c r="S107" s="56"/>
      <c r="T107" s="50"/>
      <c r="U107" s="50"/>
      <c r="V107" s="56"/>
      <c r="W107" s="50"/>
      <c r="X107" s="50"/>
      <c r="Y107" s="56"/>
      <c r="Z107" s="50"/>
      <c r="AA107" s="50"/>
      <c r="AB107" s="56"/>
      <c r="AC107" s="50"/>
      <c r="AD107" s="50"/>
      <c r="AE107" s="56"/>
      <c r="AF107" s="50"/>
      <c r="AG107" s="50"/>
      <c r="AH107" s="56"/>
      <c r="AI107" s="50"/>
      <c r="AJ107" s="50"/>
      <c r="AK107" s="56"/>
      <c r="AL107" s="50"/>
      <c r="AM107" s="50"/>
      <c r="AN107" s="56"/>
      <c r="AO107" s="50"/>
      <c r="AP107" s="50"/>
      <c r="AQ107" s="56"/>
      <c r="AR107" s="50"/>
      <c r="AS107" s="50"/>
      <c r="AT107" s="56"/>
      <c r="AU107" s="50"/>
      <c r="AV107" s="50"/>
      <c r="AW107" s="56"/>
      <c r="AX107" s="50"/>
      <c r="AY107" s="50"/>
      <c r="AZ107" s="56"/>
      <c r="BA107" s="50"/>
      <c r="BB107" s="50"/>
      <c r="BC107" s="56"/>
      <c r="BD107" s="50"/>
      <c r="BE107" s="50"/>
      <c r="BF107" s="56"/>
      <c r="BG107" s="50"/>
      <c r="BH107" s="50"/>
      <c r="BI107" s="56"/>
      <c r="BJ107" s="50"/>
      <c r="BK107" s="50"/>
      <c r="BL107" s="56"/>
      <c r="BM107" s="50"/>
      <c r="BN107" s="50"/>
      <c r="BO107" s="56"/>
      <c r="BP107" s="50"/>
      <c r="BQ107" s="50"/>
      <c r="BR107" s="56"/>
      <c r="BS107" s="50"/>
      <c r="BT107" s="50"/>
      <c r="BU107" s="56"/>
      <c r="BV107" s="50"/>
      <c r="BW107" s="50"/>
      <c r="BX107" s="56"/>
      <c r="BY107" s="50"/>
      <c r="BZ107" s="50"/>
      <c r="CA107" s="56"/>
      <c r="CB107" s="50"/>
      <c r="CC107" s="50"/>
      <c r="CD107" s="56"/>
      <c r="CE107" s="50"/>
      <c r="CF107" s="50"/>
      <c r="CG107" s="56"/>
      <c r="CH107" s="50"/>
      <c r="CI107" s="50"/>
      <c r="CJ107" s="56"/>
      <c r="CK107" s="50"/>
      <c r="CL107" s="50"/>
      <c r="CM107" s="56"/>
      <c r="CN107" s="50"/>
      <c r="CO107" s="50"/>
      <c r="CP107" s="56"/>
      <c r="CQ107" s="50"/>
      <c r="CR107" s="50"/>
      <c r="CS107" s="56"/>
      <c r="CT107" s="50"/>
      <c r="CU107" s="50"/>
      <c r="CV107" s="56"/>
      <c r="CW107" s="50"/>
      <c r="CX107" s="50"/>
      <c r="CY107" s="56"/>
      <c r="CZ107" s="50"/>
      <c r="DA107" s="50"/>
      <c r="DB107" s="56"/>
      <c r="DC107" s="50"/>
      <c r="DD107" s="50"/>
      <c r="DE107" s="56"/>
      <c r="DF107" s="50"/>
      <c r="DG107" s="50"/>
      <c r="DH107" s="56"/>
      <c r="DI107" s="50"/>
      <c r="DJ107" s="50"/>
      <c r="DK107" s="56"/>
      <c r="DL107" s="50"/>
      <c r="DM107" s="50"/>
      <c r="DN107" s="56"/>
      <c r="DO107" s="50"/>
      <c r="DP107" s="50"/>
      <c r="DQ107" s="56"/>
      <c r="DR107" s="50"/>
      <c r="DS107" s="50"/>
      <c r="DT107" s="56"/>
      <c r="DU107" s="50"/>
      <c r="DV107" s="50"/>
      <c r="DW107" s="56"/>
      <c r="DX107" s="50"/>
      <c r="DY107" s="50"/>
      <c r="DZ107" s="56"/>
      <c r="EA107" s="50"/>
      <c r="EB107" s="50"/>
      <c r="EC107" s="56"/>
      <c r="ED107" s="50"/>
      <c r="EE107" s="50"/>
      <c r="EF107" s="56"/>
      <c r="EG107" s="50"/>
      <c r="EH107" s="50"/>
      <c r="EI107" s="56"/>
      <c r="EJ107" s="50"/>
      <c r="EK107" s="50"/>
      <c r="EL107" s="56"/>
      <c r="EM107" s="50"/>
      <c r="EN107" s="50"/>
      <c r="EO107" s="56"/>
      <c r="EP107" s="50"/>
      <c r="EQ107" s="50"/>
      <c r="ER107" s="56"/>
      <c r="ES107" s="50"/>
      <c r="ET107" s="50"/>
      <c r="EU107" s="56"/>
      <c r="EV107" s="50"/>
      <c r="EW107" s="50"/>
      <c r="EX107" s="56"/>
      <c r="EY107" s="50"/>
      <c r="EZ107" s="50"/>
      <c r="FA107" s="56"/>
      <c r="FB107" s="50"/>
      <c r="FC107" s="50"/>
      <c r="FD107" s="56"/>
      <c r="FE107" s="50"/>
      <c r="FF107" s="50"/>
      <c r="FG107" s="56"/>
      <c r="FH107" s="50"/>
      <c r="FI107" s="50"/>
      <c r="FJ107" s="56"/>
    </row>
    <row r="108" spans="1:166" s="52" customFormat="1" ht="15.75" x14ac:dyDescent="0.25">
      <c r="A108" s="3"/>
      <c r="B108" s="6" t="s">
        <v>300</v>
      </c>
      <c r="C108" s="1" t="s">
        <v>293</v>
      </c>
      <c r="D108" s="19">
        <v>0</v>
      </c>
      <c r="E108" s="50"/>
      <c r="F108" s="50"/>
      <c r="G108" s="56"/>
      <c r="H108" s="50"/>
      <c r="I108" s="50"/>
      <c r="J108" s="56"/>
      <c r="K108" s="50"/>
      <c r="L108" s="50"/>
      <c r="M108" s="56"/>
      <c r="N108" s="50"/>
      <c r="O108" s="50"/>
      <c r="P108" s="56"/>
      <c r="Q108" s="50"/>
      <c r="R108" s="50"/>
      <c r="S108" s="56"/>
      <c r="T108" s="50"/>
      <c r="U108" s="50"/>
      <c r="V108" s="56"/>
      <c r="W108" s="50"/>
      <c r="X108" s="50"/>
      <c r="Y108" s="56"/>
      <c r="Z108" s="50"/>
      <c r="AA108" s="50"/>
      <c r="AB108" s="56"/>
      <c r="AC108" s="50"/>
      <c r="AD108" s="50"/>
      <c r="AE108" s="56"/>
      <c r="AF108" s="50"/>
      <c r="AG108" s="50"/>
      <c r="AH108" s="56"/>
      <c r="AI108" s="50"/>
      <c r="AJ108" s="50"/>
      <c r="AK108" s="56"/>
      <c r="AL108" s="50"/>
      <c r="AM108" s="50"/>
      <c r="AN108" s="56"/>
      <c r="AO108" s="50"/>
      <c r="AP108" s="50"/>
      <c r="AQ108" s="56"/>
      <c r="AR108" s="50"/>
      <c r="AS108" s="50"/>
      <c r="AT108" s="56"/>
      <c r="AU108" s="50"/>
      <c r="AV108" s="50"/>
      <c r="AW108" s="56"/>
      <c r="AX108" s="50"/>
      <c r="AY108" s="50"/>
      <c r="AZ108" s="56"/>
      <c r="BA108" s="50"/>
      <c r="BB108" s="50"/>
      <c r="BC108" s="56"/>
      <c r="BD108" s="50"/>
      <c r="BE108" s="50"/>
      <c r="BF108" s="56"/>
      <c r="BG108" s="50"/>
      <c r="BH108" s="50"/>
      <c r="BI108" s="56"/>
      <c r="BJ108" s="50"/>
      <c r="BK108" s="50"/>
      <c r="BL108" s="56"/>
      <c r="BM108" s="50"/>
      <c r="BN108" s="50"/>
      <c r="BO108" s="56"/>
      <c r="BP108" s="50"/>
      <c r="BQ108" s="50"/>
      <c r="BR108" s="56"/>
      <c r="BS108" s="50"/>
      <c r="BT108" s="50"/>
      <c r="BU108" s="56"/>
      <c r="BV108" s="50"/>
      <c r="BW108" s="50"/>
      <c r="BX108" s="56"/>
      <c r="BY108" s="50"/>
      <c r="BZ108" s="50"/>
      <c r="CA108" s="56"/>
      <c r="CB108" s="50"/>
      <c r="CC108" s="50"/>
      <c r="CD108" s="56"/>
      <c r="CE108" s="50"/>
      <c r="CF108" s="50"/>
      <c r="CG108" s="56"/>
      <c r="CH108" s="50"/>
      <c r="CI108" s="50"/>
      <c r="CJ108" s="56"/>
      <c r="CK108" s="50"/>
      <c r="CL108" s="50"/>
      <c r="CM108" s="56"/>
      <c r="CN108" s="50"/>
      <c r="CO108" s="50"/>
      <c r="CP108" s="56"/>
      <c r="CQ108" s="50"/>
      <c r="CR108" s="50"/>
      <c r="CS108" s="56"/>
      <c r="CT108" s="50"/>
      <c r="CU108" s="50"/>
      <c r="CV108" s="56"/>
      <c r="CW108" s="50"/>
      <c r="CX108" s="50"/>
      <c r="CY108" s="56"/>
      <c r="CZ108" s="50"/>
      <c r="DA108" s="50"/>
      <c r="DB108" s="56"/>
      <c r="DC108" s="50"/>
      <c r="DD108" s="50"/>
      <c r="DE108" s="56"/>
      <c r="DF108" s="50"/>
      <c r="DG108" s="50"/>
      <c r="DH108" s="56"/>
      <c r="DI108" s="50"/>
      <c r="DJ108" s="50"/>
      <c r="DK108" s="56"/>
      <c r="DL108" s="50"/>
      <c r="DM108" s="50"/>
      <c r="DN108" s="56"/>
      <c r="DO108" s="50"/>
      <c r="DP108" s="50"/>
      <c r="DQ108" s="56"/>
      <c r="DR108" s="50"/>
      <c r="DS108" s="50"/>
      <c r="DT108" s="56"/>
      <c r="DU108" s="50"/>
      <c r="DV108" s="50"/>
      <c r="DW108" s="56"/>
      <c r="DX108" s="50"/>
      <c r="DY108" s="50"/>
      <c r="DZ108" s="56"/>
      <c r="EA108" s="50"/>
      <c r="EB108" s="50"/>
      <c r="EC108" s="56"/>
      <c r="ED108" s="50"/>
      <c r="EE108" s="50"/>
      <c r="EF108" s="56"/>
      <c r="EG108" s="50"/>
      <c r="EH108" s="50"/>
      <c r="EI108" s="56"/>
      <c r="EJ108" s="50"/>
      <c r="EK108" s="50"/>
      <c r="EL108" s="56"/>
      <c r="EM108" s="50"/>
      <c r="EN108" s="50"/>
      <c r="EO108" s="56"/>
      <c r="EP108" s="50"/>
      <c r="EQ108" s="50"/>
      <c r="ER108" s="56"/>
      <c r="ES108" s="50"/>
      <c r="ET108" s="50"/>
      <c r="EU108" s="56"/>
      <c r="EV108" s="50"/>
      <c r="EW108" s="50"/>
      <c r="EX108" s="56"/>
      <c r="EY108" s="50"/>
      <c r="EZ108" s="50"/>
      <c r="FA108" s="56"/>
      <c r="FB108" s="50"/>
      <c r="FC108" s="50"/>
      <c r="FD108" s="56"/>
      <c r="FE108" s="50"/>
      <c r="FF108" s="50"/>
      <c r="FG108" s="56"/>
      <c r="FH108" s="50"/>
      <c r="FI108" s="50"/>
      <c r="FJ108" s="56"/>
    </row>
    <row r="109" spans="1:166" s="52" customFormat="1" ht="15.75" x14ac:dyDescent="0.25">
      <c r="A109" s="3"/>
      <c r="B109" s="6" t="s">
        <v>301</v>
      </c>
      <c r="C109" s="1" t="s">
        <v>295</v>
      </c>
      <c r="D109" s="19">
        <v>0</v>
      </c>
      <c r="E109" s="50"/>
      <c r="F109" s="50"/>
      <c r="G109" s="56"/>
      <c r="H109" s="50"/>
      <c r="I109" s="50"/>
      <c r="J109" s="56"/>
      <c r="K109" s="50"/>
      <c r="L109" s="50"/>
      <c r="M109" s="56"/>
      <c r="N109" s="50"/>
      <c r="O109" s="50"/>
      <c r="P109" s="56"/>
      <c r="Q109" s="50"/>
      <c r="R109" s="50"/>
      <c r="S109" s="56"/>
      <c r="T109" s="50"/>
      <c r="U109" s="50"/>
      <c r="V109" s="56"/>
      <c r="W109" s="50"/>
      <c r="X109" s="50"/>
      <c r="Y109" s="56"/>
      <c r="Z109" s="50"/>
      <c r="AA109" s="50"/>
      <c r="AB109" s="56"/>
      <c r="AC109" s="50"/>
      <c r="AD109" s="50"/>
      <c r="AE109" s="56"/>
      <c r="AF109" s="50"/>
      <c r="AG109" s="50"/>
      <c r="AH109" s="56"/>
      <c r="AI109" s="50"/>
      <c r="AJ109" s="50"/>
      <c r="AK109" s="56"/>
      <c r="AL109" s="50"/>
      <c r="AM109" s="50"/>
      <c r="AN109" s="56"/>
      <c r="AO109" s="50"/>
      <c r="AP109" s="50"/>
      <c r="AQ109" s="56"/>
      <c r="AR109" s="50"/>
      <c r="AS109" s="50"/>
      <c r="AT109" s="56"/>
      <c r="AU109" s="50"/>
      <c r="AV109" s="50"/>
      <c r="AW109" s="56"/>
      <c r="AX109" s="50"/>
      <c r="AY109" s="50"/>
      <c r="AZ109" s="56"/>
      <c r="BA109" s="50"/>
      <c r="BB109" s="50"/>
      <c r="BC109" s="56"/>
      <c r="BD109" s="50"/>
      <c r="BE109" s="50"/>
      <c r="BF109" s="56"/>
      <c r="BG109" s="50"/>
      <c r="BH109" s="50"/>
      <c r="BI109" s="56"/>
      <c r="BJ109" s="50"/>
      <c r="BK109" s="50"/>
      <c r="BL109" s="56"/>
      <c r="BM109" s="50"/>
      <c r="BN109" s="50"/>
      <c r="BO109" s="56"/>
      <c r="BP109" s="50"/>
      <c r="BQ109" s="50"/>
      <c r="BR109" s="56"/>
      <c r="BS109" s="50"/>
      <c r="BT109" s="50"/>
      <c r="BU109" s="56"/>
      <c r="BV109" s="50"/>
      <c r="BW109" s="50"/>
      <c r="BX109" s="56"/>
      <c r="BY109" s="50"/>
      <c r="BZ109" s="50"/>
      <c r="CA109" s="56"/>
      <c r="CB109" s="50"/>
      <c r="CC109" s="50"/>
      <c r="CD109" s="56"/>
      <c r="CE109" s="50"/>
      <c r="CF109" s="50"/>
      <c r="CG109" s="56"/>
      <c r="CH109" s="50"/>
      <c r="CI109" s="50"/>
      <c r="CJ109" s="56"/>
      <c r="CK109" s="50"/>
      <c r="CL109" s="50"/>
      <c r="CM109" s="56"/>
      <c r="CN109" s="50"/>
      <c r="CO109" s="50"/>
      <c r="CP109" s="56"/>
      <c r="CQ109" s="50"/>
      <c r="CR109" s="50"/>
      <c r="CS109" s="56"/>
      <c r="CT109" s="50"/>
      <c r="CU109" s="50"/>
      <c r="CV109" s="56"/>
      <c r="CW109" s="50"/>
      <c r="CX109" s="50"/>
      <c r="CY109" s="56"/>
      <c r="CZ109" s="50"/>
      <c r="DA109" s="50"/>
      <c r="DB109" s="56"/>
      <c r="DC109" s="50"/>
      <c r="DD109" s="50"/>
      <c r="DE109" s="56"/>
      <c r="DF109" s="50"/>
      <c r="DG109" s="50"/>
      <c r="DH109" s="56"/>
      <c r="DI109" s="50"/>
      <c r="DJ109" s="50"/>
      <c r="DK109" s="56"/>
      <c r="DL109" s="50"/>
      <c r="DM109" s="50"/>
      <c r="DN109" s="56"/>
      <c r="DO109" s="50"/>
      <c r="DP109" s="50"/>
      <c r="DQ109" s="56"/>
      <c r="DR109" s="50"/>
      <c r="DS109" s="50"/>
      <c r="DT109" s="56"/>
      <c r="DU109" s="50"/>
      <c r="DV109" s="50"/>
      <c r="DW109" s="56"/>
      <c r="DX109" s="50"/>
      <c r="DY109" s="50"/>
      <c r="DZ109" s="56"/>
      <c r="EA109" s="50"/>
      <c r="EB109" s="50"/>
      <c r="EC109" s="56"/>
      <c r="ED109" s="50"/>
      <c r="EE109" s="50"/>
      <c r="EF109" s="56"/>
      <c r="EG109" s="50"/>
      <c r="EH109" s="50"/>
      <c r="EI109" s="56"/>
      <c r="EJ109" s="50"/>
      <c r="EK109" s="50"/>
      <c r="EL109" s="56"/>
      <c r="EM109" s="50"/>
      <c r="EN109" s="50"/>
      <c r="EO109" s="56"/>
      <c r="EP109" s="50"/>
      <c r="EQ109" s="50"/>
      <c r="ER109" s="56"/>
      <c r="ES109" s="50"/>
      <c r="ET109" s="50"/>
      <c r="EU109" s="56"/>
      <c r="EV109" s="50"/>
      <c r="EW109" s="50"/>
      <c r="EX109" s="56"/>
      <c r="EY109" s="50"/>
      <c r="EZ109" s="50"/>
      <c r="FA109" s="56"/>
      <c r="FB109" s="50"/>
      <c r="FC109" s="50"/>
      <c r="FD109" s="56"/>
      <c r="FE109" s="50"/>
      <c r="FF109" s="50"/>
      <c r="FG109" s="56"/>
      <c r="FH109" s="50"/>
      <c r="FI109" s="50"/>
      <c r="FJ109" s="56"/>
    </row>
    <row r="110" spans="1:166" s="52" customFormat="1" ht="15.75" x14ac:dyDescent="0.25">
      <c r="A110" s="3"/>
      <c r="B110" s="6" t="s">
        <v>302</v>
      </c>
      <c r="C110" s="1" t="s">
        <v>293</v>
      </c>
      <c r="D110" s="19">
        <v>1</v>
      </c>
      <c r="E110" s="50"/>
      <c r="F110" s="50"/>
      <c r="G110" s="56"/>
      <c r="H110" s="50"/>
      <c r="I110" s="50"/>
      <c r="J110" s="56"/>
      <c r="K110" s="50"/>
      <c r="L110" s="50"/>
      <c r="M110" s="56"/>
      <c r="N110" s="50"/>
      <c r="O110" s="50"/>
      <c r="P110" s="56"/>
      <c r="Q110" s="50"/>
      <c r="R110" s="50"/>
      <c r="S110" s="56"/>
      <c r="T110" s="50"/>
      <c r="U110" s="50"/>
      <c r="V110" s="56"/>
      <c r="W110" s="50"/>
      <c r="X110" s="50"/>
      <c r="Y110" s="56"/>
      <c r="Z110" s="50"/>
      <c r="AA110" s="50"/>
      <c r="AB110" s="56"/>
      <c r="AC110" s="50"/>
      <c r="AD110" s="50"/>
      <c r="AE110" s="56"/>
      <c r="AF110" s="50"/>
      <c r="AG110" s="50"/>
      <c r="AH110" s="56"/>
      <c r="AI110" s="50"/>
      <c r="AJ110" s="50"/>
      <c r="AK110" s="56"/>
      <c r="AL110" s="50"/>
      <c r="AM110" s="50"/>
      <c r="AN110" s="56"/>
      <c r="AO110" s="50"/>
      <c r="AP110" s="50"/>
      <c r="AQ110" s="56"/>
      <c r="AR110" s="50"/>
      <c r="AS110" s="50"/>
      <c r="AT110" s="56"/>
      <c r="AU110" s="50"/>
      <c r="AV110" s="50"/>
      <c r="AW110" s="56"/>
      <c r="AX110" s="50"/>
      <c r="AY110" s="50"/>
      <c r="AZ110" s="56"/>
      <c r="BA110" s="50"/>
      <c r="BB110" s="50"/>
      <c r="BC110" s="56"/>
      <c r="BD110" s="50"/>
      <c r="BE110" s="50"/>
      <c r="BF110" s="56"/>
      <c r="BG110" s="50"/>
      <c r="BH110" s="50"/>
      <c r="BI110" s="56"/>
      <c r="BJ110" s="50"/>
      <c r="BK110" s="50"/>
      <c r="BL110" s="56"/>
      <c r="BM110" s="50"/>
      <c r="BN110" s="50"/>
      <c r="BO110" s="56"/>
      <c r="BP110" s="50"/>
      <c r="BQ110" s="50"/>
      <c r="BR110" s="56"/>
      <c r="BS110" s="50"/>
      <c r="BT110" s="50"/>
      <c r="BU110" s="56"/>
      <c r="BV110" s="50"/>
      <c r="BW110" s="50"/>
      <c r="BX110" s="56"/>
      <c r="BY110" s="50"/>
      <c r="BZ110" s="50"/>
      <c r="CA110" s="56"/>
      <c r="CB110" s="50"/>
      <c r="CC110" s="50"/>
      <c r="CD110" s="56"/>
      <c r="CE110" s="50"/>
      <c r="CF110" s="50"/>
      <c r="CG110" s="56"/>
      <c r="CH110" s="50"/>
      <c r="CI110" s="50"/>
      <c r="CJ110" s="56"/>
      <c r="CK110" s="50"/>
      <c r="CL110" s="50"/>
      <c r="CM110" s="56"/>
      <c r="CN110" s="50"/>
      <c r="CO110" s="50"/>
      <c r="CP110" s="56"/>
      <c r="CQ110" s="50"/>
      <c r="CR110" s="50"/>
      <c r="CS110" s="56"/>
      <c r="CT110" s="50"/>
      <c r="CU110" s="50"/>
      <c r="CV110" s="56"/>
      <c r="CW110" s="50"/>
      <c r="CX110" s="50"/>
      <c r="CY110" s="56"/>
      <c r="CZ110" s="50"/>
      <c r="DA110" s="50"/>
      <c r="DB110" s="56"/>
      <c r="DC110" s="50"/>
      <c r="DD110" s="50"/>
      <c r="DE110" s="56"/>
      <c r="DF110" s="50"/>
      <c r="DG110" s="50"/>
      <c r="DH110" s="56"/>
      <c r="DI110" s="50"/>
      <c r="DJ110" s="50"/>
      <c r="DK110" s="56"/>
      <c r="DL110" s="50"/>
      <c r="DM110" s="50"/>
      <c r="DN110" s="56"/>
      <c r="DO110" s="50"/>
      <c r="DP110" s="50"/>
      <c r="DQ110" s="56"/>
      <c r="DR110" s="50"/>
      <c r="DS110" s="50"/>
      <c r="DT110" s="56"/>
      <c r="DU110" s="50"/>
      <c r="DV110" s="50"/>
      <c r="DW110" s="56"/>
      <c r="DX110" s="50"/>
      <c r="DY110" s="50"/>
      <c r="DZ110" s="56"/>
      <c r="EA110" s="50"/>
      <c r="EB110" s="50"/>
      <c r="EC110" s="56"/>
      <c r="ED110" s="50"/>
      <c r="EE110" s="50"/>
      <c r="EF110" s="56"/>
      <c r="EG110" s="50"/>
      <c r="EH110" s="50"/>
      <c r="EI110" s="56"/>
      <c r="EJ110" s="50"/>
      <c r="EK110" s="50"/>
      <c r="EL110" s="56"/>
      <c r="EM110" s="50"/>
      <c r="EN110" s="50"/>
      <c r="EO110" s="56"/>
      <c r="EP110" s="50"/>
      <c r="EQ110" s="50"/>
      <c r="ER110" s="56"/>
      <c r="ES110" s="50"/>
      <c r="ET110" s="50"/>
      <c r="EU110" s="56"/>
      <c r="EV110" s="50"/>
      <c r="EW110" s="50"/>
      <c r="EX110" s="56"/>
      <c r="EY110" s="50"/>
      <c r="EZ110" s="50"/>
      <c r="FA110" s="56"/>
      <c r="FB110" s="50"/>
      <c r="FC110" s="50"/>
      <c r="FD110" s="56"/>
      <c r="FE110" s="50"/>
      <c r="FF110" s="50"/>
      <c r="FG110" s="56"/>
      <c r="FH110" s="50"/>
      <c r="FI110" s="50"/>
      <c r="FJ110" s="56"/>
    </row>
    <row r="111" spans="1:166" s="52" customFormat="1" ht="15.75" x14ac:dyDescent="0.25">
      <c r="A111" s="3"/>
      <c r="B111" s="6" t="s">
        <v>303</v>
      </c>
      <c r="C111" s="1" t="s">
        <v>295</v>
      </c>
      <c r="D111" s="19">
        <v>0</v>
      </c>
      <c r="E111" s="50"/>
      <c r="F111" s="50"/>
      <c r="G111" s="56"/>
      <c r="H111" s="50"/>
      <c r="I111" s="50"/>
      <c r="J111" s="56"/>
      <c r="K111" s="50"/>
      <c r="L111" s="50"/>
      <c r="M111" s="56"/>
      <c r="N111" s="50"/>
      <c r="O111" s="50"/>
      <c r="P111" s="56"/>
      <c r="Q111" s="50"/>
      <c r="R111" s="50"/>
      <c r="S111" s="56"/>
      <c r="T111" s="50"/>
      <c r="U111" s="50"/>
      <c r="V111" s="56"/>
      <c r="W111" s="50"/>
      <c r="X111" s="50"/>
      <c r="Y111" s="56"/>
      <c r="Z111" s="50"/>
      <c r="AA111" s="50"/>
      <c r="AB111" s="56"/>
      <c r="AC111" s="50"/>
      <c r="AD111" s="50"/>
      <c r="AE111" s="56"/>
      <c r="AF111" s="50"/>
      <c r="AG111" s="50"/>
      <c r="AH111" s="56"/>
      <c r="AI111" s="50"/>
      <c r="AJ111" s="50"/>
      <c r="AK111" s="56"/>
      <c r="AL111" s="50"/>
      <c r="AM111" s="50"/>
      <c r="AN111" s="56"/>
      <c r="AO111" s="50"/>
      <c r="AP111" s="50"/>
      <c r="AQ111" s="56"/>
      <c r="AR111" s="50"/>
      <c r="AS111" s="50"/>
      <c r="AT111" s="56"/>
      <c r="AU111" s="50"/>
      <c r="AV111" s="50"/>
      <c r="AW111" s="56"/>
      <c r="AX111" s="50"/>
      <c r="AY111" s="50"/>
      <c r="AZ111" s="56"/>
      <c r="BA111" s="50"/>
      <c r="BB111" s="50"/>
      <c r="BC111" s="56"/>
      <c r="BD111" s="50"/>
      <c r="BE111" s="50"/>
      <c r="BF111" s="56"/>
      <c r="BG111" s="50"/>
      <c r="BH111" s="50"/>
      <c r="BI111" s="56"/>
      <c r="BJ111" s="50"/>
      <c r="BK111" s="50"/>
      <c r="BL111" s="56"/>
      <c r="BM111" s="50"/>
      <c r="BN111" s="50"/>
      <c r="BO111" s="56"/>
      <c r="BP111" s="50"/>
      <c r="BQ111" s="50"/>
      <c r="BR111" s="56"/>
      <c r="BS111" s="50"/>
      <c r="BT111" s="50"/>
      <c r="BU111" s="56"/>
      <c r="BV111" s="50"/>
      <c r="BW111" s="50"/>
      <c r="BX111" s="56"/>
      <c r="BY111" s="50"/>
      <c r="BZ111" s="50"/>
      <c r="CA111" s="56"/>
      <c r="CB111" s="50"/>
      <c r="CC111" s="50"/>
      <c r="CD111" s="56"/>
      <c r="CE111" s="50"/>
      <c r="CF111" s="50"/>
      <c r="CG111" s="56"/>
      <c r="CH111" s="50"/>
      <c r="CI111" s="50"/>
      <c r="CJ111" s="56"/>
      <c r="CK111" s="50"/>
      <c r="CL111" s="50"/>
      <c r="CM111" s="56"/>
      <c r="CN111" s="50"/>
      <c r="CO111" s="50"/>
      <c r="CP111" s="56"/>
      <c r="CQ111" s="50"/>
      <c r="CR111" s="50"/>
      <c r="CS111" s="56"/>
      <c r="CT111" s="50"/>
      <c r="CU111" s="50"/>
      <c r="CV111" s="56"/>
      <c r="CW111" s="50"/>
      <c r="CX111" s="50"/>
      <c r="CY111" s="56"/>
      <c r="CZ111" s="50"/>
      <c r="DA111" s="50"/>
      <c r="DB111" s="56"/>
      <c r="DC111" s="50"/>
      <c r="DD111" s="50"/>
      <c r="DE111" s="56"/>
      <c r="DF111" s="50"/>
      <c r="DG111" s="50"/>
      <c r="DH111" s="56"/>
      <c r="DI111" s="50"/>
      <c r="DJ111" s="50"/>
      <c r="DK111" s="56"/>
      <c r="DL111" s="50"/>
      <c r="DM111" s="50"/>
      <c r="DN111" s="56"/>
      <c r="DO111" s="50"/>
      <c r="DP111" s="50"/>
      <c r="DQ111" s="56"/>
      <c r="DR111" s="50"/>
      <c r="DS111" s="50"/>
      <c r="DT111" s="56"/>
      <c r="DU111" s="50"/>
      <c r="DV111" s="50"/>
      <c r="DW111" s="56"/>
      <c r="DX111" s="50"/>
      <c r="DY111" s="50"/>
      <c r="DZ111" s="56"/>
      <c r="EA111" s="50"/>
      <c r="EB111" s="50"/>
      <c r="EC111" s="56"/>
      <c r="ED111" s="50"/>
      <c r="EE111" s="50"/>
      <c r="EF111" s="56"/>
      <c r="EG111" s="50"/>
      <c r="EH111" s="50"/>
      <c r="EI111" s="56"/>
      <c r="EJ111" s="50"/>
      <c r="EK111" s="50"/>
      <c r="EL111" s="56"/>
      <c r="EM111" s="50"/>
      <c r="EN111" s="50"/>
      <c r="EO111" s="56"/>
      <c r="EP111" s="50"/>
      <c r="EQ111" s="50"/>
      <c r="ER111" s="56"/>
      <c r="ES111" s="50"/>
      <c r="ET111" s="50"/>
      <c r="EU111" s="56"/>
      <c r="EV111" s="50"/>
      <c r="EW111" s="50"/>
      <c r="EX111" s="56"/>
      <c r="EY111" s="50"/>
      <c r="EZ111" s="50"/>
      <c r="FA111" s="56"/>
      <c r="FB111" s="50"/>
      <c r="FC111" s="50"/>
      <c r="FD111" s="56"/>
      <c r="FE111" s="50"/>
      <c r="FF111" s="50"/>
      <c r="FG111" s="56"/>
      <c r="FH111" s="50"/>
      <c r="FI111" s="50"/>
      <c r="FJ111" s="56"/>
    </row>
    <row r="112" spans="1:166" s="52" customFormat="1" ht="15.75" x14ac:dyDescent="0.25">
      <c r="A112" s="3"/>
      <c r="B112" s="6" t="s">
        <v>304</v>
      </c>
      <c r="C112" s="1" t="s">
        <v>293</v>
      </c>
      <c r="D112" s="19">
        <v>0</v>
      </c>
      <c r="E112" s="50"/>
      <c r="F112" s="50"/>
      <c r="G112" s="56"/>
      <c r="H112" s="50"/>
      <c r="I112" s="50"/>
      <c r="J112" s="56"/>
      <c r="K112" s="50"/>
      <c r="L112" s="50"/>
      <c r="M112" s="56"/>
      <c r="N112" s="50"/>
      <c r="O112" s="50"/>
      <c r="P112" s="56"/>
      <c r="Q112" s="50"/>
      <c r="R112" s="50"/>
      <c r="S112" s="56"/>
      <c r="T112" s="50"/>
      <c r="U112" s="50"/>
      <c r="V112" s="56"/>
      <c r="W112" s="50"/>
      <c r="X112" s="50"/>
      <c r="Y112" s="56"/>
      <c r="Z112" s="50"/>
      <c r="AA112" s="50"/>
      <c r="AB112" s="56"/>
      <c r="AC112" s="50"/>
      <c r="AD112" s="50"/>
      <c r="AE112" s="56"/>
      <c r="AF112" s="50"/>
      <c r="AG112" s="50"/>
      <c r="AH112" s="56"/>
      <c r="AI112" s="50"/>
      <c r="AJ112" s="50"/>
      <c r="AK112" s="56"/>
      <c r="AL112" s="50"/>
      <c r="AM112" s="50"/>
      <c r="AN112" s="56"/>
      <c r="AO112" s="50"/>
      <c r="AP112" s="50"/>
      <c r="AQ112" s="56"/>
      <c r="AR112" s="50"/>
      <c r="AS112" s="50"/>
      <c r="AT112" s="56"/>
      <c r="AU112" s="50"/>
      <c r="AV112" s="50"/>
      <c r="AW112" s="56"/>
      <c r="AX112" s="50"/>
      <c r="AY112" s="50"/>
      <c r="AZ112" s="56"/>
      <c r="BA112" s="50"/>
      <c r="BB112" s="50"/>
      <c r="BC112" s="56"/>
      <c r="BD112" s="50"/>
      <c r="BE112" s="50"/>
      <c r="BF112" s="56"/>
      <c r="BG112" s="50"/>
      <c r="BH112" s="50"/>
      <c r="BI112" s="56"/>
      <c r="BJ112" s="50"/>
      <c r="BK112" s="50"/>
      <c r="BL112" s="56"/>
      <c r="BM112" s="50"/>
      <c r="BN112" s="50"/>
      <c r="BO112" s="56"/>
      <c r="BP112" s="50"/>
      <c r="BQ112" s="50"/>
      <c r="BR112" s="56"/>
      <c r="BS112" s="50"/>
      <c r="BT112" s="50"/>
      <c r="BU112" s="56"/>
      <c r="BV112" s="50"/>
      <c r="BW112" s="50"/>
      <c r="BX112" s="56"/>
      <c r="BY112" s="50"/>
      <c r="BZ112" s="50"/>
      <c r="CA112" s="56"/>
      <c r="CB112" s="50"/>
      <c r="CC112" s="50"/>
      <c r="CD112" s="56"/>
      <c r="CE112" s="50"/>
      <c r="CF112" s="50"/>
      <c r="CG112" s="56"/>
      <c r="CH112" s="50"/>
      <c r="CI112" s="50"/>
      <c r="CJ112" s="56"/>
      <c r="CK112" s="50"/>
      <c r="CL112" s="50"/>
      <c r="CM112" s="56"/>
      <c r="CN112" s="50"/>
      <c r="CO112" s="50"/>
      <c r="CP112" s="56"/>
      <c r="CQ112" s="50"/>
      <c r="CR112" s="50"/>
      <c r="CS112" s="56"/>
      <c r="CT112" s="50"/>
      <c r="CU112" s="50"/>
      <c r="CV112" s="56"/>
      <c r="CW112" s="50"/>
      <c r="CX112" s="50"/>
      <c r="CY112" s="56"/>
      <c r="CZ112" s="50"/>
      <c r="DA112" s="50"/>
      <c r="DB112" s="56"/>
      <c r="DC112" s="50"/>
      <c r="DD112" s="50"/>
      <c r="DE112" s="56"/>
      <c r="DF112" s="50"/>
      <c r="DG112" s="50"/>
      <c r="DH112" s="56"/>
      <c r="DI112" s="50"/>
      <c r="DJ112" s="50"/>
      <c r="DK112" s="56"/>
      <c r="DL112" s="50"/>
      <c r="DM112" s="50"/>
      <c r="DN112" s="56"/>
      <c r="DO112" s="50"/>
      <c r="DP112" s="50"/>
      <c r="DQ112" s="56"/>
      <c r="DR112" s="50"/>
      <c r="DS112" s="50"/>
      <c r="DT112" s="56"/>
      <c r="DU112" s="50"/>
      <c r="DV112" s="50"/>
      <c r="DW112" s="56"/>
      <c r="DX112" s="50"/>
      <c r="DY112" s="50"/>
      <c r="DZ112" s="56"/>
      <c r="EA112" s="50"/>
      <c r="EB112" s="50"/>
      <c r="EC112" s="56"/>
      <c r="ED112" s="50"/>
      <c r="EE112" s="50"/>
      <c r="EF112" s="56"/>
      <c r="EG112" s="50"/>
      <c r="EH112" s="50"/>
      <c r="EI112" s="56"/>
      <c r="EJ112" s="50"/>
      <c r="EK112" s="50"/>
      <c r="EL112" s="56"/>
      <c r="EM112" s="50"/>
      <c r="EN112" s="50"/>
      <c r="EO112" s="56"/>
      <c r="EP112" s="50"/>
      <c r="EQ112" s="50"/>
      <c r="ER112" s="56"/>
      <c r="ES112" s="50"/>
      <c r="ET112" s="50"/>
      <c r="EU112" s="56"/>
      <c r="EV112" s="50"/>
      <c r="EW112" s="50"/>
      <c r="EX112" s="56"/>
      <c r="EY112" s="50"/>
      <c r="EZ112" s="50"/>
      <c r="FA112" s="56"/>
      <c r="FB112" s="50"/>
      <c r="FC112" s="50"/>
      <c r="FD112" s="56"/>
      <c r="FE112" s="50"/>
      <c r="FF112" s="50"/>
      <c r="FG112" s="56"/>
      <c r="FH112" s="50"/>
      <c r="FI112" s="50"/>
      <c r="FJ112" s="56"/>
    </row>
    <row r="113" spans="1:166" s="52" customFormat="1" ht="15.75" x14ac:dyDescent="0.25">
      <c r="A113" s="3"/>
      <c r="B113" s="6" t="s">
        <v>305</v>
      </c>
      <c r="C113" s="1" t="s">
        <v>295</v>
      </c>
      <c r="D113" s="19">
        <v>0</v>
      </c>
      <c r="E113" s="50"/>
      <c r="F113" s="50"/>
      <c r="G113" s="56"/>
      <c r="H113" s="50"/>
      <c r="I113" s="50"/>
      <c r="J113" s="56"/>
      <c r="K113" s="50"/>
      <c r="L113" s="50"/>
      <c r="M113" s="56"/>
      <c r="N113" s="50"/>
      <c r="O113" s="50"/>
      <c r="P113" s="56"/>
      <c r="Q113" s="50"/>
      <c r="R113" s="50"/>
      <c r="S113" s="56"/>
      <c r="T113" s="50"/>
      <c r="U113" s="50"/>
      <c r="V113" s="56"/>
      <c r="W113" s="50"/>
      <c r="X113" s="50"/>
      <c r="Y113" s="56"/>
      <c r="Z113" s="50"/>
      <c r="AA113" s="50"/>
      <c r="AB113" s="56"/>
      <c r="AC113" s="50"/>
      <c r="AD113" s="50"/>
      <c r="AE113" s="56"/>
      <c r="AF113" s="50"/>
      <c r="AG113" s="50"/>
      <c r="AH113" s="56"/>
      <c r="AI113" s="50"/>
      <c r="AJ113" s="50"/>
      <c r="AK113" s="56"/>
      <c r="AL113" s="50"/>
      <c r="AM113" s="50"/>
      <c r="AN113" s="56"/>
      <c r="AO113" s="50"/>
      <c r="AP113" s="50"/>
      <c r="AQ113" s="56"/>
      <c r="AR113" s="50"/>
      <c r="AS113" s="50"/>
      <c r="AT113" s="56"/>
      <c r="AU113" s="50"/>
      <c r="AV113" s="50"/>
      <c r="AW113" s="56"/>
      <c r="AX113" s="50"/>
      <c r="AY113" s="50"/>
      <c r="AZ113" s="56"/>
      <c r="BA113" s="50"/>
      <c r="BB113" s="50"/>
      <c r="BC113" s="56"/>
      <c r="BD113" s="50"/>
      <c r="BE113" s="50"/>
      <c r="BF113" s="56"/>
      <c r="BG113" s="50"/>
      <c r="BH113" s="50"/>
      <c r="BI113" s="56"/>
      <c r="BJ113" s="50"/>
      <c r="BK113" s="50"/>
      <c r="BL113" s="56"/>
      <c r="BM113" s="50"/>
      <c r="BN113" s="50"/>
      <c r="BO113" s="56"/>
      <c r="BP113" s="50"/>
      <c r="BQ113" s="50"/>
      <c r="BR113" s="56"/>
      <c r="BS113" s="50"/>
      <c r="BT113" s="50"/>
      <c r="BU113" s="56"/>
      <c r="BV113" s="50"/>
      <c r="BW113" s="50"/>
      <c r="BX113" s="56"/>
      <c r="BY113" s="50"/>
      <c r="BZ113" s="50"/>
      <c r="CA113" s="56"/>
      <c r="CB113" s="50"/>
      <c r="CC113" s="50"/>
      <c r="CD113" s="56"/>
      <c r="CE113" s="50"/>
      <c r="CF113" s="50"/>
      <c r="CG113" s="56"/>
      <c r="CH113" s="50"/>
      <c r="CI113" s="50"/>
      <c r="CJ113" s="56"/>
      <c r="CK113" s="50"/>
      <c r="CL113" s="50"/>
      <c r="CM113" s="56"/>
      <c r="CN113" s="50"/>
      <c r="CO113" s="50"/>
      <c r="CP113" s="56"/>
      <c r="CQ113" s="50"/>
      <c r="CR113" s="50"/>
      <c r="CS113" s="56"/>
      <c r="CT113" s="50"/>
      <c r="CU113" s="50"/>
      <c r="CV113" s="56"/>
      <c r="CW113" s="50"/>
      <c r="CX113" s="50"/>
      <c r="CY113" s="56"/>
      <c r="CZ113" s="50"/>
      <c r="DA113" s="50"/>
      <c r="DB113" s="56"/>
      <c r="DC113" s="50"/>
      <c r="DD113" s="50"/>
      <c r="DE113" s="56"/>
      <c r="DF113" s="50"/>
      <c r="DG113" s="50"/>
      <c r="DH113" s="56"/>
      <c r="DI113" s="50"/>
      <c r="DJ113" s="50"/>
      <c r="DK113" s="56"/>
      <c r="DL113" s="50"/>
      <c r="DM113" s="50"/>
      <c r="DN113" s="56"/>
      <c r="DO113" s="50"/>
      <c r="DP113" s="50"/>
      <c r="DQ113" s="56"/>
      <c r="DR113" s="50"/>
      <c r="DS113" s="50"/>
      <c r="DT113" s="56"/>
      <c r="DU113" s="50"/>
      <c r="DV113" s="50"/>
      <c r="DW113" s="56"/>
      <c r="DX113" s="50"/>
      <c r="DY113" s="50"/>
      <c r="DZ113" s="56"/>
      <c r="EA113" s="50"/>
      <c r="EB113" s="50"/>
      <c r="EC113" s="56"/>
      <c r="ED113" s="50"/>
      <c r="EE113" s="50"/>
      <c r="EF113" s="56"/>
      <c r="EG113" s="50"/>
      <c r="EH113" s="50"/>
      <c r="EI113" s="56"/>
      <c r="EJ113" s="50"/>
      <c r="EK113" s="50"/>
      <c r="EL113" s="56"/>
      <c r="EM113" s="50"/>
      <c r="EN113" s="50"/>
      <c r="EO113" s="56"/>
      <c r="EP113" s="50"/>
      <c r="EQ113" s="50"/>
      <c r="ER113" s="56"/>
      <c r="ES113" s="50"/>
      <c r="ET113" s="50"/>
      <c r="EU113" s="56"/>
      <c r="EV113" s="50"/>
      <c r="EW113" s="50"/>
      <c r="EX113" s="56"/>
      <c r="EY113" s="50"/>
      <c r="EZ113" s="50"/>
      <c r="FA113" s="56"/>
      <c r="FB113" s="50"/>
      <c r="FC113" s="50"/>
      <c r="FD113" s="56"/>
      <c r="FE113" s="50"/>
      <c r="FF113" s="50"/>
      <c r="FG113" s="56"/>
      <c r="FH113" s="50"/>
      <c r="FI113" s="50"/>
      <c r="FJ113" s="56"/>
    </row>
    <row r="114" spans="1:166" s="52" customFormat="1" ht="15.75" x14ac:dyDescent="0.25">
      <c r="A114" s="3"/>
      <c r="B114" s="6" t="s">
        <v>306</v>
      </c>
      <c r="C114" s="1" t="s">
        <v>293</v>
      </c>
      <c r="D114" s="19">
        <v>0</v>
      </c>
      <c r="E114" s="50"/>
      <c r="F114" s="50"/>
      <c r="G114" s="56"/>
      <c r="H114" s="50"/>
      <c r="I114" s="50"/>
      <c r="J114" s="56"/>
      <c r="K114" s="50"/>
      <c r="L114" s="50"/>
      <c r="M114" s="56"/>
      <c r="N114" s="50"/>
      <c r="O114" s="50"/>
      <c r="P114" s="56"/>
      <c r="Q114" s="50"/>
      <c r="R114" s="50"/>
      <c r="S114" s="56"/>
      <c r="T114" s="50"/>
      <c r="U114" s="50"/>
      <c r="V114" s="56"/>
      <c r="W114" s="50"/>
      <c r="X114" s="50"/>
      <c r="Y114" s="56"/>
      <c r="Z114" s="50"/>
      <c r="AA114" s="50"/>
      <c r="AB114" s="56"/>
      <c r="AC114" s="50"/>
      <c r="AD114" s="50"/>
      <c r="AE114" s="56"/>
      <c r="AF114" s="50"/>
      <c r="AG114" s="50"/>
      <c r="AH114" s="56"/>
      <c r="AI114" s="50"/>
      <c r="AJ114" s="50"/>
      <c r="AK114" s="56"/>
      <c r="AL114" s="50"/>
      <c r="AM114" s="50"/>
      <c r="AN114" s="56"/>
      <c r="AO114" s="50"/>
      <c r="AP114" s="50"/>
      <c r="AQ114" s="56"/>
      <c r="AR114" s="50"/>
      <c r="AS114" s="50"/>
      <c r="AT114" s="56"/>
      <c r="AU114" s="50"/>
      <c r="AV114" s="50"/>
      <c r="AW114" s="56"/>
      <c r="AX114" s="50"/>
      <c r="AY114" s="50"/>
      <c r="AZ114" s="56"/>
      <c r="BA114" s="50"/>
      <c r="BB114" s="50"/>
      <c r="BC114" s="56"/>
      <c r="BD114" s="50"/>
      <c r="BE114" s="50"/>
      <c r="BF114" s="56"/>
      <c r="BG114" s="50"/>
      <c r="BH114" s="50"/>
      <c r="BI114" s="56"/>
      <c r="BJ114" s="50"/>
      <c r="BK114" s="50"/>
      <c r="BL114" s="56"/>
      <c r="BM114" s="50"/>
      <c r="BN114" s="50"/>
      <c r="BO114" s="56"/>
      <c r="BP114" s="50"/>
      <c r="BQ114" s="50"/>
      <c r="BR114" s="56"/>
      <c r="BS114" s="50"/>
      <c r="BT114" s="50"/>
      <c r="BU114" s="56"/>
      <c r="BV114" s="50"/>
      <c r="BW114" s="50"/>
      <c r="BX114" s="56"/>
      <c r="BY114" s="50"/>
      <c r="BZ114" s="50"/>
      <c r="CA114" s="56"/>
      <c r="CB114" s="50"/>
      <c r="CC114" s="50"/>
      <c r="CD114" s="56"/>
      <c r="CE114" s="50"/>
      <c r="CF114" s="50"/>
      <c r="CG114" s="56"/>
      <c r="CH114" s="50"/>
      <c r="CI114" s="50"/>
      <c r="CJ114" s="56"/>
      <c r="CK114" s="50"/>
      <c r="CL114" s="50"/>
      <c r="CM114" s="56"/>
      <c r="CN114" s="50"/>
      <c r="CO114" s="50"/>
      <c r="CP114" s="56"/>
      <c r="CQ114" s="50"/>
      <c r="CR114" s="50"/>
      <c r="CS114" s="56"/>
      <c r="CT114" s="50"/>
      <c r="CU114" s="50"/>
      <c r="CV114" s="56"/>
      <c r="CW114" s="50"/>
      <c r="CX114" s="50"/>
      <c r="CY114" s="56"/>
      <c r="CZ114" s="50"/>
      <c r="DA114" s="50"/>
      <c r="DB114" s="56"/>
      <c r="DC114" s="50"/>
      <c r="DD114" s="50"/>
      <c r="DE114" s="56"/>
      <c r="DF114" s="50"/>
      <c r="DG114" s="50"/>
      <c r="DH114" s="56"/>
      <c r="DI114" s="50"/>
      <c r="DJ114" s="50"/>
      <c r="DK114" s="56"/>
      <c r="DL114" s="50"/>
      <c r="DM114" s="50"/>
      <c r="DN114" s="56"/>
      <c r="DO114" s="50"/>
      <c r="DP114" s="50"/>
      <c r="DQ114" s="56"/>
      <c r="DR114" s="50"/>
      <c r="DS114" s="50"/>
      <c r="DT114" s="56"/>
      <c r="DU114" s="50"/>
      <c r="DV114" s="50"/>
      <c r="DW114" s="56"/>
      <c r="DX114" s="50"/>
      <c r="DY114" s="50"/>
      <c r="DZ114" s="56"/>
      <c r="EA114" s="50"/>
      <c r="EB114" s="50"/>
      <c r="EC114" s="56"/>
      <c r="ED114" s="50"/>
      <c r="EE114" s="50"/>
      <c r="EF114" s="56"/>
      <c r="EG114" s="50"/>
      <c r="EH114" s="50"/>
      <c r="EI114" s="56"/>
      <c r="EJ114" s="50"/>
      <c r="EK114" s="50"/>
      <c r="EL114" s="56"/>
      <c r="EM114" s="50"/>
      <c r="EN114" s="50"/>
      <c r="EO114" s="56"/>
      <c r="EP114" s="50"/>
      <c r="EQ114" s="50"/>
      <c r="ER114" s="56"/>
      <c r="ES114" s="50"/>
      <c r="ET114" s="50"/>
      <c r="EU114" s="56"/>
      <c r="EV114" s="50"/>
      <c r="EW114" s="50"/>
      <c r="EX114" s="56"/>
      <c r="EY114" s="50"/>
      <c r="EZ114" s="50"/>
      <c r="FA114" s="56"/>
      <c r="FB114" s="50"/>
      <c r="FC114" s="50"/>
      <c r="FD114" s="56"/>
      <c r="FE114" s="50"/>
      <c r="FF114" s="50"/>
      <c r="FG114" s="56"/>
      <c r="FH114" s="50"/>
      <c r="FI114" s="50"/>
      <c r="FJ114" s="56"/>
    </row>
    <row r="115" spans="1:166" s="52" customFormat="1" ht="15.75" x14ac:dyDescent="0.25">
      <c r="A115" s="3"/>
      <c r="B115" s="6" t="s">
        <v>307</v>
      </c>
      <c r="C115" s="1" t="s">
        <v>295</v>
      </c>
      <c r="D115" s="19">
        <v>0</v>
      </c>
      <c r="E115" s="50"/>
      <c r="F115" s="50"/>
      <c r="G115" s="56"/>
      <c r="H115" s="50"/>
      <c r="I115" s="50"/>
      <c r="J115" s="56"/>
      <c r="K115" s="50"/>
      <c r="L115" s="50"/>
      <c r="M115" s="56"/>
      <c r="N115" s="50"/>
      <c r="O115" s="50"/>
      <c r="P115" s="56"/>
      <c r="Q115" s="50"/>
      <c r="R115" s="50"/>
      <c r="S115" s="56"/>
      <c r="T115" s="50"/>
      <c r="U115" s="50"/>
      <c r="V115" s="56"/>
      <c r="W115" s="50"/>
      <c r="X115" s="50"/>
      <c r="Y115" s="56"/>
      <c r="Z115" s="50"/>
      <c r="AA115" s="50"/>
      <c r="AB115" s="56"/>
      <c r="AC115" s="50"/>
      <c r="AD115" s="50"/>
      <c r="AE115" s="56"/>
      <c r="AF115" s="50"/>
      <c r="AG115" s="50"/>
      <c r="AH115" s="56"/>
      <c r="AI115" s="50"/>
      <c r="AJ115" s="50"/>
      <c r="AK115" s="56"/>
      <c r="AL115" s="50"/>
      <c r="AM115" s="50"/>
      <c r="AN115" s="56"/>
      <c r="AO115" s="50"/>
      <c r="AP115" s="50"/>
      <c r="AQ115" s="56"/>
      <c r="AR115" s="50"/>
      <c r="AS115" s="50"/>
      <c r="AT115" s="56"/>
      <c r="AU115" s="50"/>
      <c r="AV115" s="50"/>
      <c r="AW115" s="56"/>
      <c r="AX115" s="50"/>
      <c r="AY115" s="50"/>
      <c r="AZ115" s="56"/>
      <c r="BA115" s="50"/>
      <c r="BB115" s="50"/>
      <c r="BC115" s="56"/>
      <c r="BD115" s="50"/>
      <c r="BE115" s="50"/>
      <c r="BF115" s="56"/>
      <c r="BG115" s="50"/>
      <c r="BH115" s="50"/>
      <c r="BI115" s="56"/>
      <c r="BJ115" s="50"/>
      <c r="BK115" s="50"/>
      <c r="BL115" s="56"/>
      <c r="BM115" s="50"/>
      <c r="BN115" s="50"/>
      <c r="BO115" s="56"/>
      <c r="BP115" s="50"/>
      <c r="BQ115" s="50"/>
      <c r="BR115" s="56"/>
      <c r="BS115" s="50"/>
      <c r="BT115" s="50"/>
      <c r="BU115" s="56"/>
      <c r="BV115" s="50"/>
      <c r="BW115" s="50"/>
      <c r="BX115" s="56"/>
      <c r="BY115" s="50"/>
      <c r="BZ115" s="50"/>
      <c r="CA115" s="56"/>
      <c r="CB115" s="50"/>
      <c r="CC115" s="50"/>
      <c r="CD115" s="56"/>
      <c r="CE115" s="50"/>
      <c r="CF115" s="50"/>
      <c r="CG115" s="56"/>
      <c r="CH115" s="50"/>
      <c r="CI115" s="50"/>
      <c r="CJ115" s="56"/>
      <c r="CK115" s="50"/>
      <c r="CL115" s="50"/>
      <c r="CM115" s="56"/>
      <c r="CN115" s="50"/>
      <c r="CO115" s="50"/>
      <c r="CP115" s="56"/>
      <c r="CQ115" s="50"/>
      <c r="CR115" s="50"/>
      <c r="CS115" s="56"/>
      <c r="CT115" s="50"/>
      <c r="CU115" s="50"/>
      <c r="CV115" s="56"/>
      <c r="CW115" s="50"/>
      <c r="CX115" s="50"/>
      <c r="CY115" s="56"/>
      <c r="CZ115" s="50"/>
      <c r="DA115" s="50"/>
      <c r="DB115" s="56"/>
      <c r="DC115" s="50"/>
      <c r="DD115" s="50"/>
      <c r="DE115" s="56"/>
      <c r="DF115" s="50"/>
      <c r="DG115" s="50"/>
      <c r="DH115" s="56"/>
      <c r="DI115" s="50"/>
      <c r="DJ115" s="50"/>
      <c r="DK115" s="56"/>
      <c r="DL115" s="50"/>
      <c r="DM115" s="50"/>
      <c r="DN115" s="56"/>
      <c r="DO115" s="50"/>
      <c r="DP115" s="50"/>
      <c r="DQ115" s="56"/>
      <c r="DR115" s="50"/>
      <c r="DS115" s="50"/>
      <c r="DT115" s="56"/>
      <c r="DU115" s="50"/>
      <c r="DV115" s="50"/>
      <c r="DW115" s="56"/>
      <c r="DX115" s="50"/>
      <c r="DY115" s="50"/>
      <c r="DZ115" s="56"/>
      <c r="EA115" s="50"/>
      <c r="EB115" s="50"/>
      <c r="EC115" s="56"/>
      <c r="ED115" s="50"/>
      <c r="EE115" s="50"/>
      <c r="EF115" s="56"/>
      <c r="EG115" s="50"/>
      <c r="EH115" s="50"/>
      <c r="EI115" s="56"/>
      <c r="EJ115" s="50"/>
      <c r="EK115" s="50"/>
      <c r="EL115" s="56"/>
      <c r="EM115" s="50"/>
      <c r="EN115" s="50"/>
      <c r="EO115" s="56"/>
      <c r="EP115" s="50"/>
      <c r="EQ115" s="50"/>
      <c r="ER115" s="56"/>
      <c r="ES115" s="50"/>
      <c r="ET115" s="50"/>
      <c r="EU115" s="56"/>
      <c r="EV115" s="50"/>
      <c r="EW115" s="50"/>
      <c r="EX115" s="56"/>
      <c r="EY115" s="50"/>
      <c r="EZ115" s="50"/>
      <c r="FA115" s="56"/>
      <c r="FB115" s="50"/>
      <c r="FC115" s="50"/>
      <c r="FD115" s="56"/>
      <c r="FE115" s="50"/>
      <c r="FF115" s="50"/>
      <c r="FG115" s="56"/>
      <c r="FH115" s="50"/>
      <c r="FI115" s="50"/>
      <c r="FJ115" s="56"/>
    </row>
    <row r="116" spans="1:166" s="52" customFormat="1" ht="15.75" x14ac:dyDescent="0.25">
      <c r="A116" s="3"/>
      <c r="B116" s="6" t="s">
        <v>308</v>
      </c>
      <c r="C116" s="1" t="s">
        <v>293</v>
      </c>
      <c r="D116" s="19">
        <v>0</v>
      </c>
      <c r="E116" s="50"/>
      <c r="F116" s="50"/>
      <c r="G116" s="56"/>
      <c r="H116" s="50"/>
      <c r="I116" s="50"/>
      <c r="J116" s="56"/>
      <c r="K116" s="50"/>
      <c r="L116" s="50"/>
      <c r="M116" s="56"/>
      <c r="N116" s="50"/>
      <c r="O116" s="50"/>
      <c r="P116" s="56"/>
      <c r="Q116" s="50"/>
      <c r="R116" s="50"/>
      <c r="S116" s="56"/>
      <c r="T116" s="50"/>
      <c r="U116" s="50"/>
      <c r="V116" s="56"/>
      <c r="W116" s="50"/>
      <c r="X116" s="50"/>
      <c r="Y116" s="56"/>
      <c r="Z116" s="50"/>
      <c r="AA116" s="50"/>
      <c r="AB116" s="56"/>
      <c r="AC116" s="50"/>
      <c r="AD116" s="50"/>
      <c r="AE116" s="56"/>
      <c r="AF116" s="50"/>
      <c r="AG116" s="50"/>
      <c r="AH116" s="56"/>
      <c r="AI116" s="50"/>
      <c r="AJ116" s="50"/>
      <c r="AK116" s="56"/>
      <c r="AL116" s="50"/>
      <c r="AM116" s="50"/>
      <c r="AN116" s="56"/>
      <c r="AO116" s="50"/>
      <c r="AP116" s="50"/>
      <c r="AQ116" s="56"/>
      <c r="AR116" s="50"/>
      <c r="AS116" s="50"/>
      <c r="AT116" s="56"/>
      <c r="AU116" s="50"/>
      <c r="AV116" s="50"/>
      <c r="AW116" s="56"/>
      <c r="AX116" s="50"/>
      <c r="AY116" s="50"/>
      <c r="AZ116" s="56"/>
      <c r="BA116" s="50"/>
      <c r="BB116" s="50"/>
      <c r="BC116" s="56"/>
      <c r="BD116" s="50"/>
      <c r="BE116" s="50"/>
      <c r="BF116" s="56"/>
      <c r="BG116" s="50"/>
      <c r="BH116" s="50"/>
      <c r="BI116" s="56"/>
      <c r="BJ116" s="50"/>
      <c r="BK116" s="50"/>
      <c r="BL116" s="56"/>
      <c r="BM116" s="50"/>
      <c r="BN116" s="50"/>
      <c r="BO116" s="56"/>
      <c r="BP116" s="50"/>
      <c r="BQ116" s="50"/>
      <c r="BR116" s="56"/>
      <c r="BS116" s="50"/>
      <c r="BT116" s="50"/>
      <c r="BU116" s="56"/>
      <c r="BV116" s="50"/>
      <c r="BW116" s="50"/>
      <c r="BX116" s="56"/>
      <c r="BY116" s="50"/>
      <c r="BZ116" s="50"/>
      <c r="CA116" s="56"/>
      <c r="CB116" s="50"/>
      <c r="CC116" s="50"/>
      <c r="CD116" s="56"/>
      <c r="CE116" s="50"/>
      <c r="CF116" s="50"/>
      <c r="CG116" s="56"/>
      <c r="CH116" s="50"/>
      <c r="CI116" s="50"/>
      <c r="CJ116" s="56"/>
      <c r="CK116" s="50"/>
      <c r="CL116" s="50"/>
      <c r="CM116" s="56"/>
      <c r="CN116" s="50"/>
      <c r="CO116" s="50"/>
      <c r="CP116" s="56"/>
      <c r="CQ116" s="50"/>
      <c r="CR116" s="50"/>
      <c r="CS116" s="56"/>
      <c r="CT116" s="50"/>
      <c r="CU116" s="50"/>
      <c r="CV116" s="56"/>
      <c r="CW116" s="50"/>
      <c r="CX116" s="50"/>
      <c r="CY116" s="56"/>
      <c r="CZ116" s="50"/>
      <c r="DA116" s="50"/>
      <c r="DB116" s="56"/>
      <c r="DC116" s="50"/>
      <c r="DD116" s="50"/>
      <c r="DE116" s="56"/>
      <c r="DF116" s="50"/>
      <c r="DG116" s="50"/>
      <c r="DH116" s="56"/>
      <c r="DI116" s="50"/>
      <c r="DJ116" s="50"/>
      <c r="DK116" s="56"/>
      <c r="DL116" s="50"/>
      <c r="DM116" s="50"/>
      <c r="DN116" s="56"/>
      <c r="DO116" s="50"/>
      <c r="DP116" s="50"/>
      <c r="DQ116" s="56"/>
      <c r="DR116" s="50"/>
      <c r="DS116" s="50"/>
      <c r="DT116" s="56"/>
      <c r="DU116" s="50"/>
      <c r="DV116" s="50"/>
      <c r="DW116" s="56"/>
      <c r="DX116" s="50"/>
      <c r="DY116" s="50"/>
      <c r="DZ116" s="56"/>
      <c r="EA116" s="50"/>
      <c r="EB116" s="50"/>
      <c r="EC116" s="56"/>
      <c r="ED116" s="50"/>
      <c r="EE116" s="50"/>
      <c r="EF116" s="56"/>
      <c r="EG116" s="50"/>
      <c r="EH116" s="50"/>
      <c r="EI116" s="56"/>
      <c r="EJ116" s="50"/>
      <c r="EK116" s="50"/>
      <c r="EL116" s="56"/>
      <c r="EM116" s="50"/>
      <c r="EN116" s="50"/>
      <c r="EO116" s="56"/>
      <c r="EP116" s="50"/>
      <c r="EQ116" s="50"/>
      <c r="ER116" s="56"/>
      <c r="ES116" s="50"/>
      <c r="ET116" s="50"/>
      <c r="EU116" s="56"/>
      <c r="EV116" s="50"/>
      <c r="EW116" s="50"/>
      <c r="EX116" s="56"/>
      <c r="EY116" s="50"/>
      <c r="EZ116" s="50"/>
      <c r="FA116" s="56"/>
      <c r="FB116" s="50"/>
      <c r="FC116" s="50"/>
      <c r="FD116" s="56"/>
      <c r="FE116" s="50"/>
      <c r="FF116" s="50"/>
      <c r="FG116" s="56"/>
      <c r="FH116" s="50"/>
      <c r="FI116" s="50"/>
      <c r="FJ116" s="56"/>
    </row>
    <row r="117" spans="1:166" s="52" customFormat="1" ht="15.75" x14ac:dyDescent="0.25">
      <c r="A117" s="3"/>
      <c r="B117" s="6" t="s">
        <v>309</v>
      </c>
      <c r="C117" s="1" t="s">
        <v>295</v>
      </c>
      <c r="D117" s="19">
        <v>0</v>
      </c>
      <c r="E117" s="50"/>
      <c r="F117" s="50"/>
      <c r="G117" s="56"/>
      <c r="H117" s="50"/>
      <c r="I117" s="50"/>
      <c r="J117" s="56"/>
      <c r="K117" s="50"/>
      <c r="L117" s="50"/>
      <c r="M117" s="56"/>
      <c r="N117" s="50"/>
      <c r="O117" s="50"/>
      <c r="P117" s="56"/>
      <c r="Q117" s="50"/>
      <c r="R117" s="50"/>
      <c r="S117" s="56"/>
      <c r="T117" s="50"/>
      <c r="U117" s="50"/>
      <c r="V117" s="56"/>
      <c r="W117" s="50"/>
      <c r="X117" s="50"/>
      <c r="Y117" s="56"/>
      <c r="Z117" s="50"/>
      <c r="AA117" s="50"/>
      <c r="AB117" s="56"/>
      <c r="AC117" s="50"/>
      <c r="AD117" s="50"/>
      <c r="AE117" s="56"/>
      <c r="AF117" s="50"/>
      <c r="AG117" s="50"/>
      <c r="AH117" s="56"/>
      <c r="AI117" s="50"/>
      <c r="AJ117" s="50"/>
      <c r="AK117" s="56"/>
      <c r="AL117" s="50"/>
      <c r="AM117" s="50"/>
      <c r="AN117" s="56"/>
      <c r="AO117" s="50"/>
      <c r="AP117" s="50"/>
      <c r="AQ117" s="56"/>
      <c r="AR117" s="50"/>
      <c r="AS117" s="50"/>
      <c r="AT117" s="56"/>
      <c r="AU117" s="50"/>
      <c r="AV117" s="50"/>
      <c r="AW117" s="56"/>
      <c r="AX117" s="50"/>
      <c r="AY117" s="50"/>
      <c r="AZ117" s="56"/>
      <c r="BA117" s="50"/>
      <c r="BB117" s="50"/>
      <c r="BC117" s="56"/>
      <c r="BD117" s="50"/>
      <c r="BE117" s="50"/>
      <c r="BF117" s="56"/>
      <c r="BG117" s="50"/>
      <c r="BH117" s="50"/>
      <c r="BI117" s="56"/>
      <c r="BJ117" s="50"/>
      <c r="BK117" s="50"/>
      <c r="BL117" s="56"/>
      <c r="BM117" s="50"/>
      <c r="BN117" s="50"/>
      <c r="BO117" s="56"/>
      <c r="BP117" s="50"/>
      <c r="BQ117" s="50"/>
      <c r="BR117" s="56"/>
      <c r="BS117" s="50"/>
      <c r="BT117" s="50"/>
      <c r="BU117" s="56"/>
      <c r="BV117" s="50"/>
      <c r="BW117" s="50"/>
      <c r="BX117" s="56"/>
      <c r="BY117" s="50"/>
      <c r="BZ117" s="50"/>
      <c r="CA117" s="56"/>
      <c r="CB117" s="50"/>
      <c r="CC117" s="50"/>
      <c r="CD117" s="56"/>
      <c r="CE117" s="50"/>
      <c r="CF117" s="50"/>
      <c r="CG117" s="56"/>
      <c r="CH117" s="50"/>
      <c r="CI117" s="50"/>
      <c r="CJ117" s="56"/>
      <c r="CK117" s="50"/>
      <c r="CL117" s="50"/>
      <c r="CM117" s="56"/>
      <c r="CN117" s="50"/>
      <c r="CO117" s="50"/>
      <c r="CP117" s="56"/>
      <c r="CQ117" s="50"/>
      <c r="CR117" s="50"/>
      <c r="CS117" s="56"/>
      <c r="CT117" s="50"/>
      <c r="CU117" s="50"/>
      <c r="CV117" s="56"/>
      <c r="CW117" s="50"/>
      <c r="CX117" s="50"/>
      <c r="CY117" s="56"/>
      <c r="CZ117" s="50"/>
      <c r="DA117" s="50"/>
      <c r="DB117" s="56"/>
      <c r="DC117" s="50"/>
      <c r="DD117" s="50"/>
      <c r="DE117" s="56"/>
      <c r="DF117" s="50"/>
      <c r="DG117" s="50"/>
      <c r="DH117" s="56"/>
      <c r="DI117" s="50"/>
      <c r="DJ117" s="50"/>
      <c r="DK117" s="56"/>
      <c r="DL117" s="50"/>
      <c r="DM117" s="50"/>
      <c r="DN117" s="56"/>
      <c r="DO117" s="50"/>
      <c r="DP117" s="50"/>
      <c r="DQ117" s="56"/>
      <c r="DR117" s="50"/>
      <c r="DS117" s="50"/>
      <c r="DT117" s="56"/>
      <c r="DU117" s="50"/>
      <c r="DV117" s="50"/>
      <c r="DW117" s="56"/>
      <c r="DX117" s="50"/>
      <c r="DY117" s="50"/>
      <c r="DZ117" s="56"/>
      <c r="EA117" s="50"/>
      <c r="EB117" s="50"/>
      <c r="EC117" s="56"/>
      <c r="ED117" s="50"/>
      <c r="EE117" s="50"/>
      <c r="EF117" s="56"/>
      <c r="EG117" s="50"/>
      <c r="EH117" s="50"/>
      <c r="EI117" s="56"/>
      <c r="EJ117" s="50"/>
      <c r="EK117" s="50"/>
      <c r="EL117" s="56"/>
      <c r="EM117" s="50"/>
      <c r="EN117" s="50"/>
      <c r="EO117" s="56"/>
      <c r="EP117" s="50"/>
      <c r="EQ117" s="50"/>
      <c r="ER117" s="56"/>
      <c r="ES117" s="50"/>
      <c r="ET117" s="50"/>
      <c r="EU117" s="56"/>
      <c r="EV117" s="50"/>
      <c r="EW117" s="50"/>
      <c r="EX117" s="56"/>
      <c r="EY117" s="50"/>
      <c r="EZ117" s="50"/>
      <c r="FA117" s="56"/>
      <c r="FB117" s="50"/>
      <c r="FC117" s="50"/>
      <c r="FD117" s="56"/>
      <c r="FE117" s="50"/>
      <c r="FF117" s="50"/>
      <c r="FG117" s="56"/>
      <c r="FH117" s="50"/>
      <c r="FI117" s="50"/>
      <c r="FJ117" s="56"/>
    </row>
    <row r="118" spans="1:166" s="52" customFormat="1" ht="15.75" x14ac:dyDescent="0.25">
      <c r="A118" s="3"/>
      <c r="B118" s="6" t="s">
        <v>310</v>
      </c>
      <c r="C118" s="1" t="s">
        <v>293</v>
      </c>
      <c r="D118" s="19">
        <v>0</v>
      </c>
      <c r="E118" s="50"/>
      <c r="F118" s="50"/>
      <c r="G118" s="56"/>
      <c r="H118" s="50"/>
      <c r="I118" s="50"/>
      <c r="J118" s="56"/>
      <c r="K118" s="50"/>
      <c r="L118" s="50"/>
      <c r="M118" s="56"/>
      <c r="N118" s="50"/>
      <c r="O118" s="50"/>
      <c r="P118" s="56"/>
      <c r="Q118" s="50"/>
      <c r="R118" s="50"/>
      <c r="S118" s="56"/>
      <c r="T118" s="50"/>
      <c r="U118" s="50"/>
      <c r="V118" s="56"/>
      <c r="W118" s="50"/>
      <c r="X118" s="50"/>
      <c r="Y118" s="56"/>
      <c r="Z118" s="50"/>
      <c r="AA118" s="50"/>
      <c r="AB118" s="56"/>
      <c r="AC118" s="50"/>
      <c r="AD118" s="50"/>
      <c r="AE118" s="56"/>
      <c r="AF118" s="50"/>
      <c r="AG118" s="50"/>
      <c r="AH118" s="56"/>
      <c r="AI118" s="50"/>
      <c r="AJ118" s="50"/>
      <c r="AK118" s="56"/>
      <c r="AL118" s="50"/>
      <c r="AM118" s="50"/>
      <c r="AN118" s="56"/>
      <c r="AO118" s="50"/>
      <c r="AP118" s="50"/>
      <c r="AQ118" s="56"/>
      <c r="AR118" s="50"/>
      <c r="AS118" s="50"/>
      <c r="AT118" s="56"/>
      <c r="AU118" s="50"/>
      <c r="AV118" s="50"/>
      <c r="AW118" s="56"/>
      <c r="AX118" s="50"/>
      <c r="AY118" s="50"/>
      <c r="AZ118" s="56"/>
      <c r="BA118" s="50"/>
      <c r="BB118" s="50"/>
      <c r="BC118" s="56"/>
      <c r="BD118" s="50"/>
      <c r="BE118" s="50"/>
      <c r="BF118" s="56"/>
      <c r="BG118" s="50"/>
      <c r="BH118" s="50"/>
      <c r="BI118" s="56"/>
      <c r="BJ118" s="50"/>
      <c r="BK118" s="50"/>
      <c r="BL118" s="56"/>
      <c r="BM118" s="50"/>
      <c r="BN118" s="50"/>
      <c r="BO118" s="56"/>
      <c r="BP118" s="50"/>
      <c r="BQ118" s="50"/>
      <c r="BR118" s="56"/>
      <c r="BS118" s="50"/>
      <c r="BT118" s="50"/>
      <c r="BU118" s="56"/>
      <c r="BV118" s="50"/>
      <c r="BW118" s="50"/>
      <c r="BX118" s="56"/>
      <c r="BY118" s="50"/>
      <c r="BZ118" s="50"/>
      <c r="CA118" s="56"/>
      <c r="CB118" s="50"/>
      <c r="CC118" s="50"/>
      <c r="CD118" s="56"/>
      <c r="CE118" s="50"/>
      <c r="CF118" s="50"/>
      <c r="CG118" s="56"/>
      <c r="CH118" s="50"/>
      <c r="CI118" s="50"/>
      <c r="CJ118" s="56"/>
      <c r="CK118" s="50"/>
      <c r="CL118" s="50"/>
      <c r="CM118" s="56"/>
      <c r="CN118" s="50"/>
      <c r="CO118" s="50"/>
      <c r="CP118" s="56"/>
      <c r="CQ118" s="50"/>
      <c r="CR118" s="50"/>
      <c r="CS118" s="56"/>
      <c r="CT118" s="50"/>
      <c r="CU118" s="50"/>
      <c r="CV118" s="56"/>
      <c r="CW118" s="50"/>
      <c r="CX118" s="50"/>
      <c r="CY118" s="56"/>
      <c r="CZ118" s="50"/>
      <c r="DA118" s="50"/>
      <c r="DB118" s="56"/>
      <c r="DC118" s="50"/>
      <c r="DD118" s="50"/>
      <c r="DE118" s="56"/>
      <c r="DF118" s="50"/>
      <c r="DG118" s="50"/>
      <c r="DH118" s="56"/>
      <c r="DI118" s="50"/>
      <c r="DJ118" s="50"/>
      <c r="DK118" s="56"/>
      <c r="DL118" s="50"/>
      <c r="DM118" s="50"/>
      <c r="DN118" s="56"/>
      <c r="DO118" s="50"/>
      <c r="DP118" s="50"/>
      <c r="DQ118" s="56"/>
      <c r="DR118" s="50"/>
      <c r="DS118" s="50"/>
      <c r="DT118" s="56"/>
      <c r="DU118" s="50"/>
      <c r="DV118" s="50"/>
      <c r="DW118" s="56"/>
      <c r="DX118" s="50"/>
      <c r="DY118" s="50"/>
      <c r="DZ118" s="56"/>
      <c r="EA118" s="50"/>
      <c r="EB118" s="50"/>
      <c r="EC118" s="56"/>
      <c r="ED118" s="50"/>
      <c r="EE118" s="50"/>
      <c r="EF118" s="56"/>
      <c r="EG118" s="50"/>
      <c r="EH118" s="50"/>
      <c r="EI118" s="56"/>
      <c r="EJ118" s="50"/>
      <c r="EK118" s="50"/>
      <c r="EL118" s="56"/>
      <c r="EM118" s="50"/>
      <c r="EN118" s="50"/>
      <c r="EO118" s="56"/>
      <c r="EP118" s="50"/>
      <c r="EQ118" s="50"/>
      <c r="ER118" s="56"/>
      <c r="ES118" s="50"/>
      <c r="ET118" s="50"/>
      <c r="EU118" s="56"/>
      <c r="EV118" s="50"/>
      <c r="EW118" s="50"/>
      <c r="EX118" s="56"/>
      <c r="EY118" s="50"/>
      <c r="EZ118" s="50"/>
      <c r="FA118" s="56"/>
      <c r="FB118" s="50"/>
      <c r="FC118" s="50"/>
      <c r="FD118" s="56"/>
      <c r="FE118" s="50"/>
      <c r="FF118" s="50"/>
      <c r="FG118" s="56"/>
      <c r="FH118" s="50"/>
      <c r="FI118" s="50"/>
      <c r="FJ118" s="56"/>
    </row>
    <row r="119" spans="1:166" s="52" customFormat="1" ht="15.75" x14ac:dyDescent="0.25">
      <c r="A119" s="3"/>
      <c r="B119" s="6" t="s">
        <v>311</v>
      </c>
      <c r="C119" s="1" t="s">
        <v>295</v>
      </c>
      <c r="D119" s="19">
        <v>0</v>
      </c>
      <c r="E119" s="50"/>
      <c r="F119" s="50"/>
      <c r="G119" s="56"/>
      <c r="H119" s="50"/>
      <c r="I119" s="50"/>
      <c r="J119" s="56"/>
      <c r="K119" s="50"/>
      <c r="L119" s="50"/>
      <c r="M119" s="56"/>
      <c r="N119" s="50"/>
      <c r="O119" s="50"/>
      <c r="P119" s="56"/>
      <c r="Q119" s="50"/>
      <c r="R119" s="50"/>
      <c r="S119" s="56"/>
      <c r="T119" s="50"/>
      <c r="U119" s="50"/>
      <c r="V119" s="56"/>
      <c r="W119" s="50"/>
      <c r="X119" s="50"/>
      <c r="Y119" s="56"/>
      <c r="Z119" s="50"/>
      <c r="AA119" s="50"/>
      <c r="AB119" s="56"/>
      <c r="AC119" s="50"/>
      <c r="AD119" s="50"/>
      <c r="AE119" s="56"/>
      <c r="AF119" s="50"/>
      <c r="AG119" s="50"/>
      <c r="AH119" s="56"/>
      <c r="AI119" s="50"/>
      <c r="AJ119" s="50"/>
      <c r="AK119" s="56"/>
      <c r="AL119" s="50"/>
      <c r="AM119" s="50"/>
      <c r="AN119" s="56"/>
      <c r="AO119" s="50"/>
      <c r="AP119" s="50"/>
      <c r="AQ119" s="56"/>
      <c r="AR119" s="50"/>
      <c r="AS119" s="50"/>
      <c r="AT119" s="56"/>
      <c r="AU119" s="50"/>
      <c r="AV119" s="50"/>
      <c r="AW119" s="56"/>
      <c r="AX119" s="50"/>
      <c r="AY119" s="50"/>
      <c r="AZ119" s="56"/>
      <c r="BA119" s="50"/>
      <c r="BB119" s="50"/>
      <c r="BC119" s="56"/>
      <c r="BD119" s="50"/>
      <c r="BE119" s="50"/>
      <c r="BF119" s="56"/>
      <c r="BG119" s="50"/>
      <c r="BH119" s="50"/>
      <c r="BI119" s="56"/>
      <c r="BJ119" s="50"/>
      <c r="BK119" s="50"/>
      <c r="BL119" s="56"/>
      <c r="BM119" s="50"/>
      <c r="BN119" s="50"/>
      <c r="BO119" s="56"/>
      <c r="BP119" s="50"/>
      <c r="BQ119" s="50"/>
      <c r="BR119" s="56"/>
      <c r="BS119" s="50"/>
      <c r="BT119" s="50"/>
      <c r="BU119" s="56"/>
      <c r="BV119" s="50"/>
      <c r="BW119" s="50"/>
      <c r="BX119" s="56"/>
      <c r="BY119" s="50"/>
      <c r="BZ119" s="50"/>
      <c r="CA119" s="56"/>
      <c r="CB119" s="50"/>
      <c r="CC119" s="50"/>
      <c r="CD119" s="56"/>
      <c r="CE119" s="50"/>
      <c r="CF119" s="50"/>
      <c r="CG119" s="56"/>
      <c r="CH119" s="50"/>
      <c r="CI119" s="50"/>
      <c r="CJ119" s="56"/>
      <c r="CK119" s="50"/>
      <c r="CL119" s="50"/>
      <c r="CM119" s="56"/>
      <c r="CN119" s="50"/>
      <c r="CO119" s="50"/>
      <c r="CP119" s="56"/>
      <c r="CQ119" s="50"/>
      <c r="CR119" s="50"/>
      <c r="CS119" s="56"/>
      <c r="CT119" s="50"/>
      <c r="CU119" s="50"/>
      <c r="CV119" s="56"/>
      <c r="CW119" s="50"/>
      <c r="CX119" s="50"/>
      <c r="CY119" s="56"/>
      <c r="CZ119" s="50"/>
      <c r="DA119" s="50"/>
      <c r="DB119" s="56"/>
      <c r="DC119" s="50"/>
      <c r="DD119" s="50"/>
      <c r="DE119" s="56"/>
      <c r="DF119" s="50"/>
      <c r="DG119" s="50"/>
      <c r="DH119" s="56"/>
      <c r="DI119" s="50"/>
      <c r="DJ119" s="50"/>
      <c r="DK119" s="56"/>
      <c r="DL119" s="50"/>
      <c r="DM119" s="50"/>
      <c r="DN119" s="56"/>
      <c r="DO119" s="50"/>
      <c r="DP119" s="50"/>
      <c r="DQ119" s="56"/>
      <c r="DR119" s="50"/>
      <c r="DS119" s="50"/>
      <c r="DT119" s="56"/>
      <c r="DU119" s="50"/>
      <c r="DV119" s="50"/>
      <c r="DW119" s="56"/>
      <c r="DX119" s="50"/>
      <c r="DY119" s="50"/>
      <c r="DZ119" s="56"/>
      <c r="EA119" s="50"/>
      <c r="EB119" s="50"/>
      <c r="EC119" s="56"/>
      <c r="ED119" s="50"/>
      <c r="EE119" s="50"/>
      <c r="EF119" s="56"/>
      <c r="EG119" s="50"/>
      <c r="EH119" s="50"/>
      <c r="EI119" s="56"/>
      <c r="EJ119" s="50"/>
      <c r="EK119" s="50"/>
      <c r="EL119" s="56"/>
      <c r="EM119" s="50"/>
      <c r="EN119" s="50"/>
      <c r="EO119" s="56"/>
      <c r="EP119" s="50"/>
      <c r="EQ119" s="50"/>
      <c r="ER119" s="56"/>
      <c r="ES119" s="50"/>
      <c r="ET119" s="50"/>
      <c r="EU119" s="56"/>
      <c r="EV119" s="50"/>
      <c r="EW119" s="50"/>
      <c r="EX119" s="56"/>
      <c r="EY119" s="50"/>
      <c r="EZ119" s="50"/>
      <c r="FA119" s="56"/>
      <c r="FB119" s="50"/>
      <c r="FC119" s="50"/>
      <c r="FD119" s="56"/>
      <c r="FE119" s="50"/>
      <c r="FF119" s="50"/>
      <c r="FG119" s="56"/>
      <c r="FH119" s="50"/>
      <c r="FI119" s="50"/>
      <c r="FJ119" s="56"/>
    </row>
    <row r="120" spans="1:166" s="52" customFormat="1" ht="15.75" x14ac:dyDescent="0.25">
      <c r="A120" s="3"/>
      <c r="B120" s="6" t="s">
        <v>312</v>
      </c>
      <c r="C120" s="1" t="s">
        <v>313</v>
      </c>
      <c r="D120" s="19">
        <v>0</v>
      </c>
      <c r="E120" s="50"/>
      <c r="F120" s="50"/>
      <c r="G120" s="56"/>
      <c r="H120" s="50"/>
      <c r="I120" s="50"/>
      <c r="J120" s="56"/>
      <c r="K120" s="50"/>
      <c r="L120" s="50"/>
      <c r="M120" s="56"/>
      <c r="N120" s="50"/>
      <c r="O120" s="50"/>
      <c r="P120" s="56"/>
      <c r="Q120" s="50"/>
      <c r="R120" s="50"/>
      <c r="S120" s="56"/>
      <c r="T120" s="50"/>
      <c r="U120" s="50"/>
      <c r="V120" s="56"/>
      <c r="W120" s="50"/>
      <c r="X120" s="50"/>
      <c r="Y120" s="56"/>
      <c r="Z120" s="50"/>
      <c r="AA120" s="50"/>
      <c r="AB120" s="56"/>
      <c r="AC120" s="50"/>
      <c r="AD120" s="50"/>
      <c r="AE120" s="56"/>
      <c r="AF120" s="50"/>
      <c r="AG120" s="50"/>
      <c r="AH120" s="56"/>
      <c r="AI120" s="50"/>
      <c r="AJ120" s="50"/>
      <c r="AK120" s="56"/>
      <c r="AL120" s="50"/>
      <c r="AM120" s="50"/>
      <c r="AN120" s="56"/>
      <c r="AO120" s="50"/>
      <c r="AP120" s="50"/>
      <c r="AQ120" s="56"/>
      <c r="AR120" s="50"/>
      <c r="AS120" s="50"/>
      <c r="AT120" s="56"/>
      <c r="AU120" s="50"/>
      <c r="AV120" s="50"/>
      <c r="AW120" s="56"/>
      <c r="AX120" s="50"/>
      <c r="AY120" s="50"/>
      <c r="AZ120" s="56"/>
      <c r="BA120" s="50"/>
      <c r="BB120" s="50"/>
      <c r="BC120" s="56"/>
      <c r="BD120" s="50"/>
      <c r="BE120" s="50"/>
      <c r="BF120" s="56"/>
      <c r="BG120" s="50"/>
      <c r="BH120" s="50"/>
      <c r="BI120" s="56"/>
      <c r="BJ120" s="50"/>
      <c r="BK120" s="50"/>
      <c r="BL120" s="56"/>
      <c r="BM120" s="50"/>
      <c r="BN120" s="50"/>
      <c r="BO120" s="56"/>
      <c r="BP120" s="50"/>
      <c r="BQ120" s="50"/>
      <c r="BR120" s="56"/>
      <c r="BS120" s="50"/>
      <c r="BT120" s="50"/>
      <c r="BU120" s="56"/>
      <c r="BV120" s="50"/>
      <c r="BW120" s="50"/>
      <c r="BX120" s="56"/>
      <c r="BY120" s="50"/>
      <c r="BZ120" s="50"/>
      <c r="CA120" s="56"/>
      <c r="CB120" s="50"/>
      <c r="CC120" s="50"/>
      <c r="CD120" s="56"/>
      <c r="CE120" s="50"/>
      <c r="CF120" s="50"/>
      <c r="CG120" s="56"/>
      <c r="CH120" s="50"/>
      <c r="CI120" s="50"/>
      <c r="CJ120" s="56"/>
      <c r="CK120" s="50"/>
      <c r="CL120" s="50"/>
      <c r="CM120" s="56"/>
      <c r="CN120" s="50"/>
      <c r="CO120" s="50"/>
      <c r="CP120" s="56"/>
      <c r="CQ120" s="50"/>
      <c r="CR120" s="50"/>
      <c r="CS120" s="56"/>
      <c r="CT120" s="50"/>
      <c r="CU120" s="50"/>
      <c r="CV120" s="56"/>
      <c r="CW120" s="50"/>
      <c r="CX120" s="50"/>
      <c r="CY120" s="56"/>
      <c r="CZ120" s="50"/>
      <c r="DA120" s="50"/>
      <c r="DB120" s="56"/>
      <c r="DC120" s="50"/>
      <c r="DD120" s="50"/>
      <c r="DE120" s="56"/>
      <c r="DF120" s="50"/>
      <c r="DG120" s="50"/>
      <c r="DH120" s="56"/>
      <c r="DI120" s="50"/>
      <c r="DJ120" s="50"/>
      <c r="DK120" s="56"/>
      <c r="DL120" s="50"/>
      <c r="DM120" s="50"/>
      <c r="DN120" s="56"/>
      <c r="DO120" s="50"/>
      <c r="DP120" s="50"/>
      <c r="DQ120" s="56"/>
      <c r="DR120" s="50"/>
      <c r="DS120" s="50"/>
      <c r="DT120" s="56"/>
      <c r="DU120" s="50"/>
      <c r="DV120" s="50"/>
      <c r="DW120" s="56"/>
      <c r="DX120" s="50"/>
      <c r="DY120" s="50"/>
      <c r="DZ120" s="56"/>
      <c r="EA120" s="50"/>
      <c r="EB120" s="50"/>
      <c r="EC120" s="56"/>
      <c r="ED120" s="50"/>
      <c r="EE120" s="50"/>
      <c r="EF120" s="56"/>
      <c r="EG120" s="50"/>
      <c r="EH120" s="50"/>
      <c r="EI120" s="56"/>
      <c r="EJ120" s="50"/>
      <c r="EK120" s="50"/>
      <c r="EL120" s="56"/>
      <c r="EM120" s="50"/>
      <c r="EN120" s="50"/>
      <c r="EO120" s="56"/>
      <c r="EP120" s="50"/>
      <c r="EQ120" s="50"/>
      <c r="ER120" s="56"/>
      <c r="ES120" s="50"/>
      <c r="ET120" s="50"/>
      <c r="EU120" s="56"/>
      <c r="EV120" s="50"/>
      <c r="EW120" s="50"/>
      <c r="EX120" s="56"/>
      <c r="EY120" s="50"/>
      <c r="EZ120" s="50"/>
      <c r="FA120" s="56"/>
      <c r="FB120" s="50"/>
      <c r="FC120" s="50"/>
      <c r="FD120" s="56"/>
      <c r="FE120" s="50"/>
      <c r="FF120" s="50"/>
      <c r="FG120" s="56"/>
      <c r="FH120" s="50"/>
      <c r="FI120" s="50"/>
      <c r="FJ120" s="56"/>
    </row>
    <row r="121" spans="1:166" s="52" customFormat="1" ht="15.75" x14ac:dyDescent="0.25">
      <c r="A121" s="3"/>
      <c r="B121" s="6" t="s">
        <v>312</v>
      </c>
      <c r="C121" s="1" t="s">
        <v>314</v>
      </c>
      <c r="D121" s="19">
        <v>0</v>
      </c>
      <c r="E121" s="50"/>
      <c r="F121" s="50"/>
      <c r="G121" s="56"/>
      <c r="H121" s="50"/>
      <c r="I121" s="50"/>
      <c r="J121" s="56"/>
      <c r="K121" s="50"/>
      <c r="L121" s="50"/>
      <c r="M121" s="56"/>
      <c r="N121" s="50"/>
      <c r="O121" s="50"/>
      <c r="P121" s="56"/>
      <c r="Q121" s="50"/>
      <c r="R121" s="50"/>
      <c r="S121" s="56"/>
      <c r="T121" s="50"/>
      <c r="U121" s="50"/>
      <c r="V121" s="56"/>
      <c r="W121" s="50"/>
      <c r="X121" s="50"/>
      <c r="Y121" s="56"/>
      <c r="Z121" s="50"/>
      <c r="AA121" s="50"/>
      <c r="AB121" s="56"/>
      <c r="AC121" s="50"/>
      <c r="AD121" s="50"/>
      <c r="AE121" s="56"/>
      <c r="AF121" s="50"/>
      <c r="AG121" s="50"/>
      <c r="AH121" s="56"/>
      <c r="AI121" s="50"/>
      <c r="AJ121" s="50"/>
      <c r="AK121" s="56"/>
      <c r="AL121" s="50"/>
      <c r="AM121" s="50"/>
      <c r="AN121" s="56"/>
      <c r="AO121" s="50"/>
      <c r="AP121" s="50"/>
      <c r="AQ121" s="56"/>
      <c r="AR121" s="50"/>
      <c r="AS121" s="50"/>
      <c r="AT121" s="56"/>
      <c r="AU121" s="50"/>
      <c r="AV121" s="50"/>
      <c r="AW121" s="56"/>
      <c r="AX121" s="50"/>
      <c r="AY121" s="50"/>
      <c r="AZ121" s="56"/>
      <c r="BA121" s="50"/>
      <c r="BB121" s="50"/>
      <c r="BC121" s="56"/>
      <c r="BD121" s="50"/>
      <c r="BE121" s="50"/>
      <c r="BF121" s="56"/>
      <c r="BG121" s="50"/>
      <c r="BH121" s="50"/>
      <c r="BI121" s="56"/>
      <c r="BJ121" s="50"/>
      <c r="BK121" s="50"/>
      <c r="BL121" s="56"/>
      <c r="BM121" s="50"/>
      <c r="BN121" s="50"/>
      <c r="BO121" s="56"/>
      <c r="BP121" s="50"/>
      <c r="BQ121" s="50"/>
      <c r="BR121" s="56"/>
      <c r="BS121" s="50"/>
      <c r="BT121" s="50"/>
      <c r="BU121" s="56"/>
      <c r="BV121" s="50"/>
      <c r="BW121" s="50"/>
      <c r="BX121" s="56"/>
      <c r="BY121" s="50"/>
      <c r="BZ121" s="50"/>
      <c r="CA121" s="56"/>
      <c r="CB121" s="50"/>
      <c r="CC121" s="50"/>
      <c r="CD121" s="56"/>
      <c r="CE121" s="50"/>
      <c r="CF121" s="50"/>
      <c r="CG121" s="56"/>
      <c r="CH121" s="50"/>
      <c r="CI121" s="50"/>
      <c r="CJ121" s="56"/>
      <c r="CK121" s="50"/>
      <c r="CL121" s="50"/>
      <c r="CM121" s="56"/>
      <c r="CN121" s="50"/>
      <c r="CO121" s="50"/>
      <c r="CP121" s="56"/>
      <c r="CQ121" s="50"/>
      <c r="CR121" s="50"/>
      <c r="CS121" s="56"/>
      <c r="CT121" s="50"/>
      <c r="CU121" s="50"/>
      <c r="CV121" s="56"/>
      <c r="CW121" s="50"/>
      <c r="CX121" s="50"/>
      <c r="CY121" s="56"/>
      <c r="CZ121" s="50"/>
      <c r="DA121" s="50"/>
      <c r="DB121" s="56"/>
      <c r="DC121" s="50"/>
      <c r="DD121" s="50"/>
      <c r="DE121" s="56"/>
      <c r="DF121" s="50"/>
      <c r="DG121" s="50"/>
      <c r="DH121" s="56"/>
      <c r="DI121" s="50"/>
      <c r="DJ121" s="50"/>
      <c r="DK121" s="56"/>
      <c r="DL121" s="50"/>
      <c r="DM121" s="50"/>
      <c r="DN121" s="56"/>
      <c r="DO121" s="50"/>
      <c r="DP121" s="50"/>
      <c r="DQ121" s="56"/>
      <c r="DR121" s="50"/>
      <c r="DS121" s="50"/>
      <c r="DT121" s="56"/>
      <c r="DU121" s="50"/>
      <c r="DV121" s="50"/>
      <c r="DW121" s="56"/>
      <c r="DX121" s="50"/>
      <c r="DY121" s="50"/>
      <c r="DZ121" s="56"/>
      <c r="EA121" s="50"/>
      <c r="EB121" s="50"/>
      <c r="EC121" s="56"/>
      <c r="ED121" s="50"/>
      <c r="EE121" s="50"/>
      <c r="EF121" s="56"/>
      <c r="EG121" s="50"/>
      <c r="EH121" s="50"/>
      <c r="EI121" s="56"/>
      <c r="EJ121" s="50"/>
      <c r="EK121" s="50"/>
      <c r="EL121" s="56"/>
      <c r="EM121" s="50"/>
      <c r="EN121" s="50"/>
      <c r="EO121" s="56"/>
      <c r="EP121" s="50"/>
      <c r="EQ121" s="50"/>
      <c r="ER121" s="56"/>
      <c r="ES121" s="50"/>
      <c r="ET121" s="50"/>
      <c r="EU121" s="56"/>
      <c r="EV121" s="50"/>
      <c r="EW121" s="50"/>
      <c r="EX121" s="56"/>
      <c r="EY121" s="50"/>
      <c r="EZ121" s="50"/>
      <c r="FA121" s="56"/>
      <c r="FB121" s="50"/>
      <c r="FC121" s="50"/>
      <c r="FD121" s="56"/>
      <c r="FE121" s="50"/>
      <c r="FF121" s="50"/>
      <c r="FG121" s="56"/>
      <c r="FH121" s="50"/>
      <c r="FI121" s="50"/>
      <c r="FJ121" s="56"/>
    </row>
  </sheetData>
  <customSheetViews>
    <customSheetView guid="{4259091D-D0F3-4F37-BEA1-28A56DCE2CAB}" scale="80" fitToPage="1">
      <pane xSplit="4" ySplit="4" topLeftCell="E5" activePane="bottomRight" state="frozen"/>
      <selection pane="bottomRight" activeCell="E12" sqref="E12"/>
      <pageMargins left="0" right="0" top="0" bottom="0" header="0" footer="0"/>
      <pageSetup paperSize="9" scale="10" orientation="landscape" r:id="rId1"/>
    </customSheetView>
    <customSheetView guid="{8A2A5520-166E-4A1F-8192-130B81C2F742}" scale="80" fitToPage="1">
      <pane xSplit="4" ySplit="4" topLeftCell="E5" activePane="bottomRight" state="frozen"/>
      <selection pane="bottomRight" activeCell="E12" sqref="E12"/>
      <pageMargins left="0" right="0" top="0" bottom="0" header="0" footer="0"/>
      <pageSetup paperSize="9" scale="10" orientation="landscape" r:id="rId2"/>
    </customSheetView>
    <customSheetView guid="{5553B17F-5E38-459F-9E7B-3B8FB8EDA0E9}" scale="80" showPageBreaks="1" fitToPage="1">
      <pane xSplit="4" ySplit="4" topLeftCell="E77" activePane="bottomRight" state="frozen"/>
      <selection pane="bottomRight" activeCell="E12" sqref="E12"/>
      <pageMargins left="0" right="0" top="0" bottom="0" header="0" footer="0"/>
      <pageSetup paperSize="9" scale="10" orientation="landscape" r:id="rId3"/>
    </customSheetView>
    <customSheetView guid="{8678D424-961C-4F18-8B8A-3E6706CDCB42}" scale="80" fitToPage="1">
      <pane xSplit="4" ySplit="4" topLeftCell="E77" activePane="bottomRight" state="frozen"/>
      <selection pane="bottomRight" activeCell="E12" sqref="E12"/>
      <pageMargins left="0" right="0" top="0" bottom="0" header="0" footer="0"/>
      <pageSetup paperSize="9" scale="10" orientation="landscape" r:id="rId4"/>
    </customSheetView>
    <customSheetView guid="{3AB35397-189E-4694-8731-466CEBD9E15E}" scale="80" fitToPage="1">
      <pane xSplit="4" ySplit="4" topLeftCell="E5" activePane="bottomRight" state="frozen"/>
      <selection pane="bottomRight" activeCell="E12" sqref="E12"/>
      <pageMargins left="0" right="0" top="0" bottom="0" header="0" footer="0"/>
      <pageSetup paperSize="9" scale="10" orientation="landscape" r:id="rId5"/>
    </customSheetView>
    <customSheetView guid="{46754859-9E9B-4D72-AEF3-49F03F505BFF}" scale="80" fitToPage="1">
      <pane xSplit="4" ySplit="4" topLeftCell="E5" activePane="bottomRight" state="frozen"/>
      <selection pane="bottomRight" activeCell="E12" sqref="E12"/>
      <pageMargins left="0" right="0" top="0" bottom="0" header="0" footer="0"/>
      <pageSetup paperSize="9" scale="10" orientation="landscape" r:id="rId6"/>
    </customSheetView>
    <customSheetView guid="{7BFB684F-1C8B-41A8-B2FF-C44E52241A9E}" scale="80" fitToPage="1">
      <pane xSplit="4" ySplit="4" topLeftCell="E5" activePane="bottomRight" state="frozen"/>
      <selection pane="bottomRight" activeCell="E12" sqref="E12"/>
      <pageMargins left="0" right="0" top="0" bottom="0" header="0" footer="0"/>
      <pageSetup paperSize="9" scale="10" orientation="landscape" r:id="rId7"/>
    </customSheetView>
    <customSheetView guid="{F5769495-685A-4661-B576-D2525E43610D}" scale="80" fitToPage="1">
      <pane xSplit="4" ySplit="4" topLeftCell="E5" activePane="bottomRight" state="frozen"/>
      <selection pane="bottomRight" activeCell="E12" sqref="E12"/>
      <pageMargins left="0" right="0" top="0" bottom="0" header="0" footer="0"/>
      <pageSetup paperSize="9" scale="10" orientation="landscape" r:id="rId8"/>
    </customSheetView>
    <customSheetView guid="{A894FC21-9B62-4923-9AEA-28336F4A24F0}" scale="80" fitToPage="1">
      <pane xSplit="4" ySplit="4" topLeftCell="E71" activePane="bottomRight" state="frozen"/>
      <selection pane="bottomRight" activeCell="E12" sqref="E12"/>
      <pageMargins left="0" right="0" top="0" bottom="0" header="0" footer="0"/>
      <pageSetup paperSize="9" scale="10" orientation="landscape" r:id="rId9"/>
    </customSheetView>
    <customSheetView guid="{CC0660E8-37C1-40F5-AEDF-5B63360C20C7}" scale="80" fitToPage="1">
      <pane xSplit="4" ySplit="4" topLeftCell="E5" activePane="bottomRight" state="frozen"/>
      <selection pane="bottomRight" activeCell="E12" sqref="E12"/>
      <pageMargins left="0" right="0" top="0" bottom="0" header="0" footer="0"/>
      <pageSetup paperSize="9" scale="10" orientation="landscape" r:id="rId10"/>
    </customSheetView>
    <customSheetView guid="{3117843E-4833-4777-B7C9-9650C2E61F22}" scale="80" fitToPage="1">
      <pane xSplit="4" ySplit="4" topLeftCell="E5" activePane="bottomRight" state="frozen"/>
      <selection pane="bottomRight" activeCell="E12" sqref="E12"/>
      <pageMargins left="0" right="0" top="0" bottom="0" header="0" footer="0"/>
      <pageSetup paperSize="9" scale="10" orientation="landscape" r:id="rId11"/>
    </customSheetView>
    <customSheetView guid="{AB2C7187-5A96-446F-B354-D7063F47A089}" scale="80" fitToPage="1">
      <pane xSplit="4" ySplit="4" topLeftCell="E14" activePane="bottomRight" state="frozen"/>
      <selection pane="bottomRight" activeCell="E12" sqref="E12"/>
      <pageMargins left="0" right="0" top="0" bottom="0" header="0" footer="0"/>
      <pageSetup paperSize="9" scale="10" orientation="landscape" r:id="rId12"/>
    </customSheetView>
    <customSheetView guid="{E8C93915-5024-4742-8DB6-B346123BB3C8}" scale="80" fitToPage="1">
      <pane xSplit="4" ySplit="4" topLeftCell="E14" activePane="bottomRight" state="frozen"/>
      <selection pane="bottomRight" activeCell="E12" sqref="E12"/>
      <pageMargins left="0" right="0" top="0" bottom="0" header="0" footer="0"/>
      <pageSetup paperSize="9" scale="10" orientation="landscape" r:id="rId13"/>
    </customSheetView>
    <customSheetView guid="{859A76EE-6449-413C-B30A-0094CDDE977F}" scale="80" fitToPage="1">
      <pane xSplit="4" ySplit="4" topLeftCell="E77" activePane="bottomRight" state="frozen"/>
      <selection pane="bottomRight" activeCell="E12" sqref="E12"/>
      <pageMargins left="0" right="0" top="0" bottom="0" header="0" footer="0"/>
      <pageSetup paperSize="9" scale="10" orientation="landscape" r:id="rId14"/>
    </customSheetView>
    <customSheetView guid="{39714219-A5D3-4014-9125-5359C513171F}" scale="80" showPageBreaks="1" fitToPage="1">
      <pane xSplit="4" ySplit="4" topLeftCell="E14" activePane="bottomRight" state="frozen"/>
      <selection pane="bottomRight" activeCell="E12" sqref="E12"/>
      <pageMargins left="0" right="0" top="0" bottom="0" header="0" footer="0"/>
      <pageSetup paperSize="9" scale="10" orientation="landscape" r:id="rId15"/>
    </customSheetView>
    <customSheetView guid="{99C1F600-3221-4159-9738-C8FA339A6F16}" scale="80" fitToPage="1">
      <pane xSplit="4" ySplit="4" topLeftCell="E14" activePane="bottomRight" state="frozen"/>
      <selection pane="bottomRight" activeCell="E12" sqref="E12"/>
      <pageMargins left="0" right="0" top="0" bottom="0" header="0" footer="0"/>
      <pageSetup paperSize="9" scale="10" orientation="landscape" r:id="rId16"/>
    </customSheetView>
    <customSheetView guid="{1EEB3DE9-1D73-4812-83A7-DCA1466BE783}" scale="80" fitToPage="1">
      <pane xSplit="4" ySplit="4" topLeftCell="E14" activePane="bottomRight" state="frozen"/>
      <selection pane="bottomRight" activeCell="E12" sqref="E12"/>
      <pageMargins left="0" right="0" top="0" bottom="0" header="0" footer="0"/>
      <pageSetup paperSize="9" scale="10" orientation="landscape" r:id="rId17"/>
    </customSheetView>
    <customSheetView guid="{561021F1-64B8-4FE2-B640-82B8FA990848}" scale="80" fitToPage="1">
      <pane xSplit="4" ySplit="4" topLeftCell="E14" activePane="bottomRight" state="frozen"/>
      <selection pane="bottomRight" activeCell="E12" sqref="E12"/>
      <pageMargins left="0" right="0" top="0" bottom="0" header="0" footer="0"/>
      <pageSetup paperSize="9" scale="10" orientation="landscape" r:id="rId18"/>
    </customSheetView>
    <customSheetView guid="{A569235B-BC9F-42BA-B62B-8158EA8F3130}" scale="70" fitToPage="1" topLeftCell="A31">
      <pane xSplit="3" topLeftCell="AAD1" activePane="topRight" state="frozen"/>
      <selection pane="topRight" activeCell="ZT45" sqref="ZT45"/>
      <pageMargins left="0" right="0" top="0" bottom="0" header="0" footer="0"/>
      <pageSetup paperSize="9" scale="10" orientation="landscape" r:id="rId19"/>
    </customSheetView>
    <customSheetView guid="{B0DC83C8-18ED-4304-A12D-8222A145327D}" fitToPage="1">
      <pane xSplit="4" ySplit="4" topLeftCell="ZT74" activePane="bottomRight" state="frozen"/>
      <selection pane="bottomRight" activeCell="AAF95" sqref="AAF95"/>
      <pageMargins left="0" right="0" top="0" bottom="0" header="0" footer="0"/>
      <pageSetup paperSize="9" scale="10" orientation="landscape" r:id="rId20"/>
    </customSheetView>
    <customSheetView guid="{CACFF423-21D1-49C7-8D16-F47AC796CCA1}" scale="80" fitToPage="1">
      <pane xSplit="6" ySplit="12" topLeftCell="TG73" activePane="bottomRight" state="frozen"/>
      <selection pane="bottomRight" activeCell="TV82" sqref="TV82"/>
      <pageMargins left="0" right="0" top="0" bottom="0" header="0" footer="0"/>
      <pageSetup paperSize="9" scale="10" orientation="landscape" r:id="rId21"/>
    </customSheetView>
    <customSheetView guid="{C176B95D-5070-4E7D-A381-43EB087113B9}" scale="80" fitToPage="1">
      <pane xSplit="6" ySplit="12" topLeftCell="TG70" activePane="bottomRight" state="frozen"/>
      <selection pane="bottomRight" activeCell="TL87" sqref="TL87"/>
      <pageMargins left="0" right="0" top="0" bottom="0" header="0" footer="0"/>
      <pageSetup paperSize="9" scale="10" orientation="landscape" r:id="rId22"/>
    </customSheetView>
    <customSheetView guid="{09D34335-39BD-433C-AD93-C6863F2FBFD9}" scale="80" fitToPage="1">
      <pane xSplit="4" ySplit="4" topLeftCell="ZA77" activePane="bottomRight" state="frozen"/>
      <selection pane="bottomRight" activeCell="D106" sqref="D106"/>
      <pageMargins left="0" right="0" top="0" bottom="0" header="0" footer="0"/>
      <pageSetup paperSize="9" scale="10" orientation="landscape" r:id="rId23"/>
    </customSheetView>
    <customSheetView guid="{EBF74CA6-BC4A-492C-8B8E-DB025ABEE7DC}" scale="80" fitToPage="1" topLeftCell="A49">
      <pane xSplit="4" topLeftCell="XI1" activePane="topRight" state="frozen"/>
      <selection pane="topRight" activeCell="YA86" sqref="YA86"/>
      <pageMargins left="0" right="0" top="0" bottom="0" header="0" footer="0"/>
      <pageSetup paperSize="9" scale="10" orientation="landscape" r:id="rId24"/>
    </customSheetView>
    <customSheetView guid="{440CD2AA-AA39-4131-97EA-B5C6818F6B4F}" fitToPage="1">
      <pane xSplit="4" ySplit="4" topLeftCell="XY47" activePane="bottomRight" state="frozen"/>
      <selection pane="bottomRight" activeCell="YF58" sqref="YF58"/>
      <pageMargins left="0" right="0" top="0" bottom="0" header="0" footer="0"/>
      <pageSetup paperSize="9" scale="10" orientation="landscape" r:id="rId25"/>
    </customSheetView>
    <customSheetView guid="{4C0D3DF9-1755-441A-A09D-DCAF9D3ECEB3}" scale="80" fitToPage="1">
      <pane xSplit="6" ySplit="10" topLeftCell="XR25" activePane="bottomRight" state="frozen"/>
      <selection pane="bottomRight" activeCell="YC30" sqref="YC30"/>
      <pageMargins left="0" right="0" top="0" bottom="0" header="0" footer="0"/>
      <pageSetup paperSize="9" scale="10" orientation="landscape" r:id="rId26"/>
    </customSheetView>
    <customSheetView guid="{04F0F035-2413-4E25-863C-B99C06B944CE}" fitToPage="1">
      <selection activeCell="WJ30" sqref="WJ30"/>
      <pageMargins left="0" right="0" top="0" bottom="0" header="0" footer="0"/>
      <pageSetup paperSize="9" scale="10" orientation="landscape" r:id="rId27"/>
    </customSheetView>
    <customSheetView guid="{604F3432-CA08-4655-B951-781160798B8F}" scale="80" fitToPage="1">
      <pane xSplit="6" ySplit="13" topLeftCell="GB26" activePane="bottomRight" state="frozen"/>
      <selection pane="bottomRight" activeCell="G12" sqref="G12"/>
      <pageMargins left="0" right="0" top="0" bottom="0" header="0" footer="0"/>
      <pageSetup paperSize="9" scale="10" orientation="landscape" r:id="rId28"/>
    </customSheetView>
    <customSheetView guid="{159AA83F-8DF2-4277-A669-902C9AC20AC1}" fitToPage="1" hiddenColumns="1">
      <pane xSplit="945" ySplit="4" topLeftCell="AMN33" activePane="bottomRight" state="frozen"/>
      <selection pane="bottomRight" activeCell="AMZ56" sqref="AMZ56"/>
      <pageMargins left="0" right="0" top="0" bottom="0" header="0" footer="0"/>
      <pageSetup paperSize="9" scale="10" orientation="landscape" r:id="rId29"/>
    </customSheetView>
    <customSheetView guid="{4DC50F96-4A68-4660-B46C-8F9ED72D7141}" scale="80" fitToPage="1">
      <pane xSplit="6" ySplit="11" topLeftCell="GB20" activePane="bottomRight" state="frozen"/>
      <selection pane="bottomRight" activeCell="G12" sqref="G12"/>
      <pageMargins left="0" right="0" top="0" bottom="0" header="0" footer="0"/>
      <pageSetup paperSize="9" scale="10" orientation="landscape" r:id="rId30"/>
    </customSheetView>
    <customSheetView guid="{6136412F-82DF-441B-B7C9-FF92D8397EBB}" scale="80" fitToPage="1">
      <pane xSplit="6" ySplit="12" topLeftCell="PX75" activePane="bottomRight" state="frozen"/>
      <selection pane="bottomRight" activeCell="QM83" sqref="QM83"/>
      <pageMargins left="0" right="0" top="0" bottom="0" header="0" footer="0"/>
      <pageSetup paperSize="9" scale="10" orientation="landscape" r:id="rId31"/>
    </customSheetView>
    <customSheetView guid="{5127DA54-534D-4F06-BCD8-5C1B021AD3E2}" scale="75" fitToPage="1">
      <pane xSplit="4" ySplit="3" topLeftCell="YX64" activePane="bottomRight" state="frozen"/>
      <selection pane="bottomRight" activeCell="YX3" sqref="YX3:YZ3"/>
      <pageMargins left="0" right="0" top="0" bottom="0" header="0" footer="0"/>
      <pageSetup paperSize="9" scale="10" orientation="landscape" r:id="rId32"/>
    </customSheetView>
    <customSheetView guid="{043624C2-16A5-4D36-A14E-D5C68997D8BB}" scale="80" showPageBreaks="1" fitToPage="1">
      <pane xSplit="4" ySplit="4" topLeftCell="YX44" activePane="bottomRight" state="frozen"/>
      <selection pane="bottomRight" activeCell="C61" sqref="C61"/>
      <pageMargins left="0" right="0" top="0" bottom="0" header="0" footer="0"/>
      <pageSetup paperSize="9" scale="10" orientation="landscape" r:id="rId33"/>
    </customSheetView>
    <customSheetView guid="{3DB152C2-6535-4A2B-B910-DBEE64881738}" scale="80" fitToPage="1" topLeftCell="ZE55">
      <selection activeCell="AAH95" sqref="AAH95"/>
      <pageMargins left="0" right="0" top="0" bottom="0" header="0" footer="0"/>
      <pageSetup paperSize="9" scale="10" orientation="landscape" r:id="rId34"/>
    </customSheetView>
    <customSheetView guid="{262312F2-7F2B-4330-A41E-23BD1F99D6E0}" scale="80" fitToPage="1">
      <pane xSplit="4" ySplit="4" topLeftCell="XL87" activePane="bottomRight" state="frozen"/>
      <selection pane="bottomRight" activeCell="YD104" sqref="YD104"/>
      <pageMargins left="0" right="0" top="0" bottom="0" header="0" footer="0"/>
      <pageSetup paperSize="9" scale="10" orientation="landscape" r:id="rId35"/>
    </customSheetView>
    <customSheetView guid="{83F528CF-0EB0-448F-A134-FC0A4AE93D61}" scale="80" fitToPage="1">
      <pane xSplit="4" ySplit="4" topLeftCell="E14" activePane="bottomRight" state="frozen"/>
      <selection pane="bottomRight" activeCell="E12" sqref="E12"/>
      <pageMargins left="0" right="0" top="0" bottom="0" header="0" footer="0"/>
      <pageSetup paperSize="9" scale="10" orientation="landscape" r:id="rId36"/>
    </customSheetView>
    <customSheetView guid="{4DEBCDA2-AD48-4242-A2C2-0D34C03BCEDF}" scale="80" fitToPage="1">
      <pane xSplit="3" ySplit="9" topLeftCell="D10" activePane="bottomRight" state="frozen"/>
      <selection pane="bottomRight" activeCell="E13" sqref="E13"/>
      <pageMargins left="0" right="0" top="0" bottom="0" header="0" footer="0"/>
      <pageSetup paperSize="9" scale="10" orientation="landscape" r:id="rId37"/>
    </customSheetView>
    <customSheetView guid="{11E0DF8F-1F3E-458C-AFF0-F06D7C733F39}" scale="80" fitToPage="1">
      <pane xSplit="4" ySplit="4" topLeftCell="E14" activePane="bottomRight" state="frozen"/>
      <selection pane="bottomRight" activeCell="E12" sqref="E12"/>
      <pageMargins left="0" right="0" top="0" bottom="0" header="0" footer="0"/>
      <pageSetup paperSize="9" scale="10" orientation="landscape" r:id="rId38"/>
    </customSheetView>
    <customSheetView guid="{1EDAE053-F030-42D5-B05D-E8B32E176EAC}" scale="80" showPageBreaks="1" fitToPage="1">
      <pane xSplit="3" ySplit="3" topLeftCell="E11" activePane="bottomRight" state="frozen"/>
      <selection pane="bottomRight" activeCell="E12" sqref="E12"/>
      <pageMargins left="0" right="0" top="0" bottom="0" header="0" footer="0"/>
      <pageSetup paperSize="9" scale="10" orientation="landscape" r:id="rId39"/>
    </customSheetView>
    <customSheetView guid="{797A356B-9844-480F-9B78-76C80E692EAB}" scale="80" fitToPage="1">
      <pane xSplit="4" ySplit="4" topLeftCell="E77" activePane="bottomRight" state="frozen"/>
      <selection pane="bottomRight" activeCell="E12" sqref="E12"/>
      <pageMargins left="0" right="0" top="0" bottom="0" header="0" footer="0"/>
      <pageSetup paperSize="9" scale="10" orientation="landscape" r:id="rId40"/>
    </customSheetView>
    <customSheetView guid="{1FFB1A3D-D8A0-4A54-B731-DF26CF2F2B94}" scale="80" fitToPage="1">
      <pane xSplit="4" ySplit="4" topLeftCell="E5" activePane="bottomRight" state="frozen"/>
      <selection pane="bottomRight" activeCell="E12" sqref="E12"/>
      <pageMargins left="0" right="0" top="0" bottom="0" header="0" footer="0"/>
      <pageSetup paperSize="9" scale="10" orientation="landscape" r:id="rId41"/>
    </customSheetView>
    <customSheetView guid="{F7C4BDC5-938D-4C0C-B0B7-0A2BAC54DD9F}" scale="80" fitToPage="1">
      <pane xSplit="4" ySplit="4" topLeftCell="E14" activePane="bottomRight" state="frozen"/>
      <selection pane="bottomRight" activeCell="E12" sqref="E12"/>
      <pageMargins left="0" right="0" top="0" bottom="0" header="0" footer="0"/>
      <pageSetup paperSize="9" scale="10" orientation="landscape" r:id="rId42"/>
    </customSheetView>
    <customSheetView guid="{A9394557-FCE9-432F-BF03-170DE4B28F03}" scale="80" fitToPage="1">
      <pane xSplit="4" ySplit="4" topLeftCell="E5" activePane="bottomRight" state="frozen"/>
      <selection pane="bottomRight" activeCell="E12" sqref="E12"/>
      <pageMargins left="0" right="0" top="0" bottom="0" header="0" footer="0"/>
      <pageSetup paperSize="9" scale="10" orientation="landscape" r:id="rId43"/>
    </customSheetView>
    <customSheetView guid="{4F7CB51A-553F-442C-9E5D-87682F826BE3}" scale="80" fitToPage="1">
      <pane xSplit="4" ySplit="4" topLeftCell="E5" activePane="bottomRight" state="frozen"/>
      <selection pane="bottomRight" activeCell="E12" sqref="E12"/>
      <pageMargins left="0" right="0" top="0" bottom="0" header="0" footer="0"/>
      <pageSetup paperSize="9" scale="10" orientation="landscape" r:id="rId44"/>
    </customSheetView>
  </customSheetViews>
  <mergeCells count="439">
    <mergeCell ref="B101:C101"/>
    <mergeCell ref="B5:D5"/>
    <mergeCell ref="B6:D6"/>
    <mergeCell ref="B7:D7"/>
    <mergeCell ref="B16:C16"/>
    <mergeCell ref="B32:C32"/>
    <mergeCell ref="B1:C4"/>
    <mergeCell ref="D1:D4"/>
    <mergeCell ref="B8:D8"/>
    <mergeCell ref="B21:C21"/>
    <mergeCell ref="B26:C26"/>
    <mergeCell ref="B9:C9"/>
    <mergeCell ref="B10:C10"/>
    <mergeCell ref="B11:C11"/>
    <mergeCell ref="B12:C12"/>
    <mergeCell ref="B13:C13"/>
    <mergeCell ref="B17:C17"/>
    <mergeCell ref="B18:C18"/>
    <mergeCell ref="B19:C19"/>
    <mergeCell ref="B20:C20"/>
    <mergeCell ref="B14:C14"/>
    <mergeCell ref="B15:C15"/>
    <mergeCell ref="E1:W1"/>
    <mergeCell ref="Z1:AR1"/>
    <mergeCell ref="AU1:BM1"/>
    <mergeCell ref="BP1:CH1"/>
    <mergeCell ref="CK1:DC1"/>
    <mergeCell ref="DF1:DX1"/>
    <mergeCell ref="EA1:ES1"/>
    <mergeCell ref="EV1:FN1"/>
    <mergeCell ref="B79:C79"/>
    <mergeCell ref="E3:G3"/>
    <mergeCell ref="H3:J3"/>
    <mergeCell ref="K3:M3"/>
    <mergeCell ref="N3:P3"/>
    <mergeCell ref="Q3:S3"/>
    <mergeCell ref="T3:V3"/>
    <mergeCell ref="W3:Y3"/>
    <mergeCell ref="Z3:AB3"/>
    <mergeCell ref="BS3:BU3"/>
    <mergeCell ref="AC3:AE3"/>
    <mergeCell ref="AF3:AH3"/>
    <mergeCell ref="AI3:AK3"/>
    <mergeCell ref="AL3:AN3"/>
    <mergeCell ref="AO3:AQ3"/>
    <mergeCell ref="AR3:AT3"/>
    <mergeCell ref="AU3:AW3"/>
    <mergeCell ref="BM3:BO3"/>
    <mergeCell ref="BP3:BR3"/>
    <mergeCell ref="DU3:DW3"/>
    <mergeCell ref="DX3:DZ3"/>
    <mergeCell ref="EA3:EC3"/>
    <mergeCell ref="AX3:AZ3"/>
    <mergeCell ref="BA3:BC3"/>
    <mergeCell ref="BD3:BF3"/>
    <mergeCell ref="BG3:BI3"/>
    <mergeCell ref="BJ3:BL3"/>
    <mergeCell ref="BV3:BX3"/>
    <mergeCell ref="BY3:CA3"/>
    <mergeCell ref="CB3:CD3"/>
    <mergeCell ref="ED3:EF3"/>
    <mergeCell ref="CE3:CG3"/>
    <mergeCell ref="CH3:CJ3"/>
    <mergeCell ref="CK3:CM3"/>
    <mergeCell ref="CN3:CP3"/>
    <mergeCell ref="CQ3:CS3"/>
    <mergeCell ref="CT3:CV3"/>
    <mergeCell ref="CW3:CY3"/>
    <mergeCell ref="CZ3:DB3"/>
    <mergeCell ref="DC3:DE3"/>
    <mergeCell ref="DF3:DH3"/>
    <mergeCell ref="DI3:DK3"/>
    <mergeCell ref="DL3:DN3"/>
    <mergeCell ref="DO3:DQ3"/>
    <mergeCell ref="DR3:DT3"/>
    <mergeCell ref="AHC1:AHU1"/>
    <mergeCell ref="FQ1:GI1"/>
    <mergeCell ref="GL1:HD1"/>
    <mergeCell ref="HG1:HY1"/>
    <mergeCell ref="IB1:IT1"/>
    <mergeCell ref="IW1:JO1"/>
    <mergeCell ref="FH3:FJ3"/>
    <mergeCell ref="EG3:EI3"/>
    <mergeCell ref="EJ3:EL3"/>
    <mergeCell ref="EM3:EO3"/>
    <mergeCell ref="EP3:ER3"/>
    <mergeCell ref="ES3:EU3"/>
    <mergeCell ref="EV3:EX3"/>
    <mergeCell ref="EY3:FA3"/>
    <mergeCell ref="FB3:FD3"/>
    <mergeCell ref="FE3:FG3"/>
    <mergeCell ref="GL3:GN3"/>
    <mergeCell ref="GO3:GQ3"/>
    <mergeCell ref="GR3:GT3"/>
    <mergeCell ref="IK3:IM3"/>
    <mergeCell ref="HJ3:HL3"/>
    <mergeCell ref="HM3:HO3"/>
    <mergeCell ref="HP3:HR3"/>
    <mergeCell ref="HS3:HU3"/>
    <mergeCell ref="MX1:NP1"/>
    <mergeCell ref="HY3:IA3"/>
    <mergeCell ref="IB3:ID3"/>
    <mergeCell ref="IE3:IG3"/>
    <mergeCell ref="IH3:IJ3"/>
    <mergeCell ref="ZV1:AAN1"/>
    <mergeCell ref="AAQ1:ABI1"/>
    <mergeCell ref="ABL1:ACD1"/>
    <mergeCell ref="ACG1:ACY1"/>
    <mergeCell ref="VU1:WM1"/>
    <mergeCell ref="WP1:XH1"/>
    <mergeCell ref="XK1:YC1"/>
    <mergeCell ref="YF1:YX1"/>
    <mergeCell ref="ZA1:ZS1"/>
    <mergeCell ref="KS3:KU3"/>
    <mergeCell ref="JR3:JT3"/>
    <mergeCell ref="JU3:JW3"/>
    <mergeCell ref="JX3:JZ3"/>
    <mergeCell ref="KA3:KC3"/>
    <mergeCell ref="KD3:KF3"/>
    <mergeCell ref="LK3:LM3"/>
    <mergeCell ref="LN3:LP3"/>
    <mergeCell ref="LQ3:LS3"/>
    <mergeCell ref="LT3:LV3"/>
    <mergeCell ref="GU3:GW3"/>
    <mergeCell ref="GX3:GZ3"/>
    <mergeCell ref="HA3:HC3"/>
    <mergeCell ref="HD3:HF3"/>
    <mergeCell ref="HG3:HI3"/>
    <mergeCell ref="JR1:KJ1"/>
    <mergeCell ref="KM1:LE1"/>
    <mergeCell ref="LH1:LZ1"/>
    <mergeCell ref="MC1:MU1"/>
    <mergeCell ref="HV3:HX3"/>
    <mergeCell ref="JC3:JE3"/>
    <mergeCell ref="JF3:JH3"/>
    <mergeCell ref="JI3:JK3"/>
    <mergeCell ref="JL3:JN3"/>
    <mergeCell ref="JO3:JQ3"/>
    <mergeCell ref="IN3:IP3"/>
    <mergeCell ref="IQ3:IS3"/>
    <mergeCell ref="IT3:IV3"/>
    <mergeCell ref="IW3:IY3"/>
    <mergeCell ref="IZ3:JB3"/>
    <mergeCell ref="KG3:KI3"/>
    <mergeCell ref="KJ3:KL3"/>
    <mergeCell ref="KM3:KO3"/>
    <mergeCell ref="KP3:KR3"/>
    <mergeCell ref="FK3:FM3"/>
    <mergeCell ref="FN3:FP3"/>
    <mergeCell ref="FQ3:FS3"/>
    <mergeCell ref="FT3:FV3"/>
    <mergeCell ref="FW3:FY3"/>
    <mergeCell ref="FZ3:GB3"/>
    <mergeCell ref="GC3:GE3"/>
    <mergeCell ref="GF3:GH3"/>
    <mergeCell ref="GI3:GK3"/>
    <mergeCell ref="ALY1:AMQ1"/>
    <mergeCell ref="AMT1:ANL1"/>
    <mergeCell ref="ANO1:AOG1"/>
    <mergeCell ref="AOJ1:APB1"/>
    <mergeCell ref="SO1:TG1"/>
    <mergeCell ref="TJ1:UB1"/>
    <mergeCell ref="UE1:UW1"/>
    <mergeCell ref="UZ1:VR1"/>
    <mergeCell ref="NS1:OK1"/>
    <mergeCell ref="ON1:PF1"/>
    <mergeCell ref="PI1:QA1"/>
    <mergeCell ref="QD1:QV1"/>
    <mergeCell ref="QY1:RQ1"/>
    <mergeCell ref="RT1:SL1"/>
    <mergeCell ref="ADB1:ADT1"/>
    <mergeCell ref="AHX1:AIP1"/>
    <mergeCell ref="AIS1:AJK1"/>
    <mergeCell ref="AJN1:AKF1"/>
    <mergeCell ref="AKI1:ALA1"/>
    <mergeCell ref="ALD1:ALV1"/>
    <mergeCell ref="ADW1:AEO1"/>
    <mergeCell ref="AER1:AFJ1"/>
    <mergeCell ref="AFM1:AGE1"/>
    <mergeCell ref="AGH1:AGZ1"/>
    <mergeCell ref="LW3:LY3"/>
    <mergeCell ref="KV3:KX3"/>
    <mergeCell ref="KY3:LA3"/>
    <mergeCell ref="LB3:LD3"/>
    <mergeCell ref="LE3:LG3"/>
    <mergeCell ref="LH3:LJ3"/>
    <mergeCell ref="MO3:MQ3"/>
    <mergeCell ref="MR3:MT3"/>
    <mergeCell ref="MU3:MW3"/>
    <mergeCell ref="MX3:MZ3"/>
    <mergeCell ref="NA3:NC3"/>
    <mergeCell ref="LZ3:MB3"/>
    <mergeCell ref="MC3:ME3"/>
    <mergeCell ref="MF3:MH3"/>
    <mergeCell ref="MI3:MK3"/>
    <mergeCell ref="ML3:MN3"/>
    <mergeCell ref="NS3:NU3"/>
    <mergeCell ref="NV3:NX3"/>
    <mergeCell ref="NY3:OA3"/>
    <mergeCell ref="OB3:OD3"/>
    <mergeCell ref="OE3:OG3"/>
    <mergeCell ref="ND3:NF3"/>
    <mergeCell ref="NG3:NI3"/>
    <mergeCell ref="NJ3:NL3"/>
    <mergeCell ref="NM3:NO3"/>
    <mergeCell ref="NP3:NR3"/>
    <mergeCell ref="OW3:OY3"/>
    <mergeCell ref="OZ3:PB3"/>
    <mergeCell ref="PC3:PE3"/>
    <mergeCell ref="PF3:PH3"/>
    <mergeCell ref="PI3:PK3"/>
    <mergeCell ref="OH3:OJ3"/>
    <mergeCell ref="OK3:OM3"/>
    <mergeCell ref="ON3:OP3"/>
    <mergeCell ref="OQ3:OS3"/>
    <mergeCell ref="OT3:OV3"/>
    <mergeCell ref="QA3:QC3"/>
    <mergeCell ref="QD3:QF3"/>
    <mergeCell ref="QG3:QI3"/>
    <mergeCell ref="QJ3:QL3"/>
    <mergeCell ref="QM3:QO3"/>
    <mergeCell ref="PL3:PN3"/>
    <mergeCell ref="PO3:PQ3"/>
    <mergeCell ref="PR3:PT3"/>
    <mergeCell ref="PU3:PW3"/>
    <mergeCell ref="PX3:PZ3"/>
    <mergeCell ref="RE3:RG3"/>
    <mergeCell ref="RH3:RJ3"/>
    <mergeCell ref="RK3:RM3"/>
    <mergeCell ref="RN3:RP3"/>
    <mergeCell ref="RQ3:RS3"/>
    <mergeCell ref="QP3:QR3"/>
    <mergeCell ref="QS3:QU3"/>
    <mergeCell ref="QV3:QX3"/>
    <mergeCell ref="QY3:RA3"/>
    <mergeCell ref="RB3:RD3"/>
    <mergeCell ref="SI3:SK3"/>
    <mergeCell ref="SL3:SN3"/>
    <mergeCell ref="SO3:SQ3"/>
    <mergeCell ref="SR3:ST3"/>
    <mergeCell ref="SU3:SW3"/>
    <mergeCell ref="RT3:RV3"/>
    <mergeCell ref="RW3:RY3"/>
    <mergeCell ref="RZ3:SB3"/>
    <mergeCell ref="SC3:SE3"/>
    <mergeCell ref="SF3:SH3"/>
    <mergeCell ref="TM3:TO3"/>
    <mergeCell ref="TP3:TR3"/>
    <mergeCell ref="TS3:TU3"/>
    <mergeCell ref="TV3:TX3"/>
    <mergeCell ref="TY3:UA3"/>
    <mergeCell ref="SX3:SZ3"/>
    <mergeCell ref="TA3:TC3"/>
    <mergeCell ref="TD3:TF3"/>
    <mergeCell ref="TG3:TI3"/>
    <mergeCell ref="TJ3:TL3"/>
    <mergeCell ref="UQ3:US3"/>
    <mergeCell ref="UT3:UV3"/>
    <mergeCell ref="UW3:UY3"/>
    <mergeCell ref="UZ3:VB3"/>
    <mergeCell ref="VC3:VE3"/>
    <mergeCell ref="UB3:UD3"/>
    <mergeCell ref="UE3:UG3"/>
    <mergeCell ref="UH3:UJ3"/>
    <mergeCell ref="UK3:UM3"/>
    <mergeCell ref="UN3:UP3"/>
    <mergeCell ref="VU3:VW3"/>
    <mergeCell ref="VX3:VZ3"/>
    <mergeCell ref="WA3:WC3"/>
    <mergeCell ref="WD3:WF3"/>
    <mergeCell ref="WG3:WI3"/>
    <mergeCell ref="VF3:VH3"/>
    <mergeCell ref="VI3:VK3"/>
    <mergeCell ref="VL3:VN3"/>
    <mergeCell ref="VO3:VQ3"/>
    <mergeCell ref="VR3:VT3"/>
    <mergeCell ref="WY3:XA3"/>
    <mergeCell ref="XB3:XD3"/>
    <mergeCell ref="XE3:XG3"/>
    <mergeCell ref="XH3:XJ3"/>
    <mergeCell ref="XK3:XM3"/>
    <mergeCell ref="WJ3:WL3"/>
    <mergeCell ref="WM3:WO3"/>
    <mergeCell ref="WP3:WR3"/>
    <mergeCell ref="WS3:WU3"/>
    <mergeCell ref="WV3:WX3"/>
    <mergeCell ref="YC3:YE3"/>
    <mergeCell ref="YF3:YH3"/>
    <mergeCell ref="YI3:YK3"/>
    <mergeCell ref="YL3:YN3"/>
    <mergeCell ref="YO3:YQ3"/>
    <mergeCell ref="XN3:XP3"/>
    <mergeCell ref="XQ3:XS3"/>
    <mergeCell ref="XT3:XV3"/>
    <mergeCell ref="XW3:XY3"/>
    <mergeCell ref="XZ3:YB3"/>
    <mergeCell ref="ZG3:ZI3"/>
    <mergeCell ref="ZJ3:ZL3"/>
    <mergeCell ref="ZM3:ZO3"/>
    <mergeCell ref="ZP3:ZR3"/>
    <mergeCell ref="ZS3:ZU3"/>
    <mergeCell ref="YR3:YT3"/>
    <mergeCell ref="YU3:YW3"/>
    <mergeCell ref="YX3:YZ3"/>
    <mergeCell ref="ZA3:ZC3"/>
    <mergeCell ref="ZD3:ZF3"/>
    <mergeCell ref="AAK3:AAM3"/>
    <mergeCell ref="AAN3:AAP3"/>
    <mergeCell ref="AAQ3:AAS3"/>
    <mergeCell ref="AAT3:AAV3"/>
    <mergeCell ref="AAW3:AAY3"/>
    <mergeCell ref="ZV3:ZX3"/>
    <mergeCell ref="ZY3:AAA3"/>
    <mergeCell ref="AAB3:AAD3"/>
    <mergeCell ref="AAE3:AAG3"/>
    <mergeCell ref="AAH3:AAJ3"/>
    <mergeCell ref="ABO3:ABQ3"/>
    <mergeCell ref="ABR3:ABT3"/>
    <mergeCell ref="ABU3:ABW3"/>
    <mergeCell ref="ABX3:ABZ3"/>
    <mergeCell ref="ACA3:ACC3"/>
    <mergeCell ref="AAZ3:ABB3"/>
    <mergeCell ref="ABC3:ABE3"/>
    <mergeCell ref="ABF3:ABH3"/>
    <mergeCell ref="ABI3:ABK3"/>
    <mergeCell ref="ABL3:ABN3"/>
    <mergeCell ref="ACS3:ACU3"/>
    <mergeCell ref="ACV3:ACX3"/>
    <mergeCell ref="ACY3:ADA3"/>
    <mergeCell ref="ADB3:ADD3"/>
    <mergeCell ref="ADE3:ADG3"/>
    <mergeCell ref="ACD3:ACF3"/>
    <mergeCell ref="ACG3:ACI3"/>
    <mergeCell ref="ACJ3:ACL3"/>
    <mergeCell ref="ACM3:ACO3"/>
    <mergeCell ref="ACP3:ACR3"/>
    <mergeCell ref="ADW3:ADY3"/>
    <mergeCell ref="ADZ3:AEB3"/>
    <mergeCell ref="AEC3:AEE3"/>
    <mergeCell ref="AEF3:AEH3"/>
    <mergeCell ref="AEI3:AEK3"/>
    <mergeCell ref="ADH3:ADJ3"/>
    <mergeCell ref="ADK3:ADM3"/>
    <mergeCell ref="ADN3:ADP3"/>
    <mergeCell ref="ADQ3:ADS3"/>
    <mergeCell ref="ADT3:ADV3"/>
    <mergeCell ref="AFA3:AFC3"/>
    <mergeCell ref="AFD3:AFF3"/>
    <mergeCell ref="AFG3:AFI3"/>
    <mergeCell ref="AFJ3:AFL3"/>
    <mergeCell ref="AFM3:AFO3"/>
    <mergeCell ref="AEL3:AEN3"/>
    <mergeCell ref="AEO3:AEQ3"/>
    <mergeCell ref="AER3:AET3"/>
    <mergeCell ref="AEU3:AEW3"/>
    <mergeCell ref="AEX3:AEZ3"/>
    <mergeCell ref="AGE3:AGG3"/>
    <mergeCell ref="AGH3:AGJ3"/>
    <mergeCell ref="AGK3:AGM3"/>
    <mergeCell ref="AGN3:AGP3"/>
    <mergeCell ref="AGQ3:AGS3"/>
    <mergeCell ref="AFP3:AFR3"/>
    <mergeCell ref="AFS3:AFU3"/>
    <mergeCell ref="AFV3:AFX3"/>
    <mergeCell ref="AFY3:AGA3"/>
    <mergeCell ref="AGB3:AGD3"/>
    <mergeCell ref="AHI3:AHK3"/>
    <mergeCell ref="AHL3:AHN3"/>
    <mergeCell ref="AHO3:AHQ3"/>
    <mergeCell ref="AHR3:AHT3"/>
    <mergeCell ref="AHU3:AHW3"/>
    <mergeCell ref="AGT3:AGV3"/>
    <mergeCell ref="AGW3:AGY3"/>
    <mergeCell ref="AGZ3:AHB3"/>
    <mergeCell ref="AHC3:AHE3"/>
    <mergeCell ref="AHF3:AHH3"/>
    <mergeCell ref="AIM3:AIO3"/>
    <mergeCell ref="AIP3:AIR3"/>
    <mergeCell ref="AIS3:AIU3"/>
    <mergeCell ref="AIV3:AIX3"/>
    <mergeCell ref="AIY3:AJA3"/>
    <mergeCell ref="AHX3:AHZ3"/>
    <mergeCell ref="AIA3:AIC3"/>
    <mergeCell ref="AID3:AIF3"/>
    <mergeCell ref="AIG3:AII3"/>
    <mergeCell ref="AIJ3:AIL3"/>
    <mergeCell ref="AJQ3:AJS3"/>
    <mergeCell ref="AJT3:AJV3"/>
    <mergeCell ref="AJW3:AJY3"/>
    <mergeCell ref="AJZ3:AKB3"/>
    <mergeCell ref="AKC3:AKE3"/>
    <mergeCell ref="AJB3:AJD3"/>
    <mergeCell ref="AJE3:AJG3"/>
    <mergeCell ref="AJH3:AJJ3"/>
    <mergeCell ref="AJK3:AJM3"/>
    <mergeCell ref="AJN3:AJP3"/>
    <mergeCell ref="AKU3:AKW3"/>
    <mergeCell ref="AKX3:AKZ3"/>
    <mergeCell ref="ALA3:ALC3"/>
    <mergeCell ref="ALD3:ALF3"/>
    <mergeCell ref="ALG3:ALI3"/>
    <mergeCell ref="AKF3:AKH3"/>
    <mergeCell ref="AKI3:AKK3"/>
    <mergeCell ref="AKL3:AKN3"/>
    <mergeCell ref="AKO3:AKQ3"/>
    <mergeCell ref="AKR3:AKT3"/>
    <mergeCell ref="ALY3:AMA3"/>
    <mergeCell ref="AMB3:AMD3"/>
    <mergeCell ref="AME3:AMG3"/>
    <mergeCell ref="AMH3:AMJ3"/>
    <mergeCell ref="AMK3:AMM3"/>
    <mergeCell ref="ALJ3:ALL3"/>
    <mergeCell ref="ALM3:ALO3"/>
    <mergeCell ref="ALP3:ALR3"/>
    <mergeCell ref="ALS3:ALU3"/>
    <mergeCell ref="ALV3:ALX3"/>
    <mergeCell ref="ANC3:ANE3"/>
    <mergeCell ref="ANF3:ANH3"/>
    <mergeCell ref="ANI3:ANK3"/>
    <mergeCell ref="ANL3:ANN3"/>
    <mergeCell ref="ANO3:ANQ3"/>
    <mergeCell ref="AMN3:AMP3"/>
    <mergeCell ref="AMQ3:AMS3"/>
    <mergeCell ref="AMT3:AMV3"/>
    <mergeCell ref="AMW3:AMY3"/>
    <mergeCell ref="AMZ3:ANB3"/>
    <mergeCell ref="AOV3:AOX3"/>
    <mergeCell ref="AOY3:APA3"/>
    <mergeCell ref="APB3:APD3"/>
    <mergeCell ref="AOG3:AOI3"/>
    <mergeCell ref="AOJ3:AOL3"/>
    <mergeCell ref="AOM3:AOO3"/>
    <mergeCell ref="AOP3:AOR3"/>
    <mergeCell ref="AOS3:AOU3"/>
    <mergeCell ref="ANR3:ANT3"/>
    <mergeCell ref="ANU3:ANW3"/>
    <mergeCell ref="ANX3:ANZ3"/>
    <mergeCell ref="AOA3:AOC3"/>
    <mergeCell ref="AOD3:AOF3"/>
  </mergeCells>
  <phoneticPr fontId="20" type="noConversion"/>
  <conditionalFormatting sqref="E4:G4">
    <cfRule type="cellIs" dxfId="504" priority="1679" operator="equal">
      <formula>TODAY()-1-IF(WEEKDAY(TODAY())=2,2,0)</formula>
    </cfRule>
    <cfRule type="cellIs" dxfId="503" priority="1683" operator="equal">
      <formula>TODAY()</formula>
    </cfRule>
  </conditionalFormatting>
  <conditionalFormatting sqref="E22:FJ22">
    <cfRule type="cellIs" dxfId="502" priority="1680" operator="greaterThanOrEqual">
      <formula>$D$22+4</formula>
    </cfRule>
    <cfRule type="cellIs" dxfId="501" priority="1681" operator="between">
      <formula>$D$22</formula>
      <formula>$D$22+3</formula>
    </cfRule>
    <cfRule type="cellIs" dxfId="500" priority="1682" operator="lessThanOrEqual">
      <formula>$D$22</formula>
    </cfRule>
  </conditionalFormatting>
  <conditionalFormatting sqref="E101:FJ101">
    <cfRule type="cellIs" dxfId="499" priority="1630" operator="greaterThan">
      <formula>0</formula>
    </cfRule>
  </conditionalFormatting>
  <conditionalFormatting sqref="E23:XFD23 E99:XFD99">
    <cfRule type="cellIs" dxfId="498" priority="40" operator="greaterThan">
      <formula>0</formula>
    </cfRule>
    <cfRule type="cellIs" dxfId="497" priority="41" operator="equal">
      <formula>0</formula>
    </cfRule>
  </conditionalFormatting>
  <conditionalFormatting sqref="FJ51:FM51 E24:XFD25 E38:XFD38 E46:XFD50 E90:XFD90 E93:XFD98 E100:XFD100 E118:XFD118 E116:XFD116 E114:XFD114 E112:XFD112 E110:XFD110 E108:XFD108 E106:XFD106 E104:XFD104 E102:XFD102">
    <cfRule type="cellIs" dxfId="496" priority="38" operator="greaterThan">
      <formula>0</formula>
    </cfRule>
    <cfRule type="cellIs" dxfId="495" priority="39" operator="equal">
      <formula>0</formula>
    </cfRule>
  </conditionalFormatting>
  <conditionalFormatting sqref="E33:XFD33">
    <cfRule type="cellIs" dxfId="494" priority="36" operator="lessThan">
      <formula>$D$33</formula>
    </cfRule>
    <cfRule type="cellIs" dxfId="493" priority="37" operator="greaterThan">
      <formula>$D$33</formula>
    </cfRule>
  </conditionalFormatting>
  <conditionalFormatting sqref="E39:XFD39">
    <cfRule type="cellIs" dxfId="492" priority="32" operator="lessThan">
      <formula>$D$39</formula>
    </cfRule>
    <cfRule type="cellIs" dxfId="491" priority="33" operator="greaterThan">
      <formula>$D$39</formula>
    </cfRule>
  </conditionalFormatting>
  <conditionalFormatting sqref="E43:XFD43">
    <cfRule type="cellIs" dxfId="490" priority="30" operator="greaterThan">
      <formula>$D$43</formula>
    </cfRule>
    <cfRule type="cellIs" dxfId="489" priority="31" operator="lessThan">
      <formula>$D$43</formula>
    </cfRule>
  </conditionalFormatting>
  <conditionalFormatting sqref="E80:XFD80">
    <cfRule type="cellIs" dxfId="488" priority="26" operator="lessThan">
      <formula>$D$80</formula>
    </cfRule>
    <cfRule type="cellIs" dxfId="487" priority="27" operator="greaterThan">
      <formula>$D$80</formula>
    </cfRule>
  </conditionalFormatting>
  <conditionalFormatting sqref="E83:XFD83">
    <cfRule type="cellIs" dxfId="486" priority="24" operator="lessThan">
      <formula>$D$83</formula>
    </cfRule>
    <cfRule type="cellIs" dxfId="485" priority="25" operator="greaterThan">
      <formula>$D$83</formula>
    </cfRule>
  </conditionalFormatting>
  <conditionalFormatting sqref="E86:XFD86">
    <cfRule type="cellIs" dxfId="484" priority="22" operator="lessThan">
      <formula>$D$86</formula>
    </cfRule>
    <cfRule type="cellIs" dxfId="483" priority="23" operator="greaterThan">
      <formula>$D$86</formula>
    </cfRule>
  </conditionalFormatting>
  <conditionalFormatting sqref="A102 A104 A106 A108 A110 A112 A114 A116 A118">
    <cfRule type="cellIs" dxfId="482" priority="10" operator="greaterThan">
      <formula>0</formula>
    </cfRule>
    <cfRule type="cellIs" dxfId="481" priority="11" operator="equal">
      <formula>0</formula>
    </cfRule>
  </conditionalFormatting>
  <conditionalFormatting sqref="A103 A105 A107 A109 A111 A113 A115 A117 A119:A221 E117:XFD117 E115:XFD115 E113:XFD113 E111:XFD111 E109:XFD109 E107:XFD107 E105:XFD105 E103:XFD103 E119:XFD221">
    <cfRule type="cellIs" priority="9" operator="equal">
      <formula>0</formula>
    </cfRule>
  </conditionalFormatting>
  <conditionalFormatting sqref="A103 A105 A107 A109 A111 A113 A115 A117 A119:A221 E117:XFD117 E115:XFD115 E113:XFD113 E111:XFD111 E109:XFD109 E107:XFD107 E105:XFD105 E103:XFD103 E119:XFD221">
    <cfRule type="cellIs" dxfId="480" priority="8" operator="greaterThan">
      <formula>0</formula>
    </cfRule>
  </conditionalFormatting>
  <conditionalFormatting sqref="H4:Y4">
    <cfRule type="cellIs" dxfId="479" priority="5" operator="equal">
      <formula>TODAY()-1-IF(WEEKDAY(TODAY())=2,2,0)</formula>
    </cfRule>
    <cfRule type="cellIs" dxfId="478" priority="6" operator="equal">
      <formula>TODAY()</formula>
    </cfRule>
  </conditionalFormatting>
  <conditionalFormatting sqref="Z4:AB4 AU4:AW4 BP4:BR4 CK4:CM4 DF4:DH4 EA4:EC4 EV4:EX4 FQ4:FS4 GL4:GN4 HG4:HI4 IB4:ID4 IW4:IY4 JR4:JT4 KM4:KO4 LH4:LJ4 MC4:ME4 MX4:MZ4 NS4:NU4 ON4:OP4 PI4:PK4 QD4:QF4 QY4:RA4 RT4:RV4 SO4:SQ4 TJ4:TL4 UE4:UG4 UZ4:VB4 VU4:VW4 WP4:WR4 XK4:XM4 YF4:YH4 ZA4:ZC4 ZV4:ZX4 AAQ4:AAS4 ABL4:ABN4 ACG4:ACI4 ADB4:ADD4 ADW4:ADY4 AER4:AET4 AFM4:AFO4 AGH4:AGJ4 AHC4:AHE4 AHX4:AHZ4 AIS4:AIU4 AJN4:AJP4 AKI4:AKK4 ALD4:ALF4 ALY4:AMA4 AMT4:AMV4 ANO4:ANQ4 AOJ4:AOL4">
    <cfRule type="cellIs" dxfId="477" priority="3" operator="equal">
      <formula>TODAY()-1-IF(WEEKDAY(TODAY())=2,2,0)</formula>
    </cfRule>
    <cfRule type="cellIs" dxfId="476" priority="4" operator="equal">
      <formula>TODAY()</formula>
    </cfRule>
  </conditionalFormatting>
  <conditionalFormatting sqref="AC4:AT4 AX4:BO4 BS4:CJ4 CN4:DE4 DI4:DZ4 ED4:EU4 EY4:FP4 FT4:GK4 GO4:HF4 HJ4:IA4 IE4:IV4 IZ4:JQ4 JU4:KL4 KP4:LG4 LK4:MB4 MF4:MW4 NA4:NR4 NV4:OM4 OQ4:PH4 PL4:QC4 QG4:QX4 RB4:RS4 RW4:SN4 SR4:TI4 TM4:UD4 UH4:UY4 VC4:VT4 VX4:WO4 WS4:XJ4 XN4:YE4 YI4:YZ4 ZD4:ZU4 ZY4:AAP4 AAT4:ABK4 ABO4:ACF4 ACJ4:ADA4 ADE4:ADV4 ADZ4:AEQ4 AEU4:AFL4 AFP4:AGG4 AGK4:AHB4 AHF4:AHW4 AIA4:AIR4 AIV4:AJM4 AJQ4:AKH4 AKL4:ALC4 ALG4:ALX4 AMB4:AMS4 AMW4:ANN4 ANR4:AOI4 AOM4:APD4">
    <cfRule type="cellIs" dxfId="475" priority="1" operator="equal">
      <formula>TODAY()-1-IF(WEEKDAY(TODAY())=2,2,0)</formula>
    </cfRule>
    <cfRule type="cellIs" dxfId="474" priority="2" operator="equal">
      <formula>TODAY()</formula>
    </cfRule>
  </conditionalFormatting>
  <pageMargins left="0.23622047244094491" right="0.23622047244094491" top="0.23622047244094491" bottom="0.23622047244094491" header="0.31496062992125984" footer="0.31496062992125984"/>
  <pageSetup paperSize="9" scale="10" orientation="landscape" r:id="rId4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A769A-6328-4601-B69F-4996BE9F01BA}">
  <sheetPr codeName="Tabelle3">
    <tabColor rgb="FFFF0000"/>
    <pageSetUpPr fitToPage="1"/>
  </sheetPr>
  <dimension ref="A1:AG1198"/>
  <sheetViews>
    <sheetView zoomScale="90" zoomScaleNormal="80" workbookViewId="0">
      <pane ySplit="3" topLeftCell="A4" activePane="bottomLeft" state="frozen"/>
      <selection pane="bottomLeft" activeCell="I17" sqref="I17"/>
    </sheetView>
  </sheetViews>
  <sheetFormatPr baseColWidth="10" defaultColWidth="11.42578125" defaultRowHeight="15" x14ac:dyDescent="0.25"/>
  <cols>
    <col min="1" max="1" width="5.5703125" style="384" customWidth="1"/>
    <col min="2" max="2" width="11.28515625" style="393" customWidth="1"/>
    <col min="3" max="3" width="7.28515625" style="65" customWidth="1"/>
    <col min="4" max="4" width="3.85546875" style="378" bestFit="1" customWidth="1"/>
    <col min="5" max="5" width="3.7109375" style="379" customWidth="1"/>
    <col min="6" max="6" width="3.7109375" style="378" bestFit="1" customWidth="1"/>
    <col min="7" max="7" width="3.7109375" style="65" bestFit="1" customWidth="1"/>
    <col min="8" max="8" width="5.5703125" style="379" customWidth="1"/>
    <col min="9" max="9" width="47.7109375" style="381" customWidth="1"/>
    <col min="10" max="11" width="5.5703125" style="384" customWidth="1"/>
    <col min="12" max="12" width="11.7109375" style="386" customWidth="1"/>
    <col min="13" max="13" width="50" style="381" customWidth="1"/>
    <col min="14" max="14" width="14" style="384" bestFit="1" customWidth="1"/>
    <col min="15" max="15" width="11.42578125" style="391"/>
    <col min="16" max="33" width="11.42578125" style="66"/>
    <col min="34" max="16384" width="11.42578125" style="49"/>
  </cols>
  <sheetData>
    <row r="1" spans="1:33" ht="71.25" customHeight="1" x14ac:dyDescent="0.25">
      <c r="A1" s="429" t="s">
        <v>0</v>
      </c>
      <c r="B1" s="439" t="s">
        <v>1</v>
      </c>
      <c r="C1" s="444" t="s">
        <v>2</v>
      </c>
      <c r="D1" s="435" t="s">
        <v>3</v>
      </c>
      <c r="E1" s="437" t="s">
        <v>4</v>
      </c>
      <c r="F1" s="435" t="s">
        <v>5</v>
      </c>
      <c r="G1" s="441" t="s">
        <v>949</v>
      </c>
      <c r="H1" s="437" t="s">
        <v>6</v>
      </c>
      <c r="I1" s="431" t="s">
        <v>7</v>
      </c>
      <c r="J1" s="442" t="s">
        <v>8</v>
      </c>
      <c r="K1" s="429" t="s">
        <v>9</v>
      </c>
      <c r="L1" s="433" t="s">
        <v>10</v>
      </c>
      <c r="M1" s="431" t="s">
        <v>11</v>
      </c>
      <c r="N1" s="429" t="s">
        <v>12</v>
      </c>
      <c r="O1" s="427" t="s">
        <v>948</v>
      </c>
      <c r="P1" s="49"/>
      <c r="Q1" s="49"/>
      <c r="R1" s="49"/>
      <c r="S1" s="49"/>
      <c r="T1" s="49"/>
      <c r="U1" s="49"/>
      <c r="V1" s="49"/>
      <c r="W1" s="49"/>
      <c r="X1" s="49"/>
      <c r="Y1" s="49"/>
      <c r="Z1" s="49"/>
      <c r="AA1" s="49"/>
      <c r="AB1" s="49"/>
      <c r="AC1" s="49"/>
      <c r="AD1" s="49"/>
      <c r="AE1" s="49"/>
      <c r="AF1" s="49"/>
      <c r="AG1" s="49"/>
    </row>
    <row r="2" spans="1:33" ht="52.5" customHeight="1" x14ac:dyDescent="0.25">
      <c r="A2" s="430"/>
      <c r="B2" s="440"/>
      <c r="C2" s="445"/>
      <c r="D2" s="436"/>
      <c r="E2" s="438"/>
      <c r="F2" s="436"/>
      <c r="G2" s="434"/>
      <c r="H2" s="438"/>
      <c r="I2" s="432"/>
      <c r="J2" s="443"/>
      <c r="K2" s="430"/>
      <c r="L2" s="434"/>
      <c r="M2" s="432"/>
      <c r="N2" s="430"/>
      <c r="O2" s="428"/>
      <c r="P2" s="49"/>
      <c r="Q2" s="49"/>
      <c r="R2" s="49"/>
      <c r="S2" s="49"/>
      <c r="T2" s="49"/>
      <c r="U2" s="49"/>
      <c r="V2" s="49"/>
      <c r="W2" s="49"/>
      <c r="X2" s="49"/>
      <c r="Y2" s="49"/>
      <c r="Z2" s="49"/>
      <c r="AA2" s="49"/>
      <c r="AB2" s="49"/>
      <c r="AC2" s="49"/>
      <c r="AD2" s="49"/>
      <c r="AE2" s="49"/>
      <c r="AF2" s="49"/>
      <c r="AG2" s="49"/>
    </row>
    <row r="3" spans="1:33" ht="45" x14ac:dyDescent="0.25">
      <c r="A3" s="387" t="s">
        <v>13</v>
      </c>
      <c r="B3" s="392" t="s">
        <v>14</v>
      </c>
      <c r="C3" s="446" t="s">
        <v>15</v>
      </c>
      <c r="D3" s="374" t="s">
        <v>16</v>
      </c>
      <c r="E3" s="375" t="s">
        <v>16</v>
      </c>
      <c r="F3" s="374" t="s">
        <v>16</v>
      </c>
      <c r="G3" s="373" t="s">
        <v>16</v>
      </c>
      <c r="H3" s="375" t="s">
        <v>16</v>
      </c>
      <c r="I3" s="380" t="s">
        <v>17</v>
      </c>
      <c r="J3" s="380" t="s">
        <v>16</v>
      </c>
      <c r="K3" s="380" t="s">
        <v>16</v>
      </c>
      <c r="L3" s="385" t="s">
        <v>16</v>
      </c>
      <c r="M3" s="380" t="s">
        <v>17</v>
      </c>
      <c r="N3" s="387" t="s">
        <v>18</v>
      </c>
      <c r="O3" s="388" t="s">
        <v>950</v>
      </c>
      <c r="P3" s="49"/>
      <c r="Q3" s="49"/>
      <c r="R3" s="49"/>
      <c r="S3" s="49"/>
      <c r="T3" s="49"/>
      <c r="U3" s="49"/>
      <c r="V3" s="49"/>
      <c r="W3" s="49"/>
      <c r="X3" s="49"/>
      <c r="Y3" s="49"/>
      <c r="Z3" s="49"/>
      <c r="AA3" s="49"/>
      <c r="AB3" s="49"/>
      <c r="AC3" s="49"/>
      <c r="AD3" s="49"/>
      <c r="AE3" s="49"/>
      <c r="AF3" s="49"/>
      <c r="AG3" s="49"/>
    </row>
    <row r="4" spans="1:33" ht="30" x14ac:dyDescent="0.25">
      <c r="A4" s="384">
        <f>WEEKNUM(B4,21)</f>
        <v>8</v>
      </c>
      <c r="B4" s="393">
        <v>43883</v>
      </c>
      <c r="C4" s="65" t="s">
        <v>957</v>
      </c>
      <c r="D4" s="376" t="s">
        <v>958</v>
      </c>
      <c r="E4" s="377"/>
      <c r="F4" s="376" t="s">
        <v>958</v>
      </c>
      <c r="G4" s="27" t="s">
        <v>958</v>
      </c>
      <c r="H4" s="377"/>
      <c r="I4" s="381" t="s">
        <v>960</v>
      </c>
      <c r="J4" s="384" t="s">
        <v>16</v>
      </c>
      <c r="L4" s="386">
        <v>43889</v>
      </c>
      <c r="M4" s="381" t="s">
        <v>959</v>
      </c>
      <c r="N4" s="384" t="s">
        <v>19</v>
      </c>
      <c r="O4" s="389">
        <v>2</v>
      </c>
    </row>
    <row r="5" spans="1:33" ht="30" x14ac:dyDescent="0.25">
      <c r="A5" s="384">
        <f>WEEKNUM(B5,21)</f>
        <v>9</v>
      </c>
      <c r="B5" s="393">
        <v>43886</v>
      </c>
      <c r="C5" s="65" t="s">
        <v>957</v>
      </c>
      <c r="D5" s="376" t="s">
        <v>958</v>
      </c>
      <c r="E5" s="377"/>
      <c r="F5" s="376" t="s">
        <v>958</v>
      </c>
      <c r="G5" s="27" t="s">
        <v>958</v>
      </c>
      <c r="H5" s="377"/>
      <c r="I5" s="381" t="s">
        <v>961</v>
      </c>
      <c r="J5" s="384" t="s">
        <v>16</v>
      </c>
      <c r="L5" s="386">
        <v>43889</v>
      </c>
      <c r="M5" s="381" t="s">
        <v>959</v>
      </c>
      <c r="N5" s="384" t="s">
        <v>19</v>
      </c>
      <c r="O5" s="389">
        <v>2</v>
      </c>
    </row>
    <row r="6" spans="1:33" x14ac:dyDescent="0.25">
      <c r="A6" s="384">
        <f t="shared" ref="A6:A67" si="0">WEEKNUM(B6,21)</f>
        <v>9</v>
      </c>
      <c r="B6" s="393">
        <v>43888</v>
      </c>
      <c r="C6" s="65" t="s">
        <v>957</v>
      </c>
      <c r="D6" s="376" t="s">
        <v>958</v>
      </c>
      <c r="E6" s="377"/>
      <c r="F6" s="376" t="s">
        <v>958</v>
      </c>
      <c r="G6" s="27"/>
      <c r="H6" s="377"/>
      <c r="I6" s="381" t="s">
        <v>974</v>
      </c>
      <c r="M6" s="381" t="s">
        <v>975</v>
      </c>
      <c r="N6" s="384" t="s">
        <v>19</v>
      </c>
      <c r="O6" s="390">
        <v>0.25</v>
      </c>
    </row>
    <row r="7" spans="1:33" ht="30" x14ac:dyDescent="0.25">
      <c r="A7" s="384">
        <f t="shared" si="0"/>
        <v>9</v>
      </c>
      <c r="B7" s="393">
        <v>43888</v>
      </c>
      <c r="C7" s="65" t="s">
        <v>957</v>
      </c>
      <c r="D7" s="376" t="s">
        <v>958</v>
      </c>
      <c r="E7" s="377"/>
      <c r="F7" s="376" t="s">
        <v>958</v>
      </c>
      <c r="G7" s="27" t="s">
        <v>958</v>
      </c>
      <c r="H7" s="377"/>
      <c r="I7" s="384" t="s">
        <v>979</v>
      </c>
      <c r="J7" s="384" t="s">
        <v>958</v>
      </c>
      <c r="L7" s="386" t="s">
        <v>981</v>
      </c>
      <c r="M7" s="381" t="s">
        <v>980</v>
      </c>
      <c r="N7" s="384" t="s">
        <v>19</v>
      </c>
      <c r="O7" s="390">
        <v>0.5</v>
      </c>
    </row>
    <row r="8" spans="1:33" ht="30" x14ac:dyDescent="0.25">
      <c r="A8" s="384">
        <f t="shared" si="0"/>
        <v>9</v>
      </c>
      <c r="B8" s="393">
        <v>43888</v>
      </c>
      <c r="C8" s="65" t="s">
        <v>988</v>
      </c>
      <c r="D8" s="376"/>
      <c r="E8" s="377" t="s">
        <v>958</v>
      </c>
      <c r="F8" s="376"/>
      <c r="G8" s="27"/>
      <c r="H8" s="377" t="s">
        <v>958</v>
      </c>
      <c r="I8" s="381" t="s">
        <v>989</v>
      </c>
      <c r="M8" s="383" t="s">
        <v>990</v>
      </c>
      <c r="N8" s="384" t="s">
        <v>19</v>
      </c>
      <c r="O8" s="390">
        <v>0.5</v>
      </c>
    </row>
    <row r="9" spans="1:33" ht="30" x14ac:dyDescent="0.25">
      <c r="A9" s="384">
        <f t="shared" si="0"/>
        <v>9</v>
      </c>
      <c r="B9" s="393">
        <v>43889</v>
      </c>
      <c r="C9" s="65" t="s">
        <v>957</v>
      </c>
      <c r="D9" s="376"/>
      <c r="E9" s="377" t="s">
        <v>958</v>
      </c>
      <c r="F9" s="376"/>
      <c r="G9" s="27" t="s">
        <v>16</v>
      </c>
      <c r="H9" s="377"/>
      <c r="I9" s="381" t="s">
        <v>1017</v>
      </c>
      <c r="J9" s="384" t="s">
        <v>16</v>
      </c>
      <c r="L9" s="386" t="s">
        <v>1011</v>
      </c>
      <c r="M9" s="381" t="s">
        <v>1012</v>
      </c>
      <c r="N9" s="384" t="s">
        <v>19</v>
      </c>
      <c r="O9" s="390">
        <v>0.5</v>
      </c>
    </row>
    <row r="10" spans="1:33" x14ac:dyDescent="0.25">
      <c r="A10" s="384">
        <f t="shared" si="0"/>
        <v>53</v>
      </c>
      <c r="D10" s="376"/>
      <c r="E10" s="377"/>
      <c r="F10" s="376"/>
      <c r="G10" s="27"/>
      <c r="H10" s="377"/>
      <c r="I10" s="382"/>
      <c r="O10" s="390"/>
    </row>
    <row r="11" spans="1:33" x14ac:dyDescent="0.25">
      <c r="A11" s="384">
        <f t="shared" si="0"/>
        <v>53</v>
      </c>
      <c r="D11" s="376"/>
      <c r="E11" s="377"/>
      <c r="F11" s="376"/>
      <c r="G11" s="27"/>
      <c r="H11" s="377"/>
      <c r="O11" s="390"/>
    </row>
    <row r="12" spans="1:33" x14ac:dyDescent="0.25">
      <c r="A12" s="384">
        <f t="shared" si="0"/>
        <v>53</v>
      </c>
      <c r="D12" s="376"/>
      <c r="E12" s="377"/>
      <c r="F12" s="376"/>
      <c r="G12" s="27"/>
      <c r="H12" s="377"/>
      <c r="O12" s="390"/>
    </row>
    <row r="13" spans="1:33" x14ac:dyDescent="0.25">
      <c r="A13" s="384">
        <f t="shared" si="0"/>
        <v>53</v>
      </c>
      <c r="D13" s="376"/>
      <c r="E13" s="377"/>
      <c r="F13" s="376"/>
      <c r="G13" s="27"/>
      <c r="H13" s="377"/>
      <c r="O13" s="390"/>
    </row>
    <row r="14" spans="1:33" x14ac:dyDescent="0.25">
      <c r="A14" s="384">
        <f t="shared" si="0"/>
        <v>53</v>
      </c>
      <c r="D14" s="376"/>
      <c r="E14" s="377"/>
      <c r="F14" s="376"/>
      <c r="G14" s="27"/>
      <c r="H14" s="377"/>
      <c r="O14" s="390"/>
    </row>
    <row r="15" spans="1:33" x14ac:dyDescent="0.25">
      <c r="A15" s="384">
        <f t="shared" si="0"/>
        <v>53</v>
      </c>
      <c r="D15" s="376"/>
      <c r="E15" s="377"/>
      <c r="F15" s="376"/>
      <c r="G15" s="27"/>
      <c r="H15" s="377"/>
      <c r="O15" s="390"/>
    </row>
    <row r="16" spans="1:33" x14ac:dyDescent="0.25">
      <c r="A16" s="384">
        <f t="shared" si="0"/>
        <v>53</v>
      </c>
      <c r="D16" s="376"/>
      <c r="E16" s="377"/>
      <c r="F16" s="376"/>
      <c r="G16" s="27"/>
      <c r="H16" s="377"/>
      <c r="O16" s="390"/>
    </row>
    <row r="17" spans="1:15" x14ac:dyDescent="0.25">
      <c r="A17" s="384">
        <f t="shared" si="0"/>
        <v>53</v>
      </c>
      <c r="D17" s="376"/>
      <c r="E17" s="377"/>
      <c r="F17" s="376"/>
      <c r="G17" s="27"/>
      <c r="H17" s="377"/>
      <c r="O17" s="390"/>
    </row>
    <row r="18" spans="1:15" x14ac:dyDescent="0.25">
      <c r="A18" s="384">
        <f t="shared" si="0"/>
        <v>53</v>
      </c>
      <c r="D18" s="376"/>
      <c r="E18" s="377"/>
      <c r="F18" s="376"/>
      <c r="G18" s="27"/>
      <c r="H18" s="377"/>
      <c r="O18" s="390"/>
    </row>
    <row r="19" spans="1:15" x14ac:dyDescent="0.25">
      <c r="A19" s="384">
        <f t="shared" si="0"/>
        <v>53</v>
      </c>
      <c r="D19" s="376"/>
      <c r="E19" s="377"/>
      <c r="F19" s="376"/>
      <c r="G19" s="27"/>
      <c r="H19" s="377"/>
      <c r="O19" s="390"/>
    </row>
    <row r="20" spans="1:15" x14ac:dyDescent="0.25">
      <c r="A20" s="384">
        <f t="shared" si="0"/>
        <v>53</v>
      </c>
      <c r="D20" s="376"/>
      <c r="E20" s="377"/>
      <c r="F20" s="376"/>
      <c r="G20" s="27"/>
      <c r="H20" s="377"/>
      <c r="O20" s="390"/>
    </row>
    <row r="21" spans="1:15" x14ac:dyDescent="0.25">
      <c r="A21" s="384">
        <f t="shared" si="0"/>
        <v>53</v>
      </c>
      <c r="D21" s="376"/>
      <c r="E21" s="377"/>
      <c r="F21" s="376"/>
      <c r="G21" s="27"/>
      <c r="H21" s="377"/>
      <c r="O21" s="390"/>
    </row>
    <row r="22" spans="1:15" x14ac:dyDescent="0.25">
      <c r="A22" s="384">
        <f t="shared" si="0"/>
        <v>53</v>
      </c>
      <c r="D22" s="376"/>
      <c r="E22" s="377"/>
      <c r="F22" s="376"/>
      <c r="G22" s="27"/>
      <c r="H22" s="377"/>
      <c r="O22" s="390"/>
    </row>
    <row r="23" spans="1:15" x14ac:dyDescent="0.25">
      <c r="A23" s="384">
        <f t="shared" si="0"/>
        <v>53</v>
      </c>
      <c r="D23" s="376"/>
      <c r="E23" s="377"/>
      <c r="F23" s="376"/>
      <c r="G23" s="27"/>
      <c r="H23" s="377"/>
      <c r="O23" s="390"/>
    </row>
    <row r="24" spans="1:15" x14ac:dyDescent="0.25">
      <c r="A24" s="384">
        <f t="shared" si="0"/>
        <v>53</v>
      </c>
      <c r="D24" s="376"/>
      <c r="E24" s="377"/>
      <c r="F24" s="376"/>
      <c r="G24" s="27"/>
      <c r="H24" s="377"/>
      <c r="O24" s="390"/>
    </row>
    <row r="25" spans="1:15" x14ac:dyDescent="0.25">
      <c r="A25" s="384">
        <f t="shared" si="0"/>
        <v>53</v>
      </c>
      <c r="D25" s="376"/>
      <c r="E25" s="377"/>
      <c r="F25" s="376"/>
      <c r="G25" s="27"/>
      <c r="H25" s="377"/>
      <c r="O25" s="390"/>
    </row>
    <row r="26" spans="1:15" x14ac:dyDescent="0.25">
      <c r="A26" s="384">
        <f t="shared" si="0"/>
        <v>53</v>
      </c>
      <c r="D26" s="376"/>
      <c r="E26" s="377"/>
      <c r="F26" s="376"/>
      <c r="G26" s="27"/>
      <c r="H26" s="377"/>
      <c r="O26" s="390"/>
    </row>
    <row r="27" spans="1:15" x14ac:dyDescent="0.25">
      <c r="A27" s="384">
        <f t="shared" si="0"/>
        <v>53</v>
      </c>
      <c r="D27" s="376"/>
      <c r="E27" s="377"/>
      <c r="F27" s="376"/>
      <c r="G27" s="27"/>
      <c r="H27" s="377"/>
      <c r="O27" s="390"/>
    </row>
    <row r="28" spans="1:15" x14ac:dyDescent="0.25">
      <c r="A28" s="384">
        <f t="shared" si="0"/>
        <v>53</v>
      </c>
      <c r="D28" s="376"/>
      <c r="E28" s="377"/>
      <c r="F28" s="376"/>
      <c r="G28" s="27"/>
      <c r="H28" s="377"/>
      <c r="O28" s="390"/>
    </row>
    <row r="29" spans="1:15" x14ac:dyDescent="0.25">
      <c r="A29" s="384">
        <f t="shared" si="0"/>
        <v>53</v>
      </c>
      <c r="D29" s="376"/>
      <c r="E29" s="377"/>
      <c r="F29" s="376"/>
      <c r="G29" s="27"/>
      <c r="H29" s="377"/>
      <c r="O29" s="390"/>
    </row>
    <row r="30" spans="1:15" x14ac:dyDescent="0.25">
      <c r="A30" s="384">
        <f t="shared" si="0"/>
        <v>53</v>
      </c>
      <c r="D30" s="376"/>
      <c r="E30" s="377"/>
      <c r="F30" s="376"/>
      <c r="G30" s="27"/>
      <c r="H30" s="377"/>
      <c r="O30" s="390"/>
    </row>
    <row r="31" spans="1:15" x14ac:dyDescent="0.25">
      <c r="A31" s="384">
        <f t="shared" si="0"/>
        <v>53</v>
      </c>
      <c r="D31" s="376"/>
      <c r="E31" s="377"/>
      <c r="F31" s="376"/>
      <c r="G31" s="27"/>
      <c r="H31" s="377"/>
      <c r="O31" s="390"/>
    </row>
    <row r="32" spans="1:15" x14ac:dyDescent="0.25">
      <c r="A32" s="384">
        <f t="shared" si="0"/>
        <v>53</v>
      </c>
      <c r="D32" s="376"/>
      <c r="E32" s="377"/>
      <c r="F32" s="376"/>
      <c r="G32" s="27"/>
      <c r="H32" s="377"/>
      <c r="O32" s="390"/>
    </row>
    <row r="33" spans="1:15" x14ac:dyDescent="0.25">
      <c r="A33" s="384">
        <f t="shared" si="0"/>
        <v>53</v>
      </c>
      <c r="D33" s="376"/>
      <c r="E33" s="377"/>
      <c r="F33" s="376"/>
      <c r="G33" s="27"/>
      <c r="H33" s="377"/>
      <c r="O33" s="390"/>
    </row>
    <row r="34" spans="1:15" x14ac:dyDescent="0.25">
      <c r="A34" s="384">
        <f t="shared" si="0"/>
        <v>53</v>
      </c>
      <c r="D34" s="376"/>
      <c r="E34" s="377"/>
      <c r="F34" s="376"/>
      <c r="G34" s="27"/>
      <c r="H34" s="377"/>
      <c r="O34" s="390"/>
    </row>
    <row r="35" spans="1:15" x14ac:dyDescent="0.25">
      <c r="A35" s="384">
        <f t="shared" si="0"/>
        <v>53</v>
      </c>
      <c r="D35" s="376"/>
      <c r="E35" s="377"/>
      <c r="F35" s="376"/>
      <c r="G35" s="27"/>
      <c r="H35" s="377"/>
      <c r="O35" s="390"/>
    </row>
    <row r="36" spans="1:15" x14ac:dyDescent="0.25">
      <c r="A36" s="384">
        <f t="shared" si="0"/>
        <v>53</v>
      </c>
      <c r="D36" s="376"/>
      <c r="E36" s="377"/>
      <c r="F36" s="376"/>
      <c r="G36" s="27"/>
      <c r="H36" s="377"/>
      <c r="O36" s="390"/>
    </row>
    <row r="37" spans="1:15" x14ac:dyDescent="0.25">
      <c r="A37" s="384">
        <f t="shared" si="0"/>
        <v>53</v>
      </c>
      <c r="D37" s="376"/>
      <c r="E37" s="377"/>
      <c r="F37" s="376"/>
      <c r="G37" s="27"/>
      <c r="H37" s="377"/>
      <c r="O37" s="390"/>
    </row>
    <row r="38" spans="1:15" x14ac:dyDescent="0.25">
      <c r="A38" s="384">
        <f t="shared" si="0"/>
        <v>53</v>
      </c>
      <c r="D38" s="376"/>
      <c r="E38" s="377"/>
      <c r="F38" s="376"/>
      <c r="G38" s="27"/>
      <c r="H38" s="377"/>
      <c r="O38" s="390"/>
    </row>
    <row r="39" spans="1:15" x14ac:dyDescent="0.25">
      <c r="A39" s="384">
        <f t="shared" si="0"/>
        <v>53</v>
      </c>
      <c r="D39" s="376"/>
      <c r="E39" s="377"/>
      <c r="F39" s="376"/>
      <c r="G39" s="27"/>
      <c r="H39" s="377"/>
      <c r="O39" s="390"/>
    </row>
    <row r="40" spans="1:15" x14ac:dyDescent="0.25">
      <c r="A40" s="384">
        <f t="shared" si="0"/>
        <v>53</v>
      </c>
      <c r="D40" s="376"/>
      <c r="E40" s="377"/>
      <c r="F40" s="376"/>
      <c r="G40" s="27"/>
      <c r="H40" s="377"/>
      <c r="O40" s="390"/>
    </row>
    <row r="41" spans="1:15" x14ac:dyDescent="0.25">
      <c r="A41" s="384">
        <f t="shared" si="0"/>
        <v>53</v>
      </c>
      <c r="D41" s="376"/>
      <c r="E41" s="377"/>
      <c r="F41" s="376"/>
      <c r="G41" s="27"/>
      <c r="H41" s="377"/>
      <c r="O41" s="390"/>
    </row>
    <row r="42" spans="1:15" x14ac:dyDescent="0.25">
      <c r="A42" s="384">
        <f t="shared" si="0"/>
        <v>53</v>
      </c>
      <c r="D42" s="376"/>
      <c r="E42" s="377"/>
      <c r="F42" s="376"/>
      <c r="G42" s="27"/>
      <c r="H42" s="377"/>
      <c r="O42" s="390"/>
    </row>
    <row r="43" spans="1:15" x14ac:dyDescent="0.25">
      <c r="A43" s="384">
        <f t="shared" si="0"/>
        <v>53</v>
      </c>
      <c r="D43" s="376"/>
      <c r="E43" s="377"/>
      <c r="F43" s="376"/>
      <c r="G43" s="27"/>
      <c r="H43" s="377"/>
      <c r="O43" s="390"/>
    </row>
    <row r="44" spans="1:15" x14ac:dyDescent="0.25">
      <c r="A44" s="384">
        <f t="shared" si="0"/>
        <v>53</v>
      </c>
      <c r="D44" s="376"/>
      <c r="E44" s="377"/>
      <c r="F44" s="376"/>
      <c r="G44" s="27"/>
      <c r="H44" s="377"/>
      <c r="O44" s="390"/>
    </row>
    <row r="45" spans="1:15" x14ac:dyDescent="0.25">
      <c r="A45" s="384">
        <f t="shared" si="0"/>
        <v>53</v>
      </c>
      <c r="D45" s="376"/>
      <c r="E45" s="377"/>
      <c r="F45" s="376"/>
      <c r="G45" s="27"/>
      <c r="H45" s="377"/>
      <c r="O45" s="390"/>
    </row>
    <row r="46" spans="1:15" x14ac:dyDescent="0.25">
      <c r="A46" s="384">
        <f t="shared" si="0"/>
        <v>53</v>
      </c>
      <c r="D46" s="376"/>
      <c r="E46" s="377"/>
      <c r="F46" s="376"/>
      <c r="G46" s="27"/>
      <c r="H46" s="377"/>
      <c r="O46" s="390"/>
    </row>
    <row r="47" spans="1:15" x14ac:dyDescent="0.25">
      <c r="A47" s="384">
        <f t="shared" si="0"/>
        <v>53</v>
      </c>
      <c r="D47" s="376"/>
      <c r="E47" s="377"/>
      <c r="F47" s="376"/>
      <c r="G47" s="27"/>
      <c r="H47" s="377"/>
      <c r="O47" s="390"/>
    </row>
    <row r="48" spans="1:15" x14ac:dyDescent="0.25">
      <c r="A48" s="384">
        <f t="shared" si="0"/>
        <v>53</v>
      </c>
      <c r="D48" s="376"/>
      <c r="E48" s="377"/>
      <c r="F48" s="376"/>
      <c r="G48" s="27"/>
      <c r="H48" s="377"/>
      <c r="O48" s="390"/>
    </row>
    <row r="49" spans="1:15" x14ac:dyDescent="0.25">
      <c r="A49" s="384">
        <f t="shared" si="0"/>
        <v>53</v>
      </c>
      <c r="D49" s="376"/>
      <c r="E49" s="377"/>
      <c r="F49" s="376"/>
      <c r="G49" s="27"/>
      <c r="H49" s="377"/>
      <c r="O49" s="390"/>
    </row>
    <row r="50" spans="1:15" x14ac:dyDescent="0.25">
      <c r="A50" s="384">
        <f t="shared" si="0"/>
        <v>53</v>
      </c>
      <c r="D50" s="376"/>
      <c r="E50" s="377"/>
      <c r="F50" s="376"/>
      <c r="G50" s="27"/>
      <c r="H50" s="377"/>
      <c r="O50" s="390"/>
    </row>
    <row r="51" spans="1:15" x14ac:dyDescent="0.25">
      <c r="A51" s="384">
        <f t="shared" si="0"/>
        <v>53</v>
      </c>
      <c r="D51" s="376"/>
      <c r="E51" s="377"/>
      <c r="F51" s="376"/>
      <c r="G51" s="27"/>
      <c r="H51" s="377"/>
      <c r="O51" s="390"/>
    </row>
    <row r="52" spans="1:15" x14ac:dyDescent="0.25">
      <c r="A52" s="384">
        <f t="shared" si="0"/>
        <v>53</v>
      </c>
      <c r="D52" s="376"/>
      <c r="E52" s="377"/>
      <c r="F52" s="376"/>
      <c r="G52" s="27"/>
      <c r="H52" s="377"/>
      <c r="O52" s="390"/>
    </row>
    <row r="53" spans="1:15" x14ac:dyDescent="0.25">
      <c r="A53" s="384">
        <f t="shared" si="0"/>
        <v>53</v>
      </c>
      <c r="D53" s="376"/>
      <c r="E53" s="377"/>
      <c r="F53" s="376"/>
      <c r="G53" s="27"/>
      <c r="H53" s="377"/>
      <c r="O53" s="390"/>
    </row>
    <row r="54" spans="1:15" x14ac:dyDescent="0.25">
      <c r="A54" s="384">
        <f t="shared" si="0"/>
        <v>53</v>
      </c>
      <c r="D54" s="376"/>
      <c r="E54" s="377"/>
      <c r="F54" s="376"/>
      <c r="G54" s="27"/>
      <c r="H54" s="377"/>
      <c r="O54" s="390"/>
    </row>
    <row r="55" spans="1:15" x14ac:dyDescent="0.25">
      <c r="A55" s="384">
        <f t="shared" si="0"/>
        <v>53</v>
      </c>
      <c r="D55" s="376"/>
      <c r="E55" s="377"/>
      <c r="F55" s="376"/>
      <c r="G55" s="27"/>
      <c r="H55" s="377"/>
      <c r="O55" s="390"/>
    </row>
    <row r="56" spans="1:15" x14ac:dyDescent="0.25">
      <c r="A56" s="384">
        <f t="shared" si="0"/>
        <v>53</v>
      </c>
      <c r="D56" s="376"/>
      <c r="E56" s="377"/>
      <c r="F56" s="376"/>
      <c r="G56" s="27"/>
      <c r="H56" s="377"/>
      <c r="O56" s="390"/>
    </row>
    <row r="57" spans="1:15" x14ac:dyDescent="0.25">
      <c r="A57" s="384">
        <f t="shared" si="0"/>
        <v>53</v>
      </c>
      <c r="D57" s="376"/>
      <c r="E57" s="377"/>
      <c r="F57" s="376"/>
      <c r="G57" s="27"/>
      <c r="H57" s="377"/>
      <c r="O57" s="390"/>
    </row>
    <row r="58" spans="1:15" x14ac:dyDescent="0.25">
      <c r="A58" s="384">
        <f t="shared" si="0"/>
        <v>53</v>
      </c>
      <c r="D58" s="376"/>
      <c r="E58" s="377"/>
      <c r="F58" s="376"/>
      <c r="G58" s="27"/>
      <c r="H58" s="377"/>
      <c r="O58" s="390"/>
    </row>
    <row r="59" spans="1:15" x14ac:dyDescent="0.25">
      <c r="A59" s="384">
        <f t="shared" si="0"/>
        <v>53</v>
      </c>
      <c r="D59" s="376"/>
      <c r="E59" s="377"/>
      <c r="F59" s="376"/>
      <c r="G59" s="27"/>
      <c r="H59" s="377"/>
      <c r="O59" s="390"/>
    </row>
    <row r="60" spans="1:15" x14ac:dyDescent="0.25">
      <c r="A60" s="384">
        <f t="shared" si="0"/>
        <v>53</v>
      </c>
      <c r="D60" s="376"/>
      <c r="E60" s="377"/>
      <c r="F60" s="376"/>
      <c r="G60" s="27"/>
      <c r="H60" s="377"/>
      <c r="O60" s="390"/>
    </row>
    <row r="61" spans="1:15" x14ac:dyDescent="0.25">
      <c r="A61" s="384">
        <f t="shared" si="0"/>
        <v>53</v>
      </c>
      <c r="D61" s="376"/>
      <c r="E61" s="377"/>
      <c r="F61" s="376"/>
      <c r="G61" s="27"/>
      <c r="H61" s="377"/>
      <c r="O61" s="390"/>
    </row>
    <row r="62" spans="1:15" x14ac:dyDescent="0.25">
      <c r="A62" s="384">
        <f t="shared" si="0"/>
        <v>53</v>
      </c>
      <c r="D62" s="376"/>
      <c r="E62" s="377"/>
      <c r="F62" s="376"/>
      <c r="G62" s="27"/>
      <c r="H62" s="377"/>
      <c r="O62" s="390"/>
    </row>
    <row r="63" spans="1:15" x14ac:dyDescent="0.25">
      <c r="A63" s="384">
        <f t="shared" si="0"/>
        <v>53</v>
      </c>
      <c r="D63" s="376"/>
      <c r="E63" s="377"/>
      <c r="F63" s="376"/>
      <c r="G63" s="27"/>
      <c r="H63" s="377"/>
      <c r="O63" s="390"/>
    </row>
    <row r="64" spans="1:15" x14ac:dyDescent="0.25">
      <c r="A64" s="384">
        <f t="shared" si="0"/>
        <v>53</v>
      </c>
      <c r="D64" s="376"/>
      <c r="E64" s="377"/>
      <c r="F64" s="376"/>
      <c r="G64" s="27"/>
      <c r="H64" s="377"/>
      <c r="O64" s="390"/>
    </row>
    <row r="65" spans="1:15" x14ac:dyDescent="0.25">
      <c r="A65" s="384">
        <f t="shared" si="0"/>
        <v>53</v>
      </c>
      <c r="D65" s="376"/>
      <c r="E65" s="377"/>
      <c r="F65" s="376"/>
      <c r="G65" s="27"/>
      <c r="H65" s="377"/>
      <c r="O65" s="390"/>
    </row>
    <row r="66" spans="1:15" x14ac:dyDescent="0.25">
      <c r="A66" s="384">
        <f t="shared" si="0"/>
        <v>53</v>
      </c>
      <c r="D66" s="376"/>
      <c r="E66" s="377"/>
      <c r="F66" s="376"/>
      <c r="G66" s="27"/>
      <c r="H66" s="377"/>
      <c r="O66" s="390"/>
    </row>
    <row r="67" spans="1:15" x14ac:dyDescent="0.25">
      <c r="A67" s="384">
        <f t="shared" si="0"/>
        <v>53</v>
      </c>
      <c r="D67" s="376"/>
      <c r="E67" s="377"/>
      <c r="F67" s="376"/>
      <c r="G67" s="27"/>
      <c r="H67" s="377"/>
      <c r="O67" s="390"/>
    </row>
    <row r="68" spans="1:15" x14ac:dyDescent="0.25">
      <c r="A68" s="384">
        <f t="shared" ref="A68:A131" si="1">WEEKNUM(B68,21)</f>
        <v>53</v>
      </c>
      <c r="D68" s="376"/>
      <c r="E68" s="377"/>
      <c r="F68" s="376"/>
      <c r="G68" s="27"/>
      <c r="H68" s="377"/>
      <c r="O68" s="390"/>
    </row>
    <row r="69" spans="1:15" x14ac:dyDescent="0.25">
      <c r="A69" s="384">
        <f t="shared" si="1"/>
        <v>53</v>
      </c>
      <c r="D69" s="376"/>
      <c r="E69" s="377"/>
      <c r="F69" s="376"/>
      <c r="G69" s="27"/>
      <c r="H69" s="377"/>
      <c r="O69" s="390"/>
    </row>
    <row r="70" spans="1:15" x14ac:dyDescent="0.25">
      <c r="A70" s="384">
        <f t="shared" si="1"/>
        <v>53</v>
      </c>
      <c r="D70" s="376"/>
      <c r="E70" s="377"/>
      <c r="F70" s="376"/>
      <c r="G70" s="27"/>
      <c r="H70" s="377"/>
      <c r="O70" s="390"/>
    </row>
    <row r="71" spans="1:15" x14ac:dyDescent="0.25">
      <c r="A71" s="384">
        <f t="shared" si="1"/>
        <v>53</v>
      </c>
      <c r="D71" s="376"/>
      <c r="E71" s="377"/>
      <c r="F71" s="376"/>
      <c r="G71" s="27"/>
      <c r="H71" s="377"/>
      <c r="O71" s="390"/>
    </row>
    <row r="72" spans="1:15" x14ac:dyDescent="0.25">
      <c r="A72" s="384">
        <f t="shared" si="1"/>
        <v>53</v>
      </c>
      <c r="O72" s="390"/>
    </row>
    <row r="73" spans="1:15" x14ac:dyDescent="0.25">
      <c r="A73" s="384">
        <f t="shared" si="1"/>
        <v>53</v>
      </c>
      <c r="O73" s="390"/>
    </row>
    <row r="74" spans="1:15" x14ac:dyDescent="0.25">
      <c r="A74" s="384">
        <f t="shared" si="1"/>
        <v>53</v>
      </c>
      <c r="O74" s="390"/>
    </row>
    <row r="75" spans="1:15" x14ac:dyDescent="0.25">
      <c r="A75" s="384">
        <f t="shared" si="1"/>
        <v>53</v>
      </c>
      <c r="O75" s="390"/>
    </row>
    <row r="76" spans="1:15" x14ac:dyDescent="0.25">
      <c r="A76" s="384">
        <f t="shared" si="1"/>
        <v>53</v>
      </c>
      <c r="O76" s="390"/>
    </row>
    <row r="77" spans="1:15" x14ac:dyDescent="0.25">
      <c r="A77" s="384">
        <f t="shared" si="1"/>
        <v>53</v>
      </c>
      <c r="O77" s="390"/>
    </row>
    <row r="78" spans="1:15" x14ac:dyDescent="0.25">
      <c r="A78" s="384">
        <f t="shared" si="1"/>
        <v>53</v>
      </c>
      <c r="O78" s="390"/>
    </row>
    <row r="79" spans="1:15" x14ac:dyDescent="0.25">
      <c r="A79" s="384">
        <f t="shared" si="1"/>
        <v>53</v>
      </c>
      <c r="O79" s="390"/>
    </row>
    <row r="80" spans="1:15" x14ac:dyDescent="0.25">
      <c r="A80" s="384">
        <f t="shared" si="1"/>
        <v>53</v>
      </c>
      <c r="O80" s="390"/>
    </row>
    <row r="81" spans="1:15" x14ac:dyDescent="0.25">
      <c r="A81" s="384">
        <f t="shared" si="1"/>
        <v>53</v>
      </c>
      <c r="O81" s="390"/>
    </row>
    <row r="82" spans="1:15" x14ac:dyDescent="0.25">
      <c r="A82" s="384">
        <f t="shared" si="1"/>
        <v>53</v>
      </c>
      <c r="O82" s="390"/>
    </row>
    <row r="83" spans="1:15" x14ac:dyDescent="0.25">
      <c r="A83" s="384">
        <f t="shared" si="1"/>
        <v>53</v>
      </c>
      <c r="O83" s="390"/>
    </row>
    <row r="84" spans="1:15" x14ac:dyDescent="0.25">
      <c r="A84" s="384">
        <f t="shared" si="1"/>
        <v>53</v>
      </c>
      <c r="O84" s="390"/>
    </row>
    <row r="85" spans="1:15" x14ac:dyDescent="0.25">
      <c r="A85" s="384">
        <f t="shared" si="1"/>
        <v>53</v>
      </c>
      <c r="O85" s="390"/>
    </row>
    <row r="86" spans="1:15" x14ac:dyDescent="0.25">
      <c r="A86" s="384">
        <f t="shared" si="1"/>
        <v>53</v>
      </c>
      <c r="O86" s="390"/>
    </row>
    <row r="87" spans="1:15" x14ac:dyDescent="0.25">
      <c r="A87" s="384">
        <f t="shared" si="1"/>
        <v>53</v>
      </c>
      <c r="O87" s="390"/>
    </row>
    <row r="88" spans="1:15" x14ac:dyDescent="0.25">
      <c r="A88" s="384">
        <f t="shared" si="1"/>
        <v>53</v>
      </c>
      <c r="O88" s="390"/>
    </row>
    <row r="89" spans="1:15" x14ac:dyDescent="0.25">
      <c r="A89" s="384">
        <f t="shared" si="1"/>
        <v>53</v>
      </c>
      <c r="O89" s="390"/>
    </row>
    <row r="90" spans="1:15" x14ac:dyDescent="0.25">
      <c r="A90" s="384">
        <f t="shared" si="1"/>
        <v>53</v>
      </c>
      <c r="O90" s="390"/>
    </row>
    <row r="91" spans="1:15" x14ac:dyDescent="0.25">
      <c r="A91" s="384">
        <f t="shared" si="1"/>
        <v>53</v>
      </c>
      <c r="O91" s="390"/>
    </row>
    <row r="92" spans="1:15" x14ac:dyDescent="0.25">
      <c r="A92" s="384">
        <f t="shared" si="1"/>
        <v>53</v>
      </c>
      <c r="O92" s="390"/>
    </row>
    <row r="93" spans="1:15" x14ac:dyDescent="0.25">
      <c r="A93" s="384">
        <f t="shared" si="1"/>
        <v>53</v>
      </c>
      <c r="O93" s="390"/>
    </row>
    <row r="94" spans="1:15" x14ac:dyDescent="0.25">
      <c r="A94" s="384">
        <f t="shared" si="1"/>
        <v>53</v>
      </c>
      <c r="O94" s="390"/>
    </row>
    <row r="95" spans="1:15" x14ac:dyDescent="0.25">
      <c r="A95" s="384">
        <f t="shared" si="1"/>
        <v>53</v>
      </c>
      <c r="O95" s="390"/>
    </row>
    <row r="96" spans="1:15" x14ac:dyDescent="0.25">
      <c r="A96" s="384">
        <f t="shared" si="1"/>
        <v>53</v>
      </c>
      <c r="O96" s="390"/>
    </row>
    <row r="97" spans="1:15" x14ac:dyDescent="0.25">
      <c r="A97" s="384">
        <f t="shared" si="1"/>
        <v>53</v>
      </c>
      <c r="O97" s="390"/>
    </row>
    <row r="98" spans="1:15" x14ac:dyDescent="0.25">
      <c r="A98" s="384">
        <f t="shared" si="1"/>
        <v>53</v>
      </c>
      <c r="O98" s="390"/>
    </row>
    <row r="99" spans="1:15" x14ac:dyDescent="0.25">
      <c r="A99" s="384">
        <f t="shared" si="1"/>
        <v>53</v>
      </c>
      <c r="O99" s="390"/>
    </row>
    <row r="100" spans="1:15" x14ac:dyDescent="0.25">
      <c r="A100" s="384">
        <f t="shared" si="1"/>
        <v>53</v>
      </c>
      <c r="O100" s="390"/>
    </row>
    <row r="101" spans="1:15" x14ac:dyDescent="0.25">
      <c r="A101" s="384">
        <f t="shared" si="1"/>
        <v>53</v>
      </c>
      <c r="O101" s="390"/>
    </row>
    <row r="102" spans="1:15" x14ac:dyDescent="0.25">
      <c r="A102" s="384">
        <f t="shared" si="1"/>
        <v>53</v>
      </c>
      <c r="O102" s="390"/>
    </row>
    <row r="103" spans="1:15" x14ac:dyDescent="0.25">
      <c r="A103" s="384">
        <f t="shared" si="1"/>
        <v>53</v>
      </c>
      <c r="O103" s="390"/>
    </row>
    <row r="104" spans="1:15" x14ac:dyDescent="0.25">
      <c r="A104" s="384">
        <f t="shared" si="1"/>
        <v>53</v>
      </c>
      <c r="O104" s="390"/>
    </row>
    <row r="105" spans="1:15" x14ac:dyDescent="0.25">
      <c r="A105" s="384">
        <f t="shared" si="1"/>
        <v>53</v>
      </c>
      <c r="O105" s="390"/>
    </row>
    <row r="106" spans="1:15" x14ac:dyDescent="0.25">
      <c r="A106" s="384">
        <f t="shared" si="1"/>
        <v>53</v>
      </c>
      <c r="O106" s="390"/>
    </row>
    <row r="107" spans="1:15" x14ac:dyDescent="0.25">
      <c r="A107" s="384">
        <f t="shared" si="1"/>
        <v>53</v>
      </c>
      <c r="O107" s="390"/>
    </row>
    <row r="108" spans="1:15" x14ac:dyDescent="0.25">
      <c r="A108" s="384">
        <f t="shared" si="1"/>
        <v>53</v>
      </c>
      <c r="O108" s="390"/>
    </row>
    <row r="109" spans="1:15" x14ac:dyDescent="0.25">
      <c r="A109" s="384">
        <f t="shared" si="1"/>
        <v>53</v>
      </c>
      <c r="O109" s="390"/>
    </row>
    <row r="110" spans="1:15" x14ac:dyDescent="0.25">
      <c r="A110" s="384">
        <f t="shared" si="1"/>
        <v>53</v>
      </c>
      <c r="O110" s="390"/>
    </row>
    <row r="111" spans="1:15" x14ac:dyDescent="0.25">
      <c r="A111" s="384">
        <f t="shared" si="1"/>
        <v>53</v>
      </c>
      <c r="O111" s="390"/>
    </row>
    <row r="112" spans="1:15" x14ac:dyDescent="0.25">
      <c r="A112" s="384">
        <f t="shared" si="1"/>
        <v>53</v>
      </c>
      <c r="O112" s="390"/>
    </row>
    <row r="113" spans="1:15" x14ac:dyDescent="0.25">
      <c r="A113" s="384">
        <f t="shared" si="1"/>
        <v>53</v>
      </c>
      <c r="O113" s="390"/>
    </row>
    <row r="114" spans="1:15" x14ac:dyDescent="0.25">
      <c r="A114" s="384">
        <f t="shared" si="1"/>
        <v>53</v>
      </c>
      <c r="O114" s="390"/>
    </row>
    <row r="115" spans="1:15" x14ac:dyDescent="0.25">
      <c r="A115" s="384">
        <f t="shared" si="1"/>
        <v>53</v>
      </c>
      <c r="O115" s="390"/>
    </row>
    <row r="116" spans="1:15" x14ac:dyDescent="0.25">
      <c r="A116" s="384">
        <f t="shared" si="1"/>
        <v>53</v>
      </c>
      <c r="O116" s="390"/>
    </row>
    <row r="117" spans="1:15" x14ac:dyDescent="0.25">
      <c r="A117" s="384">
        <f t="shared" si="1"/>
        <v>53</v>
      </c>
      <c r="O117" s="390"/>
    </row>
    <row r="118" spans="1:15" x14ac:dyDescent="0.25">
      <c r="A118" s="384">
        <f t="shared" si="1"/>
        <v>53</v>
      </c>
      <c r="O118" s="390"/>
    </row>
    <row r="119" spans="1:15" x14ac:dyDescent="0.25">
      <c r="A119" s="384">
        <f t="shared" si="1"/>
        <v>53</v>
      </c>
      <c r="O119" s="390"/>
    </row>
    <row r="120" spans="1:15" x14ac:dyDescent="0.25">
      <c r="A120" s="384">
        <f t="shared" si="1"/>
        <v>53</v>
      </c>
      <c r="O120" s="390"/>
    </row>
    <row r="121" spans="1:15" x14ac:dyDescent="0.25">
      <c r="A121" s="384">
        <f t="shared" si="1"/>
        <v>53</v>
      </c>
      <c r="O121" s="390"/>
    </row>
    <row r="122" spans="1:15" x14ac:dyDescent="0.25">
      <c r="A122" s="384">
        <f t="shared" si="1"/>
        <v>53</v>
      </c>
      <c r="O122" s="390"/>
    </row>
    <row r="123" spans="1:15" x14ac:dyDescent="0.25">
      <c r="A123" s="384">
        <f t="shared" si="1"/>
        <v>53</v>
      </c>
      <c r="O123" s="390"/>
    </row>
    <row r="124" spans="1:15" x14ac:dyDescent="0.25">
      <c r="A124" s="384">
        <f t="shared" si="1"/>
        <v>53</v>
      </c>
      <c r="O124" s="390"/>
    </row>
    <row r="125" spans="1:15" x14ac:dyDescent="0.25">
      <c r="A125" s="384">
        <f t="shared" si="1"/>
        <v>53</v>
      </c>
      <c r="O125" s="390"/>
    </row>
    <row r="126" spans="1:15" x14ac:dyDescent="0.25">
      <c r="A126" s="384">
        <f t="shared" si="1"/>
        <v>53</v>
      </c>
      <c r="O126" s="390"/>
    </row>
    <row r="127" spans="1:15" x14ac:dyDescent="0.25">
      <c r="A127" s="384">
        <f t="shared" si="1"/>
        <v>53</v>
      </c>
      <c r="O127" s="390"/>
    </row>
    <row r="128" spans="1:15" x14ac:dyDescent="0.25">
      <c r="A128" s="384">
        <f t="shared" si="1"/>
        <v>53</v>
      </c>
      <c r="O128" s="390"/>
    </row>
    <row r="129" spans="1:15" x14ac:dyDescent="0.25">
      <c r="A129" s="384">
        <f t="shared" si="1"/>
        <v>53</v>
      </c>
      <c r="O129" s="390"/>
    </row>
    <row r="130" spans="1:15" x14ac:dyDescent="0.25">
      <c r="A130" s="384">
        <f t="shared" si="1"/>
        <v>53</v>
      </c>
      <c r="O130" s="390"/>
    </row>
    <row r="131" spans="1:15" x14ac:dyDescent="0.25">
      <c r="A131" s="384">
        <f t="shared" si="1"/>
        <v>53</v>
      </c>
      <c r="O131" s="390"/>
    </row>
    <row r="132" spans="1:15" x14ac:dyDescent="0.25">
      <c r="A132" s="384">
        <f t="shared" ref="A132:A195" si="2">WEEKNUM(B132,21)</f>
        <v>53</v>
      </c>
      <c r="O132" s="390"/>
    </row>
    <row r="133" spans="1:15" x14ac:dyDescent="0.25">
      <c r="A133" s="384">
        <f t="shared" si="2"/>
        <v>53</v>
      </c>
      <c r="O133" s="390"/>
    </row>
    <row r="134" spans="1:15" x14ac:dyDescent="0.25">
      <c r="A134" s="384">
        <f t="shared" si="2"/>
        <v>53</v>
      </c>
      <c r="O134" s="390"/>
    </row>
    <row r="135" spans="1:15" x14ac:dyDescent="0.25">
      <c r="A135" s="384">
        <f t="shared" si="2"/>
        <v>53</v>
      </c>
      <c r="O135" s="390"/>
    </row>
    <row r="136" spans="1:15" x14ac:dyDescent="0.25">
      <c r="A136" s="384">
        <f t="shared" si="2"/>
        <v>53</v>
      </c>
      <c r="O136" s="390"/>
    </row>
    <row r="137" spans="1:15" x14ac:dyDescent="0.25">
      <c r="A137" s="384">
        <f t="shared" si="2"/>
        <v>53</v>
      </c>
      <c r="O137" s="390"/>
    </row>
    <row r="138" spans="1:15" x14ac:dyDescent="0.25">
      <c r="A138" s="384">
        <f t="shared" si="2"/>
        <v>53</v>
      </c>
      <c r="O138" s="390"/>
    </row>
    <row r="139" spans="1:15" x14ac:dyDescent="0.25">
      <c r="A139" s="384">
        <f t="shared" si="2"/>
        <v>53</v>
      </c>
      <c r="O139" s="390"/>
    </row>
    <row r="140" spans="1:15" x14ac:dyDescent="0.25">
      <c r="A140" s="384">
        <f t="shared" si="2"/>
        <v>53</v>
      </c>
      <c r="O140" s="390"/>
    </row>
    <row r="141" spans="1:15" x14ac:dyDescent="0.25">
      <c r="A141" s="384">
        <f t="shared" si="2"/>
        <v>53</v>
      </c>
      <c r="O141" s="390"/>
    </row>
    <row r="142" spans="1:15" x14ac:dyDescent="0.25">
      <c r="A142" s="384">
        <f t="shared" si="2"/>
        <v>53</v>
      </c>
      <c r="O142" s="390"/>
    </row>
    <row r="143" spans="1:15" x14ac:dyDescent="0.25">
      <c r="A143" s="384">
        <f t="shared" si="2"/>
        <v>53</v>
      </c>
      <c r="O143" s="390"/>
    </row>
    <row r="144" spans="1:15" x14ac:dyDescent="0.25">
      <c r="A144" s="384">
        <f t="shared" si="2"/>
        <v>53</v>
      </c>
      <c r="O144" s="390"/>
    </row>
    <row r="145" spans="1:15" x14ac:dyDescent="0.25">
      <c r="A145" s="384">
        <f t="shared" si="2"/>
        <v>53</v>
      </c>
      <c r="O145" s="390"/>
    </row>
    <row r="146" spans="1:15" x14ac:dyDescent="0.25">
      <c r="A146" s="384">
        <f t="shared" si="2"/>
        <v>53</v>
      </c>
      <c r="O146" s="390"/>
    </row>
    <row r="147" spans="1:15" x14ac:dyDescent="0.25">
      <c r="A147" s="384">
        <f t="shared" si="2"/>
        <v>53</v>
      </c>
      <c r="O147" s="390"/>
    </row>
    <row r="148" spans="1:15" x14ac:dyDescent="0.25">
      <c r="A148" s="384">
        <f t="shared" si="2"/>
        <v>53</v>
      </c>
      <c r="O148" s="390"/>
    </row>
    <row r="149" spans="1:15" x14ac:dyDescent="0.25">
      <c r="A149" s="384">
        <f t="shared" si="2"/>
        <v>53</v>
      </c>
      <c r="O149" s="390"/>
    </row>
    <row r="150" spans="1:15" x14ac:dyDescent="0.25">
      <c r="A150" s="384">
        <f t="shared" si="2"/>
        <v>53</v>
      </c>
      <c r="O150" s="390"/>
    </row>
    <row r="151" spans="1:15" x14ac:dyDescent="0.25">
      <c r="A151" s="384">
        <f t="shared" si="2"/>
        <v>53</v>
      </c>
      <c r="O151" s="390"/>
    </row>
    <row r="152" spans="1:15" x14ac:dyDescent="0.25">
      <c r="A152" s="384">
        <f t="shared" si="2"/>
        <v>53</v>
      </c>
      <c r="O152" s="390"/>
    </row>
    <row r="153" spans="1:15" x14ac:dyDescent="0.25">
      <c r="A153" s="384">
        <f t="shared" si="2"/>
        <v>53</v>
      </c>
      <c r="O153" s="390"/>
    </row>
    <row r="154" spans="1:15" x14ac:dyDescent="0.25">
      <c r="A154" s="384">
        <f t="shared" si="2"/>
        <v>53</v>
      </c>
      <c r="O154" s="390"/>
    </row>
    <row r="155" spans="1:15" x14ac:dyDescent="0.25">
      <c r="A155" s="384">
        <f t="shared" si="2"/>
        <v>53</v>
      </c>
      <c r="O155" s="390"/>
    </row>
    <row r="156" spans="1:15" x14ac:dyDescent="0.25">
      <c r="A156" s="384">
        <f t="shared" si="2"/>
        <v>53</v>
      </c>
      <c r="O156" s="390"/>
    </row>
    <row r="157" spans="1:15" x14ac:dyDescent="0.25">
      <c r="A157" s="384">
        <f t="shared" si="2"/>
        <v>53</v>
      </c>
      <c r="O157" s="390"/>
    </row>
    <row r="158" spans="1:15" x14ac:dyDescent="0.25">
      <c r="A158" s="384">
        <f t="shared" si="2"/>
        <v>53</v>
      </c>
      <c r="O158" s="390"/>
    </row>
    <row r="159" spans="1:15" x14ac:dyDescent="0.25">
      <c r="A159" s="384">
        <f t="shared" si="2"/>
        <v>53</v>
      </c>
      <c r="O159" s="390"/>
    </row>
    <row r="160" spans="1:15" x14ac:dyDescent="0.25">
      <c r="A160" s="384">
        <f t="shared" si="2"/>
        <v>53</v>
      </c>
      <c r="O160" s="390"/>
    </row>
    <row r="161" spans="1:15" x14ac:dyDescent="0.25">
      <c r="A161" s="384">
        <f t="shared" si="2"/>
        <v>53</v>
      </c>
      <c r="O161" s="390"/>
    </row>
    <row r="162" spans="1:15" x14ac:dyDescent="0.25">
      <c r="A162" s="384">
        <f t="shared" si="2"/>
        <v>53</v>
      </c>
      <c r="O162" s="390"/>
    </row>
    <row r="163" spans="1:15" x14ac:dyDescent="0.25">
      <c r="A163" s="384">
        <f t="shared" si="2"/>
        <v>53</v>
      </c>
      <c r="O163" s="390"/>
    </row>
    <row r="164" spans="1:15" x14ac:dyDescent="0.25">
      <c r="A164" s="384">
        <f t="shared" si="2"/>
        <v>53</v>
      </c>
      <c r="O164" s="390"/>
    </row>
    <row r="165" spans="1:15" x14ac:dyDescent="0.25">
      <c r="A165" s="384">
        <f t="shared" si="2"/>
        <v>53</v>
      </c>
      <c r="O165" s="390"/>
    </row>
    <row r="166" spans="1:15" x14ac:dyDescent="0.25">
      <c r="A166" s="384">
        <f t="shared" si="2"/>
        <v>53</v>
      </c>
      <c r="O166" s="390"/>
    </row>
    <row r="167" spans="1:15" x14ac:dyDescent="0.25">
      <c r="A167" s="384">
        <f t="shared" si="2"/>
        <v>53</v>
      </c>
      <c r="O167" s="390"/>
    </row>
    <row r="168" spans="1:15" x14ac:dyDescent="0.25">
      <c r="A168" s="384">
        <f t="shared" si="2"/>
        <v>53</v>
      </c>
      <c r="O168" s="390"/>
    </row>
    <row r="169" spans="1:15" x14ac:dyDescent="0.25">
      <c r="A169" s="384">
        <f t="shared" si="2"/>
        <v>53</v>
      </c>
      <c r="O169" s="390"/>
    </row>
    <row r="170" spans="1:15" x14ac:dyDescent="0.25">
      <c r="A170" s="384">
        <f t="shared" si="2"/>
        <v>53</v>
      </c>
      <c r="O170" s="390"/>
    </row>
    <row r="171" spans="1:15" x14ac:dyDescent="0.25">
      <c r="A171" s="384">
        <f t="shared" si="2"/>
        <v>53</v>
      </c>
      <c r="O171" s="390"/>
    </row>
    <row r="172" spans="1:15" x14ac:dyDescent="0.25">
      <c r="A172" s="384">
        <f t="shared" si="2"/>
        <v>53</v>
      </c>
      <c r="O172" s="390"/>
    </row>
    <row r="173" spans="1:15" x14ac:dyDescent="0.25">
      <c r="A173" s="384">
        <f t="shared" si="2"/>
        <v>53</v>
      </c>
      <c r="O173" s="390"/>
    </row>
    <row r="174" spans="1:15" x14ac:dyDescent="0.25">
      <c r="A174" s="384">
        <f t="shared" si="2"/>
        <v>53</v>
      </c>
      <c r="O174" s="390"/>
    </row>
    <row r="175" spans="1:15" x14ac:dyDescent="0.25">
      <c r="A175" s="384">
        <f t="shared" si="2"/>
        <v>53</v>
      </c>
      <c r="O175" s="390"/>
    </row>
    <row r="176" spans="1:15" x14ac:dyDescent="0.25">
      <c r="A176" s="384">
        <f t="shared" si="2"/>
        <v>53</v>
      </c>
      <c r="O176" s="390"/>
    </row>
    <row r="177" spans="1:15" x14ac:dyDescent="0.25">
      <c r="A177" s="384">
        <f t="shared" si="2"/>
        <v>53</v>
      </c>
      <c r="O177" s="390"/>
    </row>
    <row r="178" spans="1:15" x14ac:dyDescent="0.25">
      <c r="A178" s="384">
        <f t="shared" si="2"/>
        <v>53</v>
      </c>
      <c r="O178" s="390"/>
    </row>
    <row r="179" spans="1:15" x14ac:dyDescent="0.25">
      <c r="A179" s="384">
        <f t="shared" si="2"/>
        <v>53</v>
      </c>
      <c r="O179" s="390"/>
    </row>
    <row r="180" spans="1:15" x14ac:dyDescent="0.25">
      <c r="A180" s="384">
        <f t="shared" si="2"/>
        <v>53</v>
      </c>
      <c r="O180" s="390"/>
    </row>
    <row r="181" spans="1:15" x14ac:dyDescent="0.25">
      <c r="A181" s="384">
        <f t="shared" si="2"/>
        <v>53</v>
      </c>
      <c r="O181" s="390"/>
    </row>
    <row r="182" spans="1:15" x14ac:dyDescent="0.25">
      <c r="A182" s="384">
        <f t="shared" si="2"/>
        <v>53</v>
      </c>
      <c r="O182" s="390"/>
    </row>
    <row r="183" spans="1:15" x14ac:dyDescent="0.25">
      <c r="A183" s="384">
        <f t="shared" si="2"/>
        <v>53</v>
      </c>
      <c r="O183" s="390"/>
    </row>
    <row r="184" spans="1:15" x14ac:dyDescent="0.25">
      <c r="A184" s="384">
        <f t="shared" si="2"/>
        <v>53</v>
      </c>
      <c r="O184" s="390"/>
    </row>
    <row r="185" spans="1:15" x14ac:dyDescent="0.25">
      <c r="A185" s="384">
        <f t="shared" si="2"/>
        <v>53</v>
      </c>
      <c r="O185" s="390"/>
    </row>
    <row r="186" spans="1:15" x14ac:dyDescent="0.25">
      <c r="A186" s="384">
        <f t="shared" si="2"/>
        <v>53</v>
      </c>
      <c r="O186" s="390"/>
    </row>
    <row r="187" spans="1:15" x14ac:dyDescent="0.25">
      <c r="A187" s="384">
        <f t="shared" si="2"/>
        <v>53</v>
      </c>
      <c r="O187" s="390"/>
    </row>
    <row r="188" spans="1:15" x14ac:dyDescent="0.25">
      <c r="A188" s="384">
        <f t="shared" si="2"/>
        <v>53</v>
      </c>
      <c r="O188" s="390"/>
    </row>
    <row r="189" spans="1:15" x14ac:dyDescent="0.25">
      <c r="A189" s="384">
        <f t="shared" si="2"/>
        <v>53</v>
      </c>
      <c r="O189" s="390"/>
    </row>
    <row r="190" spans="1:15" x14ac:dyDescent="0.25">
      <c r="A190" s="384">
        <f t="shared" si="2"/>
        <v>53</v>
      </c>
      <c r="O190" s="390"/>
    </row>
    <row r="191" spans="1:15" x14ac:dyDescent="0.25">
      <c r="A191" s="384">
        <f t="shared" si="2"/>
        <v>53</v>
      </c>
      <c r="O191" s="390"/>
    </row>
    <row r="192" spans="1:15" x14ac:dyDescent="0.25">
      <c r="A192" s="384">
        <f t="shared" si="2"/>
        <v>53</v>
      </c>
      <c r="O192" s="390"/>
    </row>
    <row r="193" spans="1:15" x14ac:dyDescent="0.25">
      <c r="A193" s="384">
        <f t="shared" si="2"/>
        <v>53</v>
      </c>
      <c r="O193" s="390"/>
    </row>
    <row r="194" spans="1:15" x14ac:dyDescent="0.25">
      <c r="A194" s="384">
        <f t="shared" si="2"/>
        <v>53</v>
      </c>
      <c r="O194" s="390"/>
    </row>
    <row r="195" spans="1:15" x14ac:dyDescent="0.25">
      <c r="A195" s="384">
        <f t="shared" si="2"/>
        <v>53</v>
      </c>
      <c r="O195" s="390"/>
    </row>
    <row r="196" spans="1:15" x14ac:dyDescent="0.25">
      <c r="A196" s="384">
        <f t="shared" ref="A196:A259" si="3">WEEKNUM(B196,21)</f>
        <v>53</v>
      </c>
      <c r="O196" s="390"/>
    </row>
    <row r="197" spans="1:15" x14ac:dyDescent="0.25">
      <c r="A197" s="384">
        <f t="shared" si="3"/>
        <v>53</v>
      </c>
      <c r="O197" s="390"/>
    </row>
    <row r="198" spans="1:15" x14ac:dyDescent="0.25">
      <c r="A198" s="384">
        <f t="shared" si="3"/>
        <v>53</v>
      </c>
      <c r="O198" s="390"/>
    </row>
    <row r="199" spans="1:15" x14ac:dyDescent="0.25">
      <c r="A199" s="384">
        <f t="shared" si="3"/>
        <v>53</v>
      </c>
      <c r="O199" s="390"/>
    </row>
    <row r="200" spans="1:15" x14ac:dyDescent="0.25">
      <c r="A200" s="384">
        <f t="shared" si="3"/>
        <v>53</v>
      </c>
      <c r="O200" s="390"/>
    </row>
    <row r="201" spans="1:15" x14ac:dyDescent="0.25">
      <c r="A201" s="384">
        <f t="shared" si="3"/>
        <v>53</v>
      </c>
      <c r="O201" s="390"/>
    </row>
    <row r="202" spans="1:15" x14ac:dyDescent="0.25">
      <c r="A202" s="384">
        <f t="shared" si="3"/>
        <v>53</v>
      </c>
      <c r="O202" s="390"/>
    </row>
    <row r="203" spans="1:15" x14ac:dyDescent="0.25">
      <c r="A203" s="384">
        <f t="shared" si="3"/>
        <v>53</v>
      </c>
      <c r="O203" s="390"/>
    </row>
    <row r="204" spans="1:15" x14ac:dyDescent="0.25">
      <c r="A204" s="384">
        <f t="shared" si="3"/>
        <v>53</v>
      </c>
      <c r="O204" s="390"/>
    </row>
    <row r="205" spans="1:15" x14ac:dyDescent="0.25">
      <c r="A205" s="384">
        <f t="shared" si="3"/>
        <v>53</v>
      </c>
      <c r="O205" s="390"/>
    </row>
    <row r="206" spans="1:15" x14ac:dyDescent="0.25">
      <c r="A206" s="384">
        <f t="shared" si="3"/>
        <v>53</v>
      </c>
      <c r="O206" s="390"/>
    </row>
    <row r="207" spans="1:15" x14ac:dyDescent="0.25">
      <c r="A207" s="384">
        <f t="shared" si="3"/>
        <v>53</v>
      </c>
      <c r="O207" s="390"/>
    </row>
    <row r="208" spans="1:15" x14ac:dyDescent="0.25">
      <c r="A208" s="384">
        <f t="shared" si="3"/>
        <v>53</v>
      </c>
      <c r="O208" s="390"/>
    </row>
    <row r="209" spans="1:15" x14ac:dyDescent="0.25">
      <c r="A209" s="384">
        <f t="shared" si="3"/>
        <v>53</v>
      </c>
      <c r="O209" s="390"/>
    </row>
    <row r="210" spans="1:15" x14ac:dyDescent="0.25">
      <c r="A210" s="384">
        <f t="shared" si="3"/>
        <v>53</v>
      </c>
      <c r="O210" s="390"/>
    </row>
    <row r="211" spans="1:15" x14ac:dyDescent="0.25">
      <c r="A211" s="384">
        <f t="shared" si="3"/>
        <v>53</v>
      </c>
      <c r="O211" s="390"/>
    </row>
    <row r="212" spans="1:15" x14ac:dyDescent="0.25">
      <c r="A212" s="384">
        <f t="shared" si="3"/>
        <v>53</v>
      </c>
      <c r="O212" s="390"/>
    </row>
    <row r="213" spans="1:15" x14ac:dyDescent="0.25">
      <c r="A213" s="384">
        <f t="shared" si="3"/>
        <v>53</v>
      </c>
      <c r="O213" s="390"/>
    </row>
    <row r="214" spans="1:15" x14ac:dyDescent="0.25">
      <c r="A214" s="384">
        <f t="shared" si="3"/>
        <v>53</v>
      </c>
      <c r="O214" s="390"/>
    </row>
    <row r="215" spans="1:15" x14ac:dyDescent="0.25">
      <c r="A215" s="384">
        <f t="shared" si="3"/>
        <v>53</v>
      </c>
      <c r="O215" s="390"/>
    </row>
    <row r="216" spans="1:15" x14ac:dyDescent="0.25">
      <c r="A216" s="384">
        <f t="shared" si="3"/>
        <v>53</v>
      </c>
      <c r="O216" s="390"/>
    </row>
    <row r="217" spans="1:15" x14ac:dyDescent="0.25">
      <c r="A217" s="384">
        <f t="shared" si="3"/>
        <v>53</v>
      </c>
      <c r="O217" s="390"/>
    </row>
    <row r="218" spans="1:15" x14ac:dyDescent="0.25">
      <c r="A218" s="384">
        <f t="shared" si="3"/>
        <v>53</v>
      </c>
      <c r="O218" s="390"/>
    </row>
    <row r="219" spans="1:15" x14ac:dyDescent="0.25">
      <c r="A219" s="384">
        <f t="shared" si="3"/>
        <v>53</v>
      </c>
      <c r="O219" s="390"/>
    </row>
    <row r="220" spans="1:15" x14ac:dyDescent="0.25">
      <c r="A220" s="384">
        <f t="shared" si="3"/>
        <v>53</v>
      </c>
      <c r="O220" s="390"/>
    </row>
    <row r="221" spans="1:15" x14ac:dyDescent="0.25">
      <c r="A221" s="384">
        <f t="shared" si="3"/>
        <v>53</v>
      </c>
      <c r="O221" s="390"/>
    </row>
    <row r="222" spans="1:15" x14ac:dyDescent="0.25">
      <c r="A222" s="384">
        <f t="shared" si="3"/>
        <v>53</v>
      </c>
      <c r="O222" s="390"/>
    </row>
    <row r="223" spans="1:15" x14ac:dyDescent="0.25">
      <c r="A223" s="384">
        <f t="shared" si="3"/>
        <v>53</v>
      </c>
      <c r="O223" s="390"/>
    </row>
    <row r="224" spans="1:15" x14ac:dyDescent="0.25">
      <c r="A224" s="384">
        <f t="shared" si="3"/>
        <v>53</v>
      </c>
      <c r="O224" s="390"/>
    </row>
    <row r="225" spans="1:15" x14ac:dyDescent="0.25">
      <c r="A225" s="384">
        <f t="shared" si="3"/>
        <v>53</v>
      </c>
      <c r="O225" s="390"/>
    </row>
    <row r="226" spans="1:15" x14ac:dyDescent="0.25">
      <c r="A226" s="384">
        <f t="shared" si="3"/>
        <v>53</v>
      </c>
      <c r="O226" s="390"/>
    </row>
    <row r="227" spans="1:15" x14ac:dyDescent="0.25">
      <c r="A227" s="384">
        <f t="shared" si="3"/>
        <v>53</v>
      </c>
      <c r="O227" s="390"/>
    </row>
    <row r="228" spans="1:15" x14ac:dyDescent="0.25">
      <c r="A228" s="384">
        <f t="shared" si="3"/>
        <v>53</v>
      </c>
      <c r="O228" s="390"/>
    </row>
    <row r="229" spans="1:15" x14ac:dyDescent="0.25">
      <c r="A229" s="384">
        <f t="shared" si="3"/>
        <v>53</v>
      </c>
      <c r="O229" s="390"/>
    </row>
    <row r="230" spans="1:15" x14ac:dyDescent="0.25">
      <c r="A230" s="384">
        <f t="shared" si="3"/>
        <v>53</v>
      </c>
      <c r="O230" s="390"/>
    </row>
    <row r="231" spans="1:15" x14ac:dyDescent="0.25">
      <c r="A231" s="384">
        <f t="shared" si="3"/>
        <v>53</v>
      </c>
      <c r="O231" s="390"/>
    </row>
    <row r="232" spans="1:15" x14ac:dyDescent="0.25">
      <c r="A232" s="384">
        <f t="shared" si="3"/>
        <v>53</v>
      </c>
      <c r="O232" s="390"/>
    </row>
    <row r="233" spans="1:15" x14ac:dyDescent="0.25">
      <c r="A233" s="384">
        <f t="shared" si="3"/>
        <v>53</v>
      </c>
      <c r="O233" s="390"/>
    </row>
    <row r="234" spans="1:15" x14ac:dyDescent="0.25">
      <c r="A234" s="384">
        <f t="shared" si="3"/>
        <v>53</v>
      </c>
      <c r="O234" s="390"/>
    </row>
    <row r="235" spans="1:15" x14ac:dyDescent="0.25">
      <c r="A235" s="384">
        <f t="shared" si="3"/>
        <v>53</v>
      </c>
      <c r="O235" s="390"/>
    </row>
    <row r="236" spans="1:15" x14ac:dyDescent="0.25">
      <c r="A236" s="384">
        <f t="shared" si="3"/>
        <v>53</v>
      </c>
      <c r="O236" s="390"/>
    </row>
    <row r="237" spans="1:15" x14ac:dyDescent="0.25">
      <c r="A237" s="384">
        <f t="shared" si="3"/>
        <v>53</v>
      </c>
      <c r="O237" s="390"/>
    </row>
    <row r="238" spans="1:15" x14ac:dyDescent="0.25">
      <c r="A238" s="384">
        <f t="shared" si="3"/>
        <v>53</v>
      </c>
      <c r="O238" s="390"/>
    </row>
    <row r="239" spans="1:15" x14ac:dyDescent="0.25">
      <c r="A239" s="384">
        <f t="shared" si="3"/>
        <v>53</v>
      </c>
      <c r="O239" s="390"/>
    </row>
    <row r="240" spans="1:15" x14ac:dyDescent="0.25">
      <c r="A240" s="384">
        <f t="shared" si="3"/>
        <v>53</v>
      </c>
      <c r="O240" s="390"/>
    </row>
    <row r="241" spans="1:15" x14ac:dyDescent="0.25">
      <c r="A241" s="384">
        <f t="shared" si="3"/>
        <v>53</v>
      </c>
      <c r="O241" s="390"/>
    </row>
    <row r="242" spans="1:15" x14ac:dyDescent="0.25">
      <c r="A242" s="384">
        <f t="shared" si="3"/>
        <v>53</v>
      </c>
      <c r="O242" s="390"/>
    </row>
    <row r="243" spans="1:15" x14ac:dyDescent="0.25">
      <c r="A243" s="384">
        <f t="shared" si="3"/>
        <v>53</v>
      </c>
      <c r="O243" s="390"/>
    </row>
    <row r="244" spans="1:15" x14ac:dyDescent="0.25">
      <c r="A244" s="384">
        <f t="shared" si="3"/>
        <v>53</v>
      </c>
      <c r="O244" s="390"/>
    </row>
    <row r="245" spans="1:15" x14ac:dyDescent="0.25">
      <c r="A245" s="384">
        <f t="shared" si="3"/>
        <v>53</v>
      </c>
      <c r="O245" s="390"/>
    </row>
    <row r="246" spans="1:15" x14ac:dyDescent="0.25">
      <c r="A246" s="384">
        <f t="shared" si="3"/>
        <v>53</v>
      </c>
      <c r="O246" s="390"/>
    </row>
    <row r="247" spans="1:15" x14ac:dyDescent="0.25">
      <c r="A247" s="384">
        <f t="shared" si="3"/>
        <v>53</v>
      </c>
      <c r="O247" s="390"/>
    </row>
    <row r="248" spans="1:15" x14ac:dyDescent="0.25">
      <c r="A248" s="384">
        <f t="shared" si="3"/>
        <v>53</v>
      </c>
      <c r="O248" s="390"/>
    </row>
    <row r="249" spans="1:15" x14ac:dyDescent="0.25">
      <c r="A249" s="384">
        <f t="shared" si="3"/>
        <v>53</v>
      </c>
      <c r="O249" s="390"/>
    </row>
    <row r="250" spans="1:15" x14ac:dyDescent="0.25">
      <c r="A250" s="384">
        <f t="shared" si="3"/>
        <v>53</v>
      </c>
      <c r="O250" s="390"/>
    </row>
    <row r="251" spans="1:15" x14ac:dyDescent="0.25">
      <c r="A251" s="384">
        <f t="shared" si="3"/>
        <v>53</v>
      </c>
      <c r="O251" s="390"/>
    </row>
    <row r="252" spans="1:15" x14ac:dyDescent="0.25">
      <c r="A252" s="384">
        <f t="shared" si="3"/>
        <v>53</v>
      </c>
      <c r="O252" s="390"/>
    </row>
    <row r="253" spans="1:15" x14ac:dyDescent="0.25">
      <c r="A253" s="384">
        <f t="shared" si="3"/>
        <v>53</v>
      </c>
      <c r="O253" s="390"/>
    </row>
    <row r="254" spans="1:15" x14ac:dyDescent="0.25">
      <c r="A254" s="384">
        <f t="shared" si="3"/>
        <v>53</v>
      </c>
      <c r="O254" s="390"/>
    </row>
    <row r="255" spans="1:15" x14ac:dyDescent="0.25">
      <c r="A255" s="384">
        <f t="shared" si="3"/>
        <v>53</v>
      </c>
      <c r="O255" s="390"/>
    </row>
    <row r="256" spans="1:15" x14ac:dyDescent="0.25">
      <c r="A256" s="384">
        <f t="shared" si="3"/>
        <v>53</v>
      </c>
      <c r="O256" s="390"/>
    </row>
    <row r="257" spans="1:15" x14ac:dyDescent="0.25">
      <c r="A257" s="384">
        <f t="shared" si="3"/>
        <v>53</v>
      </c>
      <c r="O257" s="390"/>
    </row>
    <row r="258" spans="1:15" x14ac:dyDescent="0.25">
      <c r="A258" s="384">
        <f t="shared" si="3"/>
        <v>53</v>
      </c>
      <c r="O258" s="390"/>
    </row>
    <row r="259" spans="1:15" x14ac:dyDescent="0.25">
      <c r="A259" s="384">
        <f t="shared" si="3"/>
        <v>53</v>
      </c>
      <c r="O259" s="390"/>
    </row>
    <row r="260" spans="1:15" x14ac:dyDescent="0.25">
      <c r="A260" s="384">
        <f t="shared" ref="A260:A323" si="4">WEEKNUM(B260,21)</f>
        <v>53</v>
      </c>
      <c r="O260" s="390"/>
    </row>
    <row r="261" spans="1:15" x14ac:dyDescent="0.25">
      <c r="A261" s="384">
        <f t="shared" si="4"/>
        <v>53</v>
      </c>
      <c r="O261" s="390"/>
    </row>
    <row r="262" spans="1:15" x14ac:dyDescent="0.25">
      <c r="A262" s="384">
        <f t="shared" si="4"/>
        <v>53</v>
      </c>
      <c r="O262" s="390"/>
    </row>
    <row r="263" spans="1:15" x14ac:dyDescent="0.25">
      <c r="A263" s="384">
        <f t="shared" si="4"/>
        <v>53</v>
      </c>
      <c r="O263" s="390"/>
    </row>
    <row r="264" spans="1:15" x14ac:dyDescent="0.25">
      <c r="A264" s="384">
        <f t="shared" si="4"/>
        <v>53</v>
      </c>
      <c r="O264" s="390"/>
    </row>
    <row r="265" spans="1:15" x14ac:dyDescent="0.25">
      <c r="A265" s="384">
        <f t="shared" si="4"/>
        <v>53</v>
      </c>
      <c r="O265" s="390"/>
    </row>
    <row r="266" spans="1:15" x14ac:dyDescent="0.25">
      <c r="A266" s="384">
        <f t="shared" si="4"/>
        <v>53</v>
      </c>
      <c r="O266" s="390"/>
    </row>
    <row r="267" spans="1:15" x14ac:dyDescent="0.25">
      <c r="A267" s="384">
        <f t="shared" si="4"/>
        <v>53</v>
      </c>
      <c r="O267" s="390"/>
    </row>
    <row r="268" spans="1:15" x14ac:dyDescent="0.25">
      <c r="A268" s="384">
        <f t="shared" si="4"/>
        <v>53</v>
      </c>
      <c r="O268" s="390"/>
    </row>
    <row r="269" spans="1:15" x14ac:dyDescent="0.25">
      <c r="A269" s="384">
        <f t="shared" si="4"/>
        <v>53</v>
      </c>
      <c r="O269" s="390"/>
    </row>
    <row r="270" spans="1:15" x14ac:dyDescent="0.25">
      <c r="A270" s="384">
        <f t="shared" si="4"/>
        <v>53</v>
      </c>
      <c r="O270" s="390"/>
    </row>
    <row r="271" spans="1:15" x14ac:dyDescent="0.25">
      <c r="A271" s="384">
        <f t="shared" si="4"/>
        <v>53</v>
      </c>
      <c r="O271" s="390"/>
    </row>
    <row r="272" spans="1:15" x14ac:dyDescent="0.25">
      <c r="A272" s="384">
        <f t="shared" si="4"/>
        <v>53</v>
      </c>
      <c r="O272" s="390"/>
    </row>
    <row r="273" spans="1:15" x14ac:dyDescent="0.25">
      <c r="A273" s="384">
        <f t="shared" si="4"/>
        <v>53</v>
      </c>
      <c r="O273" s="390"/>
    </row>
    <row r="274" spans="1:15" x14ac:dyDescent="0.25">
      <c r="A274" s="384">
        <f t="shared" si="4"/>
        <v>53</v>
      </c>
      <c r="O274" s="390"/>
    </row>
    <row r="275" spans="1:15" x14ac:dyDescent="0.25">
      <c r="A275" s="384">
        <f t="shared" si="4"/>
        <v>53</v>
      </c>
      <c r="O275" s="390"/>
    </row>
    <row r="276" spans="1:15" x14ac:dyDescent="0.25">
      <c r="A276" s="384">
        <f t="shared" si="4"/>
        <v>53</v>
      </c>
      <c r="O276" s="390"/>
    </row>
    <row r="277" spans="1:15" x14ac:dyDescent="0.25">
      <c r="A277" s="384">
        <f t="shared" si="4"/>
        <v>53</v>
      </c>
      <c r="O277" s="390"/>
    </row>
    <row r="278" spans="1:15" x14ac:dyDescent="0.25">
      <c r="A278" s="384">
        <f t="shared" si="4"/>
        <v>53</v>
      </c>
      <c r="O278" s="390"/>
    </row>
    <row r="279" spans="1:15" x14ac:dyDescent="0.25">
      <c r="A279" s="384">
        <f t="shared" si="4"/>
        <v>53</v>
      </c>
      <c r="O279" s="390"/>
    </row>
    <row r="280" spans="1:15" x14ac:dyDescent="0.25">
      <c r="A280" s="384">
        <f t="shared" si="4"/>
        <v>53</v>
      </c>
      <c r="O280" s="390"/>
    </row>
    <row r="281" spans="1:15" x14ac:dyDescent="0.25">
      <c r="A281" s="384">
        <f t="shared" si="4"/>
        <v>53</v>
      </c>
      <c r="O281" s="390"/>
    </row>
    <row r="282" spans="1:15" x14ac:dyDescent="0.25">
      <c r="A282" s="384">
        <f t="shared" si="4"/>
        <v>53</v>
      </c>
      <c r="O282" s="390"/>
    </row>
    <row r="283" spans="1:15" x14ac:dyDescent="0.25">
      <c r="A283" s="384">
        <f t="shared" si="4"/>
        <v>53</v>
      </c>
      <c r="O283" s="390"/>
    </row>
    <row r="284" spans="1:15" x14ac:dyDescent="0.25">
      <c r="A284" s="384">
        <f t="shared" si="4"/>
        <v>53</v>
      </c>
      <c r="O284" s="390"/>
    </row>
    <row r="285" spans="1:15" x14ac:dyDescent="0.25">
      <c r="A285" s="384">
        <f t="shared" si="4"/>
        <v>53</v>
      </c>
      <c r="O285" s="390"/>
    </row>
    <row r="286" spans="1:15" x14ac:dyDescent="0.25">
      <c r="A286" s="384">
        <f t="shared" si="4"/>
        <v>53</v>
      </c>
      <c r="O286" s="390"/>
    </row>
    <row r="287" spans="1:15" x14ac:dyDescent="0.25">
      <c r="A287" s="384">
        <f t="shared" si="4"/>
        <v>53</v>
      </c>
      <c r="O287" s="390"/>
    </row>
    <row r="288" spans="1:15" x14ac:dyDescent="0.25">
      <c r="A288" s="384">
        <f t="shared" si="4"/>
        <v>53</v>
      </c>
      <c r="O288" s="390"/>
    </row>
    <row r="289" spans="1:15" x14ac:dyDescent="0.25">
      <c r="A289" s="384">
        <f t="shared" si="4"/>
        <v>53</v>
      </c>
      <c r="O289" s="390"/>
    </row>
    <row r="290" spans="1:15" x14ac:dyDescent="0.25">
      <c r="A290" s="384">
        <f t="shared" si="4"/>
        <v>53</v>
      </c>
      <c r="O290" s="390"/>
    </row>
    <row r="291" spans="1:15" x14ac:dyDescent="0.25">
      <c r="A291" s="384">
        <f t="shared" si="4"/>
        <v>53</v>
      </c>
      <c r="O291" s="390"/>
    </row>
    <row r="292" spans="1:15" x14ac:dyDescent="0.25">
      <c r="A292" s="384">
        <f t="shared" si="4"/>
        <v>53</v>
      </c>
      <c r="O292" s="390"/>
    </row>
    <row r="293" spans="1:15" x14ac:dyDescent="0.25">
      <c r="A293" s="384">
        <f t="shared" si="4"/>
        <v>53</v>
      </c>
      <c r="O293" s="390"/>
    </row>
    <row r="294" spans="1:15" x14ac:dyDescent="0.25">
      <c r="A294" s="384">
        <f t="shared" si="4"/>
        <v>53</v>
      </c>
      <c r="O294" s="390"/>
    </row>
    <row r="295" spans="1:15" x14ac:dyDescent="0.25">
      <c r="A295" s="384">
        <f t="shared" si="4"/>
        <v>53</v>
      </c>
      <c r="O295" s="390"/>
    </row>
    <row r="296" spans="1:15" x14ac:dyDescent="0.25">
      <c r="A296" s="384">
        <f t="shared" si="4"/>
        <v>53</v>
      </c>
      <c r="O296" s="390"/>
    </row>
    <row r="297" spans="1:15" x14ac:dyDescent="0.25">
      <c r="A297" s="384">
        <f t="shared" si="4"/>
        <v>53</v>
      </c>
      <c r="O297" s="390"/>
    </row>
    <row r="298" spans="1:15" x14ac:dyDescent="0.25">
      <c r="A298" s="384">
        <f t="shared" si="4"/>
        <v>53</v>
      </c>
      <c r="O298" s="390"/>
    </row>
    <row r="299" spans="1:15" x14ac:dyDescent="0.25">
      <c r="A299" s="384">
        <f t="shared" si="4"/>
        <v>53</v>
      </c>
      <c r="O299" s="390"/>
    </row>
    <row r="300" spans="1:15" x14ac:dyDescent="0.25">
      <c r="A300" s="384">
        <f t="shared" si="4"/>
        <v>53</v>
      </c>
      <c r="O300" s="390"/>
    </row>
    <row r="301" spans="1:15" x14ac:dyDescent="0.25">
      <c r="A301" s="384">
        <f t="shared" si="4"/>
        <v>53</v>
      </c>
      <c r="O301" s="390"/>
    </row>
    <row r="302" spans="1:15" x14ac:dyDescent="0.25">
      <c r="A302" s="384">
        <f t="shared" si="4"/>
        <v>53</v>
      </c>
      <c r="O302" s="390"/>
    </row>
    <row r="303" spans="1:15" x14ac:dyDescent="0.25">
      <c r="A303" s="384">
        <f t="shared" si="4"/>
        <v>53</v>
      </c>
      <c r="O303" s="390"/>
    </row>
    <row r="304" spans="1:15" x14ac:dyDescent="0.25">
      <c r="A304" s="384">
        <f t="shared" si="4"/>
        <v>53</v>
      </c>
      <c r="O304" s="390"/>
    </row>
    <row r="305" spans="1:15" x14ac:dyDescent="0.25">
      <c r="A305" s="384">
        <f t="shared" si="4"/>
        <v>53</v>
      </c>
      <c r="O305" s="390"/>
    </row>
    <row r="306" spans="1:15" x14ac:dyDescent="0.25">
      <c r="A306" s="384">
        <f t="shared" si="4"/>
        <v>53</v>
      </c>
      <c r="O306" s="390"/>
    </row>
    <row r="307" spans="1:15" x14ac:dyDescent="0.25">
      <c r="A307" s="384">
        <f t="shared" si="4"/>
        <v>53</v>
      </c>
      <c r="O307" s="390"/>
    </row>
    <row r="308" spans="1:15" x14ac:dyDescent="0.25">
      <c r="A308" s="384">
        <f t="shared" si="4"/>
        <v>53</v>
      </c>
      <c r="O308" s="390"/>
    </row>
    <row r="309" spans="1:15" x14ac:dyDescent="0.25">
      <c r="A309" s="384">
        <f t="shared" si="4"/>
        <v>53</v>
      </c>
      <c r="O309" s="390"/>
    </row>
    <row r="310" spans="1:15" x14ac:dyDescent="0.25">
      <c r="A310" s="384">
        <f t="shared" si="4"/>
        <v>53</v>
      </c>
      <c r="O310" s="390"/>
    </row>
    <row r="311" spans="1:15" x14ac:dyDescent="0.25">
      <c r="A311" s="384">
        <f t="shared" si="4"/>
        <v>53</v>
      </c>
      <c r="O311" s="390"/>
    </row>
    <row r="312" spans="1:15" x14ac:dyDescent="0.25">
      <c r="A312" s="384">
        <f t="shared" si="4"/>
        <v>53</v>
      </c>
      <c r="O312" s="390"/>
    </row>
    <row r="313" spans="1:15" x14ac:dyDescent="0.25">
      <c r="A313" s="384">
        <f t="shared" si="4"/>
        <v>53</v>
      </c>
      <c r="O313" s="390"/>
    </row>
    <row r="314" spans="1:15" x14ac:dyDescent="0.25">
      <c r="A314" s="384">
        <f t="shared" si="4"/>
        <v>53</v>
      </c>
      <c r="O314" s="390"/>
    </row>
    <row r="315" spans="1:15" x14ac:dyDescent="0.25">
      <c r="A315" s="384">
        <f t="shared" si="4"/>
        <v>53</v>
      </c>
      <c r="O315" s="390"/>
    </row>
    <row r="316" spans="1:15" x14ac:dyDescent="0.25">
      <c r="A316" s="384">
        <f t="shared" si="4"/>
        <v>53</v>
      </c>
      <c r="O316" s="390"/>
    </row>
    <row r="317" spans="1:15" x14ac:dyDescent="0.25">
      <c r="A317" s="384">
        <f t="shared" si="4"/>
        <v>53</v>
      </c>
      <c r="O317" s="390"/>
    </row>
    <row r="318" spans="1:15" x14ac:dyDescent="0.25">
      <c r="A318" s="384">
        <f t="shared" si="4"/>
        <v>53</v>
      </c>
      <c r="O318" s="390"/>
    </row>
    <row r="319" spans="1:15" x14ac:dyDescent="0.25">
      <c r="A319" s="384">
        <f t="shared" si="4"/>
        <v>53</v>
      </c>
      <c r="O319" s="390"/>
    </row>
    <row r="320" spans="1:15" x14ac:dyDescent="0.25">
      <c r="A320" s="384">
        <f t="shared" si="4"/>
        <v>53</v>
      </c>
      <c r="O320" s="390"/>
    </row>
    <row r="321" spans="1:15" x14ac:dyDescent="0.25">
      <c r="A321" s="384">
        <f t="shared" si="4"/>
        <v>53</v>
      </c>
      <c r="O321" s="390"/>
    </row>
    <row r="322" spans="1:15" x14ac:dyDescent="0.25">
      <c r="A322" s="384">
        <f t="shared" si="4"/>
        <v>53</v>
      </c>
      <c r="O322" s="390"/>
    </row>
    <row r="323" spans="1:15" x14ac:dyDescent="0.25">
      <c r="A323" s="384">
        <f t="shared" si="4"/>
        <v>53</v>
      </c>
      <c r="O323" s="390"/>
    </row>
    <row r="324" spans="1:15" x14ac:dyDescent="0.25">
      <c r="A324" s="384">
        <f t="shared" ref="A324:A387" si="5">WEEKNUM(B324,21)</f>
        <v>53</v>
      </c>
      <c r="O324" s="390"/>
    </row>
    <row r="325" spans="1:15" x14ac:dyDescent="0.25">
      <c r="A325" s="384">
        <f t="shared" si="5"/>
        <v>53</v>
      </c>
      <c r="O325" s="390"/>
    </row>
    <row r="326" spans="1:15" x14ac:dyDescent="0.25">
      <c r="A326" s="384">
        <f t="shared" si="5"/>
        <v>53</v>
      </c>
      <c r="O326" s="390"/>
    </row>
    <row r="327" spans="1:15" x14ac:dyDescent="0.25">
      <c r="A327" s="384">
        <f t="shared" si="5"/>
        <v>53</v>
      </c>
      <c r="O327" s="390"/>
    </row>
    <row r="328" spans="1:15" x14ac:dyDescent="0.25">
      <c r="A328" s="384">
        <f t="shared" si="5"/>
        <v>53</v>
      </c>
      <c r="O328" s="390"/>
    </row>
    <row r="329" spans="1:15" x14ac:dyDescent="0.25">
      <c r="A329" s="384">
        <f t="shared" si="5"/>
        <v>53</v>
      </c>
      <c r="O329" s="390"/>
    </row>
    <row r="330" spans="1:15" x14ac:dyDescent="0.25">
      <c r="A330" s="384">
        <f t="shared" si="5"/>
        <v>53</v>
      </c>
      <c r="O330" s="390"/>
    </row>
    <row r="331" spans="1:15" x14ac:dyDescent="0.25">
      <c r="A331" s="384">
        <f t="shared" si="5"/>
        <v>53</v>
      </c>
      <c r="O331" s="390"/>
    </row>
    <row r="332" spans="1:15" x14ac:dyDescent="0.25">
      <c r="A332" s="384">
        <f t="shared" si="5"/>
        <v>53</v>
      </c>
      <c r="O332" s="390"/>
    </row>
    <row r="333" spans="1:15" x14ac:dyDescent="0.25">
      <c r="A333" s="384">
        <f t="shared" si="5"/>
        <v>53</v>
      </c>
      <c r="O333" s="390"/>
    </row>
    <row r="334" spans="1:15" x14ac:dyDescent="0.25">
      <c r="A334" s="384">
        <f t="shared" si="5"/>
        <v>53</v>
      </c>
      <c r="O334" s="390"/>
    </row>
    <row r="335" spans="1:15" x14ac:dyDescent="0.25">
      <c r="A335" s="384">
        <f t="shared" si="5"/>
        <v>53</v>
      </c>
      <c r="O335" s="390"/>
    </row>
    <row r="336" spans="1:15" x14ac:dyDescent="0.25">
      <c r="A336" s="384">
        <f t="shared" si="5"/>
        <v>53</v>
      </c>
      <c r="O336" s="390"/>
    </row>
    <row r="337" spans="1:15" x14ac:dyDescent="0.25">
      <c r="A337" s="384">
        <f t="shared" si="5"/>
        <v>53</v>
      </c>
      <c r="O337" s="390"/>
    </row>
    <row r="338" spans="1:15" x14ac:dyDescent="0.25">
      <c r="A338" s="384">
        <f t="shared" si="5"/>
        <v>53</v>
      </c>
      <c r="O338" s="390"/>
    </row>
    <row r="339" spans="1:15" x14ac:dyDescent="0.25">
      <c r="A339" s="384">
        <f t="shared" si="5"/>
        <v>53</v>
      </c>
      <c r="O339" s="390"/>
    </row>
    <row r="340" spans="1:15" x14ac:dyDescent="0.25">
      <c r="A340" s="384">
        <f t="shared" si="5"/>
        <v>53</v>
      </c>
      <c r="O340" s="390"/>
    </row>
    <row r="341" spans="1:15" x14ac:dyDescent="0.25">
      <c r="A341" s="384">
        <f t="shared" si="5"/>
        <v>53</v>
      </c>
      <c r="O341" s="390"/>
    </row>
    <row r="342" spans="1:15" x14ac:dyDescent="0.25">
      <c r="A342" s="384">
        <f t="shared" si="5"/>
        <v>53</v>
      </c>
      <c r="O342" s="390"/>
    </row>
    <row r="343" spans="1:15" x14ac:dyDescent="0.25">
      <c r="A343" s="384">
        <f t="shared" si="5"/>
        <v>53</v>
      </c>
      <c r="O343" s="390"/>
    </row>
    <row r="344" spans="1:15" x14ac:dyDescent="0.25">
      <c r="A344" s="384">
        <f t="shared" si="5"/>
        <v>53</v>
      </c>
      <c r="O344" s="390"/>
    </row>
    <row r="345" spans="1:15" x14ac:dyDescent="0.25">
      <c r="A345" s="384">
        <f t="shared" si="5"/>
        <v>53</v>
      </c>
      <c r="O345" s="390"/>
    </row>
    <row r="346" spans="1:15" x14ac:dyDescent="0.25">
      <c r="A346" s="384">
        <f t="shared" si="5"/>
        <v>53</v>
      </c>
      <c r="O346" s="390"/>
    </row>
    <row r="347" spans="1:15" x14ac:dyDescent="0.25">
      <c r="A347" s="384">
        <f t="shared" si="5"/>
        <v>53</v>
      </c>
      <c r="O347" s="390"/>
    </row>
    <row r="348" spans="1:15" x14ac:dyDescent="0.25">
      <c r="A348" s="384">
        <f t="shared" si="5"/>
        <v>53</v>
      </c>
      <c r="O348" s="390"/>
    </row>
    <row r="349" spans="1:15" x14ac:dyDescent="0.25">
      <c r="A349" s="384">
        <f t="shared" si="5"/>
        <v>53</v>
      </c>
      <c r="O349" s="390"/>
    </row>
    <row r="350" spans="1:15" x14ac:dyDescent="0.25">
      <c r="A350" s="384">
        <f t="shared" si="5"/>
        <v>53</v>
      </c>
      <c r="O350" s="390"/>
    </row>
    <row r="351" spans="1:15" x14ac:dyDescent="0.25">
      <c r="A351" s="384">
        <f t="shared" si="5"/>
        <v>53</v>
      </c>
      <c r="O351" s="390"/>
    </row>
    <row r="352" spans="1:15" x14ac:dyDescent="0.25">
      <c r="A352" s="384">
        <f t="shared" si="5"/>
        <v>53</v>
      </c>
      <c r="O352" s="390"/>
    </row>
    <row r="353" spans="1:15" x14ac:dyDescent="0.25">
      <c r="A353" s="384">
        <f t="shared" si="5"/>
        <v>53</v>
      </c>
      <c r="O353" s="390"/>
    </row>
    <row r="354" spans="1:15" x14ac:dyDescent="0.25">
      <c r="A354" s="384">
        <f t="shared" si="5"/>
        <v>53</v>
      </c>
      <c r="O354" s="390"/>
    </row>
    <row r="355" spans="1:15" x14ac:dyDescent="0.25">
      <c r="A355" s="384">
        <f t="shared" si="5"/>
        <v>53</v>
      </c>
      <c r="O355" s="390"/>
    </row>
    <row r="356" spans="1:15" x14ac:dyDescent="0.25">
      <c r="A356" s="384">
        <f t="shared" si="5"/>
        <v>53</v>
      </c>
      <c r="O356" s="390"/>
    </row>
    <row r="357" spans="1:15" x14ac:dyDescent="0.25">
      <c r="A357" s="384">
        <f t="shared" si="5"/>
        <v>53</v>
      </c>
      <c r="O357" s="390"/>
    </row>
    <row r="358" spans="1:15" x14ac:dyDescent="0.25">
      <c r="A358" s="384">
        <f t="shared" si="5"/>
        <v>53</v>
      </c>
      <c r="O358" s="390"/>
    </row>
    <row r="359" spans="1:15" x14ac:dyDescent="0.25">
      <c r="A359" s="384">
        <f t="shared" si="5"/>
        <v>53</v>
      </c>
      <c r="O359" s="390"/>
    </row>
    <row r="360" spans="1:15" x14ac:dyDescent="0.25">
      <c r="A360" s="384">
        <f t="shared" si="5"/>
        <v>53</v>
      </c>
      <c r="O360" s="390"/>
    </row>
    <row r="361" spans="1:15" x14ac:dyDescent="0.25">
      <c r="A361" s="384">
        <f t="shared" si="5"/>
        <v>53</v>
      </c>
      <c r="O361" s="390"/>
    </row>
    <row r="362" spans="1:15" x14ac:dyDescent="0.25">
      <c r="A362" s="384">
        <f t="shared" si="5"/>
        <v>53</v>
      </c>
      <c r="O362" s="390"/>
    </row>
    <row r="363" spans="1:15" x14ac:dyDescent="0.25">
      <c r="A363" s="384">
        <f t="shared" si="5"/>
        <v>53</v>
      </c>
      <c r="O363" s="390"/>
    </row>
    <row r="364" spans="1:15" x14ac:dyDescent="0.25">
      <c r="A364" s="384">
        <f t="shared" si="5"/>
        <v>53</v>
      </c>
      <c r="O364" s="390"/>
    </row>
    <row r="365" spans="1:15" x14ac:dyDescent="0.25">
      <c r="A365" s="384">
        <f t="shared" si="5"/>
        <v>53</v>
      </c>
      <c r="O365" s="390"/>
    </row>
    <row r="366" spans="1:15" x14ac:dyDescent="0.25">
      <c r="A366" s="384">
        <f t="shared" si="5"/>
        <v>53</v>
      </c>
      <c r="O366" s="390"/>
    </row>
    <row r="367" spans="1:15" x14ac:dyDescent="0.25">
      <c r="A367" s="384">
        <f t="shared" si="5"/>
        <v>53</v>
      </c>
      <c r="O367" s="390"/>
    </row>
    <row r="368" spans="1:15" x14ac:dyDescent="0.25">
      <c r="A368" s="384">
        <f t="shared" si="5"/>
        <v>53</v>
      </c>
      <c r="O368" s="390"/>
    </row>
    <row r="369" spans="1:15" x14ac:dyDescent="0.25">
      <c r="A369" s="384">
        <f t="shared" si="5"/>
        <v>53</v>
      </c>
      <c r="O369" s="390"/>
    </row>
    <row r="370" spans="1:15" x14ac:dyDescent="0.25">
      <c r="A370" s="384">
        <f t="shared" si="5"/>
        <v>53</v>
      </c>
      <c r="O370" s="390"/>
    </row>
    <row r="371" spans="1:15" x14ac:dyDescent="0.25">
      <c r="A371" s="384">
        <f t="shared" si="5"/>
        <v>53</v>
      </c>
      <c r="O371" s="390"/>
    </row>
    <row r="372" spans="1:15" x14ac:dyDescent="0.25">
      <c r="A372" s="384">
        <f t="shared" si="5"/>
        <v>53</v>
      </c>
      <c r="O372" s="390"/>
    </row>
    <row r="373" spans="1:15" x14ac:dyDescent="0.25">
      <c r="A373" s="384">
        <f t="shared" si="5"/>
        <v>53</v>
      </c>
      <c r="O373" s="390"/>
    </row>
    <row r="374" spans="1:15" x14ac:dyDescent="0.25">
      <c r="A374" s="384">
        <f t="shared" si="5"/>
        <v>53</v>
      </c>
      <c r="O374" s="390"/>
    </row>
    <row r="375" spans="1:15" x14ac:dyDescent="0.25">
      <c r="A375" s="384">
        <f t="shared" si="5"/>
        <v>53</v>
      </c>
      <c r="O375" s="390"/>
    </row>
    <row r="376" spans="1:15" x14ac:dyDescent="0.25">
      <c r="A376" s="384">
        <f t="shared" si="5"/>
        <v>53</v>
      </c>
      <c r="O376" s="390"/>
    </row>
    <row r="377" spans="1:15" x14ac:dyDescent="0.25">
      <c r="A377" s="384">
        <f t="shared" si="5"/>
        <v>53</v>
      </c>
      <c r="O377" s="390"/>
    </row>
    <row r="378" spans="1:15" x14ac:dyDescent="0.25">
      <c r="A378" s="384">
        <f t="shared" si="5"/>
        <v>53</v>
      </c>
      <c r="O378" s="390"/>
    </row>
    <row r="379" spans="1:15" x14ac:dyDescent="0.25">
      <c r="A379" s="384">
        <f t="shared" si="5"/>
        <v>53</v>
      </c>
      <c r="O379" s="390"/>
    </row>
    <row r="380" spans="1:15" x14ac:dyDescent="0.25">
      <c r="A380" s="384">
        <f t="shared" si="5"/>
        <v>53</v>
      </c>
      <c r="O380" s="390"/>
    </row>
    <row r="381" spans="1:15" x14ac:dyDescent="0.25">
      <c r="A381" s="384">
        <f t="shared" si="5"/>
        <v>53</v>
      </c>
      <c r="O381" s="390"/>
    </row>
    <row r="382" spans="1:15" x14ac:dyDescent="0.25">
      <c r="A382" s="384">
        <f t="shared" si="5"/>
        <v>53</v>
      </c>
      <c r="O382" s="390"/>
    </row>
    <row r="383" spans="1:15" x14ac:dyDescent="0.25">
      <c r="A383" s="384">
        <f t="shared" si="5"/>
        <v>53</v>
      </c>
      <c r="O383" s="390"/>
    </row>
    <row r="384" spans="1:15" x14ac:dyDescent="0.25">
      <c r="A384" s="384">
        <f t="shared" si="5"/>
        <v>53</v>
      </c>
      <c r="O384" s="390"/>
    </row>
    <row r="385" spans="1:15" x14ac:dyDescent="0.25">
      <c r="A385" s="384">
        <f t="shared" si="5"/>
        <v>53</v>
      </c>
      <c r="O385" s="390"/>
    </row>
    <row r="386" spans="1:15" x14ac:dyDescent="0.25">
      <c r="A386" s="384">
        <f t="shared" si="5"/>
        <v>53</v>
      </c>
      <c r="O386" s="390"/>
    </row>
    <row r="387" spans="1:15" x14ac:dyDescent="0.25">
      <c r="A387" s="384">
        <f t="shared" si="5"/>
        <v>53</v>
      </c>
      <c r="O387" s="390"/>
    </row>
    <row r="388" spans="1:15" x14ac:dyDescent="0.25">
      <c r="A388" s="384">
        <f t="shared" ref="A388:A451" si="6">WEEKNUM(B388,21)</f>
        <v>53</v>
      </c>
      <c r="O388" s="390"/>
    </row>
    <row r="389" spans="1:15" x14ac:dyDescent="0.25">
      <c r="A389" s="384">
        <f t="shared" si="6"/>
        <v>53</v>
      </c>
      <c r="O389" s="390"/>
    </row>
    <row r="390" spans="1:15" x14ac:dyDescent="0.25">
      <c r="A390" s="384">
        <f t="shared" si="6"/>
        <v>53</v>
      </c>
      <c r="O390" s="390"/>
    </row>
    <row r="391" spans="1:15" x14ac:dyDescent="0.25">
      <c r="A391" s="384">
        <f t="shared" si="6"/>
        <v>53</v>
      </c>
      <c r="O391" s="390"/>
    </row>
    <row r="392" spans="1:15" x14ac:dyDescent="0.25">
      <c r="A392" s="384">
        <f t="shared" si="6"/>
        <v>53</v>
      </c>
      <c r="O392" s="390"/>
    </row>
    <row r="393" spans="1:15" x14ac:dyDescent="0.25">
      <c r="A393" s="384">
        <f t="shared" si="6"/>
        <v>53</v>
      </c>
      <c r="O393" s="390"/>
    </row>
    <row r="394" spans="1:15" x14ac:dyDescent="0.25">
      <c r="A394" s="384">
        <f t="shared" si="6"/>
        <v>53</v>
      </c>
      <c r="O394" s="390"/>
    </row>
    <row r="395" spans="1:15" x14ac:dyDescent="0.25">
      <c r="A395" s="384">
        <f t="shared" si="6"/>
        <v>53</v>
      </c>
      <c r="O395" s="390"/>
    </row>
    <row r="396" spans="1:15" x14ac:dyDescent="0.25">
      <c r="A396" s="384">
        <f t="shared" si="6"/>
        <v>53</v>
      </c>
      <c r="O396" s="390"/>
    </row>
    <row r="397" spans="1:15" x14ac:dyDescent="0.25">
      <c r="A397" s="384">
        <f t="shared" si="6"/>
        <v>53</v>
      </c>
      <c r="O397" s="390"/>
    </row>
    <row r="398" spans="1:15" x14ac:dyDescent="0.25">
      <c r="A398" s="384">
        <f t="shared" si="6"/>
        <v>53</v>
      </c>
      <c r="O398" s="390"/>
    </row>
    <row r="399" spans="1:15" x14ac:dyDescent="0.25">
      <c r="A399" s="384">
        <f t="shared" si="6"/>
        <v>53</v>
      </c>
      <c r="O399" s="390"/>
    </row>
    <row r="400" spans="1:15" x14ac:dyDescent="0.25">
      <c r="A400" s="384">
        <f t="shared" si="6"/>
        <v>53</v>
      </c>
      <c r="O400" s="390"/>
    </row>
    <row r="401" spans="1:15" x14ac:dyDescent="0.25">
      <c r="A401" s="384">
        <f t="shared" si="6"/>
        <v>53</v>
      </c>
      <c r="O401" s="390"/>
    </row>
    <row r="402" spans="1:15" x14ac:dyDescent="0.25">
      <c r="A402" s="384">
        <f t="shared" si="6"/>
        <v>53</v>
      </c>
      <c r="O402" s="390"/>
    </row>
    <row r="403" spans="1:15" x14ac:dyDescent="0.25">
      <c r="A403" s="384">
        <f t="shared" si="6"/>
        <v>53</v>
      </c>
      <c r="O403" s="390"/>
    </row>
    <row r="404" spans="1:15" x14ac:dyDescent="0.25">
      <c r="A404" s="384">
        <f t="shared" si="6"/>
        <v>53</v>
      </c>
      <c r="O404" s="390"/>
    </row>
    <row r="405" spans="1:15" x14ac:dyDescent="0.25">
      <c r="A405" s="384">
        <f t="shared" si="6"/>
        <v>53</v>
      </c>
      <c r="O405" s="390"/>
    </row>
    <row r="406" spans="1:15" x14ac:dyDescent="0.25">
      <c r="A406" s="384">
        <f t="shared" si="6"/>
        <v>53</v>
      </c>
      <c r="O406" s="390"/>
    </row>
    <row r="407" spans="1:15" x14ac:dyDescent="0.25">
      <c r="A407" s="384">
        <f t="shared" si="6"/>
        <v>53</v>
      </c>
      <c r="O407" s="390"/>
    </row>
    <row r="408" spans="1:15" x14ac:dyDescent="0.25">
      <c r="A408" s="384">
        <f t="shared" si="6"/>
        <v>53</v>
      </c>
      <c r="O408" s="390"/>
    </row>
    <row r="409" spans="1:15" x14ac:dyDescent="0.25">
      <c r="A409" s="384">
        <f t="shared" si="6"/>
        <v>53</v>
      </c>
      <c r="O409" s="390"/>
    </row>
    <row r="410" spans="1:15" x14ac:dyDescent="0.25">
      <c r="A410" s="384">
        <f t="shared" si="6"/>
        <v>53</v>
      </c>
      <c r="O410" s="390"/>
    </row>
    <row r="411" spans="1:15" x14ac:dyDescent="0.25">
      <c r="A411" s="384">
        <f t="shared" si="6"/>
        <v>53</v>
      </c>
      <c r="O411" s="390"/>
    </row>
    <row r="412" spans="1:15" x14ac:dyDescent="0.25">
      <c r="A412" s="384">
        <f t="shared" si="6"/>
        <v>53</v>
      </c>
      <c r="O412" s="390"/>
    </row>
    <row r="413" spans="1:15" x14ac:dyDescent="0.25">
      <c r="A413" s="384">
        <f t="shared" si="6"/>
        <v>53</v>
      </c>
      <c r="O413" s="390"/>
    </row>
    <row r="414" spans="1:15" x14ac:dyDescent="0.25">
      <c r="A414" s="384">
        <f t="shared" si="6"/>
        <v>53</v>
      </c>
      <c r="O414" s="390"/>
    </row>
    <row r="415" spans="1:15" x14ac:dyDescent="0.25">
      <c r="A415" s="384">
        <f t="shared" si="6"/>
        <v>53</v>
      </c>
      <c r="O415" s="390"/>
    </row>
    <row r="416" spans="1:15" x14ac:dyDescent="0.25">
      <c r="A416" s="384">
        <f t="shared" si="6"/>
        <v>53</v>
      </c>
      <c r="O416" s="390"/>
    </row>
    <row r="417" spans="1:15" x14ac:dyDescent="0.25">
      <c r="A417" s="384">
        <f t="shared" si="6"/>
        <v>53</v>
      </c>
      <c r="O417" s="390"/>
    </row>
    <row r="418" spans="1:15" x14ac:dyDescent="0.25">
      <c r="A418" s="384">
        <f t="shared" si="6"/>
        <v>53</v>
      </c>
      <c r="O418" s="390"/>
    </row>
    <row r="419" spans="1:15" x14ac:dyDescent="0.25">
      <c r="A419" s="384">
        <f t="shared" si="6"/>
        <v>53</v>
      </c>
      <c r="O419" s="390"/>
    </row>
    <row r="420" spans="1:15" x14ac:dyDescent="0.25">
      <c r="A420" s="384">
        <f t="shared" si="6"/>
        <v>53</v>
      </c>
      <c r="O420" s="390"/>
    </row>
    <row r="421" spans="1:15" x14ac:dyDescent="0.25">
      <c r="A421" s="384">
        <f t="shared" si="6"/>
        <v>53</v>
      </c>
      <c r="O421" s="390"/>
    </row>
    <row r="422" spans="1:15" x14ac:dyDescent="0.25">
      <c r="A422" s="384">
        <f t="shared" si="6"/>
        <v>53</v>
      </c>
      <c r="O422" s="390"/>
    </row>
    <row r="423" spans="1:15" x14ac:dyDescent="0.25">
      <c r="A423" s="384">
        <f t="shared" si="6"/>
        <v>53</v>
      </c>
      <c r="O423" s="390"/>
    </row>
    <row r="424" spans="1:15" x14ac:dyDescent="0.25">
      <c r="A424" s="384">
        <f t="shared" si="6"/>
        <v>53</v>
      </c>
      <c r="O424" s="390"/>
    </row>
    <row r="425" spans="1:15" x14ac:dyDescent="0.25">
      <c r="A425" s="384">
        <f t="shared" si="6"/>
        <v>53</v>
      </c>
      <c r="O425" s="390"/>
    </row>
    <row r="426" spans="1:15" x14ac:dyDescent="0.25">
      <c r="A426" s="384">
        <f t="shared" si="6"/>
        <v>53</v>
      </c>
      <c r="O426" s="390"/>
    </row>
    <row r="427" spans="1:15" x14ac:dyDescent="0.25">
      <c r="A427" s="384">
        <f t="shared" si="6"/>
        <v>53</v>
      </c>
      <c r="O427" s="390"/>
    </row>
    <row r="428" spans="1:15" x14ac:dyDescent="0.25">
      <c r="A428" s="384">
        <f t="shared" si="6"/>
        <v>53</v>
      </c>
      <c r="O428" s="390"/>
    </row>
    <row r="429" spans="1:15" x14ac:dyDescent="0.25">
      <c r="A429" s="384">
        <f t="shared" si="6"/>
        <v>53</v>
      </c>
      <c r="O429" s="390"/>
    </row>
    <row r="430" spans="1:15" x14ac:dyDescent="0.25">
      <c r="A430" s="384">
        <f t="shared" si="6"/>
        <v>53</v>
      </c>
      <c r="O430" s="390"/>
    </row>
    <row r="431" spans="1:15" x14ac:dyDescent="0.25">
      <c r="A431" s="384">
        <f t="shared" si="6"/>
        <v>53</v>
      </c>
      <c r="O431" s="390"/>
    </row>
    <row r="432" spans="1:15" x14ac:dyDescent="0.25">
      <c r="A432" s="384">
        <f t="shared" si="6"/>
        <v>53</v>
      </c>
      <c r="O432" s="390"/>
    </row>
    <row r="433" spans="1:15" x14ac:dyDescent="0.25">
      <c r="A433" s="384">
        <f t="shared" si="6"/>
        <v>53</v>
      </c>
      <c r="O433" s="390"/>
    </row>
    <row r="434" spans="1:15" x14ac:dyDescent="0.25">
      <c r="A434" s="384">
        <f t="shared" si="6"/>
        <v>53</v>
      </c>
      <c r="O434" s="390"/>
    </row>
    <row r="435" spans="1:15" x14ac:dyDescent="0.25">
      <c r="A435" s="384">
        <f t="shared" si="6"/>
        <v>53</v>
      </c>
      <c r="O435" s="390"/>
    </row>
    <row r="436" spans="1:15" x14ac:dyDescent="0.25">
      <c r="A436" s="384">
        <f t="shared" si="6"/>
        <v>53</v>
      </c>
      <c r="O436" s="390"/>
    </row>
    <row r="437" spans="1:15" x14ac:dyDescent="0.25">
      <c r="A437" s="384">
        <f t="shared" si="6"/>
        <v>53</v>
      </c>
      <c r="O437" s="390"/>
    </row>
    <row r="438" spans="1:15" x14ac:dyDescent="0.25">
      <c r="A438" s="384">
        <f t="shared" si="6"/>
        <v>53</v>
      </c>
      <c r="O438" s="390"/>
    </row>
    <row r="439" spans="1:15" x14ac:dyDescent="0.25">
      <c r="A439" s="384">
        <f t="shared" si="6"/>
        <v>53</v>
      </c>
      <c r="O439" s="390"/>
    </row>
    <row r="440" spans="1:15" x14ac:dyDescent="0.25">
      <c r="A440" s="384">
        <f t="shared" si="6"/>
        <v>53</v>
      </c>
      <c r="O440" s="390"/>
    </row>
    <row r="441" spans="1:15" x14ac:dyDescent="0.25">
      <c r="A441" s="384">
        <f t="shared" si="6"/>
        <v>53</v>
      </c>
      <c r="O441" s="390"/>
    </row>
    <row r="442" spans="1:15" x14ac:dyDescent="0.25">
      <c r="A442" s="384">
        <f t="shared" si="6"/>
        <v>53</v>
      </c>
      <c r="O442" s="390"/>
    </row>
    <row r="443" spans="1:15" x14ac:dyDescent="0.25">
      <c r="A443" s="384">
        <f t="shared" si="6"/>
        <v>53</v>
      </c>
      <c r="O443" s="390"/>
    </row>
    <row r="444" spans="1:15" x14ac:dyDescent="0.25">
      <c r="A444" s="384">
        <f t="shared" si="6"/>
        <v>53</v>
      </c>
      <c r="O444" s="390"/>
    </row>
    <row r="445" spans="1:15" x14ac:dyDescent="0.25">
      <c r="A445" s="384">
        <f t="shared" si="6"/>
        <v>53</v>
      </c>
      <c r="O445" s="390"/>
    </row>
    <row r="446" spans="1:15" x14ac:dyDescent="0.25">
      <c r="A446" s="384">
        <f t="shared" si="6"/>
        <v>53</v>
      </c>
      <c r="O446" s="390"/>
    </row>
    <row r="447" spans="1:15" x14ac:dyDescent="0.25">
      <c r="A447" s="384">
        <f t="shared" si="6"/>
        <v>53</v>
      </c>
      <c r="O447" s="390"/>
    </row>
    <row r="448" spans="1:15" x14ac:dyDescent="0.25">
      <c r="A448" s="384">
        <f t="shared" si="6"/>
        <v>53</v>
      </c>
      <c r="O448" s="390"/>
    </row>
    <row r="449" spans="1:15" x14ac:dyDescent="0.25">
      <c r="A449" s="384">
        <f t="shared" si="6"/>
        <v>53</v>
      </c>
      <c r="O449" s="390"/>
    </row>
    <row r="450" spans="1:15" x14ac:dyDescent="0.25">
      <c r="A450" s="384">
        <f t="shared" si="6"/>
        <v>53</v>
      </c>
      <c r="O450" s="390"/>
    </row>
    <row r="451" spans="1:15" x14ac:dyDescent="0.25">
      <c r="A451" s="384">
        <f t="shared" si="6"/>
        <v>53</v>
      </c>
      <c r="O451" s="390"/>
    </row>
    <row r="452" spans="1:15" x14ac:dyDescent="0.25">
      <c r="A452" s="384">
        <f t="shared" ref="A452:A515" si="7">WEEKNUM(B452,21)</f>
        <v>53</v>
      </c>
      <c r="O452" s="390"/>
    </row>
    <row r="453" spans="1:15" x14ac:dyDescent="0.25">
      <c r="A453" s="384">
        <f t="shared" si="7"/>
        <v>53</v>
      </c>
      <c r="O453" s="390"/>
    </row>
    <row r="454" spans="1:15" x14ac:dyDescent="0.25">
      <c r="A454" s="384">
        <f t="shared" si="7"/>
        <v>53</v>
      </c>
      <c r="O454" s="390"/>
    </row>
    <row r="455" spans="1:15" x14ac:dyDescent="0.25">
      <c r="A455" s="384">
        <f t="shared" si="7"/>
        <v>53</v>
      </c>
      <c r="O455" s="390"/>
    </row>
    <row r="456" spans="1:15" x14ac:dyDescent="0.25">
      <c r="A456" s="384">
        <f t="shared" si="7"/>
        <v>53</v>
      </c>
      <c r="O456" s="390"/>
    </row>
    <row r="457" spans="1:15" x14ac:dyDescent="0.25">
      <c r="A457" s="384">
        <f t="shared" si="7"/>
        <v>53</v>
      </c>
      <c r="O457" s="390"/>
    </row>
    <row r="458" spans="1:15" x14ac:dyDescent="0.25">
      <c r="A458" s="384">
        <f t="shared" si="7"/>
        <v>53</v>
      </c>
      <c r="O458" s="390"/>
    </row>
    <row r="459" spans="1:15" x14ac:dyDescent="0.25">
      <c r="A459" s="384">
        <f t="shared" si="7"/>
        <v>53</v>
      </c>
      <c r="O459" s="390"/>
    </row>
    <row r="460" spans="1:15" x14ac:dyDescent="0.25">
      <c r="A460" s="384">
        <f t="shared" si="7"/>
        <v>53</v>
      </c>
      <c r="O460" s="390"/>
    </row>
    <row r="461" spans="1:15" x14ac:dyDescent="0.25">
      <c r="A461" s="384">
        <f t="shared" si="7"/>
        <v>53</v>
      </c>
      <c r="O461" s="390"/>
    </row>
    <row r="462" spans="1:15" x14ac:dyDescent="0.25">
      <c r="A462" s="384">
        <f t="shared" si="7"/>
        <v>53</v>
      </c>
      <c r="O462" s="390"/>
    </row>
    <row r="463" spans="1:15" x14ac:dyDescent="0.25">
      <c r="A463" s="384">
        <f t="shared" si="7"/>
        <v>53</v>
      </c>
      <c r="O463" s="390"/>
    </row>
    <row r="464" spans="1:15" x14ac:dyDescent="0.25">
      <c r="A464" s="384">
        <f t="shared" si="7"/>
        <v>53</v>
      </c>
      <c r="O464" s="390"/>
    </row>
    <row r="465" spans="1:15" x14ac:dyDescent="0.25">
      <c r="A465" s="384">
        <f t="shared" si="7"/>
        <v>53</v>
      </c>
      <c r="O465" s="390"/>
    </row>
    <row r="466" spans="1:15" x14ac:dyDescent="0.25">
      <c r="A466" s="384">
        <f t="shared" si="7"/>
        <v>53</v>
      </c>
      <c r="O466" s="390"/>
    </row>
    <row r="467" spans="1:15" x14ac:dyDescent="0.25">
      <c r="A467" s="384">
        <f t="shared" si="7"/>
        <v>53</v>
      </c>
      <c r="O467" s="390"/>
    </row>
    <row r="468" spans="1:15" x14ac:dyDescent="0.25">
      <c r="A468" s="384">
        <f t="shared" si="7"/>
        <v>53</v>
      </c>
      <c r="O468" s="390"/>
    </row>
    <row r="469" spans="1:15" x14ac:dyDescent="0.25">
      <c r="A469" s="384">
        <f t="shared" si="7"/>
        <v>53</v>
      </c>
      <c r="O469" s="390"/>
    </row>
    <row r="470" spans="1:15" x14ac:dyDescent="0.25">
      <c r="A470" s="384">
        <f t="shared" si="7"/>
        <v>53</v>
      </c>
      <c r="O470" s="390"/>
    </row>
    <row r="471" spans="1:15" x14ac:dyDescent="0.25">
      <c r="A471" s="384">
        <f t="shared" si="7"/>
        <v>53</v>
      </c>
      <c r="O471" s="390"/>
    </row>
    <row r="472" spans="1:15" x14ac:dyDescent="0.25">
      <c r="A472" s="384">
        <f t="shared" si="7"/>
        <v>53</v>
      </c>
      <c r="O472" s="390"/>
    </row>
    <row r="473" spans="1:15" x14ac:dyDescent="0.25">
      <c r="A473" s="384">
        <f t="shared" si="7"/>
        <v>53</v>
      </c>
      <c r="O473" s="390"/>
    </row>
    <row r="474" spans="1:15" x14ac:dyDescent="0.25">
      <c r="A474" s="384">
        <f t="shared" si="7"/>
        <v>53</v>
      </c>
      <c r="O474" s="390"/>
    </row>
    <row r="475" spans="1:15" x14ac:dyDescent="0.25">
      <c r="A475" s="384">
        <f t="shared" si="7"/>
        <v>53</v>
      </c>
      <c r="O475" s="390"/>
    </row>
    <row r="476" spans="1:15" x14ac:dyDescent="0.25">
      <c r="A476" s="384">
        <f t="shared" si="7"/>
        <v>53</v>
      </c>
      <c r="O476" s="390"/>
    </row>
    <row r="477" spans="1:15" x14ac:dyDescent="0.25">
      <c r="A477" s="384">
        <f t="shared" si="7"/>
        <v>53</v>
      </c>
      <c r="O477" s="390"/>
    </row>
    <row r="478" spans="1:15" x14ac:dyDescent="0.25">
      <c r="A478" s="384">
        <f t="shared" si="7"/>
        <v>53</v>
      </c>
      <c r="O478" s="390"/>
    </row>
    <row r="479" spans="1:15" x14ac:dyDescent="0.25">
      <c r="A479" s="384">
        <f t="shared" si="7"/>
        <v>53</v>
      </c>
      <c r="O479" s="390"/>
    </row>
    <row r="480" spans="1:15" x14ac:dyDescent="0.25">
      <c r="A480" s="384">
        <f t="shared" si="7"/>
        <v>53</v>
      </c>
      <c r="O480" s="390"/>
    </row>
    <row r="481" spans="1:15" x14ac:dyDescent="0.25">
      <c r="A481" s="384">
        <f t="shared" si="7"/>
        <v>53</v>
      </c>
      <c r="O481" s="390"/>
    </row>
    <row r="482" spans="1:15" x14ac:dyDescent="0.25">
      <c r="A482" s="384">
        <f t="shared" si="7"/>
        <v>53</v>
      </c>
      <c r="O482" s="390"/>
    </row>
    <row r="483" spans="1:15" x14ac:dyDescent="0.25">
      <c r="A483" s="384">
        <f t="shared" si="7"/>
        <v>53</v>
      </c>
      <c r="O483" s="390"/>
    </row>
    <row r="484" spans="1:15" x14ac:dyDescent="0.25">
      <c r="A484" s="384">
        <f t="shared" si="7"/>
        <v>53</v>
      </c>
      <c r="O484" s="390"/>
    </row>
    <row r="485" spans="1:15" x14ac:dyDescent="0.25">
      <c r="A485" s="384">
        <f t="shared" si="7"/>
        <v>53</v>
      </c>
      <c r="O485" s="390"/>
    </row>
    <row r="486" spans="1:15" x14ac:dyDescent="0.25">
      <c r="A486" s="384">
        <f t="shared" si="7"/>
        <v>53</v>
      </c>
      <c r="O486" s="390"/>
    </row>
    <row r="487" spans="1:15" x14ac:dyDescent="0.25">
      <c r="A487" s="384">
        <f t="shared" si="7"/>
        <v>53</v>
      </c>
      <c r="O487" s="390"/>
    </row>
    <row r="488" spans="1:15" x14ac:dyDescent="0.25">
      <c r="A488" s="384">
        <f t="shared" si="7"/>
        <v>53</v>
      </c>
      <c r="O488" s="390"/>
    </row>
    <row r="489" spans="1:15" x14ac:dyDescent="0.25">
      <c r="A489" s="384">
        <f t="shared" si="7"/>
        <v>53</v>
      </c>
      <c r="O489" s="390"/>
    </row>
    <row r="490" spans="1:15" x14ac:dyDescent="0.25">
      <c r="A490" s="384">
        <f t="shared" si="7"/>
        <v>53</v>
      </c>
      <c r="O490" s="390"/>
    </row>
    <row r="491" spans="1:15" x14ac:dyDescent="0.25">
      <c r="A491" s="384">
        <f t="shared" si="7"/>
        <v>53</v>
      </c>
      <c r="O491" s="390"/>
    </row>
    <row r="492" spans="1:15" x14ac:dyDescent="0.25">
      <c r="A492" s="384">
        <f t="shared" si="7"/>
        <v>53</v>
      </c>
      <c r="O492" s="390"/>
    </row>
    <row r="493" spans="1:15" x14ac:dyDescent="0.25">
      <c r="A493" s="384">
        <f t="shared" si="7"/>
        <v>53</v>
      </c>
      <c r="O493" s="390"/>
    </row>
    <row r="494" spans="1:15" x14ac:dyDescent="0.25">
      <c r="A494" s="384">
        <f t="shared" si="7"/>
        <v>53</v>
      </c>
      <c r="O494" s="390"/>
    </row>
    <row r="495" spans="1:15" x14ac:dyDescent="0.25">
      <c r="A495" s="384">
        <f t="shared" si="7"/>
        <v>53</v>
      </c>
      <c r="O495" s="390"/>
    </row>
    <row r="496" spans="1:15" x14ac:dyDescent="0.25">
      <c r="A496" s="384">
        <f t="shared" si="7"/>
        <v>53</v>
      </c>
      <c r="O496" s="390"/>
    </row>
    <row r="497" spans="1:15" x14ac:dyDescent="0.25">
      <c r="A497" s="384">
        <f t="shared" si="7"/>
        <v>53</v>
      </c>
      <c r="O497" s="390"/>
    </row>
    <row r="498" spans="1:15" x14ac:dyDescent="0.25">
      <c r="A498" s="384">
        <f t="shared" si="7"/>
        <v>53</v>
      </c>
      <c r="O498" s="390"/>
    </row>
    <row r="499" spans="1:15" x14ac:dyDescent="0.25">
      <c r="A499" s="384">
        <f t="shared" si="7"/>
        <v>53</v>
      </c>
      <c r="O499" s="390"/>
    </row>
    <row r="500" spans="1:15" x14ac:dyDescent="0.25">
      <c r="A500" s="384">
        <f t="shared" si="7"/>
        <v>53</v>
      </c>
      <c r="O500" s="390"/>
    </row>
    <row r="501" spans="1:15" x14ac:dyDescent="0.25">
      <c r="A501" s="384">
        <f t="shared" si="7"/>
        <v>53</v>
      </c>
      <c r="O501" s="390"/>
    </row>
    <row r="502" spans="1:15" x14ac:dyDescent="0.25">
      <c r="A502" s="384">
        <f t="shared" si="7"/>
        <v>53</v>
      </c>
      <c r="O502" s="390"/>
    </row>
    <row r="503" spans="1:15" x14ac:dyDescent="0.25">
      <c r="A503" s="384">
        <f t="shared" si="7"/>
        <v>53</v>
      </c>
      <c r="O503" s="390"/>
    </row>
    <row r="504" spans="1:15" x14ac:dyDescent="0.25">
      <c r="A504" s="384">
        <f t="shared" si="7"/>
        <v>53</v>
      </c>
      <c r="O504" s="390"/>
    </row>
    <row r="505" spans="1:15" x14ac:dyDescent="0.25">
      <c r="A505" s="384">
        <f t="shared" si="7"/>
        <v>53</v>
      </c>
      <c r="O505" s="390"/>
    </row>
    <row r="506" spans="1:15" x14ac:dyDescent="0.25">
      <c r="A506" s="384">
        <f t="shared" si="7"/>
        <v>53</v>
      </c>
      <c r="O506" s="390"/>
    </row>
    <row r="507" spans="1:15" x14ac:dyDescent="0.25">
      <c r="A507" s="384">
        <f t="shared" si="7"/>
        <v>53</v>
      </c>
      <c r="O507" s="390"/>
    </row>
    <row r="508" spans="1:15" x14ac:dyDescent="0.25">
      <c r="A508" s="384">
        <f t="shared" si="7"/>
        <v>53</v>
      </c>
      <c r="O508" s="390"/>
    </row>
    <row r="509" spans="1:15" x14ac:dyDescent="0.25">
      <c r="A509" s="384">
        <f t="shared" si="7"/>
        <v>53</v>
      </c>
      <c r="O509" s="390"/>
    </row>
    <row r="510" spans="1:15" x14ac:dyDescent="0.25">
      <c r="A510" s="384">
        <f t="shared" si="7"/>
        <v>53</v>
      </c>
      <c r="O510" s="390"/>
    </row>
    <row r="511" spans="1:15" x14ac:dyDescent="0.25">
      <c r="A511" s="384">
        <f t="shared" si="7"/>
        <v>53</v>
      </c>
      <c r="O511" s="390"/>
    </row>
    <row r="512" spans="1:15" x14ac:dyDescent="0.25">
      <c r="A512" s="384">
        <f t="shared" si="7"/>
        <v>53</v>
      </c>
      <c r="O512" s="390"/>
    </row>
    <row r="513" spans="1:15" x14ac:dyDescent="0.25">
      <c r="A513" s="384">
        <f t="shared" si="7"/>
        <v>53</v>
      </c>
      <c r="O513" s="390"/>
    </row>
    <row r="514" spans="1:15" x14ac:dyDescent="0.25">
      <c r="A514" s="384">
        <f t="shared" si="7"/>
        <v>53</v>
      </c>
      <c r="O514" s="390"/>
    </row>
    <row r="515" spans="1:15" x14ac:dyDescent="0.25">
      <c r="A515" s="384">
        <f t="shared" si="7"/>
        <v>53</v>
      </c>
      <c r="O515" s="390"/>
    </row>
    <row r="516" spans="1:15" x14ac:dyDescent="0.25">
      <c r="A516" s="384">
        <f t="shared" ref="A516:A579" si="8">WEEKNUM(B516,21)</f>
        <v>53</v>
      </c>
      <c r="O516" s="390"/>
    </row>
    <row r="517" spans="1:15" x14ac:dyDescent="0.25">
      <c r="A517" s="384">
        <f t="shared" si="8"/>
        <v>53</v>
      </c>
      <c r="O517" s="390"/>
    </row>
    <row r="518" spans="1:15" x14ac:dyDescent="0.25">
      <c r="A518" s="384">
        <f t="shared" si="8"/>
        <v>53</v>
      </c>
      <c r="O518" s="390"/>
    </row>
    <row r="519" spans="1:15" x14ac:dyDescent="0.25">
      <c r="A519" s="384">
        <f t="shared" si="8"/>
        <v>53</v>
      </c>
      <c r="O519" s="390"/>
    </row>
    <row r="520" spans="1:15" x14ac:dyDescent="0.25">
      <c r="A520" s="384">
        <f t="shared" si="8"/>
        <v>53</v>
      </c>
      <c r="O520" s="390"/>
    </row>
    <row r="521" spans="1:15" x14ac:dyDescent="0.25">
      <c r="A521" s="384">
        <f t="shared" si="8"/>
        <v>53</v>
      </c>
      <c r="O521" s="390"/>
    </row>
    <row r="522" spans="1:15" x14ac:dyDescent="0.25">
      <c r="A522" s="384">
        <f t="shared" si="8"/>
        <v>53</v>
      </c>
      <c r="O522" s="390"/>
    </row>
    <row r="523" spans="1:15" x14ac:dyDescent="0.25">
      <c r="A523" s="384">
        <f t="shared" si="8"/>
        <v>53</v>
      </c>
      <c r="O523" s="390"/>
    </row>
    <row r="524" spans="1:15" x14ac:dyDescent="0.25">
      <c r="A524" s="384">
        <f t="shared" si="8"/>
        <v>53</v>
      </c>
      <c r="O524" s="390"/>
    </row>
    <row r="525" spans="1:15" x14ac:dyDescent="0.25">
      <c r="A525" s="384">
        <f t="shared" si="8"/>
        <v>53</v>
      </c>
      <c r="O525" s="390"/>
    </row>
    <row r="526" spans="1:15" x14ac:dyDescent="0.25">
      <c r="A526" s="384">
        <f t="shared" si="8"/>
        <v>53</v>
      </c>
      <c r="O526" s="390"/>
    </row>
    <row r="527" spans="1:15" x14ac:dyDescent="0.25">
      <c r="A527" s="384">
        <f t="shared" si="8"/>
        <v>53</v>
      </c>
      <c r="O527" s="390"/>
    </row>
    <row r="528" spans="1:15" x14ac:dyDescent="0.25">
      <c r="A528" s="384">
        <f t="shared" si="8"/>
        <v>53</v>
      </c>
      <c r="O528" s="390"/>
    </row>
    <row r="529" spans="1:15" x14ac:dyDescent="0.25">
      <c r="A529" s="384">
        <f t="shared" si="8"/>
        <v>53</v>
      </c>
      <c r="O529" s="390"/>
    </row>
    <row r="530" spans="1:15" x14ac:dyDescent="0.25">
      <c r="A530" s="384">
        <f t="shared" si="8"/>
        <v>53</v>
      </c>
      <c r="O530" s="390"/>
    </row>
    <row r="531" spans="1:15" x14ac:dyDescent="0.25">
      <c r="A531" s="384">
        <f t="shared" si="8"/>
        <v>53</v>
      </c>
      <c r="O531" s="390"/>
    </row>
    <row r="532" spans="1:15" x14ac:dyDescent="0.25">
      <c r="A532" s="384">
        <f t="shared" si="8"/>
        <v>53</v>
      </c>
      <c r="O532" s="390"/>
    </row>
    <row r="533" spans="1:15" x14ac:dyDescent="0.25">
      <c r="A533" s="384">
        <f t="shared" si="8"/>
        <v>53</v>
      </c>
      <c r="O533" s="390"/>
    </row>
    <row r="534" spans="1:15" x14ac:dyDescent="0.25">
      <c r="A534" s="384">
        <f t="shared" si="8"/>
        <v>53</v>
      </c>
      <c r="O534" s="390"/>
    </row>
    <row r="535" spans="1:15" x14ac:dyDescent="0.25">
      <c r="A535" s="384">
        <f t="shared" si="8"/>
        <v>53</v>
      </c>
      <c r="O535" s="390"/>
    </row>
    <row r="536" spans="1:15" x14ac:dyDescent="0.25">
      <c r="A536" s="384">
        <f t="shared" si="8"/>
        <v>53</v>
      </c>
      <c r="O536" s="390"/>
    </row>
    <row r="537" spans="1:15" x14ac:dyDescent="0.25">
      <c r="A537" s="384">
        <f t="shared" si="8"/>
        <v>53</v>
      </c>
      <c r="O537" s="390"/>
    </row>
    <row r="538" spans="1:15" x14ac:dyDescent="0.25">
      <c r="A538" s="384">
        <f t="shared" si="8"/>
        <v>53</v>
      </c>
      <c r="O538" s="390"/>
    </row>
    <row r="539" spans="1:15" x14ac:dyDescent="0.25">
      <c r="A539" s="384">
        <f t="shared" si="8"/>
        <v>53</v>
      </c>
      <c r="O539" s="390"/>
    </row>
    <row r="540" spans="1:15" x14ac:dyDescent="0.25">
      <c r="A540" s="384">
        <f t="shared" si="8"/>
        <v>53</v>
      </c>
      <c r="O540" s="390"/>
    </row>
    <row r="541" spans="1:15" x14ac:dyDescent="0.25">
      <c r="A541" s="384">
        <f t="shared" si="8"/>
        <v>53</v>
      </c>
      <c r="O541" s="390"/>
    </row>
    <row r="542" spans="1:15" x14ac:dyDescent="0.25">
      <c r="A542" s="384">
        <f t="shared" si="8"/>
        <v>53</v>
      </c>
      <c r="O542" s="390"/>
    </row>
    <row r="543" spans="1:15" x14ac:dyDescent="0.25">
      <c r="A543" s="384">
        <f t="shared" si="8"/>
        <v>53</v>
      </c>
      <c r="O543" s="390"/>
    </row>
    <row r="544" spans="1:15" x14ac:dyDescent="0.25">
      <c r="A544" s="384">
        <f t="shared" si="8"/>
        <v>53</v>
      </c>
      <c r="O544" s="390"/>
    </row>
    <row r="545" spans="1:15" x14ac:dyDescent="0.25">
      <c r="A545" s="384">
        <f t="shared" si="8"/>
        <v>53</v>
      </c>
      <c r="O545" s="390"/>
    </row>
    <row r="546" spans="1:15" x14ac:dyDescent="0.25">
      <c r="A546" s="384">
        <f t="shared" si="8"/>
        <v>53</v>
      </c>
      <c r="O546" s="390"/>
    </row>
    <row r="547" spans="1:15" x14ac:dyDescent="0.25">
      <c r="A547" s="384">
        <f t="shared" si="8"/>
        <v>53</v>
      </c>
      <c r="O547" s="390"/>
    </row>
    <row r="548" spans="1:15" x14ac:dyDescent="0.25">
      <c r="A548" s="384">
        <f t="shared" si="8"/>
        <v>53</v>
      </c>
      <c r="O548" s="390"/>
    </row>
    <row r="549" spans="1:15" x14ac:dyDescent="0.25">
      <c r="A549" s="384">
        <f t="shared" si="8"/>
        <v>53</v>
      </c>
      <c r="O549" s="390"/>
    </row>
    <row r="550" spans="1:15" x14ac:dyDescent="0.25">
      <c r="A550" s="384">
        <f t="shared" si="8"/>
        <v>53</v>
      </c>
      <c r="O550" s="390"/>
    </row>
    <row r="551" spans="1:15" x14ac:dyDescent="0.25">
      <c r="A551" s="384">
        <f t="shared" si="8"/>
        <v>53</v>
      </c>
      <c r="O551" s="390"/>
    </row>
    <row r="552" spans="1:15" x14ac:dyDescent="0.25">
      <c r="A552" s="384">
        <f t="shared" si="8"/>
        <v>53</v>
      </c>
      <c r="O552" s="390"/>
    </row>
    <row r="553" spans="1:15" x14ac:dyDescent="0.25">
      <c r="A553" s="384">
        <f t="shared" si="8"/>
        <v>53</v>
      </c>
      <c r="O553" s="390"/>
    </row>
    <row r="554" spans="1:15" x14ac:dyDescent="0.25">
      <c r="A554" s="384">
        <f t="shared" si="8"/>
        <v>53</v>
      </c>
      <c r="O554" s="390"/>
    </row>
    <row r="555" spans="1:15" x14ac:dyDescent="0.25">
      <c r="A555" s="384">
        <f t="shared" si="8"/>
        <v>53</v>
      </c>
      <c r="O555" s="390"/>
    </row>
    <row r="556" spans="1:15" x14ac:dyDescent="0.25">
      <c r="A556" s="384">
        <f t="shared" si="8"/>
        <v>53</v>
      </c>
      <c r="O556" s="390"/>
    </row>
    <row r="557" spans="1:15" x14ac:dyDescent="0.25">
      <c r="A557" s="384">
        <f t="shared" si="8"/>
        <v>53</v>
      </c>
      <c r="O557" s="390"/>
    </row>
    <row r="558" spans="1:15" x14ac:dyDescent="0.25">
      <c r="A558" s="384">
        <f t="shared" si="8"/>
        <v>53</v>
      </c>
      <c r="O558" s="390"/>
    </row>
    <row r="559" spans="1:15" x14ac:dyDescent="0.25">
      <c r="A559" s="384">
        <f t="shared" si="8"/>
        <v>53</v>
      </c>
      <c r="O559" s="390"/>
    </row>
    <row r="560" spans="1:15" x14ac:dyDescent="0.25">
      <c r="A560" s="384">
        <f t="shared" si="8"/>
        <v>53</v>
      </c>
      <c r="O560" s="390"/>
    </row>
    <row r="561" spans="1:15" x14ac:dyDescent="0.25">
      <c r="A561" s="384">
        <f t="shared" si="8"/>
        <v>53</v>
      </c>
      <c r="O561" s="390"/>
    </row>
    <row r="562" spans="1:15" x14ac:dyDescent="0.25">
      <c r="A562" s="384">
        <f t="shared" si="8"/>
        <v>53</v>
      </c>
      <c r="O562" s="390"/>
    </row>
    <row r="563" spans="1:15" x14ac:dyDescent="0.25">
      <c r="A563" s="384">
        <f t="shared" si="8"/>
        <v>53</v>
      </c>
      <c r="O563" s="390"/>
    </row>
    <row r="564" spans="1:15" x14ac:dyDescent="0.25">
      <c r="A564" s="384">
        <f t="shared" si="8"/>
        <v>53</v>
      </c>
      <c r="O564" s="390"/>
    </row>
    <row r="565" spans="1:15" x14ac:dyDescent="0.25">
      <c r="A565" s="384">
        <f t="shared" si="8"/>
        <v>53</v>
      </c>
      <c r="O565" s="390"/>
    </row>
    <row r="566" spans="1:15" x14ac:dyDescent="0.25">
      <c r="A566" s="384">
        <f t="shared" si="8"/>
        <v>53</v>
      </c>
      <c r="O566" s="390"/>
    </row>
    <row r="567" spans="1:15" x14ac:dyDescent="0.25">
      <c r="A567" s="384">
        <f t="shared" si="8"/>
        <v>53</v>
      </c>
      <c r="O567" s="390"/>
    </row>
    <row r="568" spans="1:15" x14ac:dyDescent="0.25">
      <c r="A568" s="384">
        <f t="shared" si="8"/>
        <v>53</v>
      </c>
      <c r="O568" s="390"/>
    </row>
    <row r="569" spans="1:15" x14ac:dyDescent="0.25">
      <c r="A569" s="384">
        <f t="shared" si="8"/>
        <v>53</v>
      </c>
      <c r="O569" s="390"/>
    </row>
    <row r="570" spans="1:15" x14ac:dyDescent="0.25">
      <c r="A570" s="384">
        <f t="shared" si="8"/>
        <v>53</v>
      </c>
      <c r="O570" s="390"/>
    </row>
    <row r="571" spans="1:15" x14ac:dyDescent="0.25">
      <c r="A571" s="384">
        <f t="shared" si="8"/>
        <v>53</v>
      </c>
      <c r="O571" s="390"/>
    </row>
    <row r="572" spans="1:15" x14ac:dyDescent="0.25">
      <c r="A572" s="384">
        <f t="shared" si="8"/>
        <v>53</v>
      </c>
      <c r="O572" s="390"/>
    </row>
    <row r="573" spans="1:15" x14ac:dyDescent="0.25">
      <c r="A573" s="384">
        <f t="shared" si="8"/>
        <v>53</v>
      </c>
      <c r="O573" s="390"/>
    </row>
    <row r="574" spans="1:15" x14ac:dyDescent="0.25">
      <c r="A574" s="384">
        <f t="shared" si="8"/>
        <v>53</v>
      </c>
      <c r="O574" s="390"/>
    </row>
    <row r="575" spans="1:15" x14ac:dyDescent="0.25">
      <c r="A575" s="384">
        <f t="shared" si="8"/>
        <v>53</v>
      </c>
      <c r="O575" s="390"/>
    </row>
    <row r="576" spans="1:15" x14ac:dyDescent="0.25">
      <c r="A576" s="384">
        <f t="shared" si="8"/>
        <v>53</v>
      </c>
      <c r="O576" s="390"/>
    </row>
    <row r="577" spans="1:15" x14ac:dyDescent="0.25">
      <c r="A577" s="384">
        <f t="shared" si="8"/>
        <v>53</v>
      </c>
      <c r="O577" s="390"/>
    </row>
    <row r="578" spans="1:15" x14ac:dyDescent="0.25">
      <c r="A578" s="384">
        <f t="shared" si="8"/>
        <v>53</v>
      </c>
      <c r="O578" s="390"/>
    </row>
    <row r="579" spans="1:15" x14ac:dyDescent="0.25">
      <c r="A579" s="384">
        <f t="shared" si="8"/>
        <v>53</v>
      </c>
      <c r="O579" s="390"/>
    </row>
    <row r="580" spans="1:15" x14ac:dyDescent="0.25">
      <c r="A580" s="384">
        <f t="shared" ref="A580:A643" si="9">WEEKNUM(B580,21)</f>
        <v>53</v>
      </c>
      <c r="O580" s="390"/>
    </row>
    <row r="581" spans="1:15" x14ac:dyDescent="0.25">
      <c r="A581" s="384">
        <f t="shared" si="9"/>
        <v>53</v>
      </c>
      <c r="O581" s="390"/>
    </row>
    <row r="582" spans="1:15" x14ac:dyDescent="0.25">
      <c r="A582" s="384">
        <f t="shared" si="9"/>
        <v>53</v>
      </c>
      <c r="O582" s="390"/>
    </row>
    <row r="583" spans="1:15" x14ac:dyDescent="0.25">
      <c r="A583" s="384">
        <f t="shared" si="9"/>
        <v>53</v>
      </c>
      <c r="O583" s="390"/>
    </row>
    <row r="584" spans="1:15" x14ac:dyDescent="0.25">
      <c r="A584" s="384">
        <f t="shared" si="9"/>
        <v>53</v>
      </c>
      <c r="O584" s="390"/>
    </row>
    <row r="585" spans="1:15" x14ac:dyDescent="0.25">
      <c r="A585" s="384">
        <f t="shared" si="9"/>
        <v>53</v>
      </c>
      <c r="O585" s="390"/>
    </row>
    <row r="586" spans="1:15" x14ac:dyDescent="0.25">
      <c r="A586" s="384">
        <f t="shared" si="9"/>
        <v>53</v>
      </c>
      <c r="O586" s="390"/>
    </row>
    <row r="587" spans="1:15" x14ac:dyDescent="0.25">
      <c r="A587" s="384">
        <f t="shared" si="9"/>
        <v>53</v>
      </c>
      <c r="O587" s="390"/>
    </row>
    <row r="588" spans="1:15" x14ac:dyDescent="0.25">
      <c r="A588" s="384">
        <f t="shared" si="9"/>
        <v>53</v>
      </c>
      <c r="O588" s="390"/>
    </row>
    <row r="589" spans="1:15" x14ac:dyDescent="0.25">
      <c r="A589" s="384">
        <f t="shared" si="9"/>
        <v>53</v>
      </c>
      <c r="O589" s="390"/>
    </row>
    <row r="590" spans="1:15" x14ac:dyDescent="0.25">
      <c r="A590" s="384">
        <f t="shared" si="9"/>
        <v>53</v>
      </c>
      <c r="O590" s="390"/>
    </row>
    <row r="591" spans="1:15" x14ac:dyDescent="0.25">
      <c r="A591" s="384">
        <f t="shared" si="9"/>
        <v>53</v>
      </c>
      <c r="O591" s="390"/>
    </row>
    <row r="592" spans="1:15" x14ac:dyDescent="0.25">
      <c r="A592" s="384">
        <f t="shared" si="9"/>
        <v>53</v>
      </c>
      <c r="O592" s="390"/>
    </row>
    <row r="593" spans="1:15" x14ac:dyDescent="0.25">
      <c r="A593" s="384">
        <f t="shared" si="9"/>
        <v>53</v>
      </c>
      <c r="O593" s="390"/>
    </row>
    <row r="594" spans="1:15" x14ac:dyDescent="0.25">
      <c r="A594" s="384">
        <f t="shared" si="9"/>
        <v>53</v>
      </c>
      <c r="O594" s="390"/>
    </row>
    <row r="595" spans="1:15" x14ac:dyDescent="0.25">
      <c r="A595" s="384">
        <f t="shared" si="9"/>
        <v>53</v>
      </c>
      <c r="O595" s="390"/>
    </row>
    <row r="596" spans="1:15" x14ac:dyDescent="0.25">
      <c r="A596" s="384">
        <f t="shared" si="9"/>
        <v>53</v>
      </c>
      <c r="O596" s="390"/>
    </row>
    <row r="597" spans="1:15" x14ac:dyDescent="0.25">
      <c r="A597" s="384">
        <f t="shared" si="9"/>
        <v>53</v>
      </c>
      <c r="O597" s="390"/>
    </row>
    <row r="598" spans="1:15" x14ac:dyDescent="0.25">
      <c r="A598" s="384">
        <f t="shared" si="9"/>
        <v>53</v>
      </c>
      <c r="O598" s="390"/>
    </row>
    <row r="599" spans="1:15" x14ac:dyDescent="0.25">
      <c r="A599" s="384">
        <f t="shared" si="9"/>
        <v>53</v>
      </c>
      <c r="O599" s="390"/>
    </row>
    <row r="600" spans="1:15" x14ac:dyDescent="0.25">
      <c r="A600" s="384">
        <f t="shared" si="9"/>
        <v>53</v>
      </c>
      <c r="O600" s="390"/>
    </row>
    <row r="601" spans="1:15" x14ac:dyDescent="0.25">
      <c r="A601" s="384">
        <f t="shared" si="9"/>
        <v>53</v>
      </c>
      <c r="O601" s="390"/>
    </row>
    <row r="602" spans="1:15" x14ac:dyDescent="0.25">
      <c r="A602" s="384">
        <f t="shared" si="9"/>
        <v>53</v>
      </c>
      <c r="O602" s="390"/>
    </row>
    <row r="603" spans="1:15" x14ac:dyDescent="0.25">
      <c r="A603" s="384">
        <f t="shared" si="9"/>
        <v>53</v>
      </c>
      <c r="O603" s="390"/>
    </row>
    <row r="604" spans="1:15" x14ac:dyDescent="0.25">
      <c r="A604" s="384">
        <f t="shared" si="9"/>
        <v>53</v>
      </c>
      <c r="O604" s="390"/>
    </row>
    <row r="605" spans="1:15" x14ac:dyDescent="0.25">
      <c r="A605" s="384">
        <f t="shared" si="9"/>
        <v>53</v>
      </c>
      <c r="O605" s="390"/>
    </row>
    <row r="606" spans="1:15" x14ac:dyDescent="0.25">
      <c r="A606" s="384">
        <f t="shared" si="9"/>
        <v>53</v>
      </c>
      <c r="O606" s="390"/>
    </row>
    <row r="607" spans="1:15" x14ac:dyDescent="0.25">
      <c r="A607" s="384">
        <f t="shared" si="9"/>
        <v>53</v>
      </c>
      <c r="O607" s="390"/>
    </row>
    <row r="608" spans="1:15" x14ac:dyDescent="0.25">
      <c r="A608" s="384">
        <f t="shared" si="9"/>
        <v>53</v>
      </c>
      <c r="O608" s="390"/>
    </row>
    <row r="609" spans="1:15" x14ac:dyDescent="0.25">
      <c r="A609" s="384">
        <f t="shared" si="9"/>
        <v>53</v>
      </c>
      <c r="O609" s="390"/>
    </row>
    <row r="610" spans="1:15" x14ac:dyDescent="0.25">
      <c r="A610" s="384">
        <f t="shared" si="9"/>
        <v>53</v>
      </c>
      <c r="O610" s="390"/>
    </row>
    <row r="611" spans="1:15" x14ac:dyDescent="0.25">
      <c r="A611" s="384">
        <f t="shared" si="9"/>
        <v>53</v>
      </c>
      <c r="O611" s="390"/>
    </row>
    <row r="612" spans="1:15" x14ac:dyDescent="0.25">
      <c r="A612" s="384">
        <f t="shared" si="9"/>
        <v>53</v>
      </c>
      <c r="O612" s="390"/>
    </row>
    <row r="613" spans="1:15" x14ac:dyDescent="0.25">
      <c r="A613" s="384">
        <f t="shared" si="9"/>
        <v>53</v>
      </c>
      <c r="O613" s="390"/>
    </row>
    <row r="614" spans="1:15" x14ac:dyDescent="0.25">
      <c r="A614" s="384">
        <f t="shared" si="9"/>
        <v>53</v>
      </c>
      <c r="O614" s="390"/>
    </row>
    <row r="615" spans="1:15" x14ac:dyDescent="0.25">
      <c r="A615" s="384">
        <f t="shared" si="9"/>
        <v>53</v>
      </c>
      <c r="O615" s="390"/>
    </row>
    <row r="616" spans="1:15" x14ac:dyDescent="0.25">
      <c r="A616" s="384">
        <f t="shared" si="9"/>
        <v>53</v>
      </c>
      <c r="O616" s="390"/>
    </row>
    <row r="617" spans="1:15" x14ac:dyDescent="0.25">
      <c r="A617" s="384">
        <f t="shared" si="9"/>
        <v>53</v>
      </c>
      <c r="O617" s="390"/>
    </row>
    <row r="618" spans="1:15" x14ac:dyDescent="0.25">
      <c r="A618" s="384">
        <f t="shared" si="9"/>
        <v>53</v>
      </c>
      <c r="O618" s="390"/>
    </row>
    <row r="619" spans="1:15" x14ac:dyDescent="0.25">
      <c r="A619" s="384">
        <f t="shared" si="9"/>
        <v>53</v>
      </c>
      <c r="O619" s="390"/>
    </row>
    <row r="620" spans="1:15" x14ac:dyDescent="0.25">
      <c r="A620" s="384">
        <f t="shared" si="9"/>
        <v>53</v>
      </c>
      <c r="O620" s="390"/>
    </row>
    <row r="621" spans="1:15" x14ac:dyDescent="0.25">
      <c r="A621" s="384">
        <f t="shared" si="9"/>
        <v>53</v>
      </c>
      <c r="O621" s="390"/>
    </row>
    <row r="622" spans="1:15" x14ac:dyDescent="0.25">
      <c r="A622" s="384">
        <f t="shared" si="9"/>
        <v>53</v>
      </c>
      <c r="O622" s="390"/>
    </row>
    <row r="623" spans="1:15" x14ac:dyDescent="0.25">
      <c r="A623" s="384">
        <f t="shared" si="9"/>
        <v>53</v>
      </c>
      <c r="O623" s="390"/>
    </row>
    <row r="624" spans="1:15" x14ac:dyDescent="0.25">
      <c r="A624" s="384">
        <f t="shared" si="9"/>
        <v>53</v>
      </c>
      <c r="O624" s="390"/>
    </row>
    <row r="625" spans="1:15" x14ac:dyDescent="0.25">
      <c r="A625" s="384">
        <f t="shared" si="9"/>
        <v>53</v>
      </c>
      <c r="O625" s="390"/>
    </row>
    <row r="626" spans="1:15" x14ac:dyDescent="0.25">
      <c r="A626" s="384">
        <f t="shared" si="9"/>
        <v>53</v>
      </c>
      <c r="O626" s="390"/>
    </row>
    <row r="627" spans="1:15" x14ac:dyDescent="0.25">
      <c r="A627" s="384">
        <f t="shared" si="9"/>
        <v>53</v>
      </c>
      <c r="O627" s="390"/>
    </row>
    <row r="628" spans="1:15" x14ac:dyDescent="0.25">
      <c r="A628" s="384">
        <f t="shared" si="9"/>
        <v>53</v>
      </c>
      <c r="O628" s="390"/>
    </row>
    <row r="629" spans="1:15" x14ac:dyDescent="0.25">
      <c r="A629" s="384">
        <f t="shared" si="9"/>
        <v>53</v>
      </c>
      <c r="O629" s="390"/>
    </row>
    <row r="630" spans="1:15" x14ac:dyDescent="0.25">
      <c r="A630" s="384">
        <f t="shared" si="9"/>
        <v>53</v>
      </c>
      <c r="O630" s="390"/>
    </row>
    <row r="631" spans="1:15" x14ac:dyDescent="0.25">
      <c r="A631" s="384">
        <f t="shared" si="9"/>
        <v>53</v>
      </c>
      <c r="O631" s="390"/>
    </row>
    <row r="632" spans="1:15" x14ac:dyDescent="0.25">
      <c r="A632" s="384">
        <f t="shared" si="9"/>
        <v>53</v>
      </c>
      <c r="O632" s="390"/>
    </row>
    <row r="633" spans="1:15" x14ac:dyDescent="0.25">
      <c r="A633" s="384">
        <f t="shared" si="9"/>
        <v>53</v>
      </c>
      <c r="O633" s="390"/>
    </row>
    <row r="634" spans="1:15" x14ac:dyDescent="0.25">
      <c r="A634" s="384">
        <f t="shared" si="9"/>
        <v>53</v>
      </c>
      <c r="O634" s="390"/>
    </row>
    <row r="635" spans="1:15" x14ac:dyDescent="0.25">
      <c r="A635" s="384">
        <f t="shared" si="9"/>
        <v>53</v>
      </c>
      <c r="O635" s="390"/>
    </row>
    <row r="636" spans="1:15" x14ac:dyDescent="0.25">
      <c r="A636" s="384">
        <f t="shared" si="9"/>
        <v>53</v>
      </c>
      <c r="O636" s="390"/>
    </row>
    <row r="637" spans="1:15" x14ac:dyDescent="0.25">
      <c r="A637" s="384">
        <f t="shared" si="9"/>
        <v>53</v>
      </c>
      <c r="O637" s="390"/>
    </row>
    <row r="638" spans="1:15" x14ac:dyDescent="0.25">
      <c r="A638" s="384">
        <f t="shared" si="9"/>
        <v>53</v>
      </c>
      <c r="O638" s="390"/>
    </row>
    <row r="639" spans="1:15" x14ac:dyDescent="0.25">
      <c r="A639" s="384">
        <f t="shared" si="9"/>
        <v>53</v>
      </c>
      <c r="O639" s="390"/>
    </row>
    <row r="640" spans="1:15" x14ac:dyDescent="0.25">
      <c r="A640" s="384">
        <f t="shared" si="9"/>
        <v>53</v>
      </c>
      <c r="O640" s="390"/>
    </row>
    <row r="641" spans="1:15" x14ac:dyDescent="0.25">
      <c r="A641" s="384">
        <f t="shared" si="9"/>
        <v>53</v>
      </c>
      <c r="O641" s="390"/>
    </row>
    <row r="642" spans="1:15" x14ac:dyDescent="0.25">
      <c r="A642" s="384">
        <f t="shared" si="9"/>
        <v>53</v>
      </c>
      <c r="O642" s="390"/>
    </row>
    <row r="643" spans="1:15" x14ac:dyDescent="0.25">
      <c r="A643" s="384">
        <f t="shared" si="9"/>
        <v>53</v>
      </c>
      <c r="O643" s="390"/>
    </row>
    <row r="644" spans="1:15" x14ac:dyDescent="0.25">
      <c r="A644" s="384">
        <f t="shared" ref="A644:A707" si="10">WEEKNUM(B644,21)</f>
        <v>53</v>
      </c>
      <c r="O644" s="390"/>
    </row>
    <row r="645" spans="1:15" x14ac:dyDescent="0.25">
      <c r="A645" s="384">
        <f t="shared" si="10"/>
        <v>53</v>
      </c>
      <c r="O645" s="390"/>
    </row>
    <row r="646" spans="1:15" x14ac:dyDescent="0.25">
      <c r="A646" s="384">
        <f t="shared" si="10"/>
        <v>53</v>
      </c>
      <c r="O646" s="390"/>
    </row>
    <row r="647" spans="1:15" x14ac:dyDescent="0.25">
      <c r="A647" s="384">
        <f t="shared" si="10"/>
        <v>53</v>
      </c>
      <c r="O647" s="390"/>
    </row>
    <row r="648" spans="1:15" x14ac:dyDescent="0.25">
      <c r="A648" s="384">
        <f t="shared" si="10"/>
        <v>53</v>
      </c>
      <c r="O648" s="390"/>
    </row>
    <row r="649" spans="1:15" x14ac:dyDescent="0.25">
      <c r="A649" s="384">
        <f t="shared" si="10"/>
        <v>53</v>
      </c>
      <c r="O649" s="390"/>
    </row>
    <row r="650" spans="1:15" x14ac:dyDescent="0.25">
      <c r="A650" s="384">
        <f t="shared" si="10"/>
        <v>53</v>
      </c>
      <c r="O650" s="390"/>
    </row>
    <row r="651" spans="1:15" x14ac:dyDescent="0.25">
      <c r="A651" s="384">
        <f t="shared" si="10"/>
        <v>53</v>
      </c>
      <c r="O651" s="390"/>
    </row>
    <row r="652" spans="1:15" x14ac:dyDescent="0.25">
      <c r="A652" s="384">
        <f t="shared" si="10"/>
        <v>53</v>
      </c>
      <c r="O652" s="390"/>
    </row>
    <row r="653" spans="1:15" x14ac:dyDescent="0.25">
      <c r="A653" s="384">
        <f t="shared" si="10"/>
        <v>53</v>
      </c>
      <c r="O653" s="390"/>
    </row>
    <row r="654" spans="1:15" x14ac:dyDescent="0.25">
      <c r="A654" s="384">
        <f t="shared" si="10"/>
        <v>53</v>
      </c>
      <c r="O654" s="390"/>
    </row>
    <row r="655" spans="1:15" x14ac:dyDescent="0.25">
      <c r="A655" s="384">
        <f t="shared" si="10"/>
        <v>53</v>
      </c>
      <c r="O655" s="390"/>
    </row>
    <row r="656" spans="1:15" x14ac:dyDescent="0.25">
      <c r="A656" s="384">
        <f t="shared" si="10"/>
        <v>53</v>
      </c>
      <c r="O656" s="390"/>
    </row>
    <row r="657" spans="1:15" x14ac:dyDescent="0.25">
      <c r="A657" s="384">
        <f t="shared" si="10"/>
        <v>53</v>
      </c>
      <c r="O657" s="390"/>
    </row>
    <row r="658" spans="1:15" x14ac:dyDescent="0.25">
      <c r="A658" s="384">
        <f t="shared" si="10"/>
        <v>53</v>
      </c>
      <c r="O658" s="390"/>
    </row>
    <row r="659" spans="1:15" x14ac:dyDescent="0.25">
      <c r="A659" s="384">
        <f t="shared" si="10"/>
        <v>53</v>
      </c>
      <c r="O659" s="390"/>
    </row>
    <row r="660" spans="1:15" x14ac:dyDescent="0.25">
      <c r="A660" s="384">
        <f t="shared" si="10"/>
        <v>53</v>
      </c>
      <c r="O660" s="390"/>
    </row>
    <row r="661" spans="1:15" x14ac:dyDescent="0.25">
      <c r="A661" s="384">
        <f t="shared" si="10"/>
        <v>53</v>
      </c>
      <c r="O661" s="390"/>
    </row>
    <row r="662" spans="1:15" x14ac:dyDescent="0.25">
      <c r="A662" s="384">
        <f t="shared" si="10"/>
        <v>53</v>
      </c>
      <c r="O662" s="390"/>
    </row>
    <row r="663" spans="1:15" x14ac:dyDescent="0.25">
      <c r="A663" s="384">
        <f t="shared" si="10"/>
        <v>53</v>
      </c>
      <c r="O663" s="390"/>
    </row>
    <row r="664" spans="1:15" x14ac:dyDescent="0.25">
      <c r="A664" s="384">
        <f t="shared" si="10"/>
        <v>53</v>
      </c>
      <c r="O664" s="390"/>
    </row>
    <row r="665" spans="1:15" x14ac:dyDescent="0.25">
      <c r="A665" s="384">
        <f t="shared" si="10"/>
        <v>53</v>
      </c>
      <c r="O665" s="390"/>
    </row>
    <row r="666" spans="1:15" x14ac:dyDescent="0.25">
      <c r="A666" s="384">
        <f t="shared" si="10"/>
        <v>53</v>
      </c>
      <c r="O666" s="390"/>
    </row>
    <row r="667" spans="1:15" x14ac:dyDescent="0.25">
      <c r="A667" s="384">
        <f t="shared" si="10"/>
        <v>53</v>
      </c>
      <c r="O667" s="390"/>
    </row>
    <row r="668" spans="1:15" x14ac:dyDescent="0.25">
      <c r="A668" s="384">
        <f t="shared" si="10"/>
        <v>53</v>
      </c>
      <c r="O668" s="390"/>
    </row>
    <row r="669" spans="1:15" x14ac:dyDescent="0.25">
      <c r="A669" s="384">
        <f t="shared" si="10"/>
        <v>53</v>
      </c>
      <c r="O669" s="390"/>
    </row>
    <row r="670" spans="1:15" x14ac:dyDescent="0.25">
      <c r="A670" s="384">
        <f t="shared" si="10"/>
        <v>53</v>
      </c>
      <c r="O670" s="390"/>
    </row>
    <row r="671" spans="1:15" x14ac:dyDescent="0.25">
      <c r="A671" s="384">
        <f t="shared" si="10"/>
        <v>53</v>
      </c>
      <c r="O671" s="390"/>
    </row>
    <row r="672" spans="1:15" x14ac:dyDescent="0.25">
      <c r="A672" s="384">
        <f t="shared" si="10"/>
        <v>53</v>
      </c>
      <c r="O672" s="390"/>
    </row>
    <row r="673" spans="1:15" x14ac:dyDescent="0.25">
      <c r="A673" s="384">
        <f t="shared" si="10"/>
        <v>53</v>
      </c>
      <c r="O673" s="390"/>
    </row>
    <row r="674" spans="1:15" x14ac:dyDescent="0.25">
      <c r="A674" s="384">
        <f t="shared" si="10"/>
        <v>53</v>
      </c>
      <c r="O674" s="390"/>
    </row>
    <row r="675" spans="1:15" x14ac:dyDescent="0.25">
      <c r="A675" s="384">
        <f t="shared" si="10"/>
        <v>53</v>
      </c>
      <c r="O675" s="390"/>
    </row>
    <row r="676" spans="1:15" x14ac:dyDescent="0.25">
      <c r="A676" s="384">
        <f t="shared" si="10"/>
        <v>53</v>
      </c>
      <c r="O676" s="390"/>
    </row>
    <row r="677" spans="1:15" x14ac:dyDescent="0.25">
      <c r="A677" s="384">
        <f t="shared" si="10"/>
        <v>53</v>
      </c>
      <c r="O677" s="390"/>
    </row>
    <row r="678" spans="1:15" x14ac:dyDescent="0.25">
      <c r="A678" s="384">
        <f t="shared" si="10"/>
        <v>53</v>
      </c>
      <c r="O678" s="390"/>
    </row>
    <row r="679" spans="1:15" x14ac:dyDescent="0.25">
      <c r="A679" s="384">
        <f t="shared" si="10"/>
        <v>53</v>
      </c>
      <c r="O679" s="390"/>
    </row>
    <row r="680" spans="1:15" x14ac:dyDescent="0.25">
      <c r="A680" s="384">
        <f t="shared" si="10"/>
        <v>53</v>
      </c>
      <c r="O680" s="390"/>
    </row>
    <row r="681" spans="1:15" x14ac:dyDescent="0.25">
      <c r="A681" s="384">
        <f t="shared" si="10"/>
        <v>53</v>
      </c>
      <c r="O681" s="390"/>
    </row>
    <row r="682" spans="1:15" x14ac:dyDescent="0.25">
      <c r="A682" s="384">
        <f t="shared" si="10"/>
        <v>53</v>
      </c>
      <c r="O682" s="390"/>
    </row>
    <row r="683" spans="1:15" x14ac:dyDescent="0.25">
      <c r="A683" s="384">
        <f t="shared" si="10"/>
        <v>53</v>
      </c>
      <c r="O683" s="390"/>
    </row>
    <row r="684" spans="1:15" x14ac:dyDescent="0.25">
      <c r="A684" s="384">
        <f t="shared" si="10"/>
        <v>53</v>
      </c>
      <c r="O684" s="390"/>
    </row>
    <row r="685" spans="1:15" x14ac:dyDescent="0.25">
      <c r="A685" s="384">
        <f t="shared" si="10"/>
        <v>53</v>
      </c>
      <c r="O685" s="390"/>
    </row>
    <row r="686" spans="1:15" x14ac:dyDescent="0.25">
      <c r="A686" s="384">
        <f t="shared" si="10"/>
        <v>53</v>
      </c>
      <c r="O686" s="390"/>
    </row>
    <row r="687" spans="1:15" x14ac:dyDescent="0.25">
      <c r="A687" s="384">
        <f t="shared" si="10"/>
        <v>53</v>
      </c>
      <c r="O687" s="390"/>
    </row>
    <row r="688" spans="1:15" x14ac:dyDescent="0.25">
      <c r="A688" s="384">
        <f t="shared" si="10"/>
        <v>53</v>
      </c>
      <c r="O688" s="390"/>
    </row>
    <row r="689" spans="1:15" x14ac:dyDescent="0.25">
      <c r="A689" s="384">
        <f t="shared" si="10"/>
        <v>53</v>
      </c>
      <c r="O689" s="390"/>
    </row>
    <row r="690" spans="1:15" x14ac:dyDescent="0.25">
      <c r="A690" s="384">
        <f t="shared" si="10"/>
        <v>53</v>
      </c>
      <c r="O690" s="390"/>
    </row>
    <row r="691" spans="1:15" x14ac:dyDescent="0.25">
      <c r="A691" s="384">
        <f t="shared" si="10"/>
        <v>53</v>
      </c>
      <c r="O691" s="390"/>
    </row>
    <row r="692" spans="1:15" x14ac:dyDescent="0.25">
      <c r="A692" s="384">
        <f t="shared" si="10"/>
        <v>53</v>
      </c>
      <c r="O692" s="390"/>
    </row>
    <row r="693" spans="1:15" x14ac:dyDescent="0.25">
      <c r="A693" s="384">
        <f t="shared" si="10"/>
        <v>53</v>
      </c>
      <c r="O693" s="390"/>
    </row>
    <row r="694" spans="1:15" x14ac:dyDescent="0.25">
      <c r="A694" s="384">
        <f t="shared" si="10"/>
        <v>53</v>
      </c>
      <c r="O694" s="390"/>
    </row>
    <row r="695" spans="1:15" x14ac:dyDescent="0.25">
      <c r="A695" s="384">
        <f t="shared" si="10"/>
        <v>53</v>
      </c>
      <c r="O695" s="390"/>
    </row>
    <row r="696" spans="1:15" x14ac:dyDescent="0.25">
      <c r="A696" s="384">
        <f t="shared" si="10"/>
        <v>53</v>
      </c>
      <c r="O696" s="390"/>
    </row>
    <row r="697" spans="1:15" x14ac:dyDescent="0.25">
      <c r="A697" s="384">
        <f t="shared" si="10"/>
        <v>53</v>
      </c>
      <c r="O697" s="390"/>
    </row>
    <row r="698" spans="1:15" x14ac:dyDescent="0.25">
      <c r="A698" s="384">
        <f t="shared" si="10"/>
        <v>53</v>
      </c>
      <c r="O698" s="390"/>
    </row>
    <row r="699" spans="1:15" x14ac:dyDescent="0.25">
      <c r="A699" s="384">
        <f t="shared" si="10"/>
        <v>53</v>
      </c>
      <c r="O699" s="390"/>
    </row>
    <row r="700" spans="1:15" x14ac:dyDescent="0.25">
      <c r="A700" s="384">
        <f t="shared" si="10"/>
        <v>53</v>
      </c>
      <c r="O700" s="390"/>
    </row>
    <row r="701" spans="1:15" x14ac:dyDescent="0.25">
      <c r="A701" s="384">
        <f t="shared" si="10"/>
        <v>53</v>
      </c>
      <c r="O701" s="390"/>
    </row>
    <row r="702" spans="1:15" x14ac:dyDescent="0.25">
      <c r="A702" s="384">
        <f t="shared" si="10"/>
        <v>53</v>
      </c>
      <c r="O702" s="390"/>
    </row>
    <row r="703" spans="1:15" x14ac:dyDescent="0.25">
      <c r="A703" s="384">
        <f t="shared" si="10"/>
        <v>53</v>
      </c>
      <c r="O703" s="390"/>
    </row>
    <row r="704" spans="1:15" x14ac:dyDescent="0.25">
      <c r="A704" s="384">
        <f t="shared" si="10"/>
        <v>53</v>
      </c>
      <c r="O704" s="390"/>
    </row>
    <row r="705" spans="1:15" x14ac:dyDescent="0.25">
      <c r="A705" s="384">
        <f t="shared" si="10"/>
        <v>53</v>
      </c>
      <c r="O705" s="390"/>
    </row>
    <row r="706" spans="1:15" x14ac:dyDescent="0.25">
      <c r="A706" s="384">
        <f t="shared" si="10"/>
        <v>53</v>
      </c>
      <c r="O706" s="390"/>
    </row>
    <row r="707" spans="1:15" x14ac:dyDescent="0.25">
      <c r="A707" s="384">
        <f t="shared" si="10"/>
        <v>53</v>
      </c>
      <c r="O707" s="390"/>
    </row>
    <row r="708" spans="1:15" x14ac:dyDescent="0.25">
      <c r="A708" s="384">
        <f t="shared" ref="A708:A771" si="11">WEEKNUM(B708,21)</f>
        <v>53</v>
      </c>
      <c r="O708" s="390"/>
    </row>
    <row r="709" spans="1:15" x14ac:dyDescent="0.25">
      <c r="A709" s="384">
        <f t="shared" si="11"/>
        <v>53</v>
      </c>
      <c r="O709" s="390"/>
    </row>
    <row r="710" spans="1:15" x14ac:dyDescent="0.25">
      <c r="A710" s="384">
        <f t="shared" si="11"/>
        <v>53</v>
      </c>
      <c r="O710" s="390"/>
    </row>
    <row r="711" spans="1:15" x14ac:dyDescent="0.25">
      <c r="A711" s="384">
        <f t="shared" si="11"/>
        <v>53</v>
      </c>
      <c r="O711" s="390"/>
    </row>
    <row r="712" spans="1:15" x14ac:dyDescent="0.25">
      <c r="A712" s="384">
        <f t="shared" si="11"/>
        <v>53</v>
      </c>
      <c r="O712" s="390"/>
    </row>
    <row r="713" spans="1:15" x14ac:dyDescent="0.25">
      <c r="A713" s="384">
        <f t="shared" si="11"/>
        <v>53</v>
      </c>
      <c r="O713" s="390"/>
    </row>
    <row r="714" spans="1:15" x14ac:dyDescent="0.25">
      <c r="A714" s="384">
        <f t="shared" si="11"/>
        <v>53</v>
      </c>
      <c r="O714" s="390"/>
    </row>
    <row r="715" spans="1:15" x14ac:dyDescent="0.25">
      <c r="A715" s="384">
        <f t="shared" si="11"/>
        <v>53</v>
      </c>
      <c r="O715" s="390"/>
    </row>
    <row r="716" spans="1:15" x14ac:dyDescent="0.25">
      <c r="A716" s="384">
        <f t="shared" si="11"/>
        <v>53</v>
      </c>
      <c r="O716" s="390"/>
    </row>
    <row r="717" spans="1:15" x14ac:dyDescent="0.25">
      <c r="A717" s="384">
        <f t="shared" si="11"/>
        <v>53</v>
      </c>
      <c r="O717" s="390"/>
    </row>
    <row r="718" spans="1:15" x14ac:dyDescent="0.25">
      <c r="A718" s="384">
        <f t="shared" si="11"/>
        <v>53</v>
      </c>
      <c r="O718" s="390"/>
    </row>
    <row r="719" spans="1:15" x14ac:dyDescent="0.25">
      <c r="A719" s="384">
        <f t="shared" si="11"/>
        <v>53</v>
      </c>
      <c r="O719" s="390"/>
    </row>
    <row r="720" spans="1:15" x14ac:dyDescent="0.25">
      <c r="A720" s="384">
        <f t="shared" si="11"/>
        <v>53</v>
      </c>
      <c r="O720" s="390"/>
    </row>
    <row r="721" spans="1:15" x14ac:dyDescent="0.25">
      <c r="A721" s="384">
        <f t="shared" si="11"/>
        <v>53</v>
      </c>
      <c r="O721" s="390"/>
    </row>
    <row r="722" spans="1:15" x14ac:dyDescent="0.25">
      <c r="A722" s="384">
        <f t="shared" si="11"/>
        <v>53</v>
      </c>
      <c r="O722" s="390"/>
    </row>
    <row r="723" spans="1:15" x14ac:dyDescent="0.25">
      <c r="A723" s="384">
        <f t="shared" si="11"/>
        <v>53</v>
      </c>
      <c r="O723" s="390"/>
    </row>
    <row r="724" spans="1:15" x14ac:dyDescent="0.25">
      <c r="A724" s="384">
        <f t="shared" si="11"/>
        <v>53</v>
      </c>
      <c r="O724" s="390"/>
    </row>
    <row r="725" spans="1:15" x14ac:dyDescent="0.25">
      <c r="A725" s="384">
        <f t="shared" si="11"/>
        <v>53</v>
      </c>
      <c r="O725" s="390"/>
    </row>
    <row r="726" spans="1:15" x14ac:dyDescent="0.25">
      <c r="A726" s="384">
        <f t="shared" si="11"/>
        <v>53</v>
      </c>
      <c r="O726" s="390"/>
    </row>
    <row r="727" spans="1:15" x14ac:dyDescent="0.25">
      <c r="A727" s="384">
        <f t="shared" si="11"/>
        <v>53</v>
      </c>
      <c r="O727" s="390"/>
    </row>
    <row r="728" spans="1:15" x14ac:dyDescent="0.25">
      <c r="A728" s="384">
        <f t="shared" si="11"/>
        <v>53</v>
      </c>
      <c r="O728" s="390"/>
    </row>
    <row r="729" spans="1:15" x14ac:dyDescent="0.25">
      <c r="A729" s="384">
        <f t="shared" si="11"/>
        <v>53</v>
      </c>
      <c r="O729" s="390"/>
    </row>
    <row r="730" spans="1:15" x14ac:dyDescent="0.25">
      <c r="A730" s="384">
        <f t="shared" si="11"/>
        <v>53</v>
      </c>
      <c r="O730" s="390"/>
    </row>
    <row r="731" spans="1:15" x14ac:dyDescent="0.25">
      <c r="A731" s="384">
        <f t="shared" si="11"/>
        <v>53</v>
      </c>
      <c r="O731" s="390"/>
    </row>
    <row r="732" spans="1:15" x14ac:dyDescent="0.25">
      <c r="A732" s="384">
        <f t="shared" si="11"/>
        <v>53</v>
      </c>
      <c r="O732" s="390"/>
    </row>
    <row r="733" spans="1:15" x14ac:dyDescent="0.25">
      <c r="A733" s="384">
        <f t="shared" si="11"/>
        <v>53</v>
      </c>
      <c r="O733" s="390"/>
    </row>
    <row r="734" spans="1:15" x14ac:dyDescent="0.25">
      <c r="A734" s="384">
        <f t="shared" si="11"/>
        <v>53</v>
      </c>
      <c r="O734" s="390"/>
    </row>
    <row r="735" spans="1:15" x14ac:dyDescent="0.25">
      <c r="A735" s="384">
        <f t="shared" si="11"/>
        <v>53</v>
      </c>
      <c r="O735" s="390"/>
    </row>
    <row r="736" spans="1:15" x14ac:dyDescent="0.25">
      <c r="A736" s="384">
        <f t="shared" si="11"/>
        <v>53</v>
      </c>
      <c r="O736" s="390"/>
    </row>
    <row r="737" spans="1:15" x14ac:dyDescent="0.25">
      <c r="A737" s="384">
        <f t="shared" si="11"/>
        <v>53</v>
      </c>
      <c r="O737" s="390"/>
    </row>
    <row r="738" spans="1:15" x14ac:dyDescent="0.25">
      <c r="A738" s="384">
        <f t="shared" si="11"/>
        <v>53</v>
      </c>
      <c r="O738" s="390"/>
    </row>
    <row r="739" spans="1:15" x14ac:dyDescent="0.25">
      <c r="A739" s="384">
        <f t="shared" si="11"/>
        <v>53</v>
      </c>
      <c r="O739" s="390"/>
    </row>
    <row r="740" spans="1:15" x14ac:dyDescent="0.25">
      <c r="A740" s="384">
        <f t="shared" si="11"/>
        <v>53</v>
      </c>
      <c r="O740" s="390"/>
    </row>
    <row r="741" spans="1:15" x14ac:dyDescent="0.25">
      <c r="A741" s="384">
        <f t="shared" si="11"/>
        <v>53</v>
      </c>
      <c r="O741" s="390"/>
    </row>
    <row r="742" spans="1:15" x14ac:dyDescent="0.25">
      <c r="A742" s="384">
        <f t="shared" si="11"/>
        <v>53</v>
      </c>
      <c r="O742" s="390"/>
    </row>
    <row r="743" spans="1:15" x14ac:dyDescent="0.25">
      <c r="A743" s="384">
        <f t="shared" si="11"/>
        <v>53</v>
      </c>
      <c r="O743" s="390"/>
    </row>
    <row r="744" spans="1:15" x14ac:dyDescent="0.25">
      <c r="A744" s="384">
        <f t="shared" si="11"/>
        <v>53</v>
      </c>
      <c r="O744" s="390"/>
    </row>
    <row r="745" spans="1:15" x14ac:dyDescent="0.25">
      <c r="A745" s="384">
        <f t="shared" si="11"/>
        <v>53</v>
      </c>
      <c r="O745" s="390"/>
    </row>
    <row r="746" spans="1:15" x14ac:dyDescent="0.25">
      <c r="A746" s="384">
        <f t="shared" si="11"/>
        <v>53</v>
      </c>
      <c r="O746" s="390"/>
    </row>
    <row r="747" spans="1:15" x14ac:dyDescent="0.25">
      <c r="A747" s="384">
        <f t="shared" si="11"/>
        <v>53</v>
      </c>
      <c r="O747" s="390"/>
    </row>
    <row r="748" spans="1:15" x14ac:dyDescent="0.25">
      <c r="A748" s="384">
        <f t="shared" si="11"/>
        <v>53</v>
      </c>
      <c r="O748" s="390"/>
    </row>
    <row r="749" spans="1:15" x14ac:dyDescent="0.25">
      <c r="A749" s="384">
        <f t="shared" si="11"/>
        <v>53</v>
      </c>
      <c r="O749" s="390"/>
    </row>
    <row r="750" spans="1:15" x14ac:dyDescent="0.25">
      <c r="A750" s="384">
        <f t="shared" si="11"/>
        <v>53</v>
      </c>
      <c r="O750" s="390"/>
    </row>
    <row r="751" spans="1:15" x14ac:dyDescent="0.25">
      <c r="A751" s="384">
        <f t="shared" si="11"/>
        <v>53</v>
      </c>
      <c r="O751" s="390"/>
    </row>
    <row r="752" spans="1:15" x14ac:dyDescent="0.25">
      <c r="A752" s="384">
        <f t="shared" si="11"/>
        <v>53</v>
      </c>
      <c r="O752" s="390"/>
    </row>
    <row r="753" spans="1:15" x14ac:dyDescent="0.25">
      <c r="A753" s="384">
        <f t="shared" si="11"/>
        <v>53</v>
      </c>
      <c r="O753" s="390"/>
    </row>
    <row r="754" spans="1:15" x14ac:dyDescent="0.25">
      <c r="A754" s="384">
        <f t="shared" si="11"/>
        <v>53</v>
      </c>
      <c r="O754" s="390"/>
    </row>
    <row r="755" spans="1:15" x14ac:dyDescent="0.25">
      <c r="A755" s="384">
        <f t="shared" si="11"/>
        <v>53</v>
      </c>
      <c r="O755" s="390"/>
    </row>
    <row r="756" spans="1:15" x14ac:dyDescent="0.25">
      <c r="A756" s="384">
        <f t="shared" si="11"/>
        <v>53</v>
      </c>
      <c r="O756" s="390"/>
    </row>
    <row r="757" spans="1:15" x14ac:dyDescent="0.25">
      <c r="A757" s="384">
        <f t="shared" si="11"/>
        <v>53</v>
      </c>
      <c r="O757" s="390"/>
    </row>
    <row r="758" spans="1:15" x14ac:dyDescent="0.25">
      <c r="A758" s="384">
        <f t="shared" si="11"/>
        <v>53</v>
      </c>
      <c r="O758" s="390"/>
    </row>
    <row r="759" spans="1:15" x14ac:dyDescent="0.25">
      <c r="A759" s="384">
        <f t="shared" si="11"/>
        <v>53</v>
      </c>
      <c r="O759" s="390"/>
    </row>
    <row r="760" spans="1:15" x14ac:dyDescent="0.25">
      <c r="A760" s="384">
        <f t="shared" si="11"/>
        <v>53</v>
      </c>
      <c r="O760" s="390"/>
    </row>
    <row r="761" spans="1:15" x14ac:dyDescent="0.25">
      <c r="A761" s="384">
        <f t="shared" si="11"/>
        <v>53</v>
      </c>
      <c r="O761" s="390"/>
    </row>
    <row r="762" spans="1:15" x14ac:dyDescent="0.25">
      <c r="A762" s="384">
        <f t="shared" si="11"/>
        <v>53</v>
      </c>
      <c r="O762" s="390"/>
    </row>
    <row r="763" spans="1:15" x14ac:dyDescent="0.25">
      <c r="A763" s="384">
        <f t="shared" si="11"/>
        <v>53</v>
      </c>
      <c r="O763" s="390"/>
    </row>
    <row r="764" spans="1:15" x14ac:dyDescent="0.25">
      <c r="A764" s="384">
        <f t="shared" si="11"/>
        <v>53</v>
      </c>
      <c r="O764" s="390"/>
    </row>
    <row r="765" spans="1:15" x14ac:dyDescent="0.25">
      <c r="A765" s="384">
        <f t="shared" si="11"/>
        <v>53</v>
      </c>
      <c r="O765" s="390"/>
    </row>
    <row r="766" spans="1:15" x14ac:dyDescent="0.25">
      <c r="A766" s="384">
        <f t="shared" si="11"/>
        <v>53</v>
      </c>
      <c r="O766" s="390"/>
    </row>
    <row r="767" spans="1:15" x14ac:dyDescent="0.25">
      <c r="A767" s="384">
        <f t="shared" si="11"/>
        <v>53</v>
      </c>
      <c r="O767" s="390"/>
    </row>
    <row r="768" spans="1:15" x14ac:dyDescent="0.25">
      <c r="A768" s="384">
        <f t="shared" si="11"/>
        <v>53</v>
      </c>
      <c r="O768" s="390"/>
    </row>
    <row r="769" spans="1:15" x14ac:dyDescent="0.25">
      <c r="A769" s="384">
        <f t="shared" si="11"/>
        <v>53</v>
      </c>
      <c r="O769" s="390"/>
    </row>
    <row r="770" spans="1:15" x14ac:dyDescent="0.25">
      <c r="A770" s="384">
        <f t="shared" si="11"/>
        <v>53</v>
      </c>
      <c r="O770" s="390"/>
    </row>
    <row r="771" spans="1:15" x14ac:dyDescent="0.25">
      <c r="A771" s="384">
        <f t="shared" si="11"/>
        <v>53</v>
      </c>
      <c r="O771" s="390"/>
    </row>
    <row r="772" spans="1:15" x14ac:dyDescent="0.25">
      <c r="A772" s="384">
        <f t="shared" ref="A772:A835" si="12">WEEKNUM(B772,21)</f>
        <v>53</v>
      </c>
      <c r="O772" s="390"/>
    </row>
    <row r="773" spans="1:15" x14ac:dyDescent="0.25">
      <c r="A773" s="384">
        <f t="shared" si="12"/>
        <v>53</v>
      </c>
      <c r="O773" s="390"/>
    </row>
    <row r="774" spans="1:15" x14ac:dyDescent="0.25">
      <c r="A774" s="384">
        <f t="shared" si="12"/>
        <v>53</v>
      </c>
      <c r="O774" s="390"/>
    </row>
    <row r="775" spans="1:15" x14ac:dyDescent="0.25">
      <c r="A775" s="384">
        <f t="shared" si="12"/>
        <v>53</v>
      </c>
      <c r="O775" s="390"/>
    </row>
    <row r="776" spans="1:15" x14ac:dyDescent="0.25">
      <c r="A776" s="384">
        <f t="shared" si="12"/>
        <v>53</v>
      </c>
      <c r="O776" s="390"/>
    </row>
    <row r="777" spans="1:15" x14ac:dyDescent="0.25">
      <c r="A777" s="384">
        <f t="shared" si="12"/>
        <v>53</v>
      </c>
      <c r="O777" s="390"/>
    </row>
    <row r="778" spans="1:15" x14ac:dyDescent="0.25">
      <c r="A778" s="384">
        <f t="shared" si="12"/>
        <v>53</v>
      </c>
      <c r="O778" s="390"/>
    </row>
    <row r="779" spans="1:15" x14ac:dyDescent="0.25">
      <c r="A779" s="384">
        <f t="shared" si="12"/>
        <v>53</v>
      </c>
      <c r="O779" s="390"/>
    </row>
    <row r="780" spans="1:15" x14ac:dyDescent="0.25">
      <c r="A780" s="384">
        <f t="shared" si="12"/>
        <v>53</v>
      </c>
      <c r="O780" s="390"/>
    </row>
    <row r="781" spans="1:15" x14ac:dyDescent="0.25">
      <c r="A781" s="384">
        <f t="shared" si="12"/>
        <v>53</v>
      </c>
      <c r="O781" s="390"/>
    </row>
    <row r="782" spans="1:15" x14ac:dyDescent="0.25">
      <c r="A782" s="384">
        <f t="shared" si="12"/>
        <v>53</v>
      </c>
      <c r="O782" s="390"/>
    </row>
    <row r="783" spans="1:15" x14ac:dyDescent="0.25">
      <c r="A783" s="384">
        <f t="shared" si="12"/>
        <v>53</v>
      </c>
      <c r="O783" s="390"/>
    </row>
    <row r="784" spans="1:15" x14ac:dyDescent="0.25">
      <c r="A784" s="384">
        <f t="shared" si="12"/>
        <v>53</v>
      </c>
      <c r="O784" s="390"/>
    </row>
    <row r="785" spans="1:15" x14ac:dyDescent="0.25">
      <c r="A785" s="384">
        <f t="shared" si="12"/>
        <v>53</v>
      </c>
      <c r="O785" s="390"/>
    </row>
    <row r="786" spans="1:15" x14ac:dyDescent="0.25">
      <c r="A786" s="384">
        <f t="shared" si="12"/>
        <v>53</v>
      </c>
      <c r="O786" s="390"/>
    </row>
    <row r="787" spans="1:15" x14ac:dyDescent="0.25">
      <c r="A787" s="384">
        <f t="shared" si="12"/>
        <v>53</v>
      </c>
      <c r="O787" s="390"/>
    </row>
    <row r="788" spans="1:15" x14ac:dyDescent="0.25">
      <c r="A788" s="384">
        <f t="shared" si="12"/>
        <v>53</v>
      </c>
      <c r="O788" s="390"/>
    </row>
    <row r="789" spans="1:15" x14ac:dyDescent="0.25">
      <c r="A789" s="384">
        <f t="shared" si="12"/>
        <v>53</v>
      </c>
      <c r="O789" s="390"/>
    </row>
    <row r="790" spans="1:15" x14ac:dyDescent="0.25">
      <c r="A790" s="384">
        <f t="shared" si="12"/>
        <v>53</v>
      </c>
      <c r="O790" s="390"/>
    </row>
    <row r="791" spans="1:15" x14ac:dyDescent="0.25">
      <c r="A791" s="384">
        <f t="shared" si="12"/>
        <v>53</v>
      </c>
      <c r="O791" s="390"/>
    </row>
    <row r="792" spans="1:15" x14ac:dyDescent="0.25">
      <c r="A792" s="384">
        <f t="shared" si="12"/>
        <v>53</v>
      </c>
      <c r="O792" s="390"/>
    </row>
    <row r="793" spans="1:15" x14ac:dyDescent="0.25">
      <c r="A793" s="384">
        <f t="shared" si="12"/>
        <v>53</v>
      </c>
      <c r="O793" s="390"/>
    </row>
    <row r="794" spans="1:15" x14ac:dyDescent="0.25">
      <c r="A794" s="384">
        <f t="shared" si="12"/>
        <v>53</v>
      </c>
      <c r="O794" s="390"/>
    </row>
    <row r="795" spans="1:15" x14ac:dyDescent="0.25">
      <c r="A795" s="384">
        <f t="shared" si="12"/>
        <v>53</v>
      </c>
      <c r="O795" s="390"/>
    </row>
    <row r="796" spans="1:15" x14ac:dyDescent="0.25">
      <c r="A796" s="384">
        <f t="shared" si="12"/>
        <v>53</v>
      </c>
      <c r="O796" s="390"/>
    </row>
    <row r="797" spans="1:15" x14ac:dyDescent="0.25">
      <c r="A797" s="384">
        <f t="shared" si="12"/>
        <v>53</v>
      </c>
      <c r="O797" s="390"/>
    </row>
    <row r="798" spans="1:15" x14ac:dyDescent="0.25">
      <c r="A798" s="384">
        <f t="shared" si="12"/>
        <v>53</v>
      </c>
      <c r="O798" s="390"/>
    </row>
    <row r="799" spans="1:15" x14ac:dyDescent="0.25">
      <c r="A799" s="384">
        <f t="shared" si="12"/>
        <v>53</v>
      </c>
      <c r="O799" s="390"/>
    </row>
    <row r="800" spans="1:15" x14ac:dyDescent="0.25">
      <c r="A800" s="384">
        <f t="shared" si="12"/>
        <v>53</v>
      </c>
      <c r="O800" s="390"/>
    </row>
    <row r="801" spans="1:15" x14ac:dyDescent="0.25">
      <c r="A801" s="384">
        <f t="shared" si="12"/>
        <v>53</v>
      </c>
      <c r="O801" s="390"/>
    </row>
    <row r="802" spans="1:15" x14ac:dyDescent="0.25">
      <c r="A802" s="384">
        <f t="shared" si="12"/>
        <v>53</v>
      </c>
      <c r="O802" s="390"/>
    </row>
    <row r="803" spans="1:15" x14ac:dyDescent="0.25">
      <c r="A803" s="384">
        <f t="shared" si="12"/>
        <v>53</v>
      </c>
      <c r="O803" s="390"/>
    </row>
    <row r="804" spans="1:15" x14ac:dyDescent="0.25">
      <c r="A804" s="384">
        <f t="shared" si="12"/>
        <v>53</v>
      </c>
      <c r="O804" s="390"/>
    </row>
    <row r="805" spans="1:15" x14ac:dyDescent="0.25">
      <c r="A805" s="384">
        <f t="shared" si="12"/>
        <v>53</v>
      </c>
      <c r="O805" s="390"/>
    </row>
    <row r="806" spans="1:15" x14ac:dyDescent="0.25">
      <c r="A806" s="384">
        <f t="shared" si="12"/>
        <v>53</v>
      </c>
      <c r="O806" s="390"/>
    </row>
    <row r="807" spans="1:15" x14ac:dyDescent="0.25">
      <c r="A807" s="384">
        <f t="shared" si="12"/>
        <v>53</v>
      </c>
      <c r="O807" s="390"/>
    </row>
    <row r="808" spans="1:15" x14ac:dyDescent="0.25">
      <c r="A808" s="384">
        <f t="shared" si="12"/>
        <v>53</v>
      </c>
      <c r="O808" s="390"/>
    </row>
    <row r="809" spans="1:15" x14ac:dyDescent="0.25">
      <c r="A809" s="384">
        <f t="shared" si="12"/>
        <v>53</v>
      </c>
      <c r="O809" s="390"/>
    </row>
    <row r="810" spans="1:15" x14ac:dyDescent="0.25">
      <c r="A810" s="384">
        <f t="shared" si="12"/>
        <v>53</v>
      </c>
      <c r="O810" s="390"/>
    </row>
    <row r="811" spans="1:15" x14ac:dyDescent="0.25">
      <c r="A811" s="384">
        <f t="shared" si="12"/>
        <v>53</v>
      </c>
      <c r="O811" s="390"/>
    </row>
    <row r="812" spans="1:15" x14ac:dyDescent="0.25">
      <c r="A812" s="384">
        <f t="shared" si="12"/>
        <v>53</v>
      </c>
      <c r="O812" s="390"/>
    </row>
    <row r="813" spans="1:15" x14ac:dyDescent="0.25">
      <c r="A813" s="384">
        <f t="shared" si="12"/>
        <v>53</v>
      </c>
      <c r="O813" s="390"/>
    </row>
    <row r="814" spans="1:15" x14ac:dyDescent="0.25">
      <c r="A814" s="384">
        <f t="shared" si="12"/>
        <v>53</v>
      </c>
      <c r="O814" s="390"/>
    </row>
    <row r="815" spans="1:15" x14ac:dyDescent="0.25">
      <c r="A815" s="384">
        <f t="shared" si="12"/>
        <v>53</v>
      </c>
      <c r="O815" s="390"/>
    </row>
    <row r="816" spans="1:15" x14ac:dyDescent="0.25">
      <c r="A816" s="384">
        <f t="shared" si="12"/>
        <v>53</v>
      </c>
      <c r="O816" s="390"/>
    </row>
    <row r="817" spans="1:15" x14ac:dyDescent="0.25">
      <c r="A817" s="384">
        <f t="shared" si="12"/>
        <v>53</v>
      </c>
      <c r="O817" s="390"/>
    </row>
    <row r="818" spans="1:15" x14ac:dyDescent="0.25">
      <c r="A818" s="384">
        <f t="shared" si="12"/>
        <v>53</v>
      </c>
      <c r="O818" s="390"/>
    </row>
    <row r="819" spans="1:15" x14ac:dyDescent="0.25">
      <c r="A819" s="384">
        <f t="shared" si="12"/>
        <v>53</v>
      </c>
      <c r="O819" s="390"/>
    </row>
    <row r="820" spans="1:15" x14ac:dyDescent="0.25">
      <c r="A820" s="384">
        <f t="shared" si="12"/>
        <v>53</v>
      </c>
      <c r="O820" s="390"/>
    </row>
    <row r="821" spans="1:15" x14ac:dyDescent="0.25">
      <c r="A821" s="384">
        <f t="shared" si="12"/>
        <v>53</v>
      </c>
      <c r="O821" s="390"/>
    </row>
    <row r="822" spans="1:15" x14ac:dyDescent="0.25">
      <c r="A822" s="384">
        <f t="shared" si="12"/>
        <v>53</v>
      </c>
      <c r="O822" s="390"/>
    </row>
    <row r="823" spans="1:15" x14ac:dyDescent="0.25">
      <c r="A823" s="384">
        <f t="shared" si="12"/>
        <v>53</v>
      </c>
      <c r="O823" s="390"/>
    </row>
    <row r="824" spans="1:15" x14ac:dyDescent="0.25">
      <c r="A824" s="384">
        <f t="shared" si="12"/>
        <v>53</v>
      </c>
      <c r="O824" s="390"/>
    </row>
    <row r="825" spans="1:15" x14ac:dyDescent="0.25">
      <c r="A825" s="384">
        <f t="shared" si="12"/>
        <v>53</v>
      </c>
      <c r="O825" s="390"/>
    </row>
    <row r="826" spans="1:15" x14ac:dyDescent="0.25">
      <c r="A826" s="384">
        <f t="shared" si="12"/>
        <v>53</v>
      </c>
      <c r="O826" s="390"/>
    </row>
    <row r="827" spans="1:15" x14ac:dyDescent="0.25">
      <c r="A827" s="384">
        <f t="shared" si="12"/>
        <v>53</v>
      </c>
      <c r="O827" s="390"/>
    </row>
    <row r="828" spans="1:15" x14ac:dyDescent="0.25">
      <c r="A828" s="384">
        <f t="shared" si="12"/>
        <v>53</v>
      </c>
      <c r="O828" s="390"/>
    </row>
    <row r="829" spans="1:15" x14ac:dyDescent="0.25">
      <c r="A829" s="384">
        <f t="shared" si="12"/>
        <v>53</v>
      </c>
      <c r="O829" s="390"/>
    </row>
    <row r="830" spans="1:15" x14ac:dyDescent="0.25">
      <c r="A830" s="384">
        <f t="shared" si="12"/>
        <v>53</v>
      </c>
      <c r="O830" s="390"/>
    </row>
    <row r="831" spans="1:15" x14ac:dyDescent="0.25">
      <c r="A831" s="384">
        <f t="shared" si="12"/>
        <v>53</v>
      </c>
      <c r="O831" s="390"/>
    </row>
    <row r="832" spans="1:15" x14ac:dyDescent="0.25">
      <c r="A832" s="384">
        <f t="shared" si="12"/>
        <v>53</v>
      </c>
      <c r="O832" s="390"/>
    </row>
    <row r="833" spans="1:15" x14ac:dyDescent="0.25">
      <c r="A833" s="384">
        <f t="shared" si="12"/>
        <v>53</v>
      </c>
      <c r="O833" s="390"/>
    </row>
    <row r="834" spans="1:15" x14ac:dyDescent="0.25">
      <c r="A834" s="384">
        <f t="shared" si="12"/>
        <v>53</v>
      </c>
      <c r="O834" s="390"/>
    </row>
    <row r="835" spans="1:15" x14ac:dyDescent="0.25">
      <c r="A835" s="384">
        <f t="shared" si="12"/>
        <v>53</v>
      </c>
      <c r="O835" s="390"/>
    </row>
    <row r="836" spans="1:15" x14ac:dyDescent="0.25">
      <c r="A836" s="384">
        <f t="shared" ref="A836:A899" si="13">WEEKNUM(B836,21)</f>
        <v>53</v>
      </c>
      <c r="O836" s="390"/>
    </row>
    <row r="837" spans="1:15" x14ac:dyDescent="0.25">
      <c r="A837" s="384">
        <f t="shared" si="13"/>
        <v>53</v>
      </c>
      <c r="O837" s="390"/>
    </row>
    <row r="838" spans="1:15" x14ac:dyDescent="0.25">
      <c r="A838" s="384">
        <f t="shared" si="13"/>
        <v>53</v>
      </c>
      <c r="O838" s="390"/>
    </row>
    <row r="839" spans="1:15" x14ac:dyDescent="0.25">
      <c r="A839" s="384">
        <f t="shared" si="13"/>
        <v>53</v>
      </c>
      <c r="O839" s="390"/>
    </row>
    <row r="840" spans="1:15" x14ac:dyDescent="0.25">
      <c r="A840" s="384">
        <f t="shared" si="13"/>
        <v>53</v>
      </c>
      <c r="O840" s="390"/>
    </row>
    <row r="841" spans="1:15" x14ac:dyDescent="0.25">
      <c r="A841" s="384">
        <f t="shared" si="13"/>
        <v>53</v>
      </c>
      <c r="O841" s="390"/>
    </row>
    <row r="842" spans="1:15" x14ac:dyDescent="0.25">
      <c r="A842" s="384">
        <f t="shared" si="13"/>
        <v>53</v>
      </c>
      <c r="O842" s="390"/>
    </row>
    <row r="843" spans="1:15" x14ac:dyDescent="0.25">
      <c r="A843" s="384">
        <f t="shared" si="13"/>
        <v>53</v>
      </c>
      <c r="O843" s="390"/>
    </row>
    <row r="844" spans="1:15" x14ac:dyDescent="0.25">
      <c r="A844" s="384">
        <f t="shared" si="13"/>
        <v>53</v>
      </c>
      <c r="O844" s="390"/>
    </row>
    <row r="845" spans="1:15" x14ac:dyDescent="0.25">
      <c r="A845" s="384">
        <f t="shared" si="13"/>
        <v>53</v>
      </c>
      <c r="O845" s="390"/>
    </row>
    <row r="846" spans="1:15" x14ac:dyDescent="0.25">
      <c r="A846" s="384">
        <f t="shared" si="13"/>
        <v>53</v>
      </c>
      <c r="O846" s="390"/>
    </row>
    <row r="847" spans="1:15" x14ac:dyDescent="0.25">
      <c r="A847" s="384">
        <f t="shared" si="13"/>
        <v>53</v>
      </c>
      <c r="O847" s="390"/>
    </row>
    <row r="848" spans="1:15" x14ac:dyDescent="0.25">
      <c r="A848" s="384">
        <f t="shared" si="13"/>
        <v>53</v>
      </c>
      <c r="O848" s="390"/>
    </row>
    <row r="849" spans="1:15" x14ac:dyDescent="0.25">
      <c r="A849" s="384">
        <f t="shared" si="13"/>
        <v>53</v>
      </c>
      <c r="O849" s="390"/>
    </row>
    <row r="850" spans="1:15" x14ac:dyDescent="0.25">
      <c r="A850" s="384">
        <f t="shared" si="13"/>
        <v>53</v>
      </c>
      <c r="O850" s="390"/>
    </row>
    <row r="851" spans="1:15" x14ac:dyDescent="0.25">
      <c r="A851" s="384">
        <f t="shared" si="13"/>
        <v>53</v>
      </c>
      <c r="O851" s="390"/>
    </row>
    <row r="852" spans="1:15" x14ac:dyDescent="0.25">
      <c r="A852" s="384">
        <f t="shared" si="13"/>
        <v>53</v>
      </c>
      <c r="O852" s="390"/>
    </row>
    <row r="853" spans="1:15" x14ac:dyDescent="0.25">
      <c r="A853" s="384">
        <f t="shared" si="13"/>
        <v>53</v>
      </c>
      <c r="O853" s="390"/>
    </row>
    <row r="854" spans="1:15" x14ac:dyDescent="0.25">
      <c r="A854" s="384">
        <f t="shared" si="13"/>
        <v>53</v>
      </c>
      <c r="O854" s="390"/>
    </row>
    <row r="855" spans="1:15" x14ac:dyDescent="0.25">
      <c r="A855" s="384">
        <f t="shared" si="13"/>
        <v>53</v>
      </c>
      <c r="O855" s="390"/>
    </row>
    <row r="856" spans="1:15" x14ac:dyDescent="0.25">
      <c r="A856" s="384">
        <f t="shared" si="13"/>
        <v>53</v>
      </c>
      <c r="O856" s="390"/>
    </row>
    <row r="857" spans="1:15" x14ac:dyDescent="0.25">
      <c r="A857" s="384">
        <f t="shared" si="13"/>
        <v>53</v>
      </c>
      <c r="O857" s="390"/>
    </row>
    <row r="858" spans="1:15" x14ac:dyDescent="0.25">
      <c r="A858" s="384">
        <f t="shared" si="13"/>
        <v>53</v>
      </c>
      <c r="O858" s="390"/>
    </row>
    <row r="859" spans="1:15" x14ac:dyDescent="0.25">
      <c r="A859" s="384">
        <f t="shared" si="13"/>
        <v>53</v>
      </c>
      <c r="O859" s="390"/>
    </row>
    <row r="860" spans="1:15" x14ac:dyDescent="0.25">
      <c r="A860" s="384">
        <f t="shared" si="13"/>
        <v>53</v>
      </c>
      <c r="O860" s="390"/>
    </row>
    <row r="861" spans="1:15" x14ac:dyDescent="0.25">
      <c r="A861" s="384">
        <f t="shared" si="13"/>
        <v>53</v>
      </c>
      <c r="O861" s="390"/>
    </row>
    <row r="862" spans="1:15" x14ac:dyDescent="0.25">
      <c r="A862" s="384">
        <f t="shared" si="13"/>
        <v>53</v>
      </c>
      <c r="O862" s="390"/>
    </row>
    <row r="863" spans="1:15" x14ac:dyDescent="0.25">
      <c r="A863" s="384">
        <f t="shared" si="13"/>
        <v>53</v>
      </c>
      <c r="O863" s="390"/>
    </row>
    <row r="864" spans="1:15" x14ac:dyDescent="0.25">
      <c r="A864" s="384">
        <f t="shared" si="13"/>
        <v>53</v>
      </c>
      <c r="O864" s="390"/>
    </row>
    <row r="865" spans="1:15" x14ac:dyDescent="0.25">
      <c r="A865" s="384">
        <f t="shared" si="13"/>
        <v>53</v>
      </c>
      <c r="O865" s="390"/>
    </row>
    <row r="866" spans="1:15" x14ac:dyDescent="0.25">
      <c r="A866" s="384">
        <f t="shared" si="13"/>
        <v>53</v>
      </c>
      <c r="O866" s="390"/>
    </row>
    <row r="867" spans="1:15" x14ac:dyDescent="0.25">
      <c r="A867" s="384">
        <f t="shared" si="13"/>
        <v>53</v>
      </c>
      <c r="O867" s="390"/>
    </row>
    <row r="868" spans="1:15" x14ac:dyDescent="0.25">
      <c r="A868" s="384">
        <f t="shared" si="13"/>
        <v>53</v>
      </c>
      <c r="O868" s="390"/>
    </row>
    <row r="869" spans="1:15" x14ac:dyDescent="0.25">
      <c r="A869" s="384">
        <f t="shared" si="13"/>
        <v>53</v>
      </c>
      <c r="O869" s="390"/>
    </row>
    <row r="870" spans="1:15" x14ac:dyDescent="0.25">
      <c r="A870" s="384">
        <f t="shared" si="13"/>
        <v>53</v>
      </c>
      <c r="O870" s="390"/>
    </row>
    <row r="871" spans="1:15" x14ac:dyDescent="0.25">
      <c r="A871" s="384">
        <f t="shared" si="13"/>
        <v>53</v>
      </c>
      <c r="O871" s="390"/>
    </row>
    <row r="872" spans="1:15" x14ac:dyDescent="0.25">
      <c r="A872" s="384">
        <f t="shared" si="13"/>
        <v>53</v>
      </c>
      <c r="O872" s="390"/>
    </row>
    <row r="873" spans="1:15" x14ac:dyDescent="0.25">
      <c r="A873" s="384">
        <f t="shared" si="13"/>
        <v>53</v>
      </c>
      <c r="O873" s="390"/>
    </row>
    <row r="874" spans="1:15" x14ac:dyDescent="0.25">
      <c r="A874" s="384">
        <f t="shared" si="13"/>
        <v>53</v>
      </c>
      <c r="O874" s="390"/>
    </row>
    <row r="875" spans="1:15" x14ac:dyDescent="0.25">
      <c r="A875" s="384">
        <f t="shared" si="13"/>
        <v>53</v>
      </c>
      <c r="O875" s="390"/>
    </row>
    <row r="876" spans="1:15" x14ac:dyDescent="0.25">
      <c r="A876" s="384">
        <f t="shared" si="13"/>
        <v>53</v>
      </c>
      <c r="O876" s="390"/>
    </row>
    <row r="877" spans="1:15" x14ac:dyDescent="0.25">
      <c r="A877" s="384">
        <f t="shared" si="13"/>
        <v>53</v>
      </c>
      <c r="O877" s="390"/>
    </row>
    <row r="878" spans="1:15" x14ac:dyDescent="0.25">
      <c r="A878" s="384">
        <f t="shared" si="13"/>
        <v>53</v>
      </c>
      <c r="O878" s="390"/>
    </row>
    <row r="879" spans="1:15" x14ac:dyDescent="0.25">
      <c r="A879" s="384">
        <f t="shared" si="13"/>
        <v>53</v>
      </c>
      <c r="O879" s="390"/>
    </row>
    <row r="880" spans="1:15" x14ac:dyDescent="0.25">
      <c r="A880" s="384">
        <f t="shared" si="13"/>
        <v>53</v>
      </c>
      <c r="O880" s="390"/>
    </row>
    <row r="881" spans="1:15" x14ac:dyDescent="0.25">
      <c r="A881" s="384">
        <f t="shared" si="13"/>
        <v>53</v>
      </c>
      <c r="O881" s="390"/>
    </row>
    <row r="882" spans="1:15" x14ac:dyDescent="0.25">
      <c r="A882" s="384">
        <f t="shared" si="13"/>
        <v>53</v>
      </c>
      <c r="O882" s="390"/>
    </row>
    <row r="883" spans="1:15" x14ac:dyDescent="0.25">
      <c r="A883" s="384">
        <f t="shared" si="13"/>
        <v>53</v>
      </c>
      <c r="O883" s="390"/>
    </row>
    <row r="884" spans="1:15" x14ac:dyDescent="0.25">
      <c r="A884" s="384">
        <f t="shared" si="13"/>
        <v>53</v>
      </c>
      <c r="O884" s="390"/>
    </row>
    <row r="885" spans="1:15" x14ac:dyDescent="0.25">
      <c r="A885" s="384">
        <f t="shared" si="13"/>
        <v>53</v>
      </c>
      <c r="O885" s="390"/>
    </row>
    <row r="886" spans="1:15" x14ac:dyDescent="0.25">
      <c r="A886" s="384">
        <f t="shared" si="13"/>
        <v>53</v>
      </c>
      <c r="O886" s="390"/>
    </row>
    <row r="887" spans="1:15" x14ac:dyDescent="0.25">
      <c r="A887" s="384">
        <f t="shared" si="13"/>
        <v>53</v>
      </c>
      <c r="O887" s="390"/>
    </row>
    <row r="888" spans="1:15" x14ac:dyDescent="0.25">
      <c r="A888" s="384">
        <f t="shared" si="13"/>
        <v>53</v>
      </c>
      <c r="O888" s="390"/>
    </row>
    <row r="889" spans="1:15" x14ac:dyDescent="0.25">
      <c r="A889" s="384">
        <f t="shared" si="13"/>
        <v>53</v>
      </c>
      <c r="O889" s="390"/>
    </row>
    <row r="890" spans="1:15" x14ac:dyDescent="0.25">
      <c r="A890" s="384">
        <f t="shared" si="13"/>
        <v>53</v>
      </c>
      <c r="O890" s="390"/>
    </row>
    <row r="891" spans="1:15" x14ac:dyDescent="0.25">
      <c r="A891" s="384">
        <f t="shared" si="13"/>
        <v>53</v>
      </c>
      <c r="O891" s="390"/>
    </row>
    <row r="892" spans="1:15" x14ac:dyDescent="0.25">
      <c r="A892" s="384">
        <f t="shared" si="13"/>
        <v>53</v>
      </c>
      <c r="O892" s="390"/>
    </row>
    <row r="893" spans="1:15" x14ac:dyDescent="0.25">
      <c r="A893" s="384">
        <f t="shared" si="13"/>
        <v>53</v>
      </c>
      <c r="O893" s="390"/>
    </row>
    <row r="894" spans="1:15" x14ac:dyDescent="0.25">
      <c r="A894" s="384">
        <f t="shared" si="13"/>
        <v>53</v>
      </c>
      <c r="O894" s="390"/>
    </row>
    <row r="895" spans="1:15" x14ac:dyDescent="0.25">
      <c r="A895" s="384">
        <f t="shared" si="13"/>
        <v>53</v>
      </c>
      <c r="O895" s="390"/>
    </row>
    <row r="896" spans="1:15" x14ac:dyDescent="0.25">
      <c r="A896" s="384">
        <f t="shared" si="13"/>
        <v>53</v>
      </c>
      <c r="O896" s="390"/>
    </row>
    <row r="897" spans="1:15" x14ac:dyDescent="0.25">
      <c r="A897" s="384">
        <f t="shared" si="13"/>
        <v>53</v>
      </c>
      <c r="O897" s="390"/>
    </row>
    <row r="898" spans="1:15" x14ac:dyDescent="0.25">
      <c r="A898" s="384">
        <f t="shared" si="13"/>
        <v>53</v>
      </c>
      <c r="O898" s="390"/>
    </row>
    <row r="899" spans="1:15" x14ac:dyDescent="0.25">
      <c r="A899" s="384">
        <f t="shared" si="13"/>
        <v>53</v>
      </c>
      <c r="O899" s="390"/>
    </row>
    <row r="900" spans="1:15" x14ac:dyDescent="0.25">
      <c r="A900" s="384">
        <f t="shared" ref="A900:A963" si="14">WEEKNUM(B900,21)</f>
        <v>53</v>
      </c>
      <c r="O900" s="390"/>
    </row>
    <row r="901" spans="1:15" x14ac:dyDescent="0.25">
      <c r="A901" s="384">
        <f t="shared" si="14"/>
        <v>53</v>
      </c>
      <c r="O901" s="390"/>
    </row>
    <row r="902" spans="1:15" x14ac:dyDescent="0.25">
      <c r="A902" s="384">
        <f t="shared" si="14"/>
        <v>53</v>
      </c>
      <c r="O902" s="390"/>
    </row>
    <row r="903" spans="1:15" x14ac:dyDescent="0.25">
      <c r="A903" s="384">
        <f t="shared" si="14"/>
        <v>53</v>
      </c>
      <c r="O903" s="390"/>
    </row>
    <row r="904" spans="1:15" x14ac:dyDescent="0.25">
      <c r="A904" s="384">
        <f t="shared" si="14"/>
        <v>53</v>
      </c>
      <c r="O904" s="390"/>
    </row>
    <row r="905" spans="1:15" x14ac:dyDescent="0.25">
      <c r="A905" s="384">
        <f t="shared" si="14"/>
        <v>53</v>
      </c>
      <c r="O905" s="390"/>
    </row>
    <row r="906" spans="1:15" x14ac:dyDescent="0.25">
      <c r="A906" s="384">
        <f t="shared" si="14"/>
        <v>53</v>
      </c>
      <c r="O906" s="390"/>
    </row>
    <row r="907" spans="1:15" x14ac:dyDescent="0.25">
      <c r="A907" s="384">
        <f t="shared" si="14"/>
        <v>53</v>
      </c>
      <c r="O907" s="390"/>
    </row>
    <row r="908" spans="1:15" x14ac:dyDescent="0.25">
      <c r="A908" s="384">
        <f t="shared" si="14"/>
        <v>53</v>
      </c>
      <c r="O908" s="390"/>
    </row>
    <row r="909" spans="1:15" x14ac:dyDescent="0.25">
      <c r="A909" s="384">
        <f t="shared" si="14"/>
        <v>53</v>
      </c>
      <c r="O909" s="390"/>
    </row>
    <row r="910" spans="1:15" x14ac:dyDescent="0.25">
      <c r="A910" s="384">
        <f t="shared" si="14"/>
        <v>53</v>
      </c>
      <c r="O910" s="390"/>
    </row>
    <row r="911" spans="1:15" x14ac:dyDescent="0.25">
      <c r="A911" s="384">
        <f t="shared" si="14"/>
        <v>53</v>
      </c>
      <c r="O911" s="390"/>
    </row>
    <row r="912" spans="1:15" x14ac:dyDescent="0.25">
      <c r="A912" s="384">
        <f t="shared" si="14"/>
        <v>53</v>
      </c>
      <c r="O912" s="390"/>
    </row>
    <row r="913" spans="1:15" x14ac:dyDescent="0.25">
      <c r="A913" s="384">
        <f t="shared" si="14"/>
        <v>53</v>
      </c>
      <c r="O913" s="390"/>
    </row>
    <row r="914" spans="1:15" x14ac:dyDescent="0.25">
      <c r="A914" s="384">
        <f t="shared" si="14"/>
        <v>53</v>
      </c>
      <c r="O914" s="390"/>
    </row>
    <row r="915" spans="1:15" x14ac:dyDescent="0.25">
      <c r="A915" s="384">
        <f t="shared" si="14"/>
        <v>53</v>
      </c>
      <c r="O915" s="390"/>
    </row>
    <row r="916" spans="1:15" x14ac:dyDescent="0.25">
      <c r="A916" s="384">
        <f t="shared" si="14"/>
        <v>53</v>
      </c>
      <c r="O916" s="390"/>
    </row>
    <row r="917" spans="1:15" x14ac:dyDescent="0.25">
      <c r="A917" s="384">
        <f t="shared" si="14"/>
        <v>53</v>
      </c>
      <c r="O917" s="390"/>
    </row>
    <row r="918" spans="1:15" x14ac:dyDescent="0.25">
      <c r="A918" s="384">
        <f t="shared" si="14"/>
        <v>53</v>
      </c>
      <c r="O918" s="390"/>
    </row>
    <row r="919" spans="1:15" x14ac:dyDescent="0.25">
      <c r="A919" s="384">
        <f t="shared" si="14"/>
        <v>53</v>
      </c>
      <c r="O919" s="390"/>
    </row>
    <row r="920" spans="1:15" x14ac:dyDescent="0.25">
      <c r="A920" s="384">
        <f t="shared" si="14"/>
        <v>53</v>
      </c>
      <c r="O920" s="390"/>
    </row>
    <row r="921" spans="1:15" x14ac:dyDescent="0.25">
      <c r="A921" s="384">
        <f t="shared" si="14"/>
        <v>53</v>
      </c>
      <c r="O921" s="390"/>
    </row>
    <row r="922" spans="1:15" x14ac:dyDescent="0.25">
      <c r="A922" s="384">
        <f t="shared" si="14"/>
        <v>53</v>
      </c>
      <c r="O922" s="390"/>
    </row>
    <row r="923" spans="1:15" x14ac:dyDescent="0.25">
      <c r="A923" s="384">
        <f t="shared" si="14"/>
        <v>53</v>
      </c>
      <c r="O923" s="390"/>
    </row>
    <row r="924" spans="1:15" x14ac:dyDescent="0.25">
      <c r="A924" s="384">
        <f t="shared" si="14"/>
        <v>53</v>
      </c>
      <c r="O924" s="390"/>
    </row>
    <row r="925" spans="1:15" x14ac:dyDescent="0.25">
      <c r="A925" s="384">
        <f t="shared" si="14"/>
        <v>53</v>
      </c>
      <c r="O925" s="390"/>
    </row>
    <row r="926" spans="1:15" x14ac:dyDescent="0.25">
      <c r="A926" s="384">
        <f t="shared" si="14"/>
        <v>53</v>
      </c>
      <c r="O926" s="390"/>
    </row>
    <row r="927" spans="1:15" x14ac:dyDescent="0.25">
      <c r="A927" s="384">
        <f t="shared" si="14"/>
        <v>53</v>
      </c>
      <c r="O927" s="390"/>
    </row>
    <row r="928" spans="1:15" x14ac:dyDescent="0.25">
      <c r="A928" s="384">
        <f t="shared" si="14"/>
        <v>53</v>
      </c>
      <c r="O928" s="390"/>
    </row>
    <row r="929" spans="1:15" x14ac:dyDescent="0.25">
      <c r="A929" s="384">
        <f t="shared" si="14"/>
        <v>53</v>
      </c>
      <c r="O929" s="390"/>
    </row>
    <row r="930" spans="1:15" x14ac:dyDescent="0.25">
      <c r="A930" s="384">
        <f t="shared" si="14"/>
        <v>53</v>
      </c>
      <c r="O930" s="390"/>
    </row>
    <row r="931" spans="1:15" x14ac:dyDescent="0.25">
      <c r="A931" s="384">
        <f t="shared" si="14"/>
        <v>53</v>
      </c>
      <c r="O931" s="390"/>
    </row>
    <row r="932" spans="1:15" x14ac:dyDescent="0.25">
      <c r="A932" s="384">
        <f t="shared" si="14"/>
        <v>53</v>
      </c>
      <c r="O932" s="390"/>
    </row>
    <row r="933" spans="1:15" x14ac:dyDescent="0.25">
      <c r="A933" s="384">
        <f t="shared" si="14"/>
        <v>53</v>
      </c>
      <c r="O933" s="390"/>
    </row>
    <row r="934" spans="1:15" x14ac:dyDescent="0.25">
      <c r="A934" s="384">
        <f t="shared" si="14"/>
        <v>53</v>
      </c>
      <c r="O934" s="390"/>
    </row>
    <row r="935" spans="1:15" x14ac:dyDescent="0.25">
      <c r="A935" s="384">
        <f t="shared" si="14"/>
        <v>53</v>
      </c>
      <c r="O935" s="390"/>
    </row>
    <row r="936" spans="1:15" x14ac:dyDescent="0.25">
      <c r="A936" s="384">
        <f t="shared" si="14"/>
        <v>53</v>
      </c>
      <c r="O936" s="390"/>
    </row>
    <row r="937" spans="1:15" x14ac:dyDescent="0.25">
      <c r="A937" s="384">
        <f t="shared" si="14"/>
        <v>53</v>
      </c>
      <c r="O937" s="390"/>
    </row>
    <row r="938" spans="1:15" x14ac:dyDescent="0.25">
      <c r="A938" s="384">
        <f t="shared" si="14"/>
        <v>53</v>
      </c>
      <c r="O938" s="390"/>
    </row>
    <row r="939" spans="1:15" x14ac:dyDescent="0.25">
      <c r="A939" s="384">
        <f t="shared" si="14"/>
        <v>53</v>
      </c>
      <c r="O939" s="390"/>
    </row>
    <row r="940" spans="1:15" x14ac:dyDescent="0.25">
      <c r="A940" s="384">
        <f t="shared" si="14"/>
        <v>53</v>
      </c>
      <c r="O940" s="390"/>
    </row>
    <row r="941" spans="1:15" x14ac:dyDescent="0.25">
      <c r="A941" s="384">
        <f t="shared" si="14"/>
        <v>53</v>
      </c>
      <c r="O941" s="390"/>
    </row>
    <row r="942" spans="1:15" x14ac:dyDescent="0.25">
      <c r="A942" s="384">
        <f t="shared" si="14"/>
        <v>53</v>
      </c>
      <c r="O942" s="390"/>
    </row>
    <row r="943" spans="1:15" x14ac:dyDescent="0.25">
      <c r="A943" s="384">
        <f t="shared" si="14"/>
        <v>53</v>
      </c>
      <c r="O943" s="390"/>
    </row>
    <row r="944" spans="1:15" x14ac:dyDescent="0.25">
      <c r="A944" s="384">
        <f t="shared" si="14"/>
        <v>53</v>
      </c>
      <c r="O944" s="390"/>
    </row>
    <row r="945" spans="1:15" x14ac:dyDescent="0.25">
      <c r="A945" s="384">
        <f t="shared" si="14"/>
        <v>53</v>
      </c>
      <c r="O945" s="390"/>
    </row>
    <row r="946" spans="1:15" x14ac:dyDescent="0.25">
      <c r="A946" s="384">
        <f t="shared" si="14"/>
        <v>53</v>
      </c>
      <c r="O946" s="390"/>
    </row>
    <row r="947" spans="1:15" x14ac:dyDescent="0.25">
      <c r="A947" s="384">
        <f t="shared" si="14"/>
        <v>53</v>
      </c>
      <c r="O947" s="390"/>
    </row>
    <row r="948" spans="1:15" x14ac:dyDescent="0.25">
      <c r="A948" s="384">
        <f t="shared" si="14"/>
        <v>53</v>
      </c>
      <c r="O948" s="390"/>
    </row>
    <row r="949" spans="1:15" x14ac:dyDescent="0.25">
      <c r="A949" s="384">
        <f t="shared" si="14"/>
        <v>53</v>
      </c>
      <c r="O949" s="390"/>
    </row>
    <row r="950" spans="1:15" x14ac:dyDescent="0.25">
      <c r="A950" s="384">
        <f t="shared" si="14"/>
        <v>53</v>
      </c>
      <c r="O950" s="390"/>
    </row>
    <row r="951" spans="1:15" x14ac:dyDescent="0.25">
      <c r="A951" s="384">
        <f t="shared" si="14"/>
        <v>53</v>
      </c>
      <c r="O951" s="390"/>
    </row>
    <row r="952" spans="1:15" x14ac:dyDescent="0.25">
      <c r="A952" s="384">
        <f t="shared" si="14"/>
        <v>53</v>
      </c>
      <c r="O952" s="390"/>
    </row>
    <row r="953" spans="1:15" x14ac:dyDescent="0.25">
      <c r="A953" s="384">
        <f t="shared" si="14"/>
        <v>53</v>
      </c>
      <c r="O953" s="390"/>
    </row>
    <row r="954" spans="1:15" x14ac:dyDescent="0.25">
      <c r="A954" s="384">
        <f t="shared" si="14"/>
        <v>53</v>
      </c>
      <c r="O954" s="390"/>
    </row>
    <row r="955" spans="1:15" x14ac:dyDescent="0.25">
      <c r="A955" s="384">
        <f t="shared" si="14"/>
        <v>53</v>
      </c>
      <c r="O955" s="390"/>
    </row>
    <row r="956" spans="1:15" x14ac:dyDescent="0.25">
      <c r="A956" s="384">
        <f t="shared" si="14"/>
        <v>53</v>
      </c>
      <c r="O956" s="390"/>
    </row>
    <row r="957" spans="1:15" x14ac:dyDescent="0.25">
      <c r="A957" s="384">
        <f t="shared" si="14"/>
        <v>53</v>
      </c>
      <c r="O957" s="390"/>
    </row>
    <row r="958" spans="1:15" x14ac:dyDescent="0.25">
      <c r="A958" s="384">
        <f t="shared" si="14"/>
        <v>53</v>
      </c>
      <c r="O958" s="390"/>
    </row>
    <row r="959" spans="1:15" x14ac:dyDescent="0.25">
      <c r="A959" s="384">
        <f t="shared" si="14"/>
        <v>53</v>
      </c>
      <c r="O959" s="390"/>
    </row>
    <row r="960" spans="1:15" x14ac:dyDescent="0.25">
      <c r="A960" s="384">
        <f t="shared" si="14"/>
        <v>53</v>
      </c>
      <c r="O960" s="390"/>
    </row>
    <row r="961" spans="1:15" x14ac:dyDescent="0.25">
      <c r="A961" s="384">
        <f t="shared" si="14"/>
        <v>53</v>
      </c>
      <c r="O961" s="390"/>
    </row>
    <row r="962" spans="1:15" x14ac:dyDescent="0.25">
      <c r="A962" s="384">
        <f t="shared" si="14"/>
        <v>53</v>
      </c>
      <c r="O962" s="390"/>
    </row>
    <row r="963" spans="1:15" x14ac:dyDescent="0.25">
      <c r="A963" s="384">
        <f t="shared" si="14"/>
        <v>53</v>
      </c>
      <c r="O963" s="390"/>
    </row>
    <row r="964" spans="1:15" x14ac:dyDescent="0.25">
      <c r="A964" s="384">
        <f t="shared" ref="A964:A1027" si="15">WEEKNUM(B964,21)</f>
        <v>53</v>
      </c>
      <c r="O964" s="390"/>
    </row>
    <row r="965" spans="1:15" x14ac:dyDescent="0.25">
      <c r="A965" s="384">
        <f t="shared" si="15"/>
        <v>53</v>
      </c>
      <c r="O965" s="390"/>
    </row>
    <row r="966" spans="1:15" x14ac:dyDescent="0.25">
      <c r="A966" s="384">
        <f t="shared" si="15"/>
        <v>53</v>
      </c>
      <c r="O966" s="390"/>
    </row>
    <row r="967" spans="1:15" x14ac:dyDescent="0.25">
      <c r="A967" s="384">
        <f t="shared" si="15"/>
        <v>53</v>
      </c>
      <c r="O967" s="390"/>
    </row>
    <row r="968" spans="1:15" x14ac:dyDescent="0.25">
      <c r="A968" s="384">
        <f t="shared" si="15"/>
        <v>53</v>
      </c>
      <c r="O968" s="390"/>
    </row>
    <row r="969" spans="1:15" x14ac:dyDescent="0.25">
      <c r="A969" s="384">
        <f t="shared" si="15"/>
        <v>53</v>
      </c>
      <c r="O969" s="390"/>
    </row>
    <row r="970" spans="1:15" x14ac:dyDescent="0.25">
      <c r="A970" s="384">
        <f t="shared" si="15"/>
        <v>53</v>
      </c>
      <c r="O970" s="390"/>
    </row>
    <row r="971" spans="1:15" x14ac:dyDescent="0.25">
      <c r="A971" s="384">
        <f t="shared" si="15"/>
        <v>53</v>
      </c>
      <c r="O971" s="390"/>
    </row>
    <row r="972" spans="1:15" x14ac:dyDescent="0.25">
      <c r="A972" s="384">
        <f t="shared" si="15"/>
        <v>53</v>
      </c>
      <c r="O972" s="390"/>
    </row>
    <row r="973" spans="1:15" x14ac:dyDescent="0.25">
      <c r="A973" s="384">
        <f t="shared" si="15"/>
        <v>53</v>
      </c>
      <c r="O973" s="390"/>
    </row>
    <row r="974" spans="1:15" x14ac:dyDescent="0.25">
      <c r="A974" s="384">
        <f t="shared" si="15"/>
        <v>53</v>
      </c>
      <c r="O974" s="390"/>
    </row>
    <row r="975" spans="1:15" x14ac:dyDescent="0.25">
      <c r="A975" s="384">
        <f t="shared" si="15"/>
        <v>53</v>
      </c>
      <c r="O975" s="390"/>
    </row>
    <row r="976" spans="1:15" x14ac:dyDescent="0.25">
      <c r="A976" s="384">
        <f t="shared" si="15"/>
        <v>53</v>
      </c>
      <c r="O976" s="390"/>
    </row>
    <row r="977" spans="1:15" x14ac:dyDescent="0.25">
      <c r="A977" s="384">
        <f t="shared" si="15"/>
        <v>53</v>
      </c>
      <c r="O977" s="390"/>
    </row>
    <row r="978" spans="1:15" x14ac:dyDescent="0.25">
      <c r="A978" s="384">
        <f t="shared" si="15"/>
        <v>53</v>
      </c>
      <c r="O978" s="390"/>
    </row>
    <row r="979" spans="1:15" x14ac:dyDescent="0.25">
      <c r="A979" s="384">
        <f t="shared" si="15"/>
        <v>53</v>
      </c>
      <c r="O979" s="390"/>
    </row>
    <row r="980" spans="1:15" x14ac:dyDescent="0.25">
      <c r="A980" s="384">
        <f t="shared" si="15"/>
        <v>53</v>
      </c>
      <c r="O980" s="390"/>
    </row>
    <row r="981" spans="1:15" x14ac:dyDescent="0.25">
      <c r="A981" s="384">
        <f t="shared" si="15"/>
        <v>53</v>
      </c>
      <c r="O981" s="390"/>
    </row>
    <row r="982" spans="1:15" x14ac:dyDescent="0.25">
      <c r="A982" s="384">
        <f t="shared" si="15"/>
        <v>53</v>
      </c>
      <c r="O982" s="390"/>
    </row>
    <row r="983" spans="1:15" x14ac:dyDescent="0.25">
      <c r="A983" s="384">
        <f t="shared" si="15"/>
        <v>53</v>
      </c>
      <c r="O983" s="390"/>
    </row>
    <row r="984" spans="1:15" x14ac:dyDescent="0.25">
      <c r="A984" s="384">
        <f t="shared" si="15"/>
        <v>53</v>
      </c>
      <c r="O984" s="390"/>
    </row>
    <row r="985" spans="1:15" x14ac:dyDescent="0.25">
      <c r="A985" s="384">
        <f t="shared" si="15"/>
        <v>53</v>
      </c>
      <c r="O985" s="390"/>
    </row>
    <row r="986" spans="1:15" x14ac:dyDescent="0.25">
      <c r="A986" s="384">
        <f t="shared" si="15"/>
        <v>53</v>
      </c>
      <c r="O986" s="390"/>
    </row>
    <row r="987" spans="1:15" x14ac:dyDescent="0.25">
      <c r="A987" s="384">
        <f t="shared" si="15"/>
        <v>53</v>
      </c>
      <c r="O987" s="390"/>
    </row>
    <row r="988" spans="1:15" x14ac:dyDescent="0.25">
      <c r="A988" s="384">
        <f t="shared" si="15"/>
        <v>53</v>
      </c>
      <c r="O988" s="390"/>
    </row>
    <row r="989" spans="1:15" x14ac:dyDescent="0.25">
      <c r="A989" s="384">
        <f t="shared" si="15"/>
        <v>53</v>
      </c>
      <c r="O989" s="390"/>
    </row>
    <row r="990" spans="1:15" x14ac:dyDescent="0.25">
      <c r="A990" s="384">
        <f t="shared" si="15"/>
        <v>53</v>
      </c>
      <c r="O990" s="390"/>
    </row>
    <row r="991" spans="1:15" x14ac:dyDescent="0.25">
      <c r="A991" s="384">
        <f t="shared" si="15"/>
        <v>53</v>
      </c>
      <c r="O991" s="390"/>
    </row>
    <row r="992" spans="1:15" x14ac:dyDescent="0.25">
      <c r="A992" s="384">
        <f t="shared" si="15"/>
        <v>53</v>
      </c>
      <c r="O992" s="390"/>
    </row>
    <row r="993" spans="1:15" x14ac:dyDescent="0.25">
      <c r="A993" s="384">
        <f t="shared" si="15"/>
        <v>53</v>
      </c>
      <c r="O993" s="390"/>
    </row>
    <row r="994" spans="1:15" x14ac:dyDescent="0.25">
      <c r="A994" s="384">
        <f t="shared" si="15"/>
        <v>53</v>
      </c>
      <c r="O994" s="390"/>
    </row>
    <row r="995" spans="1:15" x14ac:dyDescent="0.25">
      <c r="A995" s="384">
        <f t="shared" si="15"/>
        <v>53</v>
      </c>
      <c r="O995" s="390"/>
    </row>
    <row r="996" spans="1:15" x14ac:dyDescent="0.25">
      <c r="A996" s="384">
        <f t="shared" si="15"/>
        <v>53</v>
      </c>
      <c r="O996" s="390"/>
    </row>
    <row r="997" spans="1:15" x14ac:dyDescent="0.25">
      <c r="A997" s="384">
        <f t="shared" si="15"/>
        <v>53</v>
      </c>
      <c r="O997" s="390"/>
    </row>
    <row r="998" spans="1:15" x14ac:dyDescent="0.25">
      <c r="A998" s="384">
        <f t="shared" si="15"/>
        <v>53</v>
      </c>
      <c r="O998" s="390"/>
    </row>
    <row r="999" spans="1:15" x14ac:dyDescent="0.25">
      <c r="A999" s="384">
        <f t="shared" si="15"/>
        <v>53</v>
      </c>
      <c r="O999" s="390"/>
    </row>
    <row r="1000" spans="1:15" x14ac:dyDescent="0.25">
      <c r="A1000" s="384">
        <f t="shared" si="15"/>
        <v>53</v>
      </c>
      <c r="O1000" s="390"/>
    </row>
    <row r="1001" spans="1:15" x14ac:dyDescent="0.25">
      <c r="A1001" s="384">
        <f t="shared" si="15"/>
        <v>53</v>
      </c>
      <c r="O1001" s="390"/>
    </row>
    <row r="1002" spans="1:15" x14ac:dyDescent="0.25">
      <c r="A1002" s="384">
        <f t="shared" si="15"/>
        <v>53</v>
      </c>
      <c r="O1002" s="390"/>
    </row>
    <row r="1003" spans="1:15" x14ac:dyDescent="0.25">
      <c r="A1003" s="384">
        <f t="shared" si="15"/>
        <v>53</v>
      </c>
      <c r="O1003" s="390"/>
    </row>
    <row r="1004" spans="1:15" x14ac:dyDescent="0.25">
      <c r="A1004" s="384">
        <f t="shared" si="15"/>
        <v>53</v>
      </c>
      <c r="O1004" s="390"/>
    </row>
    <row r="1005" spans="1:15" x14ac:dyDescent="0.25">
      <c r="A1005" s="384">
        <f t="shared" si="15"/>
        <v>53</v>
      </c>
      <c r="O1005" s="390"/>
    </row>
    <row r="1006" spans="1:15" x14ac:dyDescent="0.25">
      <c r="A1006" s="384">
        <f t="shared" si="15"/>
        <v>53</v>
      </c>
      <c r="O1006" s="390"/>
    </row>
    <row r="1007" spans="1:15" x14ac:dyDescent="0.25">
      <c r="A1007" s="384">
        <f t="shared" si="15"/>
        <v>53</v>
      </c>
      <c r="O1007" s="390"/>
    </row>
    <row r="1008" spans="1:15" x14ac:dyDescent="0.25">
      <c r="A1008" s="384">
        <f t="shared" si="15"/>
        <v>53</v>
      </c>
      <c r="O1008" s="390"/>
    </row>
    <row r="1009" spans="1:15" x14ac:dyDescent="0.25">
      <c r="A1009" s="384">
        <f t="shared" si="15"/>
        <v>53</v>
      </c>
      <c r="O1009" s="390"/>
    </row>
    <row r="1010" spans="1:15" x14ac:dyDescent="0.25">
      <c r="A1010" s="384">
        <f t="shared" si="15"/>
        <v>53</v>
      </c>
      <c r="O1010" s="390"/>
    </row>
    <row r="1011" spans="1:15" x14ac:dyDescent="0.25">
      <c r="A1011" s="384">
        <f t="shared" si="15"/>
        <v>53</v>
      </c>
      <c r="O1011" s="390"/>
    </row>
    <row r="1012" spans="1:15" x14ac:dyDescent="0.25">
      <c r="A1012" s="384">
        <f t="shared" si="15"/>
        <v>53</v>
      </c>
      <c r="O1012" s="390"/>
    </row>
    <row r="1013" spans="1:15" x14ac:dyDescent="0.25">
      <c r="A1013" s="384">
        <f t="shared" si="15"/>
        <v>53</v>
      </c>
      <c r="O1013" s="390"/>
    </row>
    <row r="1014" spans="1:15" x14ac:dyDescent="0.25">
      <c r="A1014" s="384">
        <f t="shared" si="15"/>
        <v>53</v>
      </c>
      <c r="O1014" s="390"/>
    </row>
    <row r="1015" spans="1:15" x14ac:dyDescent="0.25">
      <c r="A1015" s="384">
        <f t="shared" si="15"/>
        <v>53</v>
      </c>
      <c r="O1015" s="390"/>
    </row>
    <row r="1016" spans="1:15" x14ac:dyDescent="0.25">
      <c r="A1016" s="384">
        <f t="shared" si="15"/>
        <v>53</v>
      </c>
      <c r="O1016" s="390"/>
    </row>
    <row r="1017" spans="1:15" x14ac:dyDescent="0.25">
      <c r="A1017" s="384">
        <f t="shared" si="15"/>
        <v>53</v>
      </c>
      <c r="O1017" s="390"/>
    </row>
    <row r="1018" spans="1:15" x14ac:dyDescent="0.25">
      <c r="A1018" s="384">
        <f t="shared" si="15"/>
        <v>53</v>
      </c>
      <c r="O1018" s="390"/>
    </row>
    <row r="1019" spans="1:15" x14ac:dyDescent="0.25">
      <c r="A1019" s="384">
        <f t="shared" si="15"/>
        <v>53</v>
      </c>
      <c r="O1019" s="390"/>
    </row>
    <row r="1020" spans="1:15" x14ac:dyDescent="0.25">
      <c r="A1020" s="384">
        <f t="shared" si="15"/>
        <v>53</v>
      </c>
      <c r="O1020" s="390"/>
    </row>
    <row r="1021" spans="1:15" x14ac:dyDescent="0.25">
      <c r="A1021" s="384">
        <f t="shared" si="15"/>
        <v>53</v>
      </c>
      <c r="O1021" s="390"/>
    </row>
    <row r="1022" spans="1:15" x14ac:dyDescent="0.25">
      <c r="A1022" s="384">
        <f t="shared" si="15"/>
        <v>53</v>
      </c>
      <c r="O1022" s="390"/>
    </row>
    <row r="1023" spans="1:15" x14ac:dyDescent="0.25">
      <c r="A1023" s="384">
        <f t="shared" si="15"/>
        <v>53</v>
      </c>
      <c r="O1023" s="390"/>
    </row>
    <row r="1024" spans="1:15" x14ac:dyDescent="0.25">
      <c r="A1024" s="384">
        <f t="shared" si="15"/>
        <v>53</v>
      </c>
      <c r="O1024" s="390"/>
    </row>
    <row r="1025" spans="1:15" x14ac:dyDescent="0.25">
      <c r="A1025" s="384">
        <f t="shared" si="15"/>
        <v>53</v>
      </c>
      <c r="O1025" s="390"/>
    </row>
    <row r="1026" spans="1:15" x14ac:dyDescent="0.25">
      <c r="A1026" s="384">
        <f t="shared" si="15"/>
        <v>53</v>
      </c>
      <c r="O1026" s="390"/>
    </row>
    <row r="1027" spans="1:15" x14ac:dyDescent="0.25">
      <c r="A1027" s="384">
        <f t="shared" si="15"/>
        <v>53</v>
      </c>
      <c r="O1027" s="390"/>
    </row>
    <row r="1028" spans="1:15" x14ac:dyDescent="0.25">
      <c r="A1028" s="384">
        <f t="shared" ref="A1028:A1091" si="16">WEEKNUM(B1028,21)</f>
        <v>53</v>
      </c>
      <c r="O1028" s="390"/>
    </row>
    <row r="1029" spans="1:15" x14ac:dyDescent="0.25">
      <c r="A1029" s="384">
        <f t="shared" si="16"/>
        <v>53</v>
      </c>
      <c r="O1029" s="390"/>
    </row>
    <row r="1030" spans="1:15" x14ac:dyDescent="0.25">
      <c r="A1030" s="384">
        <f t="shared" si="16"/>
        <v>53</v>
      </c>
      <c r="O1030" s="390"/>
    </row>
    <row r="1031" spans="1:15" x14ac:dyDescent="0.25">
      <c r="A1031" s="384">
        <f t="shared" si="16"/>
        <v>53</v>
      </c>
      <c r="O1031" s="390"/>
    </row>
    <row r="1032" spans="1:15" x14ac:dyDescent="0.25">
      <c r="A1032" s="384">
        <f t="shared" si="16"/>
        <v>53</v>
      </c>
      <c r="O1032" s="390"/>
    </row>
    <row r="1033" spans="1:15" x14ac:dyDescent="0.25">
      <c r="A1033" s="384">
        <f t="shared" si="16"/>
        <v>53</v>
      </c>
      <c r="O1033" s="390"/>
    </row>
    <row r="1034" spans="1:15" x14ac:dyDescent="0.25">
      <c r="A1034" s="384">
        <f t="shared" si="16"/>
        <v>53</v>
      </c>
      <c r="O1034" s="390"/>
    </row>
    <row r="1035" spans="1:15" x14ac:dyDescent="0.25">
      <c r="A1035" s="384">
        <f t="shared" si="16"/>
        <v>53</v>
      </c>
      <c r="O1035" s="390"/>
    </row>
    <row r="1036" spans="1:15" x14ac:dyDescent="0.25">
      <c r="A1036" s="384">
        <f t="shared" si="16"/>
        <v>53</v>
      </c>
      <c r="O1036" s="390"/>
    </row>
    <row r="1037" spans="1:15" x14ac:dyDescent="0.25">
      <c r="A1037" s="384">
        <f t="shared" si="16"/>
        <v>53</v>
      </c>
      <c r="O1037" s="390"/>
    </row>
    <row r="1038" spans="1:15" x14ac:dyDescent="0.25">
      <c r="A1038" s="384">
        <f t="shared" si="16"/>
        <v>53</v>
      </c>
      <c r="O1038" s="390"/>
    </row>
    <row r="1039" spans="1:15" x14ac:dyDescent="0.25">
      <c r="A1039" s="384">
        <f t="shared" si="16"/>
        <v>53</v>
      </c>
      <c r="O1039" s="390"/>
    </row>
    <row r="1040" spans="1:15" x14ac:dyDescent="0.25">
      <c r="A1040" s="384">
        <f t="shared" si="16"/>
        <v>53</v>
      </c>
      <c r="O1040" s="390"/>
    </row>
    <row r="1041" spans="1:15" x14ac:dyDescent="0.25">
      <c r="A1041" s="384">
        <f t="shared" si="16"/>
        <v>53</v>
      </c>
      <c r="O1041" s="390"/>
    </row>
    <row r="1042" spans="1:15" x14ac:dyDescent="0.25">
      <c r="A1042" s="384">
        <f t="shared" si="16"/>
        <v>53</v>
      </c>
      <c r="O1042" s="390"/>
    </row>
    <row r="1043" spans="1:15" x14ac:dyDescent="0.25">
      <c r="A1043" s="384">
        <f t="shared" si="16"/>
        <v>53</v>
      </c>
      <c r="O1043" s="390"/>
    </row>
    <row r="1044" spans="1:15" x14ac:dyDescent="0.25">
      <c r="A1044" s="384">
        <f t="shared" si="16"/>
        <v>53</v>
      </c>
      <c r="O1044" s="390"/>
    </row>
    <row r="1045" spans="1:15" x14ac:dyDescent="0.25">
      <c r="A1045" s="384">
        <f t="shared" si="16"/>
        <v>53</v>
      </c>
      <c r="O1045" s="390"/>
    </row>
    <row r="1046" spans="1:15" x14ac:dyDescent="0.25">
      <c r="A1046" s="384">
        <f t="shared" si="16"/>
        <v>53</v>
      </c>
      <c r="O1046" s="390"/>
    </row>
    <row r="1047" spans="1:15" x14ac:dyDescent="0.25">
      <c r="A1047" s="384">
        <f t="shared" si="16"/>
        <v>53</v>
      </c>
      <c r="O1047" s="390"/>
    </row>
    <row r="1048" spans="1:15" x14ac:dyDescent="0.25">
      <c r="A1048" s="384">
        <f t="shared" si="16"/>
        <v>53</v>
      </c>
      <c r="O1048" s="390"/>
    </row>
    <row r="1049" spans="1:15" x14ac:dyDescent="0.25">
      <c r="A1049" s="384">
        <f t="shared" si="16"/>
        <v>53</v>
      </c>
      <c r="O1049" s="390"/>
    </row>
    <row r="1050" spans="1:15" x14ac:dyDescent="0.25">
      <c r="A1050" s="384">
        <f t="shared" si="16"/>
        <v>53</v>
      </c>
      <c r="O1050" s="390"/>
    </row>
    <row r="1051" spans="1:15" x14ac:dyDescent="0.25">
      <c r="A1051" s="384">
        <f t="shared" si="16"/>
        <v>53</v>
      </c>
      <c r="O1051" s="390"/>
    </row>
    <row r="1052" spans="1:15" x14ac:dyDescent="0.25">
      <c r="A1052" s="384">
        <f t="shared" si="16"/>
        <v>53</v>
      </c>
      <c r="O1052" s="390"/>
    </row>
    <row r="1053" spans="1:15" x14ac:dyDescent="0.25">
      <c r="A1053" s="384">
        <f t="shared" si="16"/>
        <v>53</v>
      </c>
      <c r="O1053" s="390"/>
    </row>
    <row r="1054" spans="1:15" x14ac:dyDescent="0.25">
      <c r="A1054" s="384">
        <f t="shared" si="16"/>
        <v>53</v>
      </c>
      <c r="O1054" s="390"/>
    </row>
    <row r="1055" spans="1:15" x14ac:dyDescent="0.25">
      <c r="A1055" s="384">
        <f t="shared" si="16"/>
        <v>53</v>
      </c>
      <c r="O1055" s="390"/>
    </row>
    <row r="1056" spans="1:15" x14ac:dyDescent="0.25">
      <c r="A1056" s="384">
        <f t="shared" si="16"/>
        <v>53</v>
      </c>
      <c r="O1056" s="390"/>
    </row>
    <row r="1057" spans="1:15" x14ac:dyDescent="0.25">
      <c r="A1057" s="384">
        <f t="shared" si="16"/>
        <v>53</v>
      </c>
      <c r="O1057" s="390"/>
    </row>
    <row r="1058" spans="1:15" x14ac:dyDescent="0.25">
      <c r="A1058" s="384">
        <f t="shared" si="16"/>
        <v>53</v>
      </c>
      <c r="O1058" s="390"/>
    </row>
    <row r="1059" spans="1:15" x14ac:dyDescent="0.25">
      <c r="A1059" s="384">
        <f t="shared" si="16"/>
        <v>53</v>
      </c>
      <c r="O1059" s="390"/>
    </row>
    <row r="1060" spans="1:15" x14ac:dyDescent="0.25">
      <c r="A1060" s="384">
        <f t="shared" si="16"/>
        <v>53</v>
      </c>
      <c r="O1060" s="390"/>
    </row>
    <row r="1061" spans="1:15" x14ac:dyDescent="0.25">
      <c r="A1061" s="384">
        <f t="shared" si="16"/>
        <v>53</v>
      </c>
      <c r="O1061" s="390"/>
    </row>
    <row r="1062" spans="1:15" x14ac:dyDescent="0.25">
      <c r="A1062" s="384">
        <f t="shared" si="16"/>
        <v>53</v>
      </c>
      <c r="O1062" s="390"/>
    </row>
    <row r="1063" spans="1:15" x14ac:dyDescent="0.25">
      <c r="A1063" s="384">
        <f t="shared" si="16"/>
        <v>53</v>
      </c>
      <c r="O1063" s="390"/>
    </row>
    <row r="1064" spans="1:15" x14ac:dyDescent="0.25">
      <c r="A1064" s="384">
        <f t="shared" si="16"/>
        <v>53</v>
      </c>
      <c r="O1064" s="390"/>
    </row>
    <row r="1065" spans="1:15" x14ac:dyDescent="0.25">
      <c r="A1065" s="384">
        <f t="shared" si="16"/>
        <v>53</v>
      </c>
      <c r="O1065" s="390"/>
    </row>
    <row r="1066" spans="1:15" x14ac:dyDescent="0.25">
      <c r="A1066" s="384">
        <f t="shared" si="16"/>
        <v>53</v>
      </c>
      <c r="O1066" s="390"/>
    </row>
    <row r="1067" spans="1:15" x14ac:dyDescent="0.25">
      <c r="A1067" s="384">
        <f t="shared" si="16"/>
        <v>53</v>
      </c>
      <c r="O1067" s="390"/>
    </row>
    <row r="1068" spans="1:15" x14ac:dyDescent="0.25">
      <c r="A1068" s="384">
        <f t="shared" si="16"/>
        <v>53</v>
      </c>
      <c r="O1068" s="390"/>
    </row>
    <row r="1069" spans="1:15" x14ac:dyDescent="0.25">
      <c r="A1069" s="384">
        <f t="shared" si="16"/>
        <v>53</v>
      </c>
      <c r="O1069" s="390"/>
    </row>
    <row r="1070" spans="1:15" x14ac:dyDescent="0.25">
      <c r="A1070" s="384">
        <f t="shared" si="16"/>
        <v>53</v>
      </c>
      <c r="O1070" s="390"/>
    </row>
    <row r="1071" spans="1:15" x14ac:dyDescent="0.25">
      <c r="A1071" s="384">
        <f t="shared" si="16"/>
        <v>53</v>
      </c>
      <c r="O1071" s="390"/>
    </row>
    <row r="1072" spans="1:15" x14ac:dyDescent="0.25">
      <c r="A1072" s="384">
        <f t="shared" si="16"/>
        <v>53</v>
      </c>
      <c r="O1072" s="390"/>
    </row>
    <row r="1073" spans="1:15" x14ac:dyDescent="0.25">
      <c r="A1073" s="384">
        <f t="shared" si="16"/>
        <v>53</v>
      </c>
      <c r="O1073" s="390"/>
    </row>
    <row r="1074" spans="1:15" x14ac:dyDescent="0.25">
      <c r="A1074" s="384">
        <f t="shared" si="16"/>
        <v>53</v>
      </c>
      <c r="O1074" s="390"/>
    </row>
    <row r="1075" spans="1:15" x14ac:dyDescent="0.25">
      <c r="A1075" s="384">
        <f t="shared" si="16"/>
        <v>53</v>
      </c>
      <c r="O1075" s="390"/>
    </row>
    <row r="1076" spans="1:15" x14ac:dyDescent="0.25">
      <c r="A1076" s="384">
        <f t="shared" si="16"/>
        <v>53</v>
      </c>
      <c r="O1076" s="390"/>
    </row>
    <row r="1077" spans="1:15" x14ac:dyDescent="0.25">
      <c r="A1077" s="384">
        <f t="shared" si="16"/>
        <v>53</v>
      </c>
      <c r="O1077" s="390"/>
    </row>
    <row r="1078" spans="1:15" x14ac:dyDescent="0.25">
      <c r="A1078" s="384">
        <f t="shared" si="16"/>
        <v>53</v>
      </c>
      <c r="O1078" s="390"/>
    </row>
    <row r="1079" spans="1:15" x14ac:dyDescent="0.25">
      <c r="A1079" s="384">
        <f t="shared" si="16"/>
        <v>53</v>
      </c>
      <c r="O1079" s="390"/>
    </row>
    <row r="1080" spans="1:15" x14ac:dyDescent="0.25">
      <c r="A1080" s="384">
        <f t="shared" si="16"/>
        <v>53</v>
      </c>
      <c r="O1080" s="390"/>
    </row>
    <row r="1081" spans="1:15" x14ac:dyDescent="0.25">
      <c r="A1081" s="384">
        <f t="shared" si="16"/>
        <v>53</v>
      </c>
      <c r="O1081" s="390"/>
    </row>
    <row r="1082" spans="1:15" x14ac:dyDescent="0.25">
      <c r="A1082" s="384">
        <f t="shared" si="16"/>
        <v>53</v>
      </c>
      <c r="O1082" s="390"/>
    </row>
    <row r="1083" spans="1:15" x14ac:dyDescent="0.25">
      <c r="A1083" s="384">
        <f t="shared" si="16"/>
        <v>53</v>
      </c>
      <c r="O1083" s="390"/>
    </row>
    <row r="1084" spans="1:15" x14ac:dyDescent="0.25">
      <c r="A1084" s="384">
        <f t="shared" si="16"/>
        <v>53</v>
      </c>
      <c r="O1084" s="390"/>
    </row>
    <row r="1085" spans="1:15" x14ac:dyDescent="0.25">
      <c r="A1085" s="384">
        <f t="shared" si="16"/>
        <v>53</v>
      </c>
      <c r="O1085" s="390"/>
    </row>
    <row r="1086" spans="1:15" x14ac:dyDescent="0.25">
      <c r="A1086" s="384">
        <f t="shared" si="16"/>
        <v>53</v>
      </c>
      <c r="O1086" s="390"/>
    </row>
    <row r="1087" spans="1:15" x14ac:dyDescent="0.25">
      <c r="A1087" s="384">
        <f t="shared" si="16"/>
        <v>53</v>
      </c>
      <c r="O1087" s="390"/>
    </row>
    <row r="1088" spans="1:15" x14ac:dyDescent="0.25">
      <c r="A1088" s="384">
        <f t="shared" si="16"/>
        <v>53</v>
      </c>
      <c r="O1088" s="390"/>
    </row>
    <row r="1089" spans="1:15" x14ac:dyDescent="0.25">
      <c r="A1089" s="384">
        <f t="shared" si="16"/>
        <v>53</v>
      </c>
      <c r="O1089" s="390"/>
    </row>
    <row r="1090" spans="1:15" x14ac:dyDescent="0.25">
      <c r="A1090" s="384">
        <f t="shared" si="16"/>
        <v>53</v>
      </c>
      <c r="O1090" s="390"/>
    </row>
    <row r="1091" spans="1:15" x14ac:dyDescent="0.25">
      <c r="A1091" s="384">
        <f t="shared" si="16"/>
        <v>53</v>
      </c>
      <c r="O1091" s="390"/>
    </row>
    <row r="1092" spans="1:15" x14ac:dyDescent="0.25">
      <c r="A1092" s="384">
        <f t="shared" ref="A1092:A1155" si="17">WEEKNUM(B1092,21)</f>
        <v>53</v>
      </c>
      <c r="O1092" s="390"/>
    </row>
    <row r="1093" spans="1:15" x14ac:dyDescent="0.25">
      <c r="A1093" s="384">
        <f t="shared" si="17"/>
        <v>53</v>
      </c>
      <c r="O1093" s="390"/>
    </row>
    <row r="1094" spans="1:15" x14ac:dyDescent="0.25">
      <c r="A1094" s="384">
        <f t="shared" si="17"/>
        <v>53</v>
      </c>
      <c r="O1094" s="390"/>
    </row>
    <row r="1095" spans="1:15" x14ac:dyDescent="0.25">
      <c r="A1095" s="384">
        <f t="shared" si="17"/>
        <v>53</v>
      </c>
      <c r="O1095" s="390"/>
    </row>
    <row r="1096" spans="1:15" x14ac:dyDescent="0.25">
      <c r="A1096" s="384">
        <f t="shared" si="17"/>
        <v>53</v>
      </c>
      <c r="O1096" s="390"/>
    </row>
    <row r="1097" spans="1:15" x14ac:dyDescent="0.25">
      <c r="A1097" s="384">
        <f t="shared" si="17"/>
        <v>53</v>
      </c>
      <c r="O1097" s="390"/>
    </row>
    <row r="1098" spans="1:15" x14ac:dyDescent="0.25">
      <c r="A1098" s="384">
        <f t="shared" si="17"/>
        <v>53</v>
      </c>
      <c r="O1098" s="390"/>
    </row>
    <row r="1099" spans="1:15" x14ac:dyDescent="0.25">
      <c r="A1099" s="384">
        <f t="shared" si="17"/>
        <v>53</v>
      </c>
      <c r="O1099" s="390"/>
    </row>
    <row r="1100" spans="1:15" x14ac:dyDescent="0.25">
      <c r="A1100" s="384">
        <f t="shared" si="17"/>
        <v>53</v>
      </c>
      <c r="O1100" s="390"/>
    </row>
    <row r="1101" spans="1:15" x14ac:dyDescent="0.25">
      <c r="A1101" s="384">
        <f t="shared" si="17"/>
        <v>53</v>
      </c>
      <c r="O1101" s="390"/>
    </row>
    <row r="1102" spans="1:15" x14ac:dyDescent="0.25">
      <c r="A1102" s="384">
        <f t="shared" si="17"/>
        <v>53</v>
      </c>
      <c r="O1102" s="390"/>
    </row>
    <row r="1103" spans="1:15" x14ac:dyDescent="0.25">
      <c r="A1103" s="384">
        <f t="shared" si="17"/>
        <v>53</v>
      </c>
      <c r="O1103" s="390"/>
    </row>
    <row r="1104" spans="1:15" x14ac:dyDescent="0.25">
      <c r="A1104" s="384">
        <f t="shared" si="17"/>
        <v>53</v>
      </c>
      <c r="O1104" s="390"/>
    </row>
    <row r="1105" spans="1:15" x14ac:dyDescent="0.25">
      <c r="A1105" s="384">
        <f t="shared" si="17"/>
        <v>53</v>
      </c>
      <c r="O1105" s="390"/>
    </row>
    <row r="1108" spans="1:15" x14ac:dyDescent="0.25">
      <c r="A1108" s="384">
        <f t="shared" si="17"/>
        <v>53</v>
      </c>
      <c r="D1108" s="376"/>
      <c r="E1108" s="377"/>
      <c r="F1108" s="376"/>
      <c r="G1108" s="27"/>
      <c r="H1108" s="377"/>
      <c r="O1108" s="390"/>
    </row>
    <row r="1109" spans="1:15" x14ac:dyDescent="0.25">
      <c r="A1109" s="384">
        <f t="shared" si="17"/>
        <v>53</v>
      </c>
      <c r="D1109" s="376"/>
      <c r="E1109" s="377"/>
      <c r="F1109" s="376"/>
      <c r="G1109" s="27"/>
      <c r="H1109" s="377"/>
      <c r="O1109" s="390"/>
    </row>
    <row r="1110" spans="1:15" x14ac:dyDescent="0.25">
      <c r="A1110" s="384">
        <f t="shared" si="17"/>
        <v>53</v>
      </c>
      <c r="D1110" s="376"/>
      <c r="E1110" s="377"/>
      <c r="F1110" s="376"/>
      <c r="G1110" s="27"/>
      <c r="H1110" s="377"/>
      <c r="O1110" s="390"/>
    </row>
    <row r="1111" spans="1:15" x14ac:dyDescent="0.25">
      <c r="A1111" s="384">
        <f t="shared" si="17"/>
        <v>53</v>
      </c>
      <c r="D1111" s="376"/>
      <c r="E1111" s="377"/>
      <c r="F1111" s="376"/>
      <c r="G1111" s="27"/>
      <c r="H1111" s="377"/>
      <c r="O1111" s="390"/>
    </row>
    <row r="1112" spans="1:15" x14ac:dyDescent="0.25">
      <c r="A1112" s="384">
        <f t="shared" si="17"/>
        <v>53</v>
      </c>
      <c r="D1112" s="376"/>
      <c r="E1112" s="377"/>
      <c r="F1112" s="376"/>
      <c r="G1112" s="27"/>
      <c r="H1112" s="377"/>
      <c r="O1112" s="390"/>
    </row>
    <row r="1113" spans="1:15" x14ac:dyDescent="0.25">
      <c r="A1113" s="384">
        <f t="shared" si="17"/>
        <v>53</v>
      </c>
      <c r="D1113" s="376"/>
      <c r="E1113" s="377"/>
      <c r="F1113" s="376"/>
      <c r="G1113" s="27"/>
      <c r="H1113" s="377"/>
      <c r="O1113" s="390"/>
    </row>
    <row r="1114" spans="1:15" x14ac:dyDescent="0.25">
      <c r="A1114" s="384">
        <f t="shared" si="17"/>
        <v>53</v>
      </c>
      <c r="D1114" s="376"/>
      <c r="E1114" s="377"/>
      <c r="F1114" s="376"/>
      <c r="G1114" s="27"/>
      <c r="H1114" s="377"/>
      <c r="O1114" s="390"/>
    </row>
    <row r="1115" spans="1:15" x14ac:dyDescent="0.25">
      <c r="A1115" s="384">
        <f t="shared" si="17"/>
        <v>53</v>
      </c>
      <c r="D1115" s="376"/>
      <c r="E1115" s="377"/>
      <c r="F1115" s="376"/>
      <c r="G1115" s="27"/>
      <c r="H1115" s="377"/>
      <c r="O1115" s="390"/>
    </row>
    <row r="1116" spans="1:15" x14ac:dyDescent="0.25">
      <c r="A1116" s="384">
        <f t="shared" si="17"/>
        <v>53</v>
      </c>
      <c r="D1116" s="376"/>
      <c r="E1116" s="377"/>
      <c r="F1116" s="376"/>
      <c r="G1116" s="27"/>
      <c r="H1116" s="377"/>
      <c r="O1116" s="390"/>
    </row>
    <row r="1117" spans="1:15" x14ac:dyDescent="0.25">
      <c r="A1117" s="384">
        <f t="shared" si="17"/>
        <v>53</v>
      </c>
      <c r="D1117" s="376"/>
      <c r="E1117" s="377"/>
      <c r="F1117" s="376"/>
      <c r="G1117" s="27"/>
      <c r="H1117" s="377"/>
      <c r="O1117" s="390"/>
    </row>
    <row r="1118" spans="1:15" x14ac:dyDescent="0.25">
      <c r="A1118" s="384">
        <f t="shared" si="17"/>
        <v>53</v>
      </c>
      <c r="D1118" s="376"/>
      <c r="E1118" s="377"/>
      <c r="F1118" s="376"/>
      <c r="G1118" s="27"/>
      <c r="H1118" s="377"/>
      <c r="O1118" s="390"/>
    </row>
    <row r="1119" spans="1:15" x14ac:dyDescent="0.25">
      <c r="A1119" s="384">
        <f t="shared" si="17"/>
        <v>53</v>
      </c>
      <c r="D1119" s="376"/>
      <c r="E1119" s="377"/>
      <c r="F1119" s="376"/>
      <c r="G1119" s="27"/>
      <c r="H1119" s="377"/>
      <c r="O1119" s="390"/>
    </row>
    <row r="1120" spans="1:15" x14ac:dyDescent="0.25">
      <c r="A1120" s="384">
        <f t="shared" si="17"/>
        <v>53</v>
      </c>
      <c r="D1120" s="376"/>
      <c r="E1120" s="377"/>
      <c r="F1120" s="376"/>
      <c r="G1120" s="27"/>
      <c r="H1120" s="377"/>
      <c r="O1120" s="390"/>
    </row>
    <row r="1121" spans="1:15" x14ac:dyDescent="0.25">
      <c r="A1121" s="384">
        <f t="shared" si="17"/>
        <v>53</v>
      </c>
      <c r="D1121" s="376"/>
      <c r="E1121" s="377"/>
      <c r="F1121" s="376"/>
      <c r="G1121" s="27"/>
      <c r="H1121" s="377"/>
      <c r="O1121" s="390"/>
    </row>
    <row r="1122" spans="1:15" x14ac:dyDescent="0.25">
      <c r="A1122" s="384">
        <f t="shared" si="17"/>
        <v>53</v>
      </c>
      <c r="D1122" s="376"/>
      <c r="E1122" s="377"/>
      <c r="F1122" s="376"/>
      <c r="G1122" s="27"/>
      <c r="H1122" s="377"/>
      <c r="O1122" s="390"/>
    </row>
    <row r="1123" spans="1:15" x14ac:dyDescent="0.25">
      <c r="A1123" s="384">
        <f t="shared" si="17"/>
        <v>53</v>
      </c>
      <c r="D1123" s="376"/>
      <c r="E1123" s="377"/>
      <c r="F1123" s="376"/>
      <c r="G1123" s="27"/>
      <c r="H1123" s="377"/>
      <c r="O1123" s="390"/>
    </row>
    <row r="1124" spans="1:15" x14ac:dyDescent="0.25">
      <c r="A1124" s="384">
        <f t="shared" si="17"/>
        <v>53</v>
      </c>
      <c r="D1124" s="376"/>
      <c r="E1124" s="377"/>
      <c r="F1124" s="376"/>
      <c r="G1124" s="27"/>
      <c r="H1124" s="377"/>
      <c r="O1124" s="390"/>
    </row>
    <row r="1125" spans="1:15" x14ac:dyDescent="0.25">
      <c r="A1125" s="384">
        <f t="shared" si="17"/>
        <v>53</v>
      </c>
      <c r="D1125" s="376"/>
      <c r="E1125" s="377"/>
      <c r="F1125" s="376"/>
      <c r="G1125" s="27"/>
      <c r="H1125" s="377"/>
      <c r="O1125" s="390"/>
    </row>
    <row r="1126" spans="1:15" x14ac:dyDescent="0.25">
      <c r="A1126" s="384">
        <f t="shared" si="17"/>
        <v>53</v>
      </c>
      <c r="D1126" s="376"/>
      <c r="E1126" s="377"/>
      <c r="F1126" s="376"/>
      <c r="G1126" s="27"/>
      <c r="H1126" s="377"/>
      <c r="O1126" s="390"/>
    </row>
    <row r="1127" spans="1:15" x14ac:dyDescent="0.25">
      <c r="A1127" s="384">
        <f t="shared" si="17"/>
        <v>53</v>
      </c>
      <c r="D1127" s="376"/>
      <c r="E1127" s="377"/>
      <c r="F1127" s="376"/>
      <c r="G1127" s="27"/>
      <c r="H1127" s="377"/>
      <c r="O1127" s="390"/>
    </row>
    <row r="1128" spans="1:15" x14ac:dyDescent="0.25">
      <c r="A1128" s="384">
        <f t="shared" si="17"/>
        <v>53</v>
      </c>
      <c r="D1128" s="376"/>
      <c r="E1128" s="377"/>
      <c r="F1128" s="376"/>
      <c r="G1128" s="27"/>
      <c r="H1128" s="377"/>
      <c r="O1128" s="390"/>
    </row>
    <row r="1129" spans="1:15" x14ac:dyDescent="0.25">
      <c r="A1129" s="384">
        <f t="shared" si="17"/>
        <v>53</v>
      </c>
      <c r="D1129" s="376"/>
      <c r="E1129" s="377"/>
      <c r="F1129" s="376"/>
      <c r="G1129" s="27"/>
      <c r="H1129" s="377"/>
      <c r="O1129" s="390"/>
    </row>
    <row r="1130" spans="1:15" x14ac:dyDescent="0.25">
      <c r="A1130" s="384">
        <f t="shared" si="17"/>
        <v>53</v>
      </c>
      <c r="D1130" s="376"/>
      <c r="E1130" s="377"/>
      <c r="F1130" s="376"/>
      <c r="G1130" s="27"/>
      <c r="H1130" s="377"/>
      <c r="O1130" s="390"/>
    </row>
    <row r="1131" spans="1:15" x14ac:dyDescent="0.25">
      <c r="A1131" s="384">
        <f t="shared" si="17"/>
        <v>53</v>
      </c>
      <c r="D1131" s="376"/>
      <c r="E1131" s="377"/>
      <c r="F1131" s="376"/>
      <c r="G1131" s="27"/>
      <c r="H1131" s="377"/>
      <c r="O1131" s="390"/>
    </row>
    <row r="1132" spans="1:15" x14ac:dyDescent="0.25">
      <c r="A1132" s="384">
        <f t="shared" si="17"/>
        <v>53</v>
      </c>
      <c r="D1132" s="376"/>
      <c r="E1132" s="377"/>
      <c r="F1132" s="376"/>
      <c r="G1132" s="27"/>
      <c r="H1132" s="377"/>
      <c r="O1132" s="390"/>
    </row>
    <row r="1133" spans="1:15" x14ac:dyDescent="0.25">
      <c r="A1133" s="384">
        <f t="shared" si="17"/>
        <v>53</v>
      </c>
      <c r="D1133" s="376"/>
      <c r="E1133" s="377"/>
      <c r="F1133" s="376"/>
      <c r="G1133" s="27"/>
      <c r="H1133" s="377"/>
      <c r="O1133" s="390"/>
    </row>
    <row r="1134" spans="1:15" x14ac:dyDescent="0.25">
      <c r="A1134" s="384">
        <f t="shared" si="17"/>
        <v>53</v>
      </c>
      <c r="D1134" s="376"/>
      <c r="E1134" s="377"/>
      <c r="F1134" s="376"/>
      <c r="G1134" s="27"/>
      <c r="H1134" s="377"/>
      <c r="O1134" s="390"/>
    </row>
    <row r="1135" spans="1:15" x14ac:dyDescent="0.25">
      <c r="A1135" s="384">
        <f t="shared" si="17"/>
        <v>53</v>
      </c>
      <c r="D1135" s="376"/>
      <c r="E1135" s="377"/>
      <c r="F1135" s="376"/>
      <c r="G1135" s="27"/>
      <c r="H1135" s="377"/>
      <c r="O1135" s="390"/>
    </row>
    <row r="1136" spans="1:15" x14ac:dyDescent="0.25">
      <c r="A1136" s="384">
        <f t="shared" si="17"/>
        <v>53</v>
      </c>
      <c r="D1136" s="376"/>
      <c r="E1136" s="377"/>
      <c r="F1136" s="376"/>
      <c r="G1136" s="27"/>
      <c r="H1136" s="377"/>
      <c r="O1136" s="390"/>
    </row>
    <row r="1137" spans="1:15" x14ac:dyDescent="0.25">
      <c r="A1137" s="384">
        <f t="shared" si="17"/>
        <v>53</v>
      </c>
      <c r="D1137" s="376"/>
      <c r="E1137" s="377"/>
      <c r="F1137" s="376"/>
      <c r="G1137" s="27"/>
      <c r="H1137" s="377"/>
      <c r="O1137" s="390"/>
    </row>
    <row r="1138" spans="1:15" x14ac:dyDescent="0.25">
      <c r="A1138" s="384">
        <f t="shared" si="17"/>
        <v>53</v>
      </c>
      <c r="D1138" s="376"/>
      <c r="E1138" s="377"/>
      <c r="F1138" s="376"/>
      <c r="G1138" s="27"/>
      <c r="H1138" s="377"/>
      <c r="O1138" s="390"/>
    </row>
    <row r="1139" spans="1:15" x14ac:dyDescent="0.25">
      <c r="A1139" s="384">
        <f t="shared" si="17"/>
        <v>53</v>
      </c>
      <c r="D1139" s="376"/>
      <c r="E1139" s="377"/>
      <c r="F1139" s="376"/>
      <c r="G1139" s="27"/>
      <c r="H1139" s="377"/>
      <c r="O1139" s="390"/>
    </row>
    <row r="1140" spans="1:15" x14ac:dyDescent="0.25">
      <c r="A1140" s="384">
        <f t="shared" si="17"/>
        <v>53</v>
      </c>
      <c r="D1140" s="376"/>
      <c r="E1140" s="377"/>
      <c r="F1140" s="376"/>
      <c r="G1140" s="27"/>
      <c r="H1140" s="377"/>
      <c r="O1140" s="390"/>
    </row>
    <row r="1141" spans="1:15" x14ac:dyDescent="0.25">
      <c r="A1141" s="384">
        <f t="shared" si="17"/>
        <v>53</v>
      </c>
      <c r="D1141" s="376"/>
      <c r="E1141" s="377"/>
      <c r="F1141" s="376"/>
      <c r="G1141" s="27"/>
      <c r="H1141" s="377"/>
      <c r="O1141" s="390"/>
    </row>
    <row r="1142" spans="1:15" x14ac:dyDescent="0.25">
      <c r="A1142" s="384">
        <f t="shared" si="17"/>
        <v>53</v>
      </c>
      <c r="D1142" s="376"/>
      <c r="E1142" s="377"/>
      <c r="F1142" s="376"/>
      <c r="G1142" s="27"/>
      <c r="H1142" s="377"/>
      <c r="O1142" s="390"/>
    </row>
    <row r="1143" spans="1:15" x14ac:dyDescent="0.25">
      <c r="A1143" s="384">
        <f t="shared" si="17"/>
        <v>53</v>
      </c>
      <c r="D1143" s="376"/>
      <c r="E1143" s="377"/>
      <c r="F1143" s="376"/>
      <c r="G1143" s="27"/>
      <c r="H1143" s="377"/>
      <c r="O1143" s="390"/>
    </row>
    <row r="1144" spans="1:15" x14ac:dyDescent="0.25">
      <c r="A1144" s="384">
        <f t="shared" si="17"/>
        <v>53</v>
      </c>
      <c r="D1144" s="376"/>
      <c r="E1144" s="377"/>
      <c r="F1144" s="376"/>
      <c r="G1144" s="27"/>
      <c r="H1144" s="377"/>
      <c r="O1144" s="390"/>
    </row>
    <row r="1145" spans="1:15" x14ac:dyDescent="0.25">
      <c r="A1145" s="384">
        <f t="shared" si="17"/>
        <v>53</v>
      </c>
      <c r="D1145" s="376"/>
      <c r="E1145" s="377"/>
      <c r="F1145" s="376"/>
      <c r="G1145" s="27"/>
      <c r="H1145" s="377"/>
      <c r="O1145" s="390"/>
    </row>
    <row r="1146" spans="1:15" x14ac:dyDescent="0.25">
      <c r="A1146" s="384">
        <f t="shared" si="17"/>
        <v>53</v>
      </c>
      <c r="D1146" s="376"/>
      <c r="E1146" s="377"/>
      <c r="F1146" s="376"/>
      <c r="G1146" s="27"/>
      <c r="H1146" s="377"/>
      <c r="O1146" s="390"/>
    </row>
    <row r="1147" spans="1:15" x14ac:dyDescent="0.25">
      <c r="A1147" s="384">
        <f t="shared" si="17"/>
        <v>53</v>
      </c>
      <c r="D1147" s="376"/>
      <c r="E1147" s="377"/>
      <c r="F1147" s="376"/>
      <c r="G1147" s="27"/>
      <c r="H1147" s="377"/>
      <c r="O1147" s="390"/>
    </row>
    <row r="1148" spans="1:15" x14ac:dyDescent="0.25">
      <c r="A1148" s="384">
        <f t="shared" si="17"/>
        <v>53</v>
      </c>
      <c r="D1148" s="376"/>
      <c r="E1148" s="377"/>
      <c r="F1148" s="376"/>
      <c r="G1148" s="27"/>
      <c r="H1148" s="377"/>
      <c r="O1148" s="390"/>
    </row>
    <row r="1149" spans="1:15" x14ac:dyDescent="0.25">
      <c r="A1149" s="384">
        <f t="shared" si="17"/>
        <v>53</v>
      </c>
      <c r="D1149" s="376"/>
      <c r="E1149" s="377"/>
      <c r="F1149" s="376"/>
      <c r="G1149" s="27"/>
      <c r="H1149" s="377"/>
      <c r="O1149" s="390"/>
    </row>
    <row r="1150" spans="1:15" x14ac:dyDescent="0.25">
      <c r="A1150" s="384">
        <f t="shared" si="17"/>
        <v>53</v>
      </c>
      <c r="D1150" s="376"/>
      <c r="E1150" s="377"/>
      <c r="F1150" s="376"/>
      <c r="G1150" s="27"/>
      <c r="H1150" s="377"/>
      <c r="O1150" s="390"/>
    </row>
    <row r="1151" spans="1:15" x14ac:dyDescent="0.25">
      <c r="A1151" s="384">
        <f t="shared" si="17"/>
        <v>53</v>
      </c>
      <c r="D1151" s="376"/>
      <c r="E1151" s="377"/>
      <c r="F1151" s="376"/>
      <c r="G1151" s="27"/>
      <c r="H1151" s="377"/>
      <c r="O1151" s="390"/>
    </row>
    <row r="1152" spans="1:15" x14ac:dyDescent="0.25">
      <c r="A1152" s="384">
        <f t="shared" si="17"/>
        <v>53</v>
      </c>
      <c r="D1152" s="376"/>
      <c r="E1152" s="377"/>
      <c r="F1152" s="376"/>
      <c r="G1152" s="27"/>
      <c r="H1152" s="377"/>
      <c r="O1152" s="390"/>
    </row>
    <row r="1153" spans="1:15" x14ac:dyDescent="0.25">
      <c r="A1153" s="384">
        <f t="shared" si="17"/>
        <v>53</v>
      </c>
      <c r="D1153" s="376"/>
      <c r="E1153" s="377"/>
      <c r="F1153" s="376"/>
      <c r="G1153" s="27"/>
      <c r="H1153" s="377"/>
      <c r="O1153" s="390"/>
    </row>
    <row r="1154" spans="1:15" x14ac:dyDescent="0.25">
      <c r="A1154" s="384">
        <f t="shared" si="17"/>
        <v>53</v>
      </c>
      <c r="D1154" s="376"/>
      <c r="E1154" s="377"/>
      <c r="F1154" s="376"/>
      <c r="G1154" s="27"/>
      <c r="H1154" s="377"/>
      <c r="O1154" s="390"/>
    </row>
    <row r="1155" spans="1:15" x14ac:dyDescent="0.25">
      <c r="A1155" s="384">
        <f t="shared" si="17"/>
        <v>53</v>
      </c>
      <c r="O1155" s="390"/>
    </row>
    <row r="1156" spans="1:15" x14ac:dyDescent="0.25">
      <c r="A1156" s="384">
        <f t="shared" ref="A1156:A1198" si="18">WEEKNUM(B1156,21)</f>
        <v>53</v>
      </c>
      <c r="O1156" s="390"/>
    </row>
    <row r="1157" spans="1:15" x14ac:dyDescent="0.25">
      <c r="A1157" s="384">
        <f t="shared" si="18"/>
        <v>53</v>
      </c>
      <c r="O1157" s="390"/>
    </row>
    <row r="1158" spans="1:15" x14ac:dyDescent="0.25">
      <c r="A1158" s="384">
        <f t="shared" si="18"/>
        <v>53</v>
      </c>
      <c r="O1158" s="390"/>
    </row>
    <row r="1159" spans="1:15" x14ac:dyDescent="0.25">
      <c r="A1159" s="384">
        <f t="shared" si="18"/>
        <v>53</v>
      </c>
      <c r="O1159" s="390"/>
    </row>
    <row r="1160" spans="1:15" x14ac:dyDescent="0.25">
      <c r="A1160" s="384">
        <f t="shared" si="18"/>
        <v>53</v>
      </c>
      <c r="O1160" s="390"/>
    </row>
    <row r="1161" spans="1:15" x14ac:dyDescent="0.25">
      <c r="A1161" s="384">
        <f t="shared" si="18"/>
        <v>53</v>
      </c>
      <c r="O1161" s="390"/>
    </row>
    <row r="1162" spans="1:15" x14ac:dyDescent="0.25">
      <c r="A1162" s="384">
        <f t="shared" si="18"/>
        <v>53</v>
      </c>
      <c r="O1162" s="390"/>
    </row>
    <row r="1163" spans="1:15" x14ac:dyDescent="0.25">
      <c r="A1163" s="384">
        <f t="shared" si="18"/>
        <v>53</v>
      </c>
      <c r="O1163" s="390"/>
    </row>
    <row r="1164" spans="1:15" x14ac:dyDescent="0.25">
      <c r="A1164" s="384">
        <f t="shared" si="18"/>
        <v>53</v>
      </c>
      <c r="O1164" s="390"/>
    </row>
    <row r="1165" spans="1:15" x14ac:dyDescent="0.25">
      <c r="A1165" s="384">
        <f t="shared" si="18"/>
        <v>53</v>
      </c>
      <c r="O1165" s="390"/>
    </row>
    <row r="1166" spans="1:15" x14ac:dyDescent="0.25">
      <c r="A1166" s="384">
        <f t="shared" si="18"/>
        <v>53</v>
      </c>
      <c r="O1166" s="390"/>
    </row>
    <row r="1167" spans="1:15" x14ac:dyDescent="0.25">
      <c r="A1167" s="384">
        <f t="shared" si="18"/>
        <v>53</v>
      </c>
      <c r="O1167" s="390"/>
    </row>
    <row r="1168" spans="1:15" x14ac:dyDescent="0.25">
      <c r="A1168" s="384">
        <f t="shared" si="18"/>
        <v>53</v>
      </c>
      <c r="O1168" s="390"/>
    </row>
    <row r="1169" spans="1:15" x14ac:dyDescent="0.25">
      <c r="A1169" s="384">
        <f t="shared" si="18"/>
        <v>53</v>
      </c>
      <c r="O1169" s="390"/>
    </row>
    <row r="1170" spans="1:15" x14ac:dyDescent="0.25">
      <c r="A1170" s="384">
        <f t="shared" si="18"/>
        <v>53</v>
      </c>
      <c r="O1170" s="390"/>
    </row>
    <row r="1171" spans="1:15" x14ac:dyDescent="0.25">
      <c r="A1171" s="384">
        <f t="shared" si="18"/>
        <v>53</v>
      </c>
      <c r="O1171" s="390"/>
    </row>
    <row r="1172" spans="1:15" x14ac:dyDescent="0.25">
      <c r="A1172" s="384">
        <f t="shared" si="18"/>
        <v>53</v>
      </c>
      <c r="O1172" s="390"/>
    </row>
    <row r="1173" spans="1:15" x14ac:dyDescent="0.25">
      <c r="A1173" s="384">
        <f t="shared" si="18"/>
        <v>53</v>
      </c>
      <c r="O1173" s="390"/>
    </row>
    <row r="1174" spans="1:15" x14ac:dyDescent="0.25">
      <c r="A1174" s="384">
        <f t="shared" si="18"/>
        <v>53</v>
      </c>
      <c r="O1174" s="390"/>
    </row>
    <row r="1175" spans="1:15" x14ac:dyDescent="0.25">
      <c r="A1175" s="384">
        <f t="shared" si="18"/>
        <v>53</v>
      </c>
      <c r="O1175" s="390"/>
    </row>
    <row r="1176" spans="1:15" x14ac:dyDescent="0.25">
      <c r="A1176" s="384">
        <f t="shared" si="18"/>
        <v>53</v>
      </c>
      <c r="O1176" s="390"/>
    </row>
    <row r="1177" spans="1:15" x14ac:dyDescent="0.25">
      <c r="A1177" s="384">
        <f t="shared" si="18"/>
        <v>53</v>
      </c>
      <c r="O1177" s="390"/>
    </row>
    <row r="1178" spans="1:15" x14ac:dyDescent="0.25">
      <c r="A1178" s="384">
        <f t="shared" si="18"/>
        <v>53</v>
      </c>
      <c r="O1178" s="390"/>
    </row>
    <row r="1179" spans="1:15" x14ac:dyDescent="0.25">
      <c r="A1179" s="384">
        <f t="shared" si="18"/>
        <v>53</v>
      </c>
      <c r="O1179" s="390"/>
    </row>
    <row r="1180" spans="1:15" x14ac:dyDescent="0.25">
      <c r="A1180" s="384">
        <f t="shared" si="18"/>
        <v>53</v>
      </c>
      <c r="O1180" s="390"/>
    </row>
    <row r="1181" spans="1:15" x14ac:dyDescent="0.25">
      <c r="A1181" s="384">
        <f t="shared" si="18"/>
        <v>53</v>
      </c>
      <c r="O1181" s="390"/>
    </row>
    <row r="1182" spans="1:15" x14ac:dyDescent="0.25">
      <c r="A1182" s="384">
        <f t="shared" si="18"/>
        <v>53</v>
      </c>
      <c r="O1182" s="390"/>
    </row>
    <row r="1183" spans="1:15" x14ac:dyDescent="0.25">
      <c r="A1183" s="384">
        <f t="shared" si="18"/>
        <v>53</v>
      </c>
      <c r="O1183" s="390"/>
    </row>
    <row r="1184" spans="1:15" x14ac:dyDescent="0.25">
      <c r="A1184" s="384">
        <f t="shared" si="18"/>
        <v>53</v>
      </c>
      <c r="O1184" s="390"/>
    </row>
    <row r="1185" spans="1:15" x14ac:dyDescent="0.25">
      <c r="A1185" s="384">
        <f t="shared" si="18"/>
        <v>53</v>
      </c>
      <c r="O1185" s="390"/>
    </row>
    <row r="1186" spans="1:15" x14ac:dyDescent="0.25">
      <c r="A1186" s="384">
        <f t="shared" si="18"/>
        <v>53</v>
      </c>
      <c r="O1186" s="390"/>
    </row>
    <row r="1187" spans="1:15" x14ac:dyDescent="0.25">
      <c r="A1187" s="384">
        <f t="shared" si="18"/>
        <v>53</v>
      </c>
      <c r="O1187" s="390"/>
    </row>
    <row r="1188" spans="1:15" x14ac:dyDescent="0.25">
      <c r="A1188" s="384">
        <f t="shared" si="18"/>
        <v>53</v>
      </c>
      <c r="O1188" s="390"/>
    </row>
    <row r="1189" spans="1:15" x14ac:dyDescent="0.25">
      <c r="A1189" s="384">
        <f t="shared" si="18"/>
        <v>53</v>
      </c>
      <c r="O1189" s="390"/>
    </row>
    <row r="1190" spans="1:15" x14ac:dyDescent="0.25">
      <c r="A1190" s="384">
        <f t="shared" si="18"/>
        <v>53</v>
      </c>
      <c r="O1190" s="390"/>
    </row>
    <row r="1191" spans="1:15" x14ac:dyDescent="0.25">
      <c r="A1191" s="384">
        <f t="shared" si="18"/>
        <v>53</v>
      </c>
      <c r="O1191" s="390"/>
    </row>
    <row r="1192" spans="1:15" x14ac:dyDescent="0.25">
      <c r="A1192" s="384">
        <f t="shared" si="18"/>
        <v>53</v>
      </c>
      <c r="O1192" s="390"/>
    </row>
    <row r="1193" spans="1:15" x14ac:dyDescent="0.25">
      <c r="A1193" s="384">
        <f t="shared" si="18"/>
        <v>53</v>
      </c>
      <c r="O1193" s="390"/>
    </row>
    <row r="1194" spans="1:15" x14ac:dyDescent="0.25">
      <c r="A1194" s="384">
        <f t="shared" si="18"/>
        <v>53</v>
      </c>
      <c r="O1194" s="390"/>
    </row>
    <row r="1195" spans="1:15" x14ac:dyDescent="0.25">
      <c r="A1195" s="384">
        <f t="shared" si="18"/>
        <v>53</v>
      </c>
      <c r="O1195" s="390"/>
    </row>
    <row r="1196" spans="1:15" x14ac:dyDescent="0.25">
      <c r="A1196" s="384">
        <f t="shared" si="18"/>
        <v>53</v>
      </c>
      <c r="O1196" s="390"/>
    </row>
    <row r="1197" spans="1:15" x14ac:dyDescent="0.25">
      <c r="A1197" s="384">
        <f t="shared" si="18"/>
        <v>53</v>
      </c>
      <c r="O1197" s="390"/>
    </row>
    <row r="1198" spans="1:15" x14ac:dyDescent="0.25">
      <c r="A1198" s="384">
        <f t="shared" si="18"/>
        <v>53</v>
      </c>
      <c r="O1198" s="390"/>
    </row>
  </sheetData>
  <sheetProtection selectLockedCells="1"/>
  <protectedRanges>
    <protectedRange sqref="A3:N3" name="Filter"/>
    <protectedRange sqref="I97:I138 K97:K138 M97:M138 C31:M96 M140:M1105 C97:H1105 A4:A1106 I140:I1105 A1108:N1048574 N4:N1106 L97:L1105 B31:B1105 K140:K1105 J97:J1105 B4:M30" name="Bediener"/>
  </protectedRanges>
  <autoFilter ref="A1:N2" xr:uid="{784A769A-6328-4601-B69F-4996BE9F01BA}"/>
  <customSheetViews>
    <customSheetView guid="{4259091D-D0F3-4F37-BEA1-28A56DCE2CAB}" scale="90" fitToPage="1">
      <pane ySplit="3" topLeftCell="A4" activePane="bottomLeft" state="frozen"/>
      <selection pane="bottomLeft" activeCell="M4" sqref="M4"/>
      <pageMargins left="0" right="0" top="0" bottom="0" header="0" footer="0"/>
      <pageSetup paperSize="8" scale="10" orientation="landscape" r:id="rId1"/>
    </customSheetView>
    <customSheetView guid="{8A2A5520-166E-4A1F-8192-130B81C2F742}" scale="90" fitToPage="1">
      <pane ySplit="3" topLeftCell="A4" activePane="bottomLeft" state="frozen"/>
      <selection pane="bottomLeft" activeCell="M4" sqref="M4"/>
      <pageMargins left="0" right="0" top="0" bottom="0" header="0" footer="0"/>
      <pageSetup paperSize="8" scale="10" orientation="landscape" r:id="rId2"/>
    </customSheetView>
    <customSheetView guid="{5553B17F-5E38-459F-9E7B-3B8FB8EDA0E9}" scale="90" showPageBreaks="1" fitToPage="1">
      <pane ySplit="3" topLeftCell="A4" activePane="bottomLeft" state="frozen"/>
      <selection pane="bottomLeft" activeCell="K4" sqref="K4"/>
      <pageMargins left="0" right="0" top="0" bottom="0" header="0" footer="0"/>
      <pageSetup paperSize="8" scale="10" orientation="landscape" r:id="rId3"/>
    </customSheetView>
    <customSheetView guid="{8678D424-961C-4F18-8B8A-3E6706CDCB42}" scale="90" fitToPage="1">
      <pane ySplit="3" topLeftCell="A4" activePane="bottomLeft" state="frozen"/>
      <selection pane="bottomLeft" activeCell="K4" sqref="K4"/>
      <pageMargins left="0" right="0" top="0" bottom="0" header="0" footer="0"/>
      <pageSetup paperSize="8" scale="10" orientation="landscape" r:id="rId4"/>
    </customSheetView>
    <customSheetView guid="{3AB35397-189E-4694-8731-466CEBD9E15E}" scale="90" fitToPage="1">
      <pane ySplit="3" topLeftCell="A4" activePane="bottomLeft" state="frozen"/>
      <selection pane="bottomLeft" activeCell="M4" sqref="M4"/>
      <pageMargins left="0" right="0" top="0" bottom="0" header="0" footer="0"/>
      <pageSetup paperSize="8" scale="10" orientation="landscape" r:id="rId5"/>
    </customSheetView>
    <customSheetView guid="{46754859-9E9B-4D72-AEF3-49F03F505BFF}" scale="90" fitToPage="1">
      <pane ySplit="3" topLeftCell="A4" activePane="bottomLeft" state="frozen"/>
      <selection pane="bottomLeft" activeCell="M4" sqref="M4"/>
      <pageMargins left="0" right="0" top="0" bottom="0" header="0" footer="0"/>
      <pageSetup paperSize="8" scale="10" orientation="landscape" r:id="rId6"/>
    </customSheetView>
    <customSheetView guid="{7BFB684F-1C8B-41A8-B2FF-C44E52241A9E}" scale="90" fitToPage="1">
      <pane ySplit="3" topLeftCell="A4" activePane="bottomLeft" state="frozen"/>
      <selection pane="bottomLeft" activeCell="M4" sqref="M4"/>
      <pageMargins left="0" right="0" top="0" bottom="0" header="0" footer="0"/>
      <pageSetup paperSize="8" scale="10" orientation="landscape" r:id="rId7"/>
    </customSheetView>
    <customSheetView guid="{F5769495-685A-4661-B576-D2525E43610D}" scale="90" fitToPage="1">
      <pane ySplit="3" topLeftCell="A4" activePane="bottomLeft" state="frozen"/>
      <selection pane="bottomLeft" activeCell="M4" sqref="M4"/>
      <pageMargins left="0" right="0" top="0" bottom="0" header="0" footer="0"/>
      <pageSetup paperSize="8" scale="10" orientation="landscape" r:id="rId8"/>
    </customSheetView>
    <customSheetView guid="{A894FC21-9B62-4923-9AEA-28336F4A24F0}" scale="90" fitToPage="1">
      <pane ySplit="3" topLeftCell="A4" activePane="bottomLeft" state="frozen"/>
      <selection pane="bottomLeft" activeCell="I19" sqref="I19"/>
      <pageMargins left="0" right="0" top="0" bottom="0" header="0" footer="0"/>
      <pageSetup paperSize="8" scale="10" orientation="landscape" r:id="rId9"/>
    </customSheetView>
    <customSheetView guid="{CC0660E8-37C1-40F5-AEDF-5B63360C20C7}" scale="90" fitToPage="1">
      <pane ySplit="3" topLeftCell="A4" activePane="bottomLeft" state="frozen"/>
      <selection pane="bottomLeft" activeCell="M4" sqref="M4"/>
      <pageMargins left="0" right="0" top="0" bottom="0" header="0" footer="0"/>
      <pageSetup paperSize="8" scale="10" orientation="landscape" r:id="rId10"/>
    </customSheetView>
    <customSheetView guid="{3117843E-4833-4777-B7C9-9650C2E61F22}" scale="90" fitToPage="1">
      <pane ySplit="3" topLeftCell="A4" activePane="bottomLeft" state="frozen"/>
      <selection pane="bottomLeft" activeCell="M4" sqref="M4"/>
      <pageMargins left="0" right="0" top="0" bottom="0" header="0" footer="0"/>
      <pageSetup paperSize="8" scale="10" orientation="landscape" r:id="rId11"/>
    </customSheetView>
    <customSheetView guid="{AB2C7187-5A96-446F-B354-D7063F47A089}" scale="90" fitToPage="1">
      <pane ySplit="3" topLeftCell="A4" activePane="bottomLeft" state="frozen"/>
      <selection pane="bottomLeft" activeCell="N5" sqref="N5"/>
      <pageMargins left="0" right="0" top="0" bottom="0" header="0" footer="0"/>
      <pageSetup paperSize="8" scale="10" orientation="landscape" r:id="rId12"/>
    </customSheetView>
    <customSheetView guid="{E8C93915-5024-4742-8DB6-B346123BB3C8}" scale="90" fitToPage="1">
      <pane ySplit="3" topLeftCell="A4" activePane="bottomLeft" state="frozen"/>
      <selection pane="bottomLeft" activeCell="N5" sqref="N5"/>
      <pageMargins left="0" right="0" top="0" bottom="0" header="0" footer="0"/>
      <pageSetup paperSize="8" scale="10" orientation="landscape" r:id="rId13"/>
    </customSheetView>
    <customSheetView guid="{859A76EE-6449-413C-B30A-0094CDDE977F}" scale="90" fitToPage="1">
      <pane ySplit="3" topLeftCell="A4" activePane="bottomLeft" state="frozen"/>
      <selection pane="bottomLeft" activeCell="K4" sqref="K4"/>
      <pageMargins left="0" right="0" top="0" bottom="0" header="0" footer="0"/>
      <pageSetup paperSize="8" scale="10" orientation="landscape" r:id="rId14"/>
    </customSheetView>
    <customSheetView guid="{39714219-A5D3-4014-9125-5359C513171F}" scale="80" showPageBreaks="1" fitToPage="1">
      <pane ySplit="3" topLeftCell="A4" activePane="bottomLeft" state="frozen"/>
      <selection pane="bottomLeft" activeCell="I9" sqref="I9"/>
      <pageMargins left="0" right="0" top="0" bottom="0" header="0" footer="0"/>
      <pageSetup paperSize="8" scale="10" orientation="landscape" r:id="rId15"/>
    </customSheetView>
    <customSheetView guid="{99C1F600-3221-4159-9738-C8FA339A6F16}" scale="90" fitToPage="1">
      <pane ySplit="3" topLeftCell="A4" activePane="bottomLeft" state="frozen"/>
      <selection pane="bottomLeft" activeCell="N5" sqref="N5"/>
      <pageMargins left="0" right="0" top="0" bottom="0" header="0" footer="0"/>
      <pageSetup paperSize="8" scale="10" orientation="landscape" r:id="rId16"/>
    </customSheetView>
    <customSheetView guid="{1EEB3DE9-1D73-4812-83A7-DCA1466BE783}" scale="90" fitToPage="1">
      <pane ySplit="3" topLeftCell="A4" activePane="bottomLeft" state="frozen"/>
      <selection pane="bottomLeft" activeCell="N5" sqref="N5"/>
      <pageMargins left="0" right="0" top="0" bottom="0" header="0" footer="0"/>
      <pageSetup paperSize="8" scale="10" orientation="landscape" r:id="rId17"/>
    </customSheetView>
    <customSheetView guid="{561021F1-64B8-4FE2-B640-82B8FA990848}" scale="90" fitToPage="1">
      <pane ySplit="3" topLeftCell="A4" activePane="bottomLeft" state="frozen"/>
      <selection pane="bottomLeft" activeCell="M6" sqref="M6"/>
      <pageMargins left="0" right="0" top="0" bottom="0" header="0" footer="0"/>
      <pageSetup paperSize="8" scale="10" orientation="landscape" r:id="rId18"/>
    </customSheetView>
    <customSheetView guid="{A569235B-BC9F-42BA-B62B-8158EA8F3130}" scale="90" fitToPage="1">
      <pane ySplit="2" topLeftCell="A162" activePane="bottomLeft" state="frozen"/>
      <selection pane="bottomLeft" activeCell="R165" sqref="R165"/>
      <pageMargins left="0" right="0" top="0" bottom="0" header="0" footer="0"/>
      <pageSetup paperSize="8" scale="10" orientation="landscape" r:id="rId19"/>
    </customSheetView>
    <customSheetView guid="{B0DC83C8-18ED-4304-A12D-8222A145327D}" scale="90" fitToPage="1" topLeftCell="D1">
      <pane ySplit="3" topLeftCell="A100" activePane="bottomLeft" state="frozen"/>
      <selection pane="bottomLeft" activeCell="AA115" sqref="AA115"/>
      <pageMargins left="0" right="0" top="0" bottom="0" header="0" footer="0"/>
      <pageSetup paperSize="8" scale="10" orientation="landscape" r:id="rId20"/>
    </customSheetView>
    <customSheetView guid="{CACFF423-21D1-49C7-8D16-F47AC796CCA1}" scale="90" fitToPage="1">
      <pane ySplit="2" topLeftCell="A60" activePane="bottomLeft" state="frozen"/>
      <selection pane="bottomLeft" activeCell="AB10" sqref="AB10"/>
      <pageMargins left="0" right="0" top="0" bottom="0" header="0" footer="0"/>
      <pageSetup paperSize="8" scale="10" orientation="landscape" r:id="rId21"/>
    </customSheetView>
    <customSheetView guid="{C176B95D-5070-4E7D-A381-43EB087113B9}" scale="90" fitToPage="1">
      <pane ySplit="2" topLeftCell="A60" activePane="bottomLeft" state="frozen"/>
      <selection pane="bottomLeft" activeCell="AB10" sqref="AB10"/>
      <pageMargins left="0" right="0" top="0" bottom="0" header="0" footer="0"/>
      <pageSetup paperSize="8" scale="10" orientation="landscape" r:id="rId22"/>
    </customSheetView>
    <customSheetView guid="{09D34335-39BD-433C-AD93-C6863F2FBFD9}" scale="90" fitToPage="1">
      <pane ySplit="3" topLeftCell="A73" activePane="bottomLeft" state="frozen"/>
      <selection pane="bottomLeft" activeCell="S76" sqref="S76"/>
      <pageMargins left="0" right="0" top="0" bottom="0" header="0" footer="0"/>
      <pageSetup paperSize="8" scale="10" orientation="landscape" r:id="rId23"/>
    </customSheetView>
    <customSheetView guid="{EBF74CA6-BC4A-492C-8B8E-DB025ABEE7DC}" scale="90" fitToPage="1" topLeftCell="B1">
      <selection activeCell="AF55" sqref="AF55"/>
      <pageMargins left="0" right="0" top="0" bottom="0" header="0" footer="0"/>
      <pageSetup paperSize="8" scale="10" orientation="landscape" r:id="rId24"/>
    </customSheetView>
    <customSheetView guid="{440CD2AA-AA39-4131-97EA-B5C6818F6B4F}" scale="90" fitToPage="1">
      <pane ySplit="2" topLeftCell="A25" activePane="bottomLeft" state="frozen"/>
      <selection pane="bottomLeft" activeCell="K44" sqref="K44"/>
      <pageMargins left="0" right="0" top="0" bottom="0" header="0" footer="0"/>
      <pageSetup paperSize="8" scale="10" orientation="landscape" r:id="rId25"/>
    </customSheetView>
    <customSheetView guid="{4C0D3DF9-1755-441A-A09D-DCAF9D3ECEB3}" scale="90" fitToPage="1">
      <pane ySplit="2" topLeftCell="A72" activePane="bottomLeft" state="frozen"/>
      <selection pane="bottomLeft" activeCell="AB10" sqref="AB10"/>
      <pageMargins left="0" right="0" top="0" bottom="0" header="0" footer="0"/>
      <pageSetup paperSize="8" scale="10" orientation="landscape" r:id="rId26"/>
    </customSheetView>
    <customSheetView guid="{04F0F035-2413-4E25-863C-B99C06B944CE}" scale="90" fitToPage="1">
      <pane ySplit="3" topLeftCell="A145" activePane="bottomLeft" state="frozen"/>
      <selection pane="bottomLeft" activeCell="AC163" sqref="AC163"/>
      <pageMargins left="0" right="0" top="0" bottom="0" header="0" footer="0"/>
      <pageSetup paperSize="8" scale="10" orientation="landscape" r:id="rId27"/>
    </customSheetView>
    <customSheetView guid="{604F3432-CA08-4655-B951-781160798B8F}" scale="90" fitToPage="1">
      <pane ySplit="2" topLeftCell="A60" activePane="bottomLeft" state="frozen"/>
      <selection pane="bottomLeft" activeCell="AB10" sqref="AB10"/>
      <pageMargins left="0" right="0" top="0" bottom="0" header="0" footer="0"/>
      <pageSetup paperSize="8" scale="10" orientation="landscape" r:id="rId28"/>
    </customSheetView>
    <customSheetView guid="{159AA83F-8DF2-4277-A669-902C9AC20AC1}" scale="90" fitToPage="1">
      <pane ySplit="3" topLeftCell="A19" activePane="bottomLeft" state="frozen"/>
      <selection pane="bottomLeft" activeCell="W40" sqref="W40"/>
      <pageMargins left="0" right="0" top="0" bottom="0" header="0" footer="0"/>
      <pageSetup paperSize="8" scale="10" orientation="landscape" r:id="rId29"/>
    </customSheetView>
    <customSheetView guid="{4DC50F96-4A68-4660-B46C-8F9ED72D7141}" scale="90" fitToPage="1" topLeftCell="B1">
      <pane ySplit="2" topLeftCell="A78" activePane="bottomLeft" state="frozen"/>
      <selection pane="bottomLeft" activeCell="AA91" sqref="AA91"/>
      <pageMargins left="0" right="0" top="0" bottom="0" header="0" footer="0"/>
      <pageSetup paperSize="8" scale="10" orientation="landscape" r:id="rId30"/>
    </customSheetView>
    <customSheetView guid="{6136412F-82DF-441B-B7C9-FF92D8397EBB}" scale="90" fitToPage="1">
      <pane ySplit="2" topLeftCell="A105" activePane="bottomLeft" state="frozen"/>
      <selection pane="bottomLeft" activeCell="AB10" sqref="AB10"/>
      <pageMargins left="0" right="0" top="0" bottom="0" header="0" footer="0"/>
      <pageSetup paperSize="8" scale="10" orientation="landscape" r:id="rId31"/>
    </customSheetView>
    <customSheetView guid="{5127DA54-534D-4F06-BCD8-5C1B021AD3E2}" scale="90" fitToPage="1">
      <pane ySplit="3" topLeftCell="A145" activePane="bottomLeft" state="frozen"/>
      <selection pane="bottomLeft" activeCell="AE70" sqref="AE70"/>
      <pageMargins left="0" right="0" top="0" bottom="0" header="0" footer="0"/>
      <pageSetup paperSize="8" scale="10" orientation="landscape" r:id="rId32"/>
    </customSheetView>
    <customSheetView guid="{043624C2-16A5-4D36-A14E-D5C68997D8BB}" scale="90" showPageBreaks="1" fitToPage="1">
      <pane ySplit="3" topLeftCell="A157" activePane="bottomLeft" state="frozen"/>
      <selection pane="bottomLeft" activeCell="AB166" sqref="AB166"/>
      <pageMargins left="0" right="0" top="0" bottom="0" header="0" footer="0"/>
      <pageSetup paperSize="8" scale="10" orientation="landscape" r:id="rId33"/>
    </customSheetView>
    <customSheetView guid="{3DB152C2-6535-4A2B-B910-DBEE64881738}" scale="90" fitToPage="1" topLeftCell="D1">
      <pane ySplit="3" topLeftCell="A154" activePane="bottomLeft" state="frozen"/>
      <selection pane="bottomLeft" activeCell="E168" sqref="E168:AE168"/>
      <pageMargins left="0" right="0" top="0" bottom="0" header="0" footer="0"/>
      <pageSetup paperSize="8" scale="10" orientation="landscape" r:id="rId34"/>
    </customSheetView>
    <customSheetView guid="{262312F2-7F2B-4330-A41E-23BD1F99D6E0}" scale="90" fitToPage="1">
      <pane ySplit="3" topLeftCell="A148" activePane="bottomLeft" state="frozen"/>
      <selection pane="bottomLeft" activeCell="AB156" sqref="AB156"/>
      <pageMargins left="0" right="0" top="0" bottom="0" header="0" footer="0"/>
      <pageSetup paperSize="8" scale="10" orientation="landscape" r:id="rId35"/>
    </customSheetView>
    <customSheetView guid="{83F528CF-0EB0-448F-A134-FC0A4AE93D61}" scale="90" fitToPage="1">
      <pane ySplit="3" topLeftCell="A4" activePane="bottomLeft" state="frozen"/>
      <selection pane="bottomLeft" activeCell="N5" sqref="N5"/>
      <pageMargins left="0" right="0" top="0" bottom="0" header="0" footer="0"/>
      <pageSetup paperSize="8" scale="10" orientation="landscape" r:id="rId36"/>
    </customSheetView>
    <customSheetView guid="{4DEBCDA2-AD48-4242-A2C2-0D34C03BCEDF}" scale="90" fitToPage="1">
      <pane ySplit="2" topLeftCell="A3" activePane="bottomLeft" state="frozen"/>
      <selection pane="bottomLeft" activeCell="B4" sqref="B4"/>
      <pageMargins left="0" right="0" top="0" bottom="0" header="0" footer="0"/>
      <pageSetup paperSize="8" scale="10" orientation="landscape" r:id="rId37"/>
    </customSheetView>
    <customSheetView guid="{11E0DF8F-1F3E-458C-AFF0-F06D7C733F39}" scale="90" fitToPage="1">
      <pane ySplit="3" topLeftCell="A4" activePane="bottomLeft" state="frozen"/>
      <selection pane="bottomLeft" activeCell="N5" sqref="N5"/>
      <pageMargins left="0" right="0" top="0" bottom="0" header="0" footer="0"/>
      <pageSetup paperSize="8" scale="10" orientation="landscape" r:id="rId38"/>
    </customSheetView>
    <customSheetView guid="{1EDAE053-F030-42D5-B05D-E8B32E176EAC}" scale="90" showPageBreaks="1" fitToPage="1">
      <pane ySplit="2" topLeftCell="A4" activePane="bottomLeft" state="frozen"/>
      <selection pane="bottomLeft" activeCell="K4" sqref="K4"/>
      <pageMargins left="0" right="0" top="0" bottom="0" header="0" footer="0"/>
      <pageSetup paperSize="8" scale="10" orientation="landscape" r:id="rId39"/>
    </customSheetView>
    <customSheetView guid="{797A356B-9844-480F-9B78-76C80E692EAB}" scale="90" fitToPage="1">
      <pane ySplit="3" topLeftCell="A4" activePane="bottomLeft" state="frozen"/>
      <selection pane="bottomLeft" activeCell="K4" sqref="K4"/>
      <pageMargins left="0" right="0" top="0" bottom="0" header="0" footer="0"/>
      <pageSetup paperSize="8" scale="10" orientation="landscape" r:id="rId40"/>
    </customSheetView>
    <customSheetView guid="{1FFB1A3D-D8A0-4A54-B731-DF26CF2F2B94}" scale="90" fitToPage="1">
      <pane ySplit="3" topLeftCell="A4" activePane="bottomLeft" state="frozen"/>
      <selection pane="bottomLeft" activeCell="M4" sqref="M4"/>
      <pageMargins left="0" right="0" top="0" bottom="0" header="0" footer="0"/>
      <pageSetup paperSize="8" scale="10" orientation="landscape" r:id="rId41"/>
    </customSheetView>
    <customSheetView guid="{F7C4BDC5-938D-4C0C-B0B7-0A2BAC54DD9F}" scale="90" fitToPage="1">
      <pane ySplit="3" topLeftCell="A4" activePane="bottomLeft" state="frozen"/>
      <selection pane="bottomLeft" activeCell="N5" sqref="N5"/>
      <pageMargins left="0" right="0" top="0" bottom="0" header="0" footer="0"/>
      <pageSetup paperSize="8" scale="10" orientation="landscape" r:id="rId42"/>
    </customSheetView>
    <customSheetView guid="{A9394557-FCE9-432F-BF03-170DE4B28F03}" scale="90" fitToPage="1">
      <pane ySplit="3" topLeftCell="A16" activePane="bottomLeft" state="frozen"/>
      <selection pane="bottomLeft" activeCell="M4" sqref="M4"/>
      <pageMargins left="0" right="0" top="0" bottom="0" header="0" footer="0"/>
      <pageSetup paperSize="8" scale="10" orientation="landscape" r:id="rId43"/>
    </customSheetView>
    <customSheetView guid="{4F7CB51A-553F-442C-9E5D-87682F826BE3}" scale="90" fitToPage="1">
      <pane ySplit="3" topLeftCell="A4" activePane="bottomLeft" state="frozen"/>
      <selection pane="bottomLeft" activeCell="M4" sqref="M4"/>
      <pageMargins left="0" right="0" top="0" bottom="0" header="0" footer="0"/>
      <pageSetup paperSize="8" scale="10" orientation="landscape" r:id="rId44"/>
    </customSheetView>
  </customSheetViews>
  <mergeCells count="15">
    <mergeCell ref="O1:O2"/>
    <mergeCell ref="N1:N2"/>
    <mergeCell ref="M1:M2"/>
    <mergeCell ref="L1:L2"/>
    <mergeCell ref="A1:A2"/>
    <mergeCell ref="D1:D2"/>
    <mergeCell ref="E1:E2"/>
    <mergeCell ref="B1:B2"/>
    <mergeCell ref="C1:C2"/>
    <mergeCell ref="F1:F2"/>
    <mergeCell ref="G1:G2"/>
    <mergeCell ref="J1:J2"/>
    <mergeCell ref="K1:K2"/>
    <mergeCell ref="I1:I2"/>
    <mergeCell ref="H1:H2"/>
  </mergeCells>
  <conditionalFormatting sqref="A1108:A1198 A4:A1105">
    <cfRule type="expression" dxfId="473" priority="2">
      <formula>#REF!="X"</formula>
    </cfRule>
  </conditionalFormatting>
  <conditionalFormatting sqref="N1108:N1198 N4:N1105">
    <cfRule type="cellIs" dxfId="472" priority="10" operator="equal">
      <formula>"In Bearbeitung"</formula>
    </cfRule>
    <cfRule type="cellIs" dxfId="471" priority="11" operator="equal">
      <formula>"Erledigt"</formula>
    </cfRule>
    <cfRule type="cellIs" dxfId="470" priority="12" operator="equal">
      <formula>"Neu"</formula>
    </cfRule>
  </conditionalFormatting>
  <pageMargins left="0.25" right="0.25" top="0.75" bottom="0.75" header="0.3" footer="0.3"/>
  <pageSetup paperSize="8" scale="10" orientation="landscape" r:id="rId45"/>
  <ignoredErrors>
    <ignoredError sqref="A6:A1105 A1108:A1198" unlockedFormula="1"/>
  </ignoredErrors>
  <extLst>
    <ext xmlns:x14="http://schemas.microsoft.com/office/spreadsheetml/2009/9/main" uri="{CCE6A557-97BC-4b89-ADB6-D9C93CAAB3DF}">
      <x14:dataValidations xmlns:xm="http://schemas.microsoft.com/office/excel/2006/main" count="1">
        <x14:dataValidation type="list" showInputMessage="1" showErrorMessage="1" xr:uid="{7CB9A4BF-D41B-49B3-B64E-46B5F2829B82}">
          <x14:formula1>
            <xm:f>DropDown!$A$13:$A$15</xm:f>
          </x14:formula1>
          <xm:sqref>N1108:N1198 N4:N1105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ADA51D86D4AF48BC4279B1A0DADA15" ma:contentTypeVersion="6" ma:contentTypeDescription="Create a new document." ma:contentTypeScope="" ma:versionID="e406ba7efdf787a12f318a8e51e1c0d6">
  <xsd:schema xmlns:xsd="http://www.w3.org/2001/XMLSchema" xmlns:xs="http://www.w3.org/2001/XMLSchema" xmlns:p="http://schemas.microsoft.com/office/2006/metadata/properties" xmlns:ns2="3ede13b5-5ee3-46ed-9ea6-f11ed22abd60" xmlns:ns3="3ad1e16c-c6b6-4ec0-b9ed-31c67f34c86f" targetNamespace="http://schemas.microsoft.com/office/2006/metadata/properties" ma:root="true" ma:fieldsID="6bf4deea46fcc687d02a6e9366610375" ns2:_="" ns3:_="">
    <xsd:import namespace="3ede13b5-5ee3-46ed-9ea6-f11ed22abd60"/>
    <xsd:import namespace="3ad1e16c-c6b6-4ec0-b9ed-31c67f34c86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de13b5-5ee3-46ed-9ea6-f11ed22abd6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d1e16c-c6b6-4ec0-b9ed-31c67f34c86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95112A8-A3DC-43D9-B36B-170AD3C0C2D4}">
  <ds:schemaRefs>
    <ds:schemaRef ds:uri="http://www.w3.org/XML/1998/namespace"/>
    <ds:schemaRef ds:uri="http://purl.org/dc/dcmitype/"/>
    <ds:schemaRef ds:uri="3ad1e16c-c6b6-4ec0-b9ed-31c67f34c86f"/>
    <ds:schemaRef ds:uri="http://schemas.microsoft.com/office/infopath/2007/PartnerControls"/>
    <ds:schemaRef ds:uri="http://schemas.microsoft.com/office/2006/metadata/properties"/>
    <ds:schemaRef ds:uri="http://purl.org/dc/elements/1.1/"/>
    <ds:schemaRef ds:uri="http://schemas.openxmlformats.org/package/2006/metadata/core-properties"/>
    <ds:schemaRef ds:uri="http://purl.org/dc/terms/"/>
    <ds:schemaRef ds:uri="http://schemas.microsoft.com/office/2006/documentManagement/types"/>
    <ds:schemaRef ds:uri="3ede13b5-5ee3-46ed-9ea6-f11ed22abd60"/>
  </ds:schemaRefs>
</ds:datastoreItem>
</file>

<file path=customXml/itemProps2.xml><?xml version="1.0" encoding="utf-8"?>
<ds:datastoreItem xmlns:ds="http://schemas.openxmlformats.org/officeDocument/2006/customXml" ds:itemID="{25F97D0C-E37B-4214-A625-ED5CB5C0086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ede13b5-5ee3-46ed-9ea6-f11ed22abd60"/>
    <ds:schemaRef ds:uri="3ad1e16c-c6b6-4ec0-b9ed-31c67f34c8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541F4D3-6265-469C-BC93-E19B7F786D2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Diagramme</vt:lpstr>
      </vt:variant>
      <vt:variant>
        <vt:i4>1</vt:i4>
      </vt:variant>
    </vt:vector>
  </HeadingPairs>
  <TitlesOfParts>
    <vt:vector size="6" baseType="lpstr">
      <vt:lpstr>Outbound_Monitor</vt:lpstr>
      <vt:lpstr>Inbound_Monitor</vt:lpstr>
      <vt:lpstr>DropDown</vt:lpstr>
      <vt:lpstr>SDDS_Office (nicht nutzen)</vt:lpstr>
      <vt:lpstr>Schichtübergabe_Protokoll</vt:lpstr>
      <vt:lpstr>Diagramm1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Andreas Schmitt</dc:creator>
  <cp:keywords/>
  <dc:description/>
  <cp:lastModifiedBy>Joshua Izquierdo (External)</cp:lastModifiedBy>
  <cp:revision/>
  <cp:lastPrinted>2024-02-19T14:06:18Z</cp:lastPrinted>
  <dcterms:created xsi:type="dcterms:W3CDTF">2019-08-30T12:08:44Z</dcterms:created>
  <dcterms:modified xsi:type="dcterms:W3CDTF">2024-03-01T09:16:48Z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0x010100DBADA51D86D4AF48BC4279B1A0DADA15</vt:lpwstr>
  </property>
  <property fmtid="{D5CDD505-2E9C-101B-9397-08002B2CF9AE}" pid="3" name="CofWorkbookId">
    <vt:lpwstr>bfc5ce97-00d7-4c82-904d-7dabc39cc7bc</vt:lpwstr>
  </property>
  <property fmtid="{D5CDD505-2E9C-101B-9397-08002B2CF9AE}" pid="4" name="MSIP_Label_b3cf0e92-c55f-4ca7-92e5-44d28ddb2d9c_Enabled">
    <vt:lpwstr>true</vt:lpwstr>
  </property>
  <property fmtid="{D5CDD505-2E9C-101B-9397-08002B2CF9AE}" pid="5" name="MSIP_Label_b3cf0e92-c55f-4ca7-92e5-44d28ddb2d9c_SetDate">
    <vt:lpwstr>2023-11-29T14:58:00Z</vt:lpwstr>
  </property>
  <property fmtid="{D5CDD505-2E9C-101B-9397-08002B2CF9AE}" pid="6" name="MSIP_Label_b3cf0e92-c55f-4ca7-92e5-44d28ddb2d9c_Method">
    <vt:lpwstr>Privileged</vt:lpwstr>
  </property>
  <property fmtid="{D5CDD505-2E9C-101B-9397-08002B2CF9AE}" pid="7" name="MSIP_Label_b3cf0e92-c55f-4ca7-92e5-44d28ddb2d9c_Name">
    <vt:lpwstr>Public sensitivity label</vt:lpwstr>
  </property>
  <property fmtid="{D5CDD505-2E9C-101B-9397-08002B2CF9AE}" pid="8" name="MSIP_Label_b3cf0e92-c55f-4ca7-92e5-44d28ddb2d9c_SiteId">
    <vt:lpwstr>ff9c7474-421d-4957-8d47-c4b64dec87b5</vt:lpwstr>
  </property>
  <property fmtid="{D5CDD505-2E9C-101B-9397-08002B2CF9AE}" pid="9" name="MSIP_Label_b3cf0e92-c55f-4ca7-92e5-44d28ddb2d9c_ActionId">
    <vt:lpwstr>21cb2471-cfa5-42e9-b791-fc64f0b9ad00</vt:lpwstr>
  </property>
  <property fmtid="{D5CDD505-2E9C-101B-9397-08002B2CF9AE}" pid="10" name="MSIP_Label_b3cf0e92-c55f-4ca7-92e5-44d28ddb2d9c_ContentBits">
    <vt:lpwstr>0</vt:lpwstr>
  </property>
</Properties>
</file>